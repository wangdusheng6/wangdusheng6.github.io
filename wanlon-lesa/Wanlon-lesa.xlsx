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hkbueduhk-my.sharepoint.com/personal/24252948_life_hkbu_edu_hk/Documents/桌面/"/>
    </mc:Choice>
  </mc:AlternateContent>
  <xr:revisionPtr revIDLastSave="213" documentId="13_ncr:1_{C28274EE-D960-4D1D-8FA6-539135A141CC}" xr6:coauthVersionLast="47" xr6:coauthVersionMax="47" xr10:uidLastSave="{9234D75C-7D4D-4B19-9145-14E0B35F0607}"/>
  <bookViews>
    <workbookView xWindow="-83" yWindow="0" windowWidth="10965" windowHeight="12863" xr2:uid="{B9A6D816-E32D-4802-9FCD-13E24D575BC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Sheet1!$A$2:$I$10503</definedName>
    <definedName name="Z_6A8D9CC1_4303_4B26_9DBB_1C4AEC289D73_.wvu.FilterData" localSheetId="0" hidden="1">Sheet1!$C$2:$I$283</definedName>
  </definedNames>
  <calcPr calcId="191029"/>
  <customWorkbookViews>
    <customWorkbookView name="sasa" guid="{6A8D9CC1-4303-4B26-9DBB-1C4AEC289D73}" xWindow="-1" yWindow="-1" windowWidth="2882" windowHeight="170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28" i="1" l="1"/>
  <c r="C5527" i="1"/>
  <c r="C5526" i="1"/>
  <c r="C5525" i="1"/>
  <c r="C5523" i="1"/>
  <c r="C5524" i="1"/>
  <c r="C5522" i="1"/>
  <c r="C5218" i="1"/>
  <c r="C5117" i="1"/>
  <c r="C4502" i="1"/>
  <c r="C4497" i="1"/>
  <c r="C4496" i="1"/>
  <c r="C4482" i="1"/>
  <c r="C3823" i="1"/>
  <c r="C1955" i="1"/>
  <c r="C442" i="1"/>
  <c r="C18" i="1"/>
  <c r="C5" i="1"/>
  <c r="C4" i="1"/>
  <c r="C3" i="1"/>
</calcChain>
</file>

<file path=xl/sharedStrings.xml><?xml version="1.0" encoding="utf-8"?>
<sst xmlns="http://schemas.openxmlformats.org/spreadsheetml/2006/main" count="52821" uniqueCount="16739">
  <si>
    <t>je</t>
    <phoneticPr fontId="1" type="noConversion"/>
  </si>
  <si>
    <t>jen</t>
    <phoneticPr fontId="1" type="noConversion"/>
  </si>
  <si>
    <t>vis</t>
    <phoneticPr fontId="1" type="noConversion"/>
  </si>
  <si>
    <t>visn</t>
    <phoneticPr fontId="1" type="noConversion"/>
  </si>
  <si>
    <t>序号</t>
    <phoneticPr fontId="1" type="noConversion"/>
  </si>
  <si>
    <t>单词</t>
    <phoneticPr fontId="1" type="noConversion"/>
  </si>
  <si>
    <t>hal</t>
    <phoneticPr fontId="1" type="noConversion"/>
  </si>
  <si>
    <t>haln</t>
    <phoneticPr fontId="1" type="noConversion"/>
  </si>
  <si>
    <t>yi</t>
    <phoneticPr fontId="1" type="noConversion"/>
  </si>
  <si>
    <t>yin</t>
    <phoneticPr fontId="1" type="noConversion"/>
  </si>
  <si>
    <t>ti</t>
    <phoneticPr fontId="1" type="noConversion"/>
  </si>
  <si>
    <t>tin</t>
    <phoneticPr fontId="1" type="noConversion"/>
  </si>
  <si>
    <t>chust</t>
    <phoneticPr fontId="1" type="noConversion"/>
  </si>
  <si>
    <t>chun</t>
    <phoneticPr fontId="1" type="noConversion"/>
  </si>
  <si>
    <t>vis'o</t>
    <phoneticPr fontId="1" type="noConversion"/>
  </si>
  <si>
    <t>visn'o</t>
    <phoneticPr fontId="1" type="noConversion"/>
  </si>
  <si>
    <t>je'o</t>
    <phoneticPr fontId="1" type="noConversion"/>
  </si>
  <si>
    <t>jen'o</t>
    <phoneticPr fontId="1" type="noConversion"/>
  </si>
  <si>
    <t>hal'o</t>
    <phoneticPr fontId="1" type="noConversion"/>
  </si>
  <si>
    <t>haln'o</t>
    <phoneticPr fontId="1" type="noConversion"/>
  </si>
  <si>
    <t>yi'o</t>
    <phoneticPr fontId="1" type="noConversion"/>
  </si>
  <si>
    <t>yin'o</t>
    <phoneticPr fontId="1" type="noConversion"/>
  </si>
  <si>
    <t>ti'o</t>
    <phoneticPr fontId="1" type="noConversion"/>
  </si>
  <si>
    <t>tin'o</t>
    <phoneticPr fontId="1" type="noConversion"/>
  </si>
  <si>
    <t>ou</t>
    <phoneticPr fontId="1" type="noConversion"/>
  </si>
  <si>
    <t>nule</t>
    <phoneticPr fontId="1" type="noConversion"/>
  </si>
  <si>
    <t>un</t>
    <phoneticPr fontId="1" type="noConversion"/>
  </si>
  <si>
    <t>dus</t>
    <phoneticPr fontId="1" type="noConversion"/>
  </si>
  <si>
    <t>trins</t>
    <phoneticPr fontId="1" type="noConversion"/>
  </si>
  <si>
    <t>qu'ar</t>
    <phoneticPr fontId="1" type="noConversion"/>
  </si>
  <si>
    <t>qu'ive</t>
    <phoneticPr fontId="1" type="noConversion"/>
  </si>
  <si>
    <t>sisu</t>
    <phoneticPr fontId="1" type="noConversion"/>
  </si>
  <si>
    <t>septen</t>
    <phoneticPr fontId="1" type="noConversion"/>
  </si>
  <si>
    <t>buito</t>
    <phoneticPr fontId="1" type="noConversion"/>
  </si>
  <si>
    <t>nef</t>
    <phoneticPr fontId="1" type="noConversion"/>
  </si>
  <si>
    <t>senx</t>
    <phoneticPr fontId="1" type="noConversion"/>
  </si>
  <si>
    <t>senx-un</t>
    <phoneticPr fontId="1" type="noConversion"/>
  </si>
  <si>
    <t>centy</t>
    <phoneticPr fontId="1" type="noConversion"/>
  </si>
  <si>
    <t>moly</t>
    <phoneticPr fontId="1" type="noConversion"/>
  </si>
  <si>
    <t>wany</t>
    <phoneticPr fontId="1" type="noConversion"/>
  </si>
  <si>
    <t>senxiwany</t>
    <phoneticPr fontId="1" type="noConversion"/>
  </si>
  <si>
    <t>centiwany</t>
    <phoneticPr fontId="1" type="noConversion"/>
  </si>
  <si>
    <t>moliwany</t>
    <phoneticPr fontId="1" type="noConversion"/>
  </si>
  <si>
    <t>biny</t>
    <phoneticPr fontId="1" type="noConversion"/>
  </si>
  <si>
    <t>senxibiny</t>
    <phoneticPr fontId="1" type="noConversion"/>
  </si>
  <si>
    <t>centibiny</t>
    <phoneticPr fontId="1" type="noConversion"/>
  </si>
  <si>
    <t>molibiny</t>
    <phoneticPr fontId="1" type="noConversion"/>
  </si>
  <si>
    <t>driny</t>
    <phoneticPr fontId="1" type="noConversion"/>
  </si>
  <si>
    <t>senxidriny</t>
    <phoneticPr fontId="1" type="noConversion"/>
  </si>
  <si>
    <t>centidriny</t>
    <phoneticPr fontId="1" type="noConversion"/>
  </si>
  <si>
    <t>molidriny</t>
    <phoneticPr fontId="1" type="noConversion"/>
  </si>
  <si>
    <t>senxi-</t>
    <phoneticPr fontId="1" type="noConversion"/>
  </si>
  <si>
    <t>centi-</t>
    <phoneticPr fontId="1" type="noConversion"/>
  </si>
  <si>
    <t>moli-</t>
    <phoneticPr fontId="1" type="noConversion"/>
  </si>
  <si>
    <t>wani-</t>
    <phoneticPr fontId="1" type="noConversion"/>
  </si>
  <si>
    <t>bini-</t>
    <phoneticPr fontId="1" type="noConversion"/>
  </si>
  <si>
    <t>drini-</t>
    <phoneticPr fontId="1" type="noConversion"/>
  </si>
  <si>
    <t>qu'adriny</t>
    <phoneticPr fontId="1" type="noConversion"/>
  </si>
  <si>
    <t>qu'adrini-</t>
    <phoneticPr fontId="1" type="noConversion"/>
  </si>
  <si>
    <t>qu'ivqu'iny</t>
    <phoneticPr fontId="1" type="noConversion"/>
  </si>
  <si>
    <t>qu'ivqu'ini-</t>
    <phoneticPr fontId="1" type="noConversion"/>
  </si>
  <si>
    <t>sisiny</t>
    <phoneticPr fontId="1" type="noConversion"/>
  </si>
  <si>
    <t>sisini-</t>
    <phoneticPr fontId="1" type="noConversion"/>
  </si>
  <si>
    <t>septiny</t>
    <phoneticPr fontId="1" type="noConversion"/>
  </si>
  <si>
    <t>septini-</t>
    <phoneticPr fontId="1" type="noConversion"/>
  </si>
  <si>
    <t>octainy</t>
    <phoneticPr fontId="1" type="noConversion"/>
  </si>
  <si>
    <t>octaini-</t>
    <phoneticPr fontId="1" type="noConversion"/>
  </si>
  <si>
    <t>nonainy</t>
    <phoneticPr fontId="1" type="noConversion"/>
  </si>
  <si>
    <t>nonaini-</t>
    <phoneticPr fontId="1" type="noConversion"/>
  </si>
  <si>
    <t>decainy</t>
    <phoneticPr fontId="1" type="noConversion"/>
  </si>
  <si>
    <t>decaini-</t>
    <phoneticPr fontId="1" type="noConversion"/>
  </si>
  <si>
    <t>你</t>
    <phoneticPr fontId="1" type="noConversion"/>
  </si>
  <si>
    <t>您</t>
    <phoneticPr fontId="1" type="noConversion"/>
  </si>
  <si>
    <t>你们</t>
    <phoneticPr fontId="1" type="noConversion"/>
  </si>
  <si>
    <t>我</t>
    <phoneticPr fontId="1" type="noConversion"/>
  </si>
  <si>
    <t>我们</t>
    <phoneticPr fontId="1" type="noConversion"/>
  </si>
  <si>
    <t>他</t>
    <phoneticPr fontId="1" type="noConversion"/>
  </si>
  <si>
    <t>他们</t>
    <phoneticPr fontId="1" type="noConversion"/>
  </si>
  <si>
    <t>它</t>
    <phoneticPr fontId="1" type="noConversion"/>
  </si>
  <si>
    <t>它们</t>
    <phoneticPr fontId="1" type="noConversion"/>
  </si>
  <si>
    <t>诸位</t>
    <phoneticPr fontId="1" type="noConversion"/>
  </si>
  <si>
    <t>你的</t>
    <phoneticPr fontId="1" type="noConversion"/>
  </si>
  <si>
    <t>你们的</t>
    <phoneticPr fontId="1" type="noConversion"/>
  </si>
  <si>
    <t>我的</t>
    <phoneticPr fontId="1" type="noConversion"/>
  </si>
  <si>
    <t>我们的</t>
    <phoneticPr fontId="1" type="noConversion"/>
  </si>
  <si>
    <t>他们的</t>
    <phoneticPr fontId="1" type="noConversion"/>
  </si>
  <si>
    <t>他的</t>
    <phoneticPr fontId="1" type="noConversion"/>
  </si>
  <si>
    <t>它的</t>
    <phoneticPr fontId="1" type="noConversion"/>
  </si>
  <si>
    <t>它们的</t>
    <phoneticPr fontId="1" type="noConversion"/>
  </si>
  <si>
    <t>零，〇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</si>
  <si>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</si>
  <si>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</si>
  <si>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</si>
  <si>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五</t>
    <phoneticPr fontId="1" type="noConversion"/>
  </si>
  <si>
    <t>六</t>
    <phoneticPr fontId="1" type="noConversion"/>
  </si>
  <si>
    <t>七</t>
    <phoneticPr fontId="1" type="noConversion"/>
  </si>
  <si>
    <t>八</t>
    <phoneticPr fontId="1" type="noConversion"/>
  </si>
  <si>
    <t>九</t>
    <phoneticPr fontId="1" type="noConversion"/>
  </si>
  <si>
    <t>十</t>
    <phoneticPr fontId="1" type="noConversion"/>
  </si>
  <si>
    <t>十一</t>
    <phoneticPr fontId="1" type="noConversion"/>
  </si>
  <si>
    <t>一百</t>
    <phoneticPr fontId="1" type="noConversion"/>
  </si>
  <si>
    <t>一千</t>
    <phoneticPr fontId="1" type="noConversion"/>
  </si>
  <si>
    <t>一万</t>
    <phoneticPr fontId="1" type="noConversion"/>
  </si>
  <si>
    <t>十万</t>
    <phoneticPr fontId="1" type="noConversion"/>
  </si>
  <si>
    <t>一百万</t>
    <phoneticPr fontId="1" type="noConversion"/>
  </si>
  <si>
    <t>一千万</t>
    <phoneticPr fontId="1" type="noConversion"/>
  </si>
  <si>
    <t>一亿</t>
    <phoneticPr fontId="1" type="noConversion"/>
  </si>
  <si>
    <t>十亿</t>
    <phoneticPr fontId="1" type="noConversion"/>
  </si>
  <si>
    <t>百亿</t>
    <phoneticPr fontId="1" type="noConversion"/>
  </si>
  <si>
    <t>千亿</t>
    <phoneticPr fontId="1" type="noConversion"/>
  </si>
  <si>
    <t>兆</t>
    <phoneticPr fontId="1" type="noConversion"/>
  </si>
  <si>
    <t>十兆</t>
    <phoneticPr fontId="1" type="noConversion"/>
  </si>
  <si>
    <t>百兆</t>
    <phoneticPr fontId="1" type="noConversion"/>
  </si>
  <si>
    <t>千兆</t>
    <phoneticPr fontId="1" type="noConversion"/>
  </si>
  <si>
    <t>百</t>
    <phoneticPr fontId="1" type="noConversion"/>
  </si>
  <si>
    <t>千</t>
    <phoneticPr fontId="1" type="noConversion"/>
  </si>
  <si>
    <t>万</t>
    <phoneticPr fontId="1" type="noConversion"/>
  </si>
  <si>
    <t>亿</t>
    <phoneticPr fontId="1" type="noConversion"/>
  </si>
  <si>
    <t>京，10^16</t>
    <phoneticPr fontId="1" type="noConversion"/>
  </si>
  <si>
    <t>10^20</t>
    <phoneticPr fontId="1" type="noConversion"/>
  </si>
  <si>
    <t>10^16</t>
    <phoneticPr fontId="1" type="noConversion"/>
  </si>
  <si>
    <t>10^24</t>
    <phoneticPr fontId="1" type="noConversion"/>
  </si>
  <si>
    <t>10^28</t>
    <phoneticPr fontId="1" type="noConversion"/>
  </si>
  <si>
    <t>10^32</t>
    <phoneticPr fontId="1" type="noConversion"/>
  </si>
  <si>
    <t>10^36</t>
    <phoneticPr fontId="1" type="noConversion"/>
  </si>
  <si>
    <t>10^40</t>
    <phoneticPr fontId="1" type="noConversion"/>
  </si>
  <si>
    <t>vanx</t>
    <phoneticPr fontId="1" type="noConversion"/>
  </si>
  <si>
    <t>vanxi-</t>
    <phoneticPr fontId="1" type="noConversion"/>
  </si>
  <si>
    <t>trunx</t>
    <phoneticPr fontId="1" type="noConversion"/>
  </si>
  <si>
    <t>trunxi-</t>
    <phoneticPr fontId="1" type="noConversion"/>
  </si>
  <si>
    <t>qu'atonx</t>
    <phoneticPr fontId="1" type="noConversion"/>
  </si>
  <si>
    <t>qu'atonxi-</t>
    <phoneticPr fontId="1" type="noConversion"/>
  </si>
  <si>
    <t>二十</t>
    <phoneticPr fontId="1" type="noConversion"/>
  </si>
  <si>
    <t>venty</t>
    <phoneticPr fontId="1" type="noConversion"/>
  </si>
  <si>
    <t>double</t>
    <phoneticPr fontId="1" type="noConversion"/>
  </si>
  <si>
    <t>doxe</t>
    <phoneticPr fontId="1" type="noConversion"/>
  </si>
  <si>
    <t>gruts</t>
    <phoneticPr fontId="1" type="noConversion"/>
  </si>
  <si>
    <t>tuateste</t>
    <phoneticPr fontId="1" type="noConversion"/>
  </si>
  <si>
    <t>unste</t>
    <phoneticPr fontId="1" type="noConversion"/>
  </si>
  <si>
    <t>vaste</t>
    <phoneticPr fontId="1" type="noConversion"/>
  </si>
  <si>
    <t>truste</t>
    <phoneticPr fontId="1" type="noConversion"/>
  </si>
  <si>
    <t>qu'ar tuateste</t>
    <phoneticPr fontId="1" type="noConversion"/>
  </si>
  <si>
    <t>dus-senx</t>
    <phoneticPr fontId="1" type="noConversion"/>
  </si>
  <si>
    <t>dus-senx-un</t>
    <phoneticPr fontId="1" type="noConversion"/>
  </si>
  <si>
    <t>centy-senx</t>
    <phoneticPr fontId="1" type="noConversion"/>
  </si>
  <si>
    <t>centy-dus-senx-un</t>
    <phoneticPr fontId="1" type="noConversion"/>
  </si>
  <si>
    <t>双</t>
    <phoneticPr fontId="1" type="noConversion"/>
  </si>
  <si>
    <t>一打</t>
    <phoneticPr fontId="1" type="noConversion"/>
  </si>
  <si>
    <t>一罗，十二打</t>
    <phoneticPr fontId="1" type="noConversion"/>
  </si>
  <si>
    <t>第…</t>
    <phoneticPr fontId="1" type="noConversion"/>
  </si>
  <si>
    <t>第一</t>
    <phoneticPr fontId="1" type="noConversion"/>
  </si>
  <si>
    <t>第二</t>
    <phoneticPr fontId="1" type="noConversion"/>
  </si>
  <si>
    <t>第三</t>
    <phoneticPr fontId="1" type="noConversion"/>
  </si>
  <si>
    <t>第四</t>
    <phoneticPr fontId="1" type="noConversion"/>
  </si>
  <si>
    <t>二十一</t>
    <phoneticPr fontId="1" type="noConversion"/>
  </si>
  <si>
    <t>一百一</t>
    <phoneticPr fontId="1" type="noConversion"/>
  </si>
  <si>
    <t>一百二十一</t>
    <phoneticPr fontId="1" type="noConversion"/>
  </si>
  <si>
    <t>hal</t>
    <phoneticPr fontId="1" type="noConversion"/>
  </si>
  <si>
    <t>bala</t>
    <phoneticPr fontId="1" type="noConversion"/>
  </si>
  <si>
    <t>siya</t>
    <phoneticPr fontId="1" type="noConversion"/>
  </si>
  <si>
    <t>deda</t>
    <phoneticPr fontId="1" type="noConversion"/>
  </si>
  <si>
    <t>hel</t>
    <phoneticPr fontId="1" type="noConversion"/>
  </si>
  <si>
    <t>fela</t>
    <phoneticPr fontId="1" type="noConversion"/>
  </si>
  <si>
    <t>gela</t>
    <phoneticPr fontId="1" type="noConversion"/>
  </si>
  <si>
    <t>ohac</t>
    <phoneticPr fontId="1" type="noConversion"/>
  </si>
  <si>
    <t>hil</t>
    <phoneticPr fontId="1" type="noConversion"/>
  </si>
  <si>
    <t>gicua</t>
    <phoneticPr fontId="1" type="noConversion"/>
  </si>
  <si>
    <t>ka</t>
    <phoneticPr fontId="1" type="noConversion"/>
  </si>
  <si>
    <t>lada</t>
    <phoneticPr fontId="1" type="noConversion"/>
  </si>
  <si>
    <t>mela</t>
    <phoneticPr fontId="1" type="noConversion"/>
  </si>
  <si>
    <t>neya</t>
    <phoneticPr fontId="1" type="noConversion"/>
  </si>
  <si>
    <t>hol</t>
    <phoneticPr fontId="1" type="noConversion"/>
  </si>
  <si>
    <t>paya</t>
    <phoneticPr fontId="1" type="noConversion"/>
  </si>
  <si>
    <t>qu'uia</t>
    <phoneticPr fontId="1" type="noConversion"/>
  </si>
  <si>
    <t>rela</t>
    <phoneticPr fontId="1" type="noConversion"/>
  </si>
  <si>
    <t>sida</t>
    <phoneticPr fontId="1" type="noConversion"/>
  </si>
  <si>
    <t>tela</t>
    <phoneticPr fontId="1" type="noConversion"/>
  </si>
  <si>
    <t>hul</t>
    <phoneticPr fontId="1" type="noConversion"/>
  </si>
  <si>
    <t>vila</t>
    <phoneticPr fontId="1" type="noConversion"/>
  </si>
  <si>
    <t>double-vila</t>
    <phoneticPr fontId="1" type="noConversion"/>
  </si>
  <si>
    <t>gosa</t>
    <phoneticPr fontId="1" type="noConversion"/>
  </si>
  <si>
    <t>hila</t>
    <phoneticPr fontId="1" type="noConversion"/>
  </si>
  <si>
    <t>zeda</t>
    <phoneticPr fontId="1" type="noConversion"/>
  </si>
  <si>
    <t>alefa</t>
    <phoneticPr fontId="1" type="noConversion"/>
  </si>
  <si>
    <t>beta</t>
    <phoneticPr fontId="1" type="noConversion"/>
  </si>
  <si>
    <t>sil</t>
    <phoneticPr fontId="1" type="noConversion"/>
  </si>
  <si>
    <t>det</t>
    <phoneticPr fontId="1" type="noConversion"/>
  </si>
  <si>
    <t>efe</t>
    <phoneticPr fontId="1" type="noConversion"/>
  </si>
  <si>
    <t>jica</t>
    <phoneticPr fontId="1" type="noConversion"/>
  </si>
  <si>
    <t>ai</t>
    <phoneticPr fontId="1" type="noConversion"/>
  </si>
  <si>
    <t>thou</t>
    <phoneticPr fontId="1" type="noConversion"/>
  </si>
  <si>
    <t>pelpe</t>
    <phoneticPr fontId="1" type="noConversion"/>
  </si>
  <si>
    <t>ae</t>
    <phoneticPr fontId="1" type="noConversion"/>
  </si>
  <si>
    <t>hhequ'</t>
    <phoneticPr fontId="1" type="noConversion"/>
  </si>
  <si>
    <t>ele</t>
    <phoneticPr fontId="1" type="noConversion"/>
  </si>
  <si>
    <t>mulfa</t>
    <phoneticPr fontId="1" type="noConversion"/>
  </si>
  <si>
    <t>natag</t>
    <phoneticPr fontId="1" type="noConversion"/>
  </si>
  <si>
    <t>shat</t>
    <phoneticPr fontId="1" type="noConversion"/>
  </si>
  <si>
    <t>ol</t>
    <phoneticPr fontId="1" type="noConversion"/>
  </si>
  <si>
    <t>rol</t>
    <phoneticPr fontId="1" type="noConversion"/>
  </si>
  <si>
    <t>siec</t>
    <phoneticPr fontId="1" type="noConversion"/>
  </si>
  <si>
    <t>vala</t>
    <phoneticPr fontId="1" type="noConversion"/>
  </si>
  <si>
    <t>zur</t>
    <phoneticPr fontId="1" type="noConversion"/>
  </si>
  <si>
    <t>gei</t>
    <phoneticPr fontId="1" type="noConversion"/>
  </si>
  <si>
    <t>double-vala</t>
    <phoneticPr fontId="1" type="noConversion"/>
  </si>
  <si>
    <t>exi</t>
    <phoneticPr fontId="1" type="noConversion"/>
  </si>
  <si>
    <t>uniqu'e</t>
    <phoneticPr fontId="1" type="noConversion"/>
  </si>
  <si>
    <t>num</t>
    <phoneticPr fontId="1" type="noConversion"/>
  </si>
  <si>
    <t>verbum</t>
    <phoneticPr fontId="1" type="noConversion"/>
  </si>
  <si>
    <t>edjectiv</t>
    <phoneticPr fontId="1" type="noConversion"/>
  </si>
  <si>
    <t>edverbum</t>
    <phoneticPr fontId="1" type="noConversion"/>
  </si>
  <si>
    <t>plonomen</t>
    <phoneticPr fontId="1" type="noConversion"/>
  </si>
  <si>
    <t>etadmen</t>
    <phoneticPr fontId="1" type="noConversion"/>
  </si>
  <si>
    <t>vasa</t>
    <phoneticPr fontId="1" type="noConversion"/>
  </si>
  <si>
    <t>paticalo</t>
    <phoneticPr fontId="1" type="noConversion"/>
  </si>
  <si>
    <t>interjctio</t>
    <phoneticPr fontId="1" type="noConversion"/>
  </si>
  <si>
    <t>numerlo</t>
    <phoneticPr fontId="1" type="noConversion"/>
  </si>
  <si>
    <t>conjuctio</t>
    <phoneticPr fontId="1" type="noConversion"/>
  </si>
  <si>
    <t>qu'antifior</t>
    <phoneticPr fontId="1" type="noConversion"/>
  </si>
  <si>
    <t>pinr</t>
    <phoneticPr fontId="1" type="noConversion"/>
  </si>
  <si>
    <t>nenr</t>
    <phoneticPr fontId="1" type="noConversion"/>
  </si>
  <si>
    <t>shanr</t>
    <phoneticPr fontId="1" type="noConversion"/>
  </si>
  <si>
    <t>qu'inr</t>
    <phoneticPr fontId="1" type="noConversion"/>
  </si>
  <si>
    <t>punr</t>
    <phoneticPr fontId="1" type="noConversion"/>
  </si>
  <si>
    <t>nunr</t>
    <phoneticPr fontId="1" type="noConversion"/>
  </si>
  <si>
    <t>giunr</t>
    <phoneticPr fontId="1" type="noConversion"/>
  </si>
  <si>
    <t>nepinr</t>
    <phoneticPr fontId="1" type="noConversion"/>
  </si>
  <si>
    <t>nenenr</t>
    <phoneticPr fontId="1" type="noConversion"/>
  </si>
  <si>
    <t>neshanr</t>
    <phoneticPr fontId="1" type="noConversion"/>
  </si>
  <si>
    <t>vocalm</t>
    <phoneticPr fontId="1" type="noConversion"/>
  </si>
  <si>
    <t>bashalm</t>
    <phoneticPr fontId="1" type="noConversion"/>
  </si>
  <si>
    <t>afober</t>
    <phoneticPr fontId="1" type="noConversion"/>
  </si>
  <si>
    <t>cana</t>
    <phoneticPr fontId="1" type="noConversion"/>
  </si>
  <si>
    <t>jila-cana</t>
    <phoneticPr fontId="1" type="noConversion"/>
  </si>
  <si>
    <t>cata-cana</t>
    <phoneticPr fontId="1" type="noConversion"/>
  </si>
  <si>
    <t>vordu</t>
    <phoneticPr fontId="1" type="noConversion"/>
  </si>
  <si>
    <t>wanlon</t>
    <phoneticPr fontId="1" type="noConversion"/>
  </si>
  <si>
    <t>sistema</t>
    <phoneticPr fontId="1" type="noConversion"/>
  </si>
  <si>
    <t>她</t>
    <phoneticPr fontId="1" type="noConversion"/>
  </si>
  <si>
    <t>yi</t>
    <phoneticPr fontId="1" type="noConversion"/>
  </si>
  <si>
    <t>yin</t>
    <phoneticPr fontId="1" type="noConversion"/>
  </si>
  <si>
    <t>yi'o</t>
    <phoneticPr fontId="1" type="noConversion"/>
  </si>
  <si>
    <t>yin'o</t>
    <phoneticPr fontId="1" type="noConversion"/>
  </si>
  <si>
    <t>名词；名字，名称</t>
    <phoneticPr fontId="1" type="noConversion"/>
  </si>
  <si>
    <t>动词</t>
    <phoneticPr fontId="1" type="noConversion"/>
  </si>
  <si>
    <t>形容词</t>
    <phoneticPr fontId="1" type="noConversion"/>
  </si>
  <si>
    <t>副词</t>
    <phoneticPr fontId="1" type="noConversion"/>
  </si>
  <si>
    <t>代词</t>
    <phoneticPr fontId="1" type="noConversion"/>
  </si>
  <si>
    <t>介词</t>
    <phoneticPr fontId="1" type="noConversion"/>
  </si>
  <si>
    <t>冠词</t>
    <phoneticPr fontId="1" type="noConversion"/>
  </si>
  <si>
    <t>助词</t>
    <phoneticPr fontId="1" type="noConversion"/>
  </si>
  <si>
    <t>感叹词</t>
    <phoneticPr fontId="1" type="noConversion"/>
  </si>
  <si>
    <t>数词</t>
    <phoneticPr fontId="1" type="noConversion"/>
  </si>
  <si>
    <t>连词</t>
    <phoneticPr fontId="1" type="noConversion"/>
  </si>
  <si>
    <t>量词</t>
    <phoneticPr fontId="1" type="noConversion"/>
  </si>
  <si>
    <t>入声；阳入</t>
    <phoneticPr fontId="1" type="noConversion"/>
  </si>
  <si>
    <t>上声；阳去</t>
    <phoneticPr fontId="1" type="noConversion"/>
  </si>
  <si>
    <t>阳平；阳上</t>
    <phoneticPr fontId="1" type="noConversion"/>
  </si>
  <si>
    <t>阴入</t>
    <phoneticPr fontId="1" type="noConversion"/>
  </si>
  <si>
    <t>中入</t>
    <phoneticPr fontId="1" type="noConversion"/>
  </si>
  <si>
    <t>平声；阴平；阳平</t>
    <phoneticPr fontId="1" type="noConversion"/>
  </si>
  <si>
    <t>去声</t>
    <phoneticPr fontId="1" type="noConversion"/>
  </si>
  <si>
    <t>阴平</t>
    <phoneticPr fontId="1" type="noConversion"/>
  </si>
  <si>
    <t>阴上</t>
    <phoneticPr fontId="1" type="noConversion"/>
  </si>
  <si>
    <t>阴去</t>
    <phoneticPr fontId="1" type="noConversion"/>
  </si>
  <si>
    <t>元音</t>
    <phoneticPr fontId="1" type="noConversion"/>
  </si>
  <si>
    <t>辅音</t>
    <phoneticPr fontId="1" type="noConversion"/>
  </si>
  <si>
    <t>字母</t>
    <phoneticPr fontId="1" type="noConversion"/>
  </si>
  <si>
    <t>词性</t>
    <phoneticPr fontId="1" type="noConversion"/>
  </si>
  <si>
    <t>（日）假名</t>
    <phoneticPr fontId="1" type="noConversion"/>
  </si>
  <si>
    <t>（日）平假名</t>
    <phoneticPr fontId="1" type="noConversion"/>
  </si>
  <si>
    <t>（日）片假名</t>
    <phoneticPr fontId="1" type="noConversion"/>
  </si>
  <si>
    <t>词，词语</t>
    <phoneticPr fontId="1" type="noConversion"/>
  </si>
  <si>
    <t>万综</t>
    <phoneticPr fontId="1" type="noConversion"/>
  </si>
  <si>
    <t>系统</t>
    <phoneticPr fontId="1" type="noConversion"/>
  </si>
  <si>
    <t>他（不明性别）</t>
    <phoneticPr fontId="1" type="noConversion"/>
  </si>
  <si>
    <t>他们（不明性别）</t>
    <phoneticPr fontId="1" type="noConversion"/>
  </si>
  <si>
    <t>他的（不明性别）</t>
    <phoneticPr fontId="1" type="noConversion"/>
  </si>
  <si>
    <t>他们的（不明性别）</t>
    <phoneticPr fontId="1" type="noConversion"/>
  </si>
  <si>
    <t>alef</t>
    <phoneticPr fontId="1" type="noConversion"/>
  </si>
  <si>
    <t>bet</t>
    <phoneticPr fontId="1" type="noConversion"/>
  </si>
  <si>
    <t>tsad</t>
    <phoneticPr fontId="1" type="noConversion"/>
  </si>
  <si>
    <t>dalet</t>
    <phoneticPr fontId="1" type="noConversion"/>
  </si>
  <si>
    <t>omecel</t>
    <phoneticPr fontId="1" type="noConversion"/>
  </si>
  <si>
    <t>epasel</t>
    <phoneticPr fontId="1" type="noConversion"/>
  </si>
  <si>
    <t>fesh</t>
    <phoneticPr fontId="1" type="noConversion"/>
  </si>
  <si>
    <t>gimeal</t>
    <phoneticPr fontId="1" type="noConversion"/>
  </si>
  <si>
    <t>he</t>
    <phoneticPr fontId="1" type="noConversion"/>
  </si>
  <si>
    <t>yod</t>
    <phoneticPr fontId="1" type="noConversion"/>
  </si>
  <si>
    <t>upasel</t>
    <phoneticPr fontId="1" type="noConversion"/>
  </si>
  <si>
    <t>iupasel</t>
    <phoneticPr fontId="1" type="noConversion"/>
  </si>
  <si>
    <t>ial</t>
    <phoneticPr fontId="1" type="noConversion"/>
  </si>
  <si>
    <t>omagal</t>
    <phoneticPr fontId="1" type="noConversion"/>
  </si>
  <si>
    <t>ieh</t>
    <phoneticPr fontId="1" type="noConversion"/>
  </si>
  <si>
    <t>yed</t>
    <phoneticPr fontId="1" type="noConversion"/>
  </si>
  <si>
    <t>et</t>
    <phoneticPr fontId="1" type="noConversion"/>
  </si>
  <si>
    <t>jim</t>
    <phoneticPr fontId="1" type="noConversion"/>
  </si>
  <si>
    <t>lamed</t>
    <phoneticPr fontId="1" type="noConversion"/>
  </si>
  <si>
    <t>nal</t>
    <phoneticPr fontId="1" type="noConversion"/>
  </si>
  <si>
    <t>uet</t>
    <phoneticPr fontId="1" type="noConversion"/>
  </si>
  <si>
    <t>eih</t>
    <phoneticPr fontId="1" type="noConversion"/>
  </si>
  <si>
    <t>ueih</t>
    <phoneticPr fontId="1" type="noConversion"/>
  </si>
  <si>
    <t>aw</t>
    <phoneticPr fontId="1" type="noConversion"/>
  </si>
  <si>
    <t>yaw</t>
    <phoneticPr fontId="1" type="noConversion"/>
  </si>
  <si>
    <t>ou</t>
    <phoneticPr fontId="1" type="noConversion"/>
  </si>
  <si>
    <t>you</t>
    <phoneticPr fontId="1" type="noConversion"/>
  </si>
  <si>
    <t>pel</t>
    <phoneticPr fontId="1" type="noConversion"/>
  </si>
  <si>
    <t>qof</t>
    <phoneticPr fontId="1" type="noConversion"/>
  </si>
  <si>
    <t>siecam</t>
    <phoneticPr fontId="1" type="noConversion"/>
  </si>
  <si>
    <t>taw</t>
    <phoneticPr fontId="1" type="noConversion"/>
  </si>
  <si>
    <t>an</t>
    <phoneticPr fontId="1" type="noConversion"/>
  </si>
  <si>
    <t>yan</t>
    <phoneticPr fontId="1" type="noConversion"/>
  </si>
  <si>
    <t>uan</t>
    <phoneticPr fontId="1" type="noConversion"/>
  </si>
  <si>
    <t>iuan</t>
    <phoneticPr fontId="1" type="noConversion"/>
  </si>
  <si>
    <t>eyin</t>
    <phoneticPr fontId="1" type="noConversion"/>
  </si>
  <si>
    <t>ayin</t>
    <phoneticPr fontId="1" type="noConversion"/>
  </si>
  <si>
    <t>uayin</t>
    <phoneticPr fontId="1" type="noConversion"/>
  </si>
  <si>
    <t>yayin</t>
    <phoneticPr fontId="1" type="noConversion"/>
  </si>
  <si>
    <t>awnt</t>
    <phoneticPr fontId="1" type="noConversion"/>
  </si>
  <si>
    <t>yawnt</t>
    <phoneticPr fontId="1" type="noConversion"/>
  </si>
  <si>
    <t>uawnt</t>
    <phoneticPr fontId="1" type="noConversion"/>
  </si>
  <si>
    <t>ewl</t>
    <phoneticPr fontId="1" type="noConversion"/>
  </si>
  <si>
    <t>yel</t>
    <phoneticPr fontId="1" type="noConversion"/>
  </si>
  <si>
    <t>uel</t>
    <phoneticPr fontId="1" type="noConversion"/>
  </si>
  <si>
    <t>yol</t>
    <phoneticPr fontId="1" type="noConversion"/>
  </si>
  <si>
    <t>val</t>
    <phoneticPr fontId="1" type="noConversion"/>
  </si>
  <si>
    <t>wal</t>
    <phoneticPr fontId="1" type="noConversion"/>
  </si>
  <si>
    <t>xin</t>
    <phoneticPr fontId="1" type="noConversion"/>
  </si>
  <si>
    <t>yid</t>
    <phoneticPr fontId="1" type="noConversion"/>
  </si>
  <si>
    <t>zayin</t>
    <phoneticPr fontId="1" type="noConversion"/>
  </si>
  <si>
    <t>thet</t>
    <phoneticPr fontId="1" type="noConversion"/>
  </si>
  <si>
    <t>shin</t>
    <phoneticPr fontId="1" type="noConversion"/>
  </si>
  <si>
    <t>chayin</t>
    <phoneticPr fontId="1" type="noConversion"/>
  </si>
  <si>
    <t>zhad</t>
    <phoneticPr fontId="1" type="noConversion"/>
  </si>
  <si>
    <t>lesh</t>
    <phoneticPr fontId="1" type="noConversion"/>
  </si>
  <si>
    <t>trol</t>
    <phoneticPr fontId="1" type="noConversion"/>
  </si>
  <si>
    <t>drol</t>
    <phoneticPr fontId="1" type="noConversion"/>
  </si>
  <si>
    <t>qu'uiac</t>
    <phoneticPr fontId="1" type="noConversion"/>
  </si>
  <si>
    <t>ra</t>
    <phoneticPr fontId="1" type="noConversion"/>
  </si>
  <si>
    <t>resh</t>
    <phoneticPr fontId="1" type="noConversion"/>
  </si>
  <si>
    <t>ual</t>
    <phoneticPr fontId="1" type="noConversion"/>
  </si>
  <si>
    <t>afober sistema</t>
    <phoneticPr fontId="1" type="noConversion"/>
  </si>
  <si>
    <t>abecedary</t>
    <phoneticPr fontId="1" type="noConversion"/>
  </si>
  <si>
    <t>字母表</t>
    <phoneticPr fontId="1" type="noConversion"/>
  </si>
  <si>
    <t>字母系统，字母表</t>
    <phoneticPr fontId="1" type="noConversion"/>
  </si>
  <si>
    <t>alpha</t>
    <phoneticPr fontId="1" type="noConversion"/>
  </si>
  <si>
    <t>gamma</t>
    <phoneticPr fontId="1" type="noConversion"/>
  </si>
  <si>
    <t>delta</t>
    <phoneticPr fontId="1" type="noConversion"/>
  </si>
  <si>
    <t>epsilon</t>
    <phoneticPr fontId="1" type="noConversion"/>
  </si>
  <si>
    <t>zeta</t>
    <phoneticPr fontId="1" type="noConversion"/>
  </si>
  <si>
    <t>eta</t>
    <phoneticPr fontId="1" type="noConversion"/>
  </si>
  <si>
    <t>theta</t>
    <phoneticPr fontId="1" type="noConversion"/>
  </si>
  <si>
    <t>iota</t>
    <phoneticPr fontId="1" type="noConversion"/>
  </si>
  <si>
    <t>kappa</t>
    <phoneticPr fontId="1" type="noConversion"/>
  </si>
  <si>
    <t>lamda</t>
    <phoneticPr fontId="1" type="noConversion"/>
  </si>
  <si>
    <t>mu</t>
    <phoneticPr fontId="1" type="noConversion"/>
  </si>
  <si>
    <t>nu</t>
    <phoneticPr fontId="1" type="noConversion"/>
  </si>
  <si>
    <t>xi</t>
    <phoneticPr fontId="1" type="noConversion"/>
  </si>
  <si>
    <t>omicron</t>
    <phoneticPr fontId="1" type="noConversion"/>
  </si>
  <si>
    <t>pi</t>
    <phoneticPr fontId="1" type="noConversion"/>
  </si>
  <si>
    <t>rho</t>
    <phoneticPr fontId="1" type="noConversion"/>
  </si>
  <si>
    <t>sigma</t>
    <phoneticPr fontId="1" type="noConversion"/>
  </si>
  <si>
    <t>tau</t>
    <phoneticPr fontId="1" type="noConversion"/>
  </si>
  <si>
    <t>upsilon</t>
    <phoneticPr fontId="1" type="noConversion"/>
  </si>
  <si>
    <t>fi</t>
    <phoneticPr fontId="1" type="noConversion"/>
  </si>
  <si>
    <t>chi</t>
    <phoneticPr fontId="1" type="noConversion"/>
  </si>
  <si>
    <t>psi</t>
    <phoneticPr fontId="1" type="noConversion"/>
  </si>
  <si>
    <t>omega</t>
    <phoneticPr fontId="1" type="noConversion"/>
  </si>
  <si>
    <t>第1个希腊字母，阿尔法</t>
    <phoneticPr fontId="1" type="noConversion"/>
  </si>
  <si>
    <t>第2个希腊字母，贝塔</t>
    <phoneticPr fontId="1" type="noConversion"/>
  </si>
  <si>
    <t>第3个希腊字母，伽玛</t>
    <phoneticPr fontId="1" type="noConversion"/>
  </si>
  <si>
    <t>第4个希腊字母，德尔塔</t>
    <phoneticPr fontId="1" type="noConversion"/>
  </si>
  <si>
    <t>第5个希腊字母，埃普西隆</t>
    <phoneticPr fontId="1" type="noConversion"/>
  </si>
  <si>
    <t>第6个希腊字母，泽塔</t>
    <phoneticPr fontId="1" type="noConversion"/>
  </si>
  <si>
    <t>第7个希腊字母，伊塔</t>
    <phoneticPr fontId="1" type="noConversion"/>
  </si>
  <si>
    <t>第8个希腊字母，西塔</t>
    <phoneticPr fontId="1" type="noConversion"/>
  </si>
  <si>
    <t>第9个希腊字母，约塔</t>
    <phoneticPr fontId="1" type="noConversion"/>
  </si>
  <si>
    <t>第10个希腊字母，卡帕</t>
    <phoneticPr fontId="1" type="noConversion"/>
  </si>
  <si>
    <t>第11个希腊字母，拉姆达</t>
    <phoneticPr fontId="1" type="noConversion"/>
  </si>
  <si>
    <t>第12个希腊字母，缪</t>
    <phoneticPr fontId="1" type="noConversion"/>
  </si>
  <si>
    <t>第13个希腊字母，纽</t>
    <phoneticPr fontId="1" type="noConversion"/>
  </si>
  <si>
    <t>第14个希腊字母，克西</t>
    <phoneticPr fontId="1" type="noConversion"/>
  </si>
  <si>
    <t>第15个希腊字母，奥密克戎</t>
    <phoneticPr fontId="1" type="noConversion"/>
  </si>
  <si>
    <t>第16个希腊字母，派</t>
    <phoneticPr fontId="1" type="noConversion"/>
  </si>
  <si>
    <t>第17个希腊字母，柔</t>
    <phoneticPr fontId="1" type="noConversion"/>
  </si>
  <si>
    <t>第18个希腊字母，西格玛</t>
    <phoneticPr fontId="1" type="noConversion"/>
  </si>
  <si>
    <t>第19个希腊字母，陶</t>
    <phoneticPr fontId="1" type="noConversion"/>
  </si>
  <si>
    <t>第20个希腊字母，宇普西隆</t>
    <phoneticPr fontId="1" type="noConversion"/>
  </si>
  <si>
    <t>第21个希腊字母，斐，菲</t>
    <phoneticPr fontId="1" type="noConversion"/>
  </si>
  <si>
    <t>第22个希腊字母，希，凯</t>
    <phoneticPr fontId="1" type="noConversion"/>
  </si>
  <si>
    <t>第23个希腊字母，普西</t>
    <phoneticPr fontId="1" type="noConversion"/>
  </si>
  <si>
    <t>第24个希腊字母，奥米伽</t>
    <phoneticPr fontId="1" type="noConversion"/>
  </si>
  <si>
    <t>ladinos-afober</t>
    <phoneticPr fontId="1" type="noConversion"/>
  </si>
  <si>
    <t>wanlon-afober</t>
    <phoneticPr fontId="1" type="noConversion"/>
  </si>
  <si>
    <t>latinos-afober</t>
    <phoneticPr fontId="1" type="noConversion"/>
  </si>
  <si>
    <t>拉丁字母</t>
    <phoneticPr fontId="1" type="noConversion"/>
  </si>
  <si>
    <t>万综字母</t>
    <phoneticPr fontId="1" type="noConversion"/>
  </si>
  <si>
    <t>lauch'rft</t>
    <phoneticPr fontId="1" type="noConversion"/>
  </si>
  <si>
    <t>音标</t>
    <phoneticPr fontId="1" type="noConversion"/>
  </si>
  <si>
    <t>n.</t>
    <phoneticPr fontId="1" type="noConversion"/>
  </si>
  <si>
    <t>num.</t>
    <phoneticPr fontId="1" type="noConversion"/>
  </si>
  <si>
    <t>plon.</t>
    <phoneticPr fontId="1" type="noConversion"/>
  </si>
  <si>
    <t>edj.</t>
    <phoneticPr fontId="1" type="noConversion"/>
  </si>
  <si>
    <t>pati.</t>
    <phoneticPr fontId="1" type="noConversion"/>
  </si>
  <si>
    <t>va.</t>
    <phoneticPr fontId="1" type="noConversion"/>
  </si>
  <si>
    <t>二十，廿</t>
    <phoneticPr fontId="1" type="noConversion"/>
  </si>
  <si>
    <t>两百，二百，皕</t>
    <phoneticPr fontId="1" type="noConversion"/>
  </si>
  <si>
    <t>三十，卅</t>
    <phoneticPr fontId="1" type="noConversion"/>
  </si>
  <si>
    <t>四十，卌</t>
    <phoneticPr fontId="1" type="noConversion"/>
  </si>
  <si>
    <t>四，亖</t>
    <phoneticPr fontId="1" type="noConversion"/>
  </si>
  <si>
    <t>non</t>
    <phoneticPr fontId="1" type="noConversion"/>
  </si>
  <si>
    <t>os</t>
    <phoneticPr fontId="1" type="noConversion"/>
  </si>
  <si>
    <t>dae</t>
    <phoneticPr fontId="1" type="noConversion"/>
  </si>
  <si>
    <t>be</t>
    <phoneticPr fontId="1" type="noConversion"/>
  </si>
  <si>
    <t>si</t>
    <phoneticPr fontId="1" type="noConversion"/>
  </si>
  <si>
    <t>unsi</t>
    <phoneticPr fontId="1" type="noConversion"/>
  </si>
  <si>
    <t>xith</t>
    <phoneticPr fontId="1" type="noConversion"/>
  </si>
  <si>
    <t>vi</t>
    <phoneticPr fontId="1" type="noConversion"/>
  </si>
  <si>
    <t>场合</t>
    <phoneticPr fontId="1" type="noConversion"/>
  </si>
  <si>
    <t>分类</t>
    <phoneticPr fontId="1" type="noConversion"/>
  </si>
  <si>
    <t>语言学</t>
    <phoneticPr fontId="1" type="noConversion"/>
  </si>
  <si>
    <t>人称</t>
    <phoneticPr fontId="1" type="noConversion"/>
  </si>
  <si>
    <t>她们</t>
    <phoneticPr fontId="1" type="noConversion"/>
  </si>
  <si>
    <t>她们的</t>
    <phoneticPr fontId="1" type="noConversion"/>
  </si>
  <si>
    <t>她的</t>
    <phoneticPr fontId="1" type="noConversion"/>
  </si>
  <si>
    <t>cira.</t>
    <phoneticPr fontId="1" type="noConversion"/>
  </si>
  <si>
    <t>qu'atoste</t>
    <phoneticPr fontId="1" type="noConversion"/>
  </si>
  <si>
    <t>不，不是，不对</t>
    <phoneticPr fontId="1" type="noConversion"/>
  </si>
  <si>
    <t>是的，是，对，对的</t>
    <phoneticPr fontId="1" type="noConversion"/>
  </si>
  <si>
    <t>uns</t>
    <phoneticPr fontId="1" type="noConversion"/>
  </si>
  <si>
    <t>int.</t>
    <phoneticPr fontId="1" type="noConversion"/>
  </si>
  <si>
    <t>叹词</t>
    <phoneticPr fontId="1" type="noConversion"/>
  </si>
  <si>
    <t>cej.</t>
    <phoneticPr fontId="1" type="noConversion"/>
  </si>
  <si>
    <t>cej., cira.</t>
    <phoneticPr fontId="1" type="noConversion"/>
  </si>
  <si>
    <t>honon</t>
    <phoneticPr fontId="1" type="noConversion"/>
  </si>
  <si>
    <t>hijbe</t>
    <phoneticPr fontId="1" type="noConversion"/>
  </si>
  <si>
    <t>glasi</t>
    <phoneticPr fontId="1" type="noConversion"/>
  </si>
  <si>
    <t>poi</t>
    <phoneticPr fontId="1" type="noConversion"/>
  </si>
  <si>
    <t>ch'aos</t>
    <phoneticPr fontId="1" type="noConversion"/>
  </si>
  <si>
    <t>baye</t>
    <phoneticPr fontId="1" type="noConversion"/>
  </si>
  <si>
    <t>ados</t>
    <phoneticPr fontId="1" type="noConversion"/>
  </si>
  <si>
    <t>ie</t>
    <phoneticPr fontId="1" type="noConversion"/>
  </si>
  <si>
    <t>i</t>
    <phoneticPr fontId="1" type="noConversion"/>
  </si>
  <si>
    <t>wa</t>
    <phoneticPr fontId="1" type="noConversion"/>
  </si>
  <si>
    <t>na</t>
    <phoneticPr fontId="1" type="noConversion"/>
  </si>
  <si>
    <t>nga</t>
    <phoneticPr fontId="1" type="noConversion"/>
  </si>
  <si>
    <t>nja</t>
    <phoneticPr fontId="1" type="noConversion"/>
  </si>
  <si>
    <t>aj</t>
    <phoneticPr fontId="1" type="noConversion"/>
  </si>
  <si>
    <t>ej</t>
    <phoneticPr fontId="1" type="noConversion"/>
  </si>
  <si>
    <t>er</t>
    <phoneticPr fontId="1" type="noConversion"/>
  </si>
  <si>
    <t>em</t>
    <phoneticPr fontId="1" type="noConversion"/>
  </si>
  <si>
    <t>m</t>
    <phoneticPr fontId="1" type="noConversion"/>
  </si>
  <si>
    <t>n</t>
    <phoneticPr fontId="1" type="noConversion"/>
  </si>
  <si>
    <t>ne</t>
    <phoneticPr fontId="1" type="noConversion"/>
  </si>
  <si>
    <t>je</t>
    <phoneticPr fontId="1" type="noConversion"/>
  </si>
  <si>
    <t>e</t>
    <phoneticPr fontId="1" type="noConversion"/>
  </si>
  <si>
    <t>w</t>
    <phoneticPr fontId="1" type="noConversion"/>
  </si>
  <si>
    <t>u</t>
    <phoneticPr fontId="1" type="noConversion"/>
  </si>
  <si>
    <t>ye</t>
    <phoneticPr fontId="1" type="noConversion"/>
  </si>
  <si>
    <t>ga</t>
    <phoneticPr fontId="1" type="noConversion"/>
  </si>
  <si>
    <t>ja</t>
    <phoneticPr fontId="1" type="noConversion"/>
  </si>
  <si>
    <t>j</t>
    <phoneticPr fontId="1" type="noConversion"/>
  </si>
  <si>
    <t>la'h</t>
    <phoneticPr fontId="1" type="noConversion"/>
  </si>
  <si>
    <t>no</t>
    <phoneticPr fontId="1" type="noConversion"/>
  </si>
  <si>
    <t>re</t>
    <phoneticPr fontId="1" type="noConversion"/>
  </si>
  <si>
    <t>sh</t>
    <phoneticPr fontId="1" type="noConversion"/>
  </si>
  <si>
    <t>ao</t>
    <phoneticPr fontId="1" type="noConversion"/>
  </si>
  <si>
    <t>o</t>
    <phoneticPr fontId="1" type="noConversion"/>
  </si>
  <si>
    <t>nor</t>
    <phoneticPr fontId="1" type="noConversion"/>
  </si>
  <si>
    <t>ma</t>
    <phoneticPr fontId="1" type="noConversion"/>
  </si>
  <si>
    <t>ui</t>
    <phoneticPr fontId="1" type="noConversion"/>
  </si>
  <si>
    <t>h'ng</t>
    <phoneticPr fontId="1" type="noConversion"/>
  </si>
  <si>
    <t>语气助词</t>
    <phoneticPr fontId="1" type="noConversion"/>
  </si>
  <si>
    <t>你好</t>
    <phoneticPr fontId="1" type="noConversion"/>
  </si>
  <si>
    <t>谢谢</t>
    <phoneticPr fontId="1" type="noConversion"/>
  </si>
  <si>
    <t>请</t>
    <phoneticPr fontId="1" type="noConversion"/>
  </si>
  <si>
    <t>再见</t>
    <phoneticPr fontId="1" type="noConversion"/>
  </si>
  <si>
    <t>拜拜</t>
    <phoneticPr fontId="1" type="noConversion"/>
  </si>
  <si>
    <t>噫</t>
    <phoneticPr fontId="1" type="noConversion"/>
  </si>
  <si>
    <t>嗟夫</t>
    <phoneticPr fontId="1" type="noConversion"/>
  </si>
  <si>
    <t>a</t>
    <phoneticPr fontId="1" type="noConversion"/>
  </si>
  <si>
    <t>ba</t>
    <phoneticPr fontId="1" type="noConversion"/>
  </si>
  <si>
    <t>matin</t>
    <phoneticPr fontId="1" type="noConversion"/>
  </si>
  <si>
    <t>sabjer</t>
    <phoneticPr fontId="1" type="noConversion"/>
  </si>
  <si>
    <t>podmi</t>
    <phoneticPr fontId="1" type="noConversion"/>
  </si>
  <si>
    <t>gober</t>
    <phoneticPr fontId="1" type="noConversion"/>
  </si>
  <si>
    <t>vesbo</t>
    <phoneticPr fontId="1" type="noConversion"/>
  </si>
  <si>
    <t>even</t>
    <phoneticPr fontId="1" type="noConversion"/>
  </si>
  <si>
    <t>suaron</t>
    <phoneticPr fontId="1" type="noConversion"/>
  </si>
  <si>
    <t>noctu</t>
    <phoneticPr fontId="1" type="noConversion"/>
  </si>
  <si>
    <t>noctus</t>
    <phoneticPr fontId="1" type="noConversion"/>
  </si>
  <si>
    <t>suami</t>
    <phoneticPr fontId="1" type="noConversion"/>
  </si>
  <si>
    <t>gaerhunc</t>
    <phoneticPr fontId="1" type="noConversion"/>
  </si>
  <si>
    <t>sovre</t>
    <phoneticPr fontId="1" type="noConversion"/>
  </si>
  <si>
    <t>dirgiua</t>
    <phoneticPr fontId="1" type="noConversion"/>
  </si>
  <si>
    <t>noctugiua</t>
    <phoneticPr fontId="1" type="noConversion"/>
  </si>
  <si>
    <t>noctusgiua</t>
    <phoneticPr fontId="1" type="noConversion"/>
  </si>
  <si>
    <t>semidir</t>
    <phoneticPr fontId="1" type="noConversion"/>
  </si>
  <si>
    <t>sihien</t>
    <phoneticPr fontId="1" type="noConversion"/>
  </si>
  <si>
    <t>nissrith</t>
    <phoneticPr fontId="1" type="noConversion"/>
  </si>
  <si>
    <t>gasort</t>
    <phoneticPr fontId="1" type="noConversion"/>
  </si>
  <si>
    <t>syltic</t>
    <phoneticPr fontId="1" type="noConversion"/>
  </si>
  <si>
    <t>sylron</t>
    <phoneticPr fontId="1" type="noConversion"/>
  </si>
  <si>
    <t>matineim</t>
    <phoneticPr fontId="1" type="noConversion"/>
  </si>
  <si>
    <t>podmieim</t>
    <phoneticPr fontId="1" type="noConversion"/>
  </si>
  <si>
    <t>suaroneim</t>
    <phoneticPr fontId="1" type="noConversion"/>
  </si>
  <si>
    <t>sabilijer</t>
    <phoneticPr fontId="1" type="noConversion"/>
  </si>
  <si>
    <t>ednoctu</t>
    <phoneticPr fontId="1" type="noConversion"/>
  </si>
  <si>
    <t>ednoctus</t>
    <phoneticPr fontId="1" type="noConversion"/>
  </si>
  <si>
    <t>edpodmi</t>
    <phoneticPr fontId="1" type="noConversion"/>
  </si>
  <si>
    <t>时间</t>
    <phoneticPr fontId="1" type="noConversion"/>
  </si>
  <si>
    <t>万综语单词表</t>
    <phoneticPr fontId="1" type="noConversion"/>
  </si>
  <si>
    <t>4-4</t>
    <phoneticPr fontId="1" type="noConversion"/>
  </si>
  <si>
    <t>4-4-4</t>
    <phoneticPr fontId="1" type="noConversion"/>
  </si>
  <si>
    <t>1-4-4-4</t>
    <phoneticPr fontId="1" type="noConversion"/>
  </si>
  <si>
    <t>1-4</t>
    <phoneticPr fontId="1" type="noConversion"/>
  </si>
  <si>
    <t>1-1</t>
    <phoneticPr fontId="1" type="noConversion"/>
  </si>
  <si>
    <t>1</t>
    <phoneticPr fontId="1" type="noConversion"/>
  </si>
  <si>
    <t>4</t>
    <phoneticPr fontId="1" type="noConversion"/>
  </si>
  <si>
    <t>1-2</t>
    <phoneticPr fontId="1" type="noConversion"/>
  </si>
  <si>
    <t>5</t>
    <phoneticPr fontId="1" type="noConversion"/>
  </si>
  <si>
    <t>释义</t>
    <phoneticPr fontId="1" type="noConversion"/>
  </si>
  <si>
    <t>n.</t>
    <phoneticPr fontId="1" type="noConversion"/>
  </si>
  <si>
    <t>文化</t>
    <phoneticPr fontId="1" type="noConversion"/>
  </si>
  <si>
    <t>num.</t>
    <phoneticPr fontId="1" type="noConversion"/>
  </si>
  <si>
    <t>giua</t>
    <phoneticPr fontId="1" type="noConversion"/>
  </si>
  <si>
    <t>4-1</t>
    <phoneticPr fontId="1" type="noConversion"/>
  </si>
  <si>
    <t>unsieven</t>
    <phoneticPr fontId="1" type="noConversion"/>
  </si>
  <si>
    <t>时间</t>
    <phoneticPr fontId="1" type="noConversion"/>
  </si>
  <si>
    <t>2</t>
    <phoneticPr fontId="1" type="noConversion"/>
  </si>
  <si>
    <t>6</t>
    <phoneticPr fontId="1" type="noConversion"/>
  </si>
  <si>
    <t>3</t>
    <phoneticPr fontId="1" type="noConversion"/>
  </si>
  <si>
    <t>7</t>
    <phoneticPr fontId="1" type="noConversion"/>
  </si>
  <si>
    <t>qu'ap</t>
    <phoneticPr fontId="1" type="noConversion"/>
  </si>
  <si>
    <t>0, 2</t>
    <phoneticPr fontId="1" type="noConversion"/>
  </si>
  <si>
    <t>0, 4</t>
    <phoneticPr fontId="1" type="noConversion"/>
  </si>
  <si>
    <t>0</t>
    <phoneticPr fontId="1" type="noConversion"/>
  </si>
  <si>
    <t>1, 2, 4</t>
    <phoneticPr fontId="1" type="noConversion"/>
  </si>
  <si>
    <t>傍晚，下午五到七点</t>
    <phoneticPr fontId="1" type="noConversion"/>
  </si>
  <si>
    <t>第10个茀菻字母</t>
  </si>
  <si>
    <t>第7个茀菻字母</t>
  </si>
  <si>
    <t>第1个茀菻字母</t>
  </si>
  <si>
    <t>第2个茀菻字母</t>
  </si>
  <si>
    <t>第4个茀菻字母</t>
  </si>
  <si>
    <t>第22个茀菻字母</t>
  </si>
  <si>
    <t>第5个茀菻字母</t>
  </si>
  <si>
    <t>第12个茀菻字母</t>
  </si>
  <si>
    <t>第23个茀菻字母</t>
  </si>
  <si>
    <t>第21个茀菻字母</t>
  </si>
  <si>
    <t>第11个茀菻字母</t>
  </si>
  <si>
    <t>第6个茀菻字母</t>
  </si>
  <si>
    <t>第13个茀菻字母</t>
  </si>
  <si>
    <t>第14个茀菻字母</t>
  </si>
  <si>
    <t>第16个茀菻字母</t>
  </si>
  <si>
    <t>第9个茀菻字母</t>
  </si>
  <si>
    <t>第17个茀菻字母</t>
  </si>
  <si>
    <t>第15个茀菻字母</t>
  </si>
  <si>
    <t>第18个茀菻字母</t>
  </si>
  <si>
    <t>第3个茀菻字母</t>
  </si>
  <si>
    <t>第8个茀菻字母</t>
  </si>
  <si>
    <t>第24个茀菻字母</t>
  </si>
  <si>
    <t>第19个茀菻字母</t>
  </si>
  <si>
    <t>第20个茀菻字母</t>
  </si>
  <si>
    <t>第1个万综字母</t>
  </si>
  <si>
    <t>第36个万综字母</t>
  </si>
  <si>
    <t>第27个万综字母</t>
  </si>
  <si>
    <t>第44个万综字母</t>
  </si>
  <si>
    <t>第41个万综字母</t>
  </si>
  <si>
    <t>第2个万综字母</t>
  </si>
  <si>
    <t>第60个万综字母</t>
  </si>
  <si>
    <t>第4个万综字母</t>
  </si>
  <si>
    <t>第65个万综字母</t>
  </si>
  <si>
    <t>第25个万综字母</t>
  </si>
  <si>
    <t>第6个万综字母</t>
  </si>
  <si>
    <t>第18个万综字母</t>
  </si>
  <si>
    <t>第47个万综字母</t>
  </si>
  <si>
    <t>第40个万综字母</t>
  </si>
  <si>
    <t>第7个万综字母</t>
  </si>
  <si>
    <t>第8个万综字母</t>
  </si>
  <si>
    <t>第9个万综字母</t>
  </si>
  <si>
    <t>第13个万综字母</t>
  </si>
  <si>
    <t>第16个万综字母</t>
  </si>
  <si>
    <t>第39个万综字母</t>
  </si>
  <si>
    <t>第12个万综字母</t>
  </si>
  <si>
    <t>第19个万综字母</t>
  </si>
  <si>
    <t>第21个万综字母</t>
  </si>
  <si>
    <t>第63个万综字母</t>
  </si>
  <si>
    <t>第22个万综字母</t>
  </si>
  <si>
    <t>第23个万综字母</t>
  </si>
  <si>
    <t>第50个万综字母</t>
  </si>
  <si>
    <t>第15个万综字母</t>
  </si>
  <si>
    <t>第5个万综字母</t>
  </si>
  <si>
    <t>第29个万综字母</t>
  </si>
  <si>
    <t>第31个万综字母</t>
  </si>
  <si>
    <t>第32个万综字母</t>
  </si>
  <si>
    <t>第20个万综字母</t>
  </si>
  <si>
    <t>第66个万综字母</t>
  </si>
  <si>
    <t>第67个万综字母</t>
  </si>
  <si>
    <t>第68个万综字母</t>
  </si>
  <si>
    <t>第33个万综字母</t>
  </si>
  <si>
    <t>第59个万综字母</t>
  </si>
  <si>
    <t>第34个万综字母</t>
  </si>
  <si>
    <t>第35个万综字母</t>
  </si>
  <si>
    <t>第57个万综字母</t>
  </si>
  <si>
    <t>第58个万综字母</t>
  </si>
  <si>
    <t>第64个万综字母</t>
  </si>
  <si>
    <t>第3个万综字母</t>
  </si>
  <si>
    <t>第14个万综字母</t>
  </si>
  <si>
    <t>第38个万综字母</t>
  </si>
  <si>
    <t>第46个万综字母</t>
  </si>
  <si>
    <t>第42个万综字母</t>
  </si>
  <si>
    <t>第26个万综字母</t>
  </si>
  <si>
    <t>第49个万综字母</t>
  </si>
  <si>
    <t>第24个万综字母</t>
  </si>
  <si>
    <t>第11个万综字母</t>
  </si>
  <si>
    <t>第52个万综字母</t>
  </si>
  <si>
    <t>第53个万综字母</t>
  </si>
  <si>
    <t>第54个万综字母</t>
  </si>
  <si>
    <t>第37个万综字母</t>
  </si>
  <si>
    <t>第28个万综字母</t>
  </si>
  <si>
    <t>第45个万综字母</t>
  </si>
  <si>
    <t>第43个万综字母</t>
  </si>
  <si>
    <t>第17个万综字母</t>
  </si>
  <si>
    <t>第48个万综字母</t>
  </si>
  <si>
    <t>第55个万综字母</t>
  </si>
  <si>
    <t>第10个万综字母</t>
  </si>
  <si>
    <t>第51个万综字母</t>
  </si>
  <si>
    <t>第30个万综字母</t>
  </si>
  <si>
    <t>第56个万综字母</t>
  </si>
  <si>
    <t>第61个万综字母</t>
  </si>
  <si>
    <t>第2个拉丁字母</t>
  </si>
  <si>
    <t>第4个拉丁字母</t>
  </si>
  <si>
    <t>第23个拉丁字母</t>
  </si>
  <si>
    <t>第6个拉丁字母</t>
  </si>
  <si>
    <t>第7个拉丁字母</t>
  </si>
  <si>
    <t>第10个拉丁字母</t>
  </si>
  <si>
    <t>第24个拉丁字母</t>
  </si>
  <si>
    <t>第1个拉丁字母</t>
  </si>
  <si>
    <t>第5个拉丁字母</t>
  </si>
  <si>
    <t>第9个拉丁字母</t>
  </si>
  <si>
    <t>第25个拉丁字母</t>
  </si>
  <si>
    <t>第15个拉丁字母</t>
  </si>
  <si>
    <t>第21个拉丁字母</t>
  </si>
  <si>
    <t>第11个拉丁字母（用于外来语）</t>
  </si>
  <si>
    <t>第12个拉丁字母</t>
  </si>
  <si>
    <t>第13个拉丁字母</t>
  </si>
  <si>
    <t>第14个拉丁字母</t>
  </si>
  <si>
    <t>第8个拉丁字母</t>
  </si>
  <si>
    <t>第16个拉丁字母</t>
  </si>
  <si>
    <t>第17个拉丁字母</t>
  </si>
  <si>
    <t>第18个拉丁字母</t>
  </si>
  <si>
    <t>第19个拉丁字母</t>
  </si>
  <si>
    <t>第3个拉丁字母</t>
  </si>
  <si>
    <t>第20个拉丁字母</t>
  </si>
  <si>
    <t>第22个拉丁字母</t>
  </si>
  <si>
    <t>第26个拉丁字母</t>
  </si>
  <si>
    <t>doblo-</t>
    <phoneticPr fontId="1" type="noConversion"/>
  </si>
  <si>
    <t>双</t>
    <phoneticPr fontId="1" type="noConversion"/>
  </si>
  <si>
    <t>数词</t>
    <phoneticPr fontId="1" type="noConversion"/>
  </si>
  <si>
    <t>上午接近中午，10点到11点</t>
    <phoneticPr fontId="1" type="noConversion"/>
  </si>
  <si>
    <t>熄灯时，晚上七点到十点</t>
    <phoneticPr fontId="1" type="noConversion"/>
  </si>
  <si>
    <t>鸡鸣，早晨，凌晨三点到七点</t>
    <phoneticPr fontId="1" type="noConversion"/>
  </si>
  <si>
    <t>下午，下午两点到四点</t>
    <phoneticPr fontId="1" type="noConversion"/>
  </si>
  <si>
    <t>中午，日中，日半，中午12点前后</t>
    <phoneticPr fontId="1" type="noConversion"/>
  </si>
  <si>
    <t>午夜，晚上12点前后</t>
    <phoneticPr fontId="1" type="noConversion"/>
  </si>
  <si>
    <t>中午，中午11点到下午两点</t>
    <phoneticPr fontId="1" type="noConversion"/>
  </si>
  <si>
    <t>傍晚，晚上，晚上七点到九点</t>
    <phoneticPr fontId="1" type="noConversion"/>
  </si>
  <si>
    <t>下午，下午两点到五点</t>
    <phoneticPr fontId="1" type="noConversion"/>
  </si>
  <si>
    <t>清晨，早晨，早上五点到九点</t>
    <phoneticPr fontId="1" type="noConversion"/>
  </si>
  <si>
    <t>夜深人静，晚上九到11点</t>
    <phoneticPr fontId="1" type="noConversion"/>
  </si>
  <si>
    <t>栖鸟归林，晚上七到八点</t>
    <phoneticPr fontId="1" type="noConversion"/>
  </si>
  <si>
    <t>日落，傍晚，晚上五到七点</t>
    <phoneticPr fontId="1" type="noConversion"/>
  </si>
  <si>
    <t>日出，早晨，早上五到七点</t>
    <phoneticPr fontId="1" type="noConversion"/>
  </si>
  <si>
    <t>清晨，日出之前，三到六点</t>
    <phoneticPr fontId="1" type="noConversion"/>
  </si>
  <si>
    <t>上午，早上，早上十到十二点</t>
    <phoneticPr fontId="1" type="noConversion"/>
  </si>
  <si>
    <t>傍晚，晚上五到七点</t>
    <phoneticPr fontId="1" type="noConversion"/>
  </si>
  <si>
    <t>早晨，早上五到八点</t>
    <phoneticPr fontId="1" type="noConversion"/>
  </si>
  <si>
    <t>早晨，早上，黎明，早晨六到九点</t>
    <phoneticPr fontId="1" type="noConversion"/>
  </si>
  <si>
    <t>上午，上午八到十二点</t>
    <phoneticPr fontId="1" type="noConversion"/>
  </si>
  <si>
    <t>中午，日半，中午11点到下午两点</t>
    <phoneticPr fontId="1" type="noConversion"/>
  </si>
  <si>
    <t>傍晚，薄暮，下午五点到七点</t>
    <phoneticPr fontId="1" type="noConversion"/>
  </si>
  <si>
    <t>晚上，夜里，晚上七点到第二天凌晨四点</t>
    <phoneticPr fontId="1" type="noConversion"/>
  </si>
  <si>
    <t>午夜，晚上十一点到第二天凌晨两点</t>
    <phoneticPr fontId="1" type="noConversion"/>
  </si>
  <si>
    <t>夜晚，晚上五点到12点</t>
    <phoneticPr fontId="1" type="noConversion"/>
  </si>
  <si>
    <t>edj.</t>
    <phoneticPr fontId="1" type="noConversion"/>
  </si>
  <si>
    <t>dirgiuanol</t>
    <phoneticPr fontId="1" type="noConversion"/>
  </si>
  <si>
    <t>ednoctunol</t>
    <phoneticPr fontId="1" type="noConversion"/>
  </si>
  <si>
    <t>ednoctusnol</t>
    <phoneticPr fontId="1" type="noConversion"/>
  </si>
  <si>
    <t>edpodminol</t>
    <phoneticPr fontId="1" type="noConversion"/>
  </si>
  <si>
    <t>evenol</t>
    <phoneticPr fontId="1" type="noConversion"/>
  </si>
  <si>
    <t>gaerhuncanol</t>
    <phoneticPr fontId="1" type="noConversion"/>
  </si>
  <si>
    <t>gasortanol</t>
    <phoneticPr fontId="1" type="noConversion"/>
  </si>
  <si>
    <t>goberanol</t>
    <phoneticPr fontId="1" type="noConversion"/>
  </si>
  <si>
    <t>matinol</t>
    <phoneticPr fontId="1" type="noConversion"/>
  </si>
  <si>
    <t>matineimanol</t>
    <phoneticPr fontId="1" type="noConversion"/>
  </si>
  <si>
    <t>nissrithanol</t>
    <phoneticPr fontId="1" type="noConversion"/>
  </si>
  <si>
    <t>noctunol</t>
    <phoneticPr fontId="1" type="noConversion"/>
  </si>
  <si>
    <t>noctugiuanol</t>
    <phoneticPr fontId="1" type="noConversion"/>
  </si>
  <si>
    <t>noctusanol</t>
    <phoneticPr fontId="1" type="noConversion"/>
  </si>
  <si>
    <t>noctusgiuanol</t>
    <phoneticPr fontId="1" type="noConversion"/>
  </si>
  <si>
    <t>podminol</t>
    <phoneticPr fontId="1" type="noConversion"/>
  </si>
  <si>
    <t>podmieimanol</t>
    <phoneticPr fontId="1" type="noConversion"/>
  </si>
  <si>
    <t>sabilijeranol</t>
    <phoneticPr fontId="1" type="noConversion"/>
  </si>
  <si>
    <t>sabjeranol</t>
    <phoneticPr fontId="1" type="noConversion"/>
  </si>
  <si>
    <t>semidiranol</t>
    <phoneticPr fontId="1" type="noConversion"/>
  </si>
  <si>
    <t>sihienol</t>
    <phoneticPr fontId="1" type="noConversion"/>
  </si>
  <si>
    <t>sovrenol</t>
    <phoneticPr fontId="1" type="noConversion"/>
  </si>
  <si>
    <t>suaminol</t>
    <phoneticPr fontId="1" type="noConversion"/>
  </si>
  <si>
    <t>suaronol</t>
    <phoneticPr fontId="1" type="noConversion"/>
  </si>
  <si>
    <t>suaroneimanol</t>
    <phoneticPr fontId="1" type="noConversion"/>
  </si>
  <si>
    <t>sylronol</t>
    <phoneticPr fontId="1" type="noConversion"/>
  </si>
  <si>
    <t>sylticanol</t>
    <phoneticPr fontId="1" type="noConversion"/>
  </si>
  <si>
    <t>unsievenol</t>
    <phoneticPr fontId="1" type="noConversion"/>
  </si>
  <si>
    <t>vesbonol</t>
    <phoneticPr fontId="1" type="noConversion"/>
  </si>
  <si>
    <t>giuanol</t>
    <phoneticPr fontId="1" type="noConversion"/>
  </si>
  <si>
    <t>edpodanol</t>
    <phoneticPr fontId="1" type="noConversion"/>
  </si>
  <si>
    <t>podeimanol</t>
    <phoneticPr fontId="1" type="noConversion"/>
  </si>
  <si>
    <t>啊；表示疑问，疑惑，亲近；表示抒情，感叹</t>
    <phoneticPr fontId="1" type="noConversion"/>
  </si>
  <si>
    <t>哎；表示强调，加强语气；表示反问；表示提醒</t>
    <phoneticPr fontId="1" type="noConversion"/>
  </si>
  <si>
    <t>哇；表示惊讶或感叹</t>
    <phoneticPr fontId="1" type="noConversion"/>
  </si>
  <si>
    <t>ng</t>
    <phoneticPr fontId="1" type="noConversion"/>
  </si>
  <si>
    <t>嘎；表示吃惊，肯定，赞叹；表示语气舒缓</t>
    <phoneticPr fontId="1" type="noConversion"/>
  </si>
  <si>
    <t>呐；表示感叹，赞叹，崇拜；表示语气舒缓</t>
    <phoneticPr fontId="1" type="noConversion"/>
  </si>
  <si>
    <t>呐，哪；表示惊叹，赞叹</t>
    <phoneticPr fontId="1" type="noConversion"/>
  </si>
  <si>
    <t>诶，欸；表示提醒，幽默；疑问，诘问；表肯定</t>
    <phoneticPr fontId="1" type="noConversion"/>
  </si>
  <si>
    <t>呃；表示轻微否定；表示停顿；表示自己观点</t>
    <phoneticPr fontId="1" type="noConversion"/>
  </si>
  <si>
    <t>呃；表示说话间的停顿</t>
    <phoneticPr fontId="1" type="noConversion"/>
  </si>
  <si>
    <t>嗯；对em的省称，表示说话之间的停顿</t>
    <phoneticPr fontId="1" type="noConversion"/>
  </si>
  <si>
    <t>嘻；笑声，表示不屑，冷笑；叹息，惋惜</t>
    <phoneticPr fontId="1" type="noConversion"/>
  </si>
  <si>
    <t>耶，嘿；打招呼，提醒注意；呵呵冷笑</t>
    <phoneticPr fontId="1" type="noConversion"/>
  </si>
  <si>
    <t>呐；表示思考，反思；表示轻微的疑问；表示亲切</t>
    <phoneticPr fontId="1" type="noConversion"/>
  </si>
  <si>
    <t>哎，唉；引起注意；打招呼；表示同意；表示思考</t>
    <phoneticPr fontId="1" type="noConversion"/>
  </si>
  <si>
    <t>呜；表示思考；表示同意；句首发语词</t>
    <phoneticPr fontId="1" type="noConversion"/>
  </si>
  <si>
    <t>呜；表示思考；表示同意；表示哀叹</t>
    <phoneticPr fontId="1" type="noConversion"/>
  </si>
  <si>
    <t>耶；表示庆祝与肯定</t>
    <phoneticPr fontId="1" type="noConversion"/>
  </si>
  <si>
    <t>吧，给陈述句增添不确定性或商量的语气</t>
    <phoneticPr fontId="1" type="noConversion"/>
  </si>
  <si>
    <t>嘎；表示兴奋，感叹，轻微感叹；表示轻微询问</t>
    <phoneticPr fontId="1" type="noConversion"/>
  </si>
  <si>
    <t>呀；表示惊讶或感叹；表疑问</t>
    <phoneticPr fontId="1" type="noConversion"/>
  </si>
  <si>
    <t>咦；表示强调，不敢置信，疑惑</t>
    <phoneticPr fontId="1" type="noConversion"/>
  </si>
  <si>
    <t>啦；轻松，随和的语气；表示欢快，喜悦</t>
    <phoneticPr fontId="1" type="noConversion"/>
  </si>
  <si>
    <t>喏；表示指示；表示肯定</t>
    <phoneticPr fontId="1" type="noConversion"/>
  </si>
  <si>
    <t>喏；与o基本相同，表示指示；表示肯定</t>
    <phoneticPr fontId="1" type="noConversion"/>
  </si>
  <si>
    <t>嘘，嘘声；表示极度蔑视与否定</t>
    <phoneticPr fontId="1" type="noConversion"/>
  </si>
  <si>
    <t>嗷，噢；吃痛叫喊；舒爽声；愤怒声</t>
    <phoneticPr fontId="1" type="noConversion"/>
  </si>
  <si>
    <t>哦；表示清楚，肯定；表示漠视；表示赞美，讴歌</t>
    <phoneticPr fontId="1" type="noConversion"/>
  </si>
  <si>
    <t>哦；表示疑问，疑惑，质疑；表示反问，加强语气</t>
    <phoneticPr fontId="1" type="noConversion"/>
  </si>
  <si>
    <t>嘛，吗；表轻松氛围；表示服输，服软；语意强调</t>
    <phoneticPr fontId="1" type="noConversion"/>
  </si>
  <si>
    <t>r</t>
    <phoneticPr fontId="1" type="noConversion"/>
  </si>
  <si>
    <t>㘃；表示舒缓或强调；表示肯定；表示思考</t>
    <phoneticPr fontId="1" type="noConversion"/>
  </si>
  <si>
    <t>嗯;表示肯定，同意；表示反省，思考；表示停顿</t>
    <phoneticPr fontId="1" type="noConversion"/>
  </si>
  <si>
    <t>喂；用于指示或提醒注意</t>
    <phoneticPr fontId="1" type="noConversion"/>
  </si>
  <si>
    <t>喏；同re，表示舒缓或强调；表示肯定；表示思考</t>
    <phoneticPr fontId="1" type="noConversion"/>
  </si>
  <si>
    <t>呢；营造一种轻松欢快的语气，多用于口语中</t>
    <phoneticPr fontId="1" type="noConversion"/>
  </si>
  <si>
    <t>哼；表示同意；表示思考；冷哼，表示反对</t>
    <phoneticPr fontId="1" type="noConversion"/>
  </si>
  <si>
    <t>噫，咦；表示疑问；表示明知故问，起强调作用</t>
    <phoneticPr fontId="1" type="noConversion"/>
  </si>
  <si>
    <t>嗯；句中停顿，表示思考或反省</t>
    <phoneticPr fontId="1" type="noConversion"/>
  </si>
  <si>
    <t>1</t>
  </si>
  <si>
    <t>lunde</t>
    <phoneticPr fontId="1" type="noConversion"/>
  </si>
  <si>
    <t>tarde</t>
    <phoneticPr fontId="1" type="noConversion"/>
  </si>
  <si>
    <t>tiwde</t>
    <phoneticPr fontId="1" type="noConversion"/>
  </si>
  <si>
    <t>martide</t>
    <phoneticPr fontId="1" type="noConversion"/>
  </si>
  <si>
    <t>miescode</t>
    <phoneticPr fontId="1" type="noConversion"/>
  </si>
  <si>
    <t>mercuride</t>
    <phoneticPr fontId="1" type="noConversion"/>
  </si>
  <si>
    <t>odinde</t>
    <phoneticPr fontId="1" type="noConversion"/>
  </si>
  <si>
    <t>huevde</t>
    <phoneticPr fontId="1" type="noConversion"/>
  </si>
  <si>
    <t>jovisde</t>
    <phoneticPr fontId="1" type="noConversion"/>
  </si>
  <si>
    <t>bierde</t>
    <phoneticPr fontId="1" type="noConversion"/>
  </si>
  <si>
    <t>venerisde</t>
    <phoneticPr fontId="1" type="noConversion"/>
  </si>
  <si>
    <t>frigade</t>
    <phoneticPr fontId="1" type="noConversion"/>
  </si>
  <si>
    <t>sabade</t>
    <phoneticPr fontId="1" type="noConversion"/>
  </si>
  <si>
    <t>satunide</t>
    <phoneticPr fontId="1" type="noConversion"/>
  </si>
  <si>
    <t>domide</t>
    <phoneticPr fontId="1" type="noConversion"/>
  </si>
  <si>
    <t>solide</t>
    <phoneticPr fontId="1" type="noConversion"/>
  </si>
  <si>
    <t>4</t>
  </si>
  <si>
    <t>星期一，月神日，月曜日</t>
    <phoneticPr fontId="1" type="noConversion"/>
  </si>
  <si>
    <t>星期二，战神日，火曜日</t>
    <phoneticPr fontId="1" type="noConversion"/>
  </si>
  <si>
    <t>星期三，水神日，水曜日</t>
    <phoneticPr fontId="1" type="noConversion"/>
  </si>
  <si>
    <t>星期四，雷神日，木星日，木曜日</t>
    <phoneticPr fontId="1" type="noConversion"/>
  </si>
  <si>
    <t>星期五，金星日，金曜日</t>
    <phoneticPr fontId="1" type="noConversion"/>
  </si>
  <si>
    <t>星期六，安息日，农神日，土曜日</t>
    <phoneticPr fontId="1" type="noConversion"/>
  </si>
  <si>
    <t>星期天，礼拜天，太阳日，日曜日</t>
    <phoneticPr fontId="1" type="noConversion"/>
  </si>
  <si>
    <t>星期</t>
    <phoneticPr fontId="1" type="noConversion"/>
  </si>
  <si>
    <t>lundenol</t>
    <phoneticPr fontId="1" type="noConversion"/>
  </si>
  <si>
    <t>tardenol</t>
    <phoneticPr fontId="1" type="noConversion"/>
  </si>
  <si>
    <t>tiwdenol</t>
    <phoneticPr fontId="1" type="noConversion"/>
  </si>
  <si>
    <t>martidenol</t>
    <phoneticPr fontId="1" type="noConversion"/>
  </si>
  <si>
    <t>miescodenol</t>
    <phoneticPr fontId="1" type="noConversion"/>
  </si>
  <si>
    <t>mercuridenol</t>
    <phoneticPr fontId="1" type="noConversion"/>
  </si>
  <si>
    <t>odindenol</t>
    <phoneticPr fontId="1" type="noConversion"/>
  </si>
  <si>
    <t>huevdenol</t>
    <phoneticPr fontId="1" type="noConversion"/>
  </si>
  <si>
    <t>jovisdenol</t>
    <phoneticPr fontId="1" type="noConversion"/>
  </si>
  <si>
    <t>bierdenol</t>
    <phoneticPr fontId="1" type="noConversion"/>
  </si>
  <si>
    <t>venerisdenol</t>
    <phoneticPr fontId="1" type="noConversion"/>
  </si>
  <si>
    <t>frigadenol</t>
    <phoneticPr fontId="1" type="noConversion"/>
  </si>
  <si>
    <t>sabadenol</t>
    <phoneticPr fontId="1" type="noConversion"/>
  </si>
  <si>
    <t>satunidenol</t>
    <phoneticPr fontId="1" type="noConversion"/>
  </si>
  <si>
    <t>domidenol</t>
    <phoneticPr fontId="1" type="noConversion"/>
  </si>
  <si>
    <t>solidenol</t>
    <phoneticPr fontId="1" type="noConversion"/>
  </si>
  <si>
    <t>unbre</t>
    <phoneticPr fontId="1" type="noConversion"/>
  </si>
  <si>
    <t>dusbre</t>
    <phoneticPr fontId="1" type="noConversion"/>
  </si>
  <si>
    <t>trinsbre</t>
    <phoneticPr fontId="1" type="noConversion"/>
  </si>
  <si>
    <t>qu'arbre</t>
    <phoneticPr fontId="1" type="noConversion"/>
  </si>
  <si>
    <t>qu'ivebre</t>
    <phoneticPr fontId="1" type="noConversion"/>
  </si>
  <si>
    <t>sisubre</t>
    <phoneticPr fontId="1" type="noConversion"/>
  </si>
  <si>
    <t>septenbre</t>
    <phoneticPr fontId="1" type="noConversion"/>
  </si>
  <si>
    <t>buitobre</t>
    <phoneticPr fontId="1" type="noConversion"/>
  </si>
  <si>
    <t>nefbre</t>
    <phoneticPr fontId="1" type="noConversion"/>
  </si>
  <si>
    <t>senxbre</t>
    <phoneticPr fontId="1" type="noConversion"/>
  </si>
  <si>
    <t>senx-unbre</t>
    <phoneticPr fontId="1" type="noConversion"/>
  </si>
  <si>
    <t>senx-dusbre</t>
    <phoneticPr fontId="1" type="noConversion"/>
  </si>
  <si>
    <t>一月</t>
    <phoneticPr fontId="1" type="noConversion"/>
  </si>
  <si>
    <t>二月</t>
    <phoneticPr fontId="1" type="noConversion"/>
  </si>
  <si>
    <t>三月</t>
    <phoneticPr fontId="1" type="noConversion"/>
  </si>
  <si>
    <t>四月</t>
    <phoneticPr fontId="1" type="noConversion"/>
  </si>
  <si>
    <t>五月</t>
    <phoneticPr fontId="1" type="noConversion"/>
  </si>
  <si>
    <t>六月</t>
    <phoneticPr fontId="1" type="noConversion"/>
  </si>
  <si>
    <t>七月</t>
    <phoneticPr fontId="1" type="noConversion"/>
  </si>
  <si>
    <t>八月</t>
    <phoneticPr fontId="1" type="noConversion"/>
  </si>
  <si>
    <t>九月</t>
    <phoneticPr fontId="1" type="noConversion"/>
  </si>
  <si>
    <t>十月</t>
    <phoneticPr fontId="1" type="noConversion"/>
  </si>
  <si>
    <t>十一月</t>
    <phoneticPr fontId="1" type="noConversion"/>
  </si>
  <si>
    <t>十二月</t>
    <phoneticPr fontId="1" type="noConversion"/>
  </si>
  <si>
    <t>月份，数词+bre表示月份</t>
    <phoneticPr fontId="1" type="noConversion"/>
  </si>
  <si>
    <t>0</t>
  </si>
  <si>
    <t>月份</t>
    <phoneticPr fontId="1" type="noConversion"/>
  </si>
  <si>
    <t>tron.</t>
  </si>
  <si>
    <t>jaunvie</t>
    <phoneticPr fontId="1" type="noConversion"/>
  </si>
  <si>
    <t>feverie</t>
    <phoneticPr fontId="1" type="noConversion"/>
  </si>
  <si>
    <t>marz</t>
    <phoneticPr fontId="1" type="noConversion"/>
  </si>
  <si>
    <t>april</t>
    <phoneticPr fontId="1" type="noConversion"/>
  </si>
  <si>
    <t>meut</t>
    <phoneticPr fontId="1" type="noConversion"/>
  </si>
  <si>
    <t>juiniu</t>
    <phoneticPr fontId="1" type="noConversion"/>
  </si>
  <si>
    <t>julec</t>
    <phoneticPr fontId="1" type="noConversion"/>
  </si>
  <si>
    <t>augostos</t>
    <phoneticPr fontId="1" type="noConversion"/>
  </si>
  <si>
    <t>septembre</t>
    <phoneticPr fontId="1" type="noConversion"/>
  </si>
  <si>
    <t>octubre</t>
    <phoneticPr fontId="1" type="noConversion"/>
  </si>
  <si>
    <t>novembre</t>
    <phoneticPr fontId="1" type="noConversion"/>
  </si>
  <si>
    <t>decembre</t>
    <phoneticPr fontId="1" type="noConversion"/>
  </si>
  <si>
    <t>vendemaire</t>
    <phoneticPr fontId="1" type="noConversion"/>
  </si>
  <si>
    <t>brumaire</t>
    <phoneticPr fontId="1" type="noConversion"/>
  </si>
  <si>
    <t>nivose</t>
    <phoneticPr fontId="1" type="noConversion"/>
  </si>
  <si>
    <t>pluviose</t>
    <phoneticPr fontId="1" type="noConversion"/>
  </si>
  <si>
    <t>ventose</t>
    <phoneticPr fontId="1" type="noConversion"/>
  </si>
  <si>
    <t>germinal</t>
    <phoneticPr fontId="1" type="noConversion"/>
  </si>
  <si>
    <t>floreal</t>
    <phoneticPr fontId="1" type="noConversion"/>
  </si>
  <si>
    <t>prairial</t>
    <phoneticPr fontId="1" type="noConversion"/>
  </si>
  <si>
    <t>messidor</t>
    <phoneticPr fontId="1" type="noConversion"/>
  </si>
  <si>
    <t>thermidor</t>
    <phoneticPr fontId="1" type="noConversion"/>
  </si>
  <si>
    <t>fructidor</t>
    <phoneticPr fontId="1" type="noConversion"/>
  </si>
  <si>
    <t>法国共和历葡月</t>
    <phoneticPr fontId="1" type="noConversion"/>
  </si>
  <si>
    <t>法国共和历雾月</t>
    <phoneticPr fontId="1" type="noConversion"/>
  </si>
  <si>
    <t>法国共和历霜月</t>
    <phoneticPr fontId="1" type="noConversion"/>
  </si>
  <si>
    <t>法国共和历雪月</t>
    <phoneticPr fontId="1" type="noConversion"/>
  </si>
  <si>
    <t>法国共和历雨月</t>
    <phoneticPr fontId="1" type="noConversion"/>
  </si>
  <si>
    <t>frimaire</t>
    <phoneticPr fontId="1" type="noConversion"/>
  </si>
  <si>
    <t>法国共和历风月</t>
    <phoneticPr fontId="1" type="noConversion"/>
  </si>
  <si>
    <t>法国共和历芽月</t>
    <phoneticPr fontId="1" type="noConversion"/>
  </si>
  <si>
    <t>法国共和历花月</t>
    <phoneticPr fontId="1" type="noConversion"/>
  </si>
  <si>
    <t>法国共和历牧月</t>
    <phoneticPr fontId="1" type="noConversion"/>
  </si>
  <si>
    <t>法国共和历获月</t>
    <phoneticPr fontId="1" type="noConversion"/>
  </si>
  <si>
    <t>法国共和历热月</t>
    <phoneticPr fontId="1" type="noConversion"/>
  </si>
  <si>
    <t>法国共和历果月</t>
    <phoneticPr fontId="1" type="noConversion"/>
  </si>
  <si>
    <t>satilgar</t>
    <phoneticPr fontId="1" type="noConversion"/>
  </si>
  <si>
    <t>girceb</t>
    <phoneticPr fontId="1" type="noConversion"/>
  </si>
  <si>
    <t>zibaius</t>
    <phoneticPr fontId="1" type="noConversion"/>
  </si>
  <si>
    <t>tabsino</t>
    <phoneticPr fontId="1" type="noConversion"/>
  </si>
  <si>
    <t>urgulan</t>
    <phoneticPr fontId="1" type="noConversion"/>
  </si>
  <si>
    <t>saul</t>
    <phoneticPr fontId="1" type="noConversion"/>
  </si>
  <si>
    <t>sibana</t>
    <phoneticPr fontId="1" type="noConversion"/>
  </si>
  <si>
    <t>zaul</t>
    <phoneticPr fontId="1" type="noConversion"/>
  </si>
  <si>
    <t>hunmo</t>
    <phoneticPr fontId="1" type="noConversion"/>
  </si>
  <si>
    <t>zajasan</t>
    <phoneticPr fontId="1" type="noConversion"/>
  </si>
  <si>
    <t>guand</t>
    <phoneticPr fontId="1" type="noConversion"/>
  </si>
  <si>
    <t>suhunres</t>
    <phoneticPr fontId="1" type="noConversion"/>
  </si>
  <si>
    <t>摄提格，寅月</t>
    <phoneticPr fontId="1" type="noConversion"/>
  </si>
  <si>
    <t>单阙，卯月</t>
    <phoneticPr fontId="1" type="noConversion"/>
  </si>
  <si>
    <t>执徐，辰月</t>
    <phoneticPr fontId="1" type="noConversion"/>
  </si>
  <si>
    <t>大荒落，巳月</t>
    <phoneticPr fontId="1" type="noConversion"/>
  </si>
  <si>
    <t>敦牂，午月</t>
    <phoneticPr fontId="1" type="noConversion"/>
  </si>
  <si>
    <t>涒滩，申月</t>
    <phoneticPr fontId="1" type="noConversion"/>
  </si>
  <si>
    <t>协恰，未月</t>
    <phoneticPr fontId="1" type="noConversion"/>
  </si>
  <si>
    <t>作噩，酉月</t>
    <phoneticPr fontId="1" type="noConversion"/>
  </si>
  <si>
    <t>阉茂，戌月</t>
    <phoneticPr fontId="1" type="noConversion"/>
  </si>
  <si>
    <t>大渊献，亥月</t>
    <phoneticPr fontId="1" type="noConversion"/>
  </si>
  <si>
    <t>困敦，子月</t>
    <phoneticPr fontId="1" type="noConversion"/>
  </si>
  <si>
    <t>赤奋若，丑月</t>
    <phoneticPr fontId="1" type="noConversion"/>
  </si>
  <si>
    <t>摄提格，寅年</t>
    <phoneticPr fontId="1" type="noConversion"/>
  </si>
  <si>
    <t>单阙，卯年</t>
    <phoneticPr fontId="1" type="noConversion"/>
  </si>
  <si>
    <t>执徐，辰年</t>
    <phoneticPr fontId="1" type="noConversion"/>
  </si>
  <si>
    <t>大荒落，巳年</t>
    <phoneticPr fontId="1" type="noConversion"/>
  </si>
  <si>
    <t>敦牂，午年</t>
    <phoneticPr fontId="1" type="noConversion"/>
  </si>
  <si>
    <t>协恰，未年</t>
    <phoneticPr fontId="1" type="noConversion"/>
  </si>
  <si>
    <t>涒滩，申年</t>
    <phoneticPr fontId="1" type="noConversion"/>
  </si>
  <si>
    <t>作噩，酉年</t>
    <phoneticPr fontId="1" type="noConversion"/>
  </si>
  <si>
    <t>阉茂，戌年</t>
    <phoneticPr fontId="1" type="noConversion"/>
  </si>
  <si>
    <t>大渊献，亥年</t>
    <phoneticPr fontId="1" type="noConversion"/>
  </si>
  <si>
    <t>困敦，子年</t>
    <phoneticPr fontId="1" type="noConversion"/>
  </si>
  <si>
    <t>赤奋若，丑年</t>
    <phoneticPr fontId="1" type="noConversion"/>
  </si>
  <si>
    <t>年份</t>
    <phoneticPr fontId="1" type="noConversion"/>
  </si>
  <si>
    <t>摄提格，寅</t>
    <phoneticPr fontId="1" type="noConversion"/>
  </si>
  <si>
    <t>单阙，卯</t>
    <phoneticPr fontId="1" type="noConversion"/>
  </si>
  <si>
    <t>执徐，辰</t>
    <phoneticPr fontId="1" type="noConversion"/>
  </si>
  <si>
    <t>大荒落，巳</t>
    <phoneticPr fontId="1" type="noConversion"/>
  </si>
  <si>
    <t>敦牂，午</t>
    <phoneticPr fontId="1" type="noConversion"/>
  </si>
  <si>
    <t>协恰，未</t>
    <phoneticPr fontId="1" type="noConversion"/>
  </si>
  <si>
    <t>涒滩，申</t>
    <phoneticPr fontId="1" type="noConversion"/>
  </si>
  <si>
    <t>作噩，酉</t>
    <phoneticPr fontId="1" type="noConversion"/>
  </si>
  <si>
    <t>阉茂，戌</t>
    <phoneticPr fontId="1" type="noConversion"/>
  </si>
  <si>
    <t>大渊献，亥</t>
    <phoneticPr fontId="1" type="noConversion"/>
  </si>
  <si>
    <t>困敦，子</t>
    <phoneticPr fontId="1" type="noConversion"/>
  </si>
  <si>
    <t>赤奋若，丑</t>
    <phoneticPr fontId="1" type="noConversion"/>
  </si>
  <si>
    <t>unbrenol</t>
    <phoneticPr fontId="1" type="noConversion"/>
  </si>
  <si>
    <t>dusbrenol</t>
    <phoneticPr fontId="1" type="noConversion"/>
  </si>
  <si>
    <t>trinsbrenol</t>
    <phoneticPr fontId="1" type="noConversion"/>
  </si>
  <si>
    <t>qu'arbrenol</t>
    <phoneticPr fontId="1" type="noConversion"/>
  </si>
  <si>
    <t>qu'ivebrenol</t>
    <phoneticPr fontId="1" type="noConversion"/>
  </si>
  <si>
    <t>sisubrenol</t>
    <phoneticPr fontId="1" type="noConversion"/>
  </si>
  <si>
    <t>septenbrenol</t>
    <phoneticPr fontId="1" type="noConversion"/>
  </si>
  <si>
    <t>buitobrenol</t>
    <phoneticPr fontId="1" type="noConversion"/>
  </si>
  <si>
    <t>nefbrenol</t>
    <phoneticPr fontId="1" type="noConversion"/>
  </si>
  <si>
    <t>senxbrenol</t>
    <phoneticPr fontId="1" type="noConversion"/>
  </si>
  <si>
    <t>senx-unbrenol</t>
    <phoneticPr fontId="1" type="noConversion"/>
  </si>
  <si>
    <t>senx-dusbrenol</t>
    <phoneticPr fontId="1" type="noConversion"/>
  </si>
  <si>
    <t>jaunvienol</t>
    <phoneticPr fontId="1" type="noConversion"/>
  </si>
  <si>
    <t>feverienol</t>
    <phoneticPr fontId="1" type="noConversion"/>
  </si>
  <si>
    <t>marzanol</t>
    <phoneticPr fontId="1" type="noConversion"/>
  </si>
  <si>
    <t>aprilanol</t>
    <phoneticPr fontId="1" type="noConversion"/>
  </si>
  <si>
    <t>meutanol</t>
    <phoneticPr fontId="1" type="noConversion"/>
  </si>
  <si>
    <t>juiniunol</t>
    <phoneticPr fontId="1" type="noConversion"/>
  </si>
  <si>
    <t>julecanol</t>
    <phoneticPr fontId="1" type="noConversion"/>
  </si>
  <si>
    <t>augostosanol</t>
    <phoneticPr fontId="1" type="noConversion"/>
  </si>
  <si>
    <t>augostonol</t>
    <phoneticPr fontId="1" type="noConversion"/>
  </si>
  <si>
    <t>septembrenol</t>
    <phoneticPr fontId="1" type="noConversion"/>
  </si>
  <si>
    <t>octubrenol</t>
    <phoneticPr fontId="1" type="noConversion"/>
  </si>
  <si>
    <t>novembrenol</t>
    <phoneticPr fontId="1" type="noConversion"/>
  </si>
  <si>
    <t>decembrenol</t>
    <phoneticPr fontId="1" type="noConversion"/>
  </si>
  <si>
    <t>vendemairenol</t>
    <phoneticPr fontId="1" type="noConversion"/>
  </si>
  <si>
    <t>brumairenol</t>
    <phoneticPr fontId="1" type="noConversion"/>
  </si>
  <si>
    <t>nivosenol</t>
    <phoneticPr fontId="1" type="noConversion"/>
  </si>
  <si>
    <t>pluviosenol</t>
    <phoneticPr fontId="1" type="noConversion"/>
  </si>
  <si>
    <t>ventosenol</t>
    <phoneticPr fontId="1" type="noConversion"/>
  </si>
  <si>
    <t>germinalanol</t>
    <phoneticPr fontId="1" type="noConversion"/>
  </si>
  <si>
    <t>germinanol</t>
    <phoneticPr fontId="1" type="noConversion"/>
  </si>
  <si>
    <t>florealanol</t>
    <phoneticPr fontId="1" type="noConversion"/>
  </si>
  <si>
    <t>prairialanol</t>
    <phoneticPr fontId="1" type="noConversion"/>
  </si>
  <si>
    <t>messidoranol</t>
    <phoneticPr fontId="1" type="noConversion"/>
  </si>
  <si>
    <t>thermidoranol</t>
    <phoneticPr fontId="1" type="noConversion"/>
  </si>
  <si>
    <t>fructidoranol</t>
    <phoneticPr fontId="1" type="noConversion"/>
  </si>
  <si>
    <t>frimairenol</t>
    <phoneticPr fontId="1" type="noConversion"/>
  </si>
  <si>
    <t>satilgaranol</t>
    <phoneticPr fontId="1" type="noConversion"/>
  </si>
  <si>
    <t>gircebanol</t>
    <phoneticPr fontId="1" type="noConversion"/>
  </si>
  <si>
    <t>zibaiusanol</t>
    <phoneticPr fontId="1" type="noConversion"/>
  </si>
  <si>
    <t>zibaiunol</t>
    <phoneticPr fontId="1" type="noConversion"/>
  </si>
  <si>
    <t>tabsinonol</t>
    <phoneticPr fontId="1" type="noConversion"/>
  </si>
  <si>
    <t>tabsinol</t>
    <phoneticPr fontId="1" type="noConversion"/>
  </si>
  <si>
    <t>urgulanol</t>
    <phoneticPr fontId="1" type="noConversion"/>
  </si>
  <si>
    <t>urgulananol</t>
    <phoneticPr fontId="1" type="noConversion"/>
  </si>
  <si>
    <t>saulanol</t>
    <phoneticPr fontId="1" type="noConversion"/>
  </si>
  <si>
    <t>sibananol</t>
    <phoneticPr fontId="1" type="noConversion"/>
  </si>
  <si>
    <t>zaulanol</t>
    <phoneticPr fontId="1" type="noConversion"/>
  </si>
  <si>
    <t>hunmonol</t>
    <phoneticPr fontId="1" type="noConversion"/>
  </si>
  <si>
    <t>zajasananol</t>
    <phoneticPr fontId="1" type="noConversion"/>
  </si>
  <si>
    <t>zajasanol</t>
    <phoneticPr fontId="1" type="noConversion"/>
  </si>
  <si>
    <t>guandanol</t>
    <phoneticPr fontId="1" type="noConversion"/>
  </si>
  <si>
    <t>suhunresanol</t>
    <phoneticPr fontId="1" type="noConversion"/>
  </si>
  <si>
    <t>dir</t>
    <phoneticPr fontId="1" type="noConversion"/>
  </si>
  <si>
    <t>la dir</t>
    <phoneticPr fontId="1" type="noConversion"/>
  </si>
  <si>
    <t>nouval de dir</t>
    <phoneticPr fontId="1" type="noConversion"/>
  </si>
  <si>
    <t>per dir</t>
    <phoneticPr fontId="1" type="noConversion"/>
  </si>
  <si>
    <t>geseeyam</t>
    <phoneticPr fontId="1" type="noConversion"/>
  </si>
  <si>
    <t>hman</t>
    <phoneticPr fontId="1" type="noConversion"/>
  </si>
  <si>
    <t>mons</t>
    <phoneticPr fontId="1" type="noConversion"/>
  </si>
  <si>
    <t>anosin</t>
    <phoneticPr fontId="1" type="noConversion"/>
  </si>
  <si>
    <t>hecals</t>
    <phoneticPr fontId="1" type="noConversion"/>
  </si>
  <si>
    <t>sacin</t>
    <phoneticPr fontId="1" type="noConversion"/>
  </si>
  <si>
    <t>husta</t>
    <phoneticPr fontId="1" type="noConversion"/>
  </si>
  <si>
    <t>sbint</t>
    <phoneticPr fontId="1" type="noConversion"/>
  </si>
  <si>
    <t>esum</t>
    <phoneticPr fontId="1" type="noConversion"/>
  </si>
  <si>
    <t>日，天，白天，一天</t>
    <phoneticPr fontId="1" type="noConversion"/>
  </si>
  <si>
    <t>元旦，阳历一月一日</t>
    <phoneticPr fontId="1" type="noConversion"/>
  </si>
  <si>
    <t>每天</t>
    <phoneticPr fontId="1" type="noConversion"/>
  </si>
  <si>
    <t>旬，十日，十天</t>
    <phoneticPr fontId="1" type="noConversion"/>
  </si>
  <si>
    <t>星期，一个星期</t>
    <phoneticPr fontId="1" type="noConversion"/>
  </si>
  <si>
    <t>月份，一个月</t>
    <phoneticPr fontId="1" type="noConversion"/>
  </si>
  <si>
    <t>年，一年</t>
    <phoneticPr fontId="1" type="noConversion"/>
  </si>
  <si>
    <t>十年，秩</t>
    <phoneticPr fontId="1" type="noConversion"/>
  </si>
  <si>
    <t>世纪</t>
    <phoneticPr fontId="1" type="noConversion"/>
  </si>
  <si>
    <t>季节</t>
    <phoneticPr fontId="1" type="noConversion"/>
  </si>
  <si>
    <t>edv.</t>
    <phoneticPr fontId="1" type="noConversion"/>
  </si>
  <si>
    <t>per geseeyam</t>
    <phoneticPr fontId="1" type="noConversion"/>
  </si>
  <si>
    <t>per mons</t>
    <phoneticPr fontId="1" type="noConversion"/>
  </si>
  <si>
    <t>per anosin</t>
    <phoneticPr fontId="1" type="noConversion"/>
  </si>
  <si>
    <t>per hecals</t>
    <phoneticPr fontId="1" type="noConversion"/>
  </si>
  <si>
    <t>per sacin</t>
    <phoneticPr fontId="1" type="noConversion"/>
  </si>
  <si>
    <t>per husta</t>
    <phoneticPr fontId="1" type="noConversion"/>
  </si>
  <si>
    <t>每十天</t>
    <phoneticPr fontId="1" type="noConversion"/>
  </si>
  <si>
    <t>每月</t>
    <phoneticPr fontId="1" type="noConversion"/>
  </si>
  <si>
    <t>每年</t>
    <phoneticPr fontId="1" type="noConversion"/>
  </si>
  <si>
    <t>每十年</t>
    <phoneticPr fontId="1" type="noConversion"/>
  </si>
  <si>
    <t>每世纪</t>
    <phoneticPr fontId="1" type="noConversion"/>
  </si>
  <si>
    <t>每季度</t>
    <phoneticPr fontId="1" type="noConversion"/>
  </si>
  <si>
    <t>季节，季度，三个月</t>
    <phoneticPr fontId="1" type="noConversion"/>
  </si>
  <si>
    <t>0-4</t>
    <phoneticPr fontId="1" type="noConversion"/>
  </si>
  <si>
    <t>1-0-4</t>
  </si>
  <si>
    <t>1-0-4</t>
    <phoneticPr fontId="1" type="noConversion"/>
  </si>
  <si>
    <t>4, 7</t>
    <phoneticPr fontId="1" type="noConversion"/>
  </si>
  <si>
    <t>0-1</t>
    <phoneticPr fontId="1" type="noConversion"/>
  </si>
  <si>
    <t>0-5</t>
    <phoneticPr fontId="1" type="noConversion"/>
  </si>
  <si>
    <t>0-6</t>
    <phoneticPr fontId="1" type="noConversion"/>
  </si>
  <si>
    <t>per hman</t>
    <phoneticPr fontId="1" type="noConversion"/>
  </si>
  <si>
    <t>每星期</t>
    <phoneticPr fontId="1" type="noConversion"/>
  </si>
  <si>
    <t>qiengeseeyam</t>
    <phoneticPr fontId="1" type="noConversion"/>
  </si>
  <si>
    <t>mesgeseeyam</t>
    <phoneticPr fontId="1" type="noConversion"/>
  </si>
  <si>
    <t>zuigeseeyam</t>
    <phoneticPr fontId="1" type="noConversion"/>
  </si>
  <si>
    <t>声调</t>
    <phoneticPr fontId="1" type="noConversion"/>
  </si>
  <si>
    <t>上旬，每月前十天</t>
    <phoneticPr fontId="1" type="noConversion"/>
  </si>
  <si>
    <t>中旬，每月中间的十天</t>
    <phoneticPr fontId="1" type="noConversion"/>
  </si>
  <si>
    <t>下旬，每月后十天</t>
    <phoneticPr fontId="1" type="noConversion"/>
  </si>
  <si>
    <t>trondir</t>
    <phoneticPr fontId="1" type="noConversion"/>
  </si>
  <si>
    <t>tron dir</t>
    <phoneticPr fontId="1" type="noConversion"/>
  </si>
  <si>
    <t>fiei dir</t>
    <phoneticPr fontId="1" type="noConversion"/>
  </si>
  <si>
    <t>明天</t>
    <phoneticPr fontId="1" type="noConversion"/>
  </si>
  <si>
    <t>昨天</t>
    <phoneticPr fontId="1" type="noConversion"/>
  </si>
  <si>
    <t>tron geseeyam</t>
    <phoneticPr fontId="1" type="noConversion"/>
  </si>
  <si>
    <t>fiei geseeyam</t>
    <phoneticPr fontId="1" type="noConversion"/>
  </si>
  <si>
    <t>tron hman</t>
    <phoneticPr fontId="1" type="noConversion"/>
  </si>
  <si>
    <t>fiei hman</t>
    <phoneticPr fontId="1" type="noConversion"/>
  </si>
  <si>
    <t>tron mons</t>
    <phoneticPr fontId="1" type="noConversion"/>
  </si>
  <si>
    <t>fiei mons</t>
    <phoneticPr fontId="1" type="noConversion"/>
  </si>
  <si>
    <t>tron anosin</t>
    <phoneticPr fontId="1" type="noConversion"/>
  </si>
  <si>
    <t>fiei anosin</t>
    <phoneticPr fontId="1" type="noConversion"/>
  </si>
  <si>
    <t>tron hecals</t>
    <phoneticPr fontId="1" type="noConversion"/>
  </si>
  <si>
    <t>fiei hecals</t>
    <phoneticPr fontId="1" type="noConversion"/>
  </si>
  <si>
    <t>tron sacin</t>
    <phoneticPr fontId="1" type="noConversion"/>
  </si>
  <si>
    <t>fiei sacin</t>
    <phoneticPr fontId="1" type="noConversion"/>
  </si>
  <si>
    <t>tron husta</t>
    <phoneticPr fontId="1" type="noConversion"/>
  </si>
  <si>
    <t>fiei husta</t>
    <phoneticPr fontId="1" type="noConversion"/>
  </si>
  <si>
    <t xml:space="preserve">0-5 </t>
    <phoneticPr fontId="1" type="noConversion"/>
  </si>
  <si>
    <t>上一个十天</t>
    <phoneticPr fontId="1" type="noConversion"/>
  </si>
  <si>
    <t>下一个十天</t>
    <phoneticPr fontId="1" type="noConversion"/>
  </si>
  <si>
    <t>上周，上星期，上个礼拜</t>
    <phoneticPr fontId="1" type="noConversion"/>
  </si>
  <si>
    <t>下周，下个星期，下个礼拜</t>
    <phoneticPr fontId="1" type="noConversion"/>
  </si>
  <si>
    <t>上个月</t>
    <phoneticPr fontId="1" type="noConversion"/>
  </si>
  <si>
    <t>下个月</t>
    <phoneticPr fontId="1" type="noConversion"/>
  </si>
  <si>
    <t>去年</t>
    <phoneticPr fontId="1" type="noConversion"/>
  </si>
  <si>
    <t>明年</t>
    <phoneticPr fontId="1" type="noConversion"/>
  </si>
  <si>
    <t>上一个十年</t>
    <phoneticPr fontId="1" type="noConversion"/>
  </si>
  <si>
    <t>下一个十年</t>
    <phoneticPr fontId="1" type="noConversion"/>
  </si>
  <si>
    <t>上世纪</t>
    <phoneticPr fontId="1" type="noConversion"/>
  </si>
  <si>
    <t>下个世纪</t>
    <phoneticPr fontId="1" type="noConversion"/>
  </si>
  <si>
    <t>上个季度</t>
    <phoneticPr fontId="1" type="noConversion"/>
  </si>
  <si>
    <t>下个季度</t>
    <phoneticPr fontId="1" type="noConversion"/>
  </si>
  <si>
    <t>trongeseeyam</t>
    <phoneticPr fontId="1" type="noConversion"/>
  </si>
  <si>
    <t>fieigeseeyam</t>
    <phoneticPr fontId="1" type="noConversion"/>
  </si>
  <si>
    <t>tronhman</t>
    <phoneticPr fontId="1" type="noConversion"/>
  </si>
  <si>
    <t>fieihman</t>
    <phoneticPr fontId="1" type="noConversion"/>
  </si>
  <si>
    <t>tronmons</t>
    <phoneticPr fontId="1" type="noConversion"/>
  </si>
  <si>
    <t>fieimons</t>
    <phoneticPr fontId="1" type="noConversion"/>
  </si>
  <si>
    <t>tronanosin</t>
    <phoneticPr fontId="1" type="noConversion"/>
  </si>
  <si>
    <t>fieianosin</t>
    <phoneticPr fontId="1" type="noConversion"/>
  </si>
  <si>
    <t>tronhecals</t>
    <phoneticPr fontId="1" type="noConversion"/>
  </si>
  <si>
    <t>fieihecals</t>
    <phoneticPr fontId="1" type="noConversion"/>
  </si>
  <si>
    <t>tronsacin</t>
    <phoneticPr fontId="1" type="noConversion"/>
  </si>
  <si>
    <t>fieisacin</t>
    <phoneticPr fontId="1" type="noConversion"/>
  </si>
  <si>
    <t>tronhusta</t>
    <phoneticPr fontId="1" type="noConversion"/>
  </si>
  <si>
    <t>fieihusta</t>
    <phoneticPr fontId="1" type="noConversion"/>
  </si>
  <si>
    <t>trongeseeyamanol</t>
    <phoneticPr fontId="1" type="noConversion"/>
  </si>
  <si>
    <t>fieigeseeyamanol</t>
    <phoneticPr fontId="1" type="noConversion"/>
  </si>
  <si>
    <t>tronhmananol</t>
    <phoneticPr fontId="1" type="noConversion"/>
  </si>
  <si>
    <t>fieihmananol</t>
    <phoneticPr fontId="1" type="noConversion"/>
  </si>
  <si>
    <t>tronmonsanol</t>
    <phoneticPr fontId="1" type="noConversion"/>
  </si>
  <si>
    <t>fieimonsanol</t>
    <phoneticPr fontId="1" type="noConversion"/>
  </si>
  <si>
    <t>tronanosinol</t>
    <phoneticPr fontId="1" type="noConversion"/>
  </si>
  <si>
    <t>fieianosinol</t>
    <phoneticPr fontId="1" type="noConversion"/>
  </si>
  <si>
    <t>tronhecalsanol</t>
    <phoneticPr fontId="1" type="noConversion"/>
  </si>
  <si>
    <t>fieihecalsanol</t>
    <phoneticPr fontId="1" type="noConversion"/>
  </si>
  <si>
    <t>tronsacinol</t>
    <phoneticPr fontId="1" type="noConversion"/>
  </si>
  <si>
    <t>fieisacinol</t>
    <phoneticPr fontId="1" type="noConversion"/>
  </si>
  <si>
    <t>tronhustanol</t>
    <phoneticPr fontId="1" type="noConversion"/>
  </si>
  <si>
    <t>fieihustanol</t>
    <phoneticPr fontId="1" type="noConversion"/>
  </si>
  <si>
    <t>trondiranol</t>
    <phoneticPr fontId="1" type="noConversion"/>
  </si>
  <si>
    <t>fieidiranol</t>
    <phoneticPr fontId="1" type="noConversion"/>
  </si>
  <si>
    <t>fieidir</t>
    <phoneticPr fontId="1" type="noConversion"/>
  </si>
  <si>
    <t>dirlevt</t>
    <phoneticPr fontId="1" type="noConversion"/>
  </si>
  <si>
    <t>hmanlevt</t>
    <phoneticPr fontId="1" type="noConversion"/>
  </si>
  <si>
    <t>monslevt</t>
    <phoneticPr fontId="1" type="noConversion"/>
  </si>
  <si>
    <t>hustalevt</t>
    <phoneticPr fontId="1" type="noConversion"/>
  </si>
  <si>
    <t>anosinlevt</t>
    <phoneticPr fontId="1" type="noConversion"/>
  </si>
  <si>
    <t>geseeyamlevt</t>
    <phoneticPr fontId="1" type="noConversion"/>
  </si>
  <si>
    <t>hecalslevt</t>
    <phoneticPr fontId="1" type="noConversion"/>
  </si>
  <si>
    <t>hecalevt</t>
    <phoneticPr fontId="1" type="noConversion"/>
  </si>
  <si>
    <t>sacinlevt</t>
    <phoneticPr fontId="1" type="noConversion"/>
  </si>
  <si>
    <t>每季度，每三个月</t>
    <phoneticPr fontId="1" type="noConversion"/>
  </si>
  <si>
    <t>每十天，每旬</t>
    <phoneticPr fontId="1" type="noConversion"/>
  </si>
  <si>
    <t>每个世纪</t>
    <phoneticPr fontId="1" type="noConversion"/>
  </si>
  <si>
    <t>dirlevtanol</t>
    <phoneticPr fontId="1" type="noConversion"/>
  </si>
  <si>
    <t>hmanlevtanol</t>
    <phoneticPr fontId="1" type="noConversion"/>
  </si>
  <si>
    <t>monslevtanol</t>
    <phoneticPr fontId="1" type="noConversion"/>
  </si>
  <si>
    <t>hustalevtanol</t>
    <phoneticPr fontId="1" type="noConversion"/>
  </si>
  <si>
    <t>anosinlevtanol</t>
    <phoneticPr fontId="1" type="noConversion"/>
  </si>
  <si>
    <t>geseeyamlevtanol</t>
    <phoneticPr fontId="1" type="noConversion"/>
  </si>
  <si>
    <t>hecalslevtanol</t>
    <phoneticPr fontId="1" type="noConversion"/>
  </si>
  <si>
    <t>hecalevtanol</t>
    <phoneticPr fontId="1" type="noConversion"/>
  </si>
  <si>
    <t>sacinlevtanol</t>
    <phoneticPr fontId="1" type="noConversion"/>
  </si>
  <si>
    <t>dirlevtorin</t>
    <phoneticPr fontId="1" type="noConversion"/>
  </si>
  <si>
    <t>hmanlevtorin</t>
    <phoneticPr fontId="1" type="noConversion"/>
  </si>
  <si>
    <t>monslevtorin</t>
    <phoneticPr fontId="1" type="noConversion"/>
  </si>
  <si>
    <t>hustalevtorin</t>
    <phoneticPr fontId="1" type="noConversion"/>
  </si>
  <si>
    <t>anosinlevtorin</t>
    <phoneticPr fontId="1" type="noConversion"/>
  </si>
  <si>
    <t>geseeyamlevtorin</t>
    <phoneticPr fontId="1" type="noConversion"/>
  </si>
  <si>
    <t>hecalslevtorin</t>
    <phoneticPr fontId="1" type="noConversion"/>
  </si>
  <si>
    <t>hecalevtorin</t>
    <phoneticPr fontId="1" type="noConversion"/>
  </si>
  <si>
    <t>sacinlevtorin</t>
    <phoneticPr fontId="1" type="noConversion"/>
  </si>
  <si>
    <t>每个……</t>
    <phoneticPr fontId="1" type="noConversion"/>
  </si>
  <si>
    <t>fiei.</t>
    <phoneticPr fontId="1" type="noConversion"/>
  </si>
  <si>
    <t>语法</t>
    <phoneticPr fontId="1" type="noConversion"/>
  </si>
  <si>
    <t>词性转化为名词</t>
    <phoneticPr fontId="1" type="noConversion"/>
  </si>
  <si>
    <t>intermonsanol</t>
    <phoneticPr fontId="1" type="noConversion"/>
  </si>
  <si>
    <t>monsâc</t>
    <phoneticPr fontId="1" type="noConversion"/>
  </si>
  <si>
    <t>词性转化为形容词，表示属性与特征</t>
    <phoneticPr fontId="1" type="noConversion"/>
  </si>
  <si>
    <t>词性转化为形容词，表示相关的，广泛的联系</t>
    <phoneticPr fontId="1" type="noConversion"/>
  </si>
  <si>
    <t>月际（的），强调多个月之间的关系</t>
    <phoneticPr fontId="1" type="noConversion"/>
  </si>
  <si>
    <t>4, 1</t>
    <phoneticPr fontId="1" type="noConversion"/>
  </si>
  <si>
    <t>inter-</t>
    <phoneticPr fontId="1" type="noConversion"/>
  </si>
  <si>
    <t>tron.</t>
    <phoneticPr fontId="1" type="noConversion"/>
  </si>
  <si>
    <t>sistemar</t>
    <phoneticPr fontId="1" type="noConversion"/>
  </si>
  <si>
    <t>在……之间，多个个体间相互的</t>
    <phoneticPr fontId="1" type="noConversion"/>
  </si>
  <si>
    <t>dirâc</t>
    <phoneticPr fontId="1" type="noConversion"/>
  </si>
  <si>
    <t>anosinâc</t>
    <phoneticPr fontId="1" type="noConversion"/>
  </si>
  <si>
    <t>hustaâc</t>
    <phoneticPr fontId="1" type="noConversion"/>
  </si>
  <si>
    <t>hustâc</t>
    <phoneticPr fontId="1" type="noConversion"/>
  </si>
  <si>
    <t>hmanâc</t>
    <phoneticPr fontId="1" type="noConversion"/>
  </si>
  <si>
    <t>geseeyamâc</t>
    <phoneticPr fontId="1" type="noConversion"/>
  </si>
  <si>
    <t>sacinâc</t>
    <phoneticPr fontId="1" type="noConversion"/>
  </si>
  <si>
    <t>hecalsâc</t>
    <phoneticPr fontId="1" type="noConversion"/>
  </si>
  <si>
    <t>月份相关（的），强调与月份更广泛的联系</t>
    <phoneticPr fontId="1" type="noConversion"/>
  </si>
  <si>
    <t>日相关（的），强调与“日”更广泛的联系</t>
    <phoneticPr fontId="1" type="noConversion"/>
  </si>
  <si>
    <t>年份相关（的），强调与年份更广泛的联系</t>
    <phoneticPr fontId="1" type="noConversion"/>
  </si>
  <si>
    <t>星期相关（的），强调与星期更广泛的联系</t>
    <phoneticPr fontId="1" type="noConversion"/>
  </si>
  <si>
    <t>旬相关（的），强调与“旬”更广泛的联系</t>
    <phoneticPr fontId="1" type="noConversion"/>
  </si>
  <si>
    <t>世纪相关（的），强调与世纪更广泛的联系</t>
    <phoneticPr fontId="1" type="noConversion"/>
  </si>
  <si>
    <t>秩（十年）相关（的），强调与“秩（十年）”更广泛的联系</t>
    <phoneticPr fontId="1" type="noConversion"/>
  </si>
  <si>
    <t>季节、季度相关（的），强调与季节、季度更广泛
的联系</t>
    <phoneticPr fontId="1" type="noConversion"/>
  </si>
  <si>
    <t>interdiranol</t>
    <phoneticPr fontId="1" type="noConversion"/>
  </si>
  <si>
    <t>interanosinol</t>
    <phoneticPr fontId="1" type="noConversion"/>
  </si>
  <si>
    <t>intergeseeyamanol</t>
    <phoneticPr fontId="1" type="noConversion"/>
  </si>
  <si>
    <t>interhecalsanol</t>
    <phoneticPr fontId="1" type="noConversion"/>
  </si>
  <si>
    <t>interhmananol</t>
    <phoneticPr fontId="1" type="noConversion"/>
  </si>
  <si>
    <t>interhustanol</t>
    <phoneticPr fontId="1" type="noConversion"/>
  </si>
  <si>
    <t>年际（的），强调多年之间的关系</t>
    <phoneticPr fontId="1" type="noConversion"/>
  </si>
  <si>
    <t>日际（的），强调多天之间的关系</t>
    <phoneticPr fontId="1" type="noConversion"/>
  </si>
  <si>
    <t>十年际（的），强调多个十年之间的关系</t>
    <phoneticPr fontId="1" type="noConversion"/>
  </si>
  <si>
    <t>旬之间（的），强调几个十天之间的关系</t>
    <phoneticPr fontId="1" type="noConversion"/>
  </si>
  <si>
    <t>季度、季节间（的），强调多个季度、季节之间的关系</t>
    <phoneticPr fontId="1" type="noConversion"/>
  </si>
  <si>
    <t>世纪际（的），强调多个世纪之间的关系</t>
    <phoneticPr fontId="1" type="noConversion"/>
  </si>
  <si>
    <t>intersacin</t>
    <phoneticPr fontId="1" type="noConversion"/>
  </si>
  <si>
    <t>interanosin</t>
    <phoneticPr fontId="1" type="noConversion"/>
  </si>
  <si>
    <t>interdir</t>
    <phoneticPr fontId="1" type="noConversion"/>
  </si>
  <si>
    <t>intergeseeyam</t>
    <phoneticPr fontId="1" type="noConversion"/>
  </si>
  <si>
    <t>interhecals</t>
    <phoneticPr fontId="1" type="noConversion"/>
  </si>
  <si>
    <t>interhman</t>
    <phoneticPr fontId="1" type="noConversion"/>
  </si>
  <si>
    <t>interhusta</t>
    <phoneticPr fontId="1" type="noConversion"/>
  </si>
  <si>
    <t>intermons</t>
    <phoneticPr fontId="1" type="noConversion"/>
  </si>
  <si>
    <t>otom</t>
    <phoneticPr fontId="1" type="noConversion"/>
  </si>
  <si>
    <t>winv</t>
    <phoneticPr fontId="1" type="noConversion"/>
  </si>
  <si>
    <t>春，春天，春季</t>
    <phoneticPr fontId="1" type="noConversion"/>
  </si>
  <si>
    <t>夏，夏天，夏季</t>
    <phoneticPr fontId="1" type="noConversion"/>
  </si>
  <si>
    <t>秋，秋天，秋季</t>
    <phoneticPr fontId="1" type="noConversion"/>
  </si>
  <si>
    <t>冬，冬天，冬季</t>
    <phoneticPr fontId="1" type="noConversion"/>
  </si>
  <si>
    <t>sbintdir</t>
    <phoneticPr fontId="1" type="noConversion"/>
  </si>
  <si>
    <t>esumdir</t>
    <phoneticPr fontId="1" type="noConversion"/>
  </si>
  <si>
    <t>otomdir</t>
    <phoneticPr fontId="1" type="noConversion"/>
  </si>
  <si>
    <t>winvdir</t>
    <phoneticPr fontId="1" type="noConversion"/>
  </si>
  <si>
    <t>春日</t>
    <phoneticPr fontId="1" type="noConversion"/>
  </si>
  <si>
    <t>夏日</t>
    <phoneticPr fontId="1" type="noConversion"/>
  </si>
  <si>
    <t>秋日</t>
    <phoneticPr fontId="1" type="noConversion"/>
  </si>
  <si>
    <t>冬日</t>
    <phoneticPr fontId="1" type="noConversion"/>
  </si>
  <si>
    <t>季度、季节间（的），强调多个季度、季节之间的关
系</t>
    <phoneticPr fontId="1" type="noConversion"/>
  </si>
  <si>
    <t>sbintanol</t>
    <phoneticPr fontId="1" type="noConversion"/>
  </si>
  <si>
    <t>esumanol</t>
    <phoneticPr fontId="1" type="noConversion"/>
  </si>
  <si>
    <t>otomanol</t>
    <phoneticPr fontId="1" type="noConversion"/>
  </si>
  <si>
    <t>winvanol</t>
    <phoneticPr fontId="1" type="noConversion"/>
  </si>
  <si>
    <t>sbintdiranol</t>
    <phoneticPr fontId="1" type="noConversion"/>
  </si>
  <si>
    <t>esumdiranol</t>
    <phoneticPr fontId="1" type="noConversion"/>
  </si>
  <si>
    <t>otomdiranol</t>
    <phoneticPr fontId="1" type="noConversion"/>
  </si>
  <si>
    <t>winvdiranol</t>
    <phoneticPr fontId="1" type="noConversion"/>
  </si>
  <si>
    <t>câgardir</t>
    <phoneticPr fontId="1" type="noConversion"/>
  </si>
  <si>
    <t>week-dir</t>
    <phoneticPr fontId="1" type="noConversion"/>
  </si>
  <si>
    <t>week-end</t>
    <phoneticPr fontId="1" type="noConversion"/>
  </si>
  <si>
    <t>finis</t>
    <phoneticPr fontId="1" type="noConversion"/>
  </si>
  <si>
    <t>hman-finis</t>
    <phoneticPr fontId="1" type="noConversion"/>
  </si>
  <si>
    <t>工作日</t>
    <phoneticPr fontId="1" type="noConversion"/>
  </si>
  <si>
    <t>周末</t>
    <phoneticPr fontId="1" type="noConversion"/>
  </si>
  <si>
    <t>câgardiranol</t>
    <phoneticPr fontId="1" type="noConversion"/>
  </si>
  <si>
    <t>week-diranol</t>
    <phoneticPr fontId="1" type="noConversion"/>
  </si>
  <si>
    <t>week-endanol</t>
    <phoneticPr fontId="1" type="noConversion"/>
  </si>
  <si>
    <t>finisanol</t>
    <phoneticPr fontId="1" type="noConversion"/>
  </si>
  <si>
    <t>hman-finisanol</t>
    <phoneticPr fontId="1" type="noConversion"/>
  </si>
  <si>
    <t>câgardirâc</t>
    <phoneticPr fontId="1" type="noConversion"/>
  </si>
  <si>
    <t>week-dirâc</t>
    <phoneticPr fontId="1" type="noConversion"/>
  </si>
  <si>
    <t>week-endâc</t>
    <phoneticPr fontId="1" type="noConversion"/>
  </si>
  <si>
    <t>finisâc</t>
    <phoneticPr fontId="1" type="noConversion"/>
  </si>
  <si>
    <t>hman-finisâc</t>
    <phoneticPr fontId="1" type="noConversion"/>
  </si>
  <si>
    <t>工作日相关的</t>
    <phoneticPr fontId="1" type="noConversion"/>
  </si>
  <si>
    <t>周末相关的</t>
    <phoneticPr fontId="1" type="noConversion"/>
  </si>
  <si>
    <t>per câgardir</t>
    <phoneticPr fontId="1" type="noConversion"/>
  </si>
  <si>
    <t>per week-dir</t>
    <phoneticPr fontId="1" type="noConversion"/>
  </si>
  <si>
    <t>per week-end</t>
    <phoneticPr fontId="1" type="noConversion"/>
  </si>
  <si>
    <t>per finis</t>
    <phoneticPr fontId="1" type="noConversion"/>
  </si>
  <si>
    <t>per hman-finis</t>
    <phoneticPr fontId="1" type="noConversion"/>
  </si>
  <si>
    <t>câgardirlevt</t>
    <phoneticPr fontId="1" type="noConversion"/>
  </si>
  <si>
    <t>week-dirlevt</t>
    <phoneticPr fontId="1" type="noConversion"/>
  </si>
  <si>
    <t>week-endlevt</t>
    <phoneticPr fontId="1" type="noConversion"/>
  </si>
  <si>
    <t>finislevt</t>
    <phoneticPr fontId="1" type="noConversion"/>
  </si>
  <si>
    <t>hman-finislevt</t>
    <phoneticPr fontId="1" type="noConversion"/>
  </si>
  <si>
    <t>câgardirlevtorin</t>
    <phoneticPr fontId="1" type="noConversion"/>
  </si>
  <si>
    <t>week-dirlevtorin</t>
    <phoneticPr fontId="1" type="noConversion"/>
  </si>
  <si>
    <t>week-endlevtorin</t>
    <phoneticPr fontId="1" type="noConversion"/>
  </si>
  <si>
    <t>finislevtorin</t>
    <phoneticPr fontId="1" type="noConversion"/>
  </si>
  <si>
    <t>hman-finislevtorin</t>
    <phoneticPr fontId="1" type="noConversion"/>
  </si>
  <si>
    <t>每个工作日</t>
    <phoneticPr fontId="1" type="noConversion"/>
  </si>
  <si>
    <t>每个周末</t>
    <phoneticPr fontId="1" type="noConversion"/>
  </si>
  <si>
    <t>sbintlevt</t>
    <phoneticPr fontId="1" type="noConversion"/>
  </si>
  <si>
    <t>esumlevt</t>
    <phoneticPr fontId="1" type="noConversion"/>
  </si>
  <si>
    <t>otomlevt</t>
    <phoneticPr fontId="1" type="noConversion"/>
  </si>
  <si>
    <t>winvlevt</t>
    <phoneticPr fontId="1" type="noConversion"/>
  </si>
  <si>
    <t>每个春天，每年春季</t>
    <phoneticPr fontId="1" type="noConversion"/>
  </si>
  <si>
    <t>每个夏天，每年夏季</t>
    <phoneticPr fontId="1" type="noConversion"/>
  </si>
  <si>
    <t>每个秋天，每年秋季</t>
    <phoneticPr fontId="1" type="noConversion"/>
  </si>
  <si>
    <t>每个冬天，每年冬季</t>
    <phoneticPr fontId="1" type="noConversion"/>
  </si>
  <si>
    <t>sbintlevtorin</t>
    <phoneticPr fontId="1" type="noConversion"/>
  </si>
  <si>
    <t>esumlevtorin</t>
    <phoneticPr fontId="1" type="noConversion"/>
  </si>
  <si>
    <t>otomlevtorin</t>
    <phoneticPr fontId="1" type="noConversion"/>
  </si>
  <si>
    <t>winvlevtorin</t>
    <phoneticPr fontId="1" type="noConversion"/>
  </si>
  <si>
    <t>leh'r</t>
    <phoneticPr fontId="1" type="noConversion"/>
  </si>
  <si>
    <t>oleh'r</t>
    <phoneticPr fontId="1" type="noConversion"/>
  </si>
  <si>
    <t>renot de sbint</t>
    <phoneticPr fontId="1" type="noConversion"/>
  </si>
  <si>
    <t>renot de esum</t>
    <phoneticPr fontId="1" type="noConversion"/>
  </si>
  <si>
    <t>renot de otom</t>
    <phoneticPr fontId="1" type="noConversion"/>
  </si>
  <si>
    <t>renot de winv</t>
    <phoneticPr fontId="1" type="noConversion"/>
  </si>
  <si>
    <t>marscan de sbint</t>
    <phoneticPr fontId="1" type="noConversion"/>
  </si>
  <si>
    <t>marscan de esum</t>
    <phoneticPr fontId="1" type="noConversion"/>
  </si>
  <si>
    <t>marscan de otom</t>
    <phoneticPr fontId="1" type="noConversion"/>
  </si>
  <si>
    <t>marscan de winv</t>
    <phoneticPr fontId="1" type="noConversion"/>
  </si>
  <si>
    <t>pasto de sbint</t>
    <phoneticPr fontId="1" type="noConversion"/>
  </si>
  <si>
    <t>pasto de esum</t>
    <phoneticPr fontId="1" type="noConversion"/>
  </si>
  <si>
    <t>pasto de otom</t>
    <phoneticPr fontId="1" type="noConversion"/>
  </si>
  <si>
    <t>pasto de winv</t>
    <phoneticPr fontId="1" type="noConversion"/>
  </si>
  <si>
    <t>……点钟</t>
    <phoneticPr fontId="1" type="noConversion"/>
  </si>
  <si>
    <t>早春，初春</t>
    <phoneticPr fontId="1" type="noConversion"/>
  </si>
  <si>
    <t>仲春</t>
    <phoneticPr fontId="1" type="noConversion"/>
  </si>
  <si>
    <t>晚春，暮春</t>
    <phoneticPr fontId="1" type="noConversion"/>
  </si>
  <si>
    <t>早夏，孟夏</t>
    <phoneticPr fontId="1" type="noConversion"/>
  </si>
  <si>
    <t>仲夏</t>
    <phoneticPr fontId="1" type="noConversion"/>
  </si>
  <si>
    <t>晚夏，季夏，暮夏</t>
    <phoneticPr fontId="1" type="noConversion"/>
  </si>
  <si>
    <t>早秋，初秋</t>
    <phoneticPr fontId="1" type="noConversion"/>
  </si>
  <si>
    <t>仲秋，中秋</t>
    <phoneticPr fontId="1" type="noConversion"/>
  </si>
  <si>
    <t>晚秋，暮秋</t>
    <phoneticPr fontId="1" type="noConversion"/>
  </si>
  <si>
    <t>初冬</t>
    <phoneticPr fontId="1" type="noConversion"/>
  </si>
  <si>
    <t>仲冬</t>
    <phoneticPr fontId="1" type="noConversion"/>
  </si>
  <si>
    <t>晚冬</t>
    <phoneticPr fontId="1" type="noConversion"/>
  </si>
  <si>
    <t>et'itun</t>
    <phoneticPr fontId="1" type="noConversion"/>
  </si>
  <si>
    <t>minut</t>
    <phoneticPr fontId="1" type="noConversion"/>
  </si>
  <si>
    <t>ted</t>
    <phoneticPr fontId="1" type="noConversion"/>
  </si>
  <si>
    <t>nimbata</t>
    <phoneticPr fontId="1" type="noConversion"/>
  </si>
  <si>
    <t>ecuditar</t>
    <phoneticPr fontId="1" type="noConversion"/>
  </si>
  <si>
    <t>fiei-ecuditar</t>
    <phoneticPr fontId="1" type="noConversion"/>
  </si>
  <si>
    <t>tron-ecuditar</t>
    <phoneticPr fontId="1" type="noConversion"/>
  </si>
  <si>
    <t>秒</t>
    <phoneticPr fontId="1" type="noConversion"/>
  </si>
  <si>
    <t>分，分钟</t>
    <phoneticPr fontId="1" type="noConversion"/>
  </si>
  <si>
    <t>时辰</t>
    <phoneticPr fontId="1" type="noConversion"/>
  </si>
  <si>
    <t>小时，时</t>
    <phoneticPr fontId="1" type="noConversion"/>
  </si>
  <si>
    <t>a.</t>
    <phoneticPr fontId="1" type="noConversion"/>
  </si>
  <si>
    <t>朔日，新月之日，农历每月初一</t>
    <phoneticPr fontId="1" type="noConversion"/>
  </si>
  <si>
    <t>望日，满月之日，农历每月十五十六</t>
    <phoneticPr fontId="1" type="noConversion"/>
  </si>
  <si>
    <t>既望日，既望，望日之后的那一天，一般在农历每十
六日</t>
    <phoneticPr fontId="1" type="noConversion"/>
  </si>
  <si>
    <t>望日前一天</t>
    <phoneticPr fontId="1" type="noConversion"/>
  </si>
  <si>
    <t>qu'an.</t>
    <phoneticPr fontId="1" type="noConversion"/>
  </si>
  <si>
    <t>1, 4</t>
    <phoneticPr fontId="1" type="noConversion"/>
  </si>
  <si>
    <t>v.</t>
    <phoneticPr fontId="1" type="noConversion"/>
  </si>
  <si>
    <t>et'itunanol</t>
    <phoneticPr fontId="1" type="noConversion"/>
  </si>
  <si>
    <t>minutanol</t>
    <phoneticPr fontId="1" type="noConversion"/>
  </si>
  <si>
    <t>leh'ranol</t>
    <phoneticPr fontId="1" type="noConversion"/>
  </si>
  <si>
    <t>tedanol</t>
    <phoneticPr fontId="1" type="noConversion"/>
  </si>
  <si>
    <t>et'itunâc</t>
    <phoneticPr fontId="1" type="noConversion"/>
  </si>
  <si>
    <t>minutâc</t>
    <phoneticPr fontId="1" type="noConversion"/>
  </si>
  <si>
    <t>leh'râc</t>
    <phoneticPr fontId="1" type="noConversion"/>
  </si>
  <si>
    <t>tedâc</t>
    <phoneticPr fontId="1" type="noConversion"/>
  </si>
  <si>
    <t>秒相关的</t>
    <phoneticPr fontId="1" type="noConversion"/>
  </si>
  <si>
    <t>分，分钟相关的</t>
    <phoneticPr fontId="1" type="noConversion"/>
  </si>
  <si>
    <t>小时，时相关的</t>
    <phoneticPr fontId="1" type="noConversion"/>
  </si>
  <si>
    <t>时辰相关的</t>
    <phoneticPr fontId="1" type="noConversion"/>
  </si>
  <si>
    <t>et'itunorin</t>
    <phoneticPr fontId="1" type="noConversion"/>
  </si>
  <si>
    <t>minutorin</t>
    <phoneticPr fontId="1" type="noConversion"/>
  </si>
  <si>
    <t>leh'rorin</t>
    <phoneticPr fontId="1" type="noConversion"/>
  </si>
  <si>
    <t>tedorin</t>
    <phoneticPr fontId="1" type="noConversion"/>
  </si>
  <si>
    <t>et'itunlevt</t>
    <phoneticPr fontId="1" type="noConversion"/>
  </si>
  <si>
    <t>minutlevt</t>
    <phoneticPr fontId="1" type="noConversion"/>
  </si>
  <si>
    <t>leh'rlevt</t>
    <phoneticPr fontId="1" type="noConversion"/>
  </si>
  <si>
    <t>tedlevt</t>
    <phoneticPr fontId="1" type="noConversion"/>
  </si>
  <si>
    <t>lehlevt</t>
    <phoneticPr fontId="1" type="noConversion"/>
  </si>
  <si>
    <t>et'itunlevtorin</t>
    <phoneticPr fontId="1" type="noConversion"/>
  </si>
  <si>
    <t>minutlevtorin</t>
    <phoneticPr fontId="1" type="noConversion"/>
  </si>
  <si>
    <t>leh'rlevtorin</t>
    <phoneticPr fontId="1" type="noConversion"/>
  </si>
  <si>
    <t>tedlevtorin</t>
    <phoneticPr fontId="1" type="noConversion"/>
  </si>
  <si>
    <t>lehlevtorin</t>
    <phoneticPr fontId="1" type="noConversion"/>
  </si>
  <si>
    <t>每秒</t>
    <phoneticPr fontId="1" type="noConversion"/>
  </si>
  <si>
    <t>每分，每分钟</t>
    <phoneticPr fontId="1" type="noConversion"/>
  </si>
  <si>
    <t>每小时，每时</t>
    <phoneticPr fontId="1" type="noConversion"/>
  </si>
  <si>
    <t>每个时辰</t>
    <phoneticPr fontId="1" type="noConversion"/>
  </si>
  <si>
    <t>cellen plonomen</t>
    <phoneticPr fontId="1" type="noConversion"/>
  </si>
  <si>
    <t>人称代词</t>
    <phoneticPr fontId="1" type="noConversion"/>
  </si>
  <si>
    <t>ton paticalo</t>
    <phoneticPr fontId="1" type="noConversion"/>
  </si>
  <si>
    <t>temza</t>
    <phoneticPr fontId="1" type="noConversion"/>
  </si>
  <si>
    <t>概念</t>
  </si>
  <si>
    <t>sistemar syl</t>
    <phoneticPr fontId="1" type="noConversion"/>
  </si>
  <si>
    <t>sistema syl</t>
    <phoneticPr fontId="1" type="noConversion"/>
  </si>
  <si>
    <t>天文</t>
    <phoneticPr fontId="1" type="noConversion"/>
  </si>
  <si>
    <t>太阳系</t>
    <phoneticPr fontId="1" type="noConversion"/>
  </si>
  <si>
    <t>erta</t>
    <phoneticPr fontId="1" type="noConversion"/>
  </si>
  <si>
    <t>sistema erta</t>
    <phoneticPr fontId="1" type="noConversion"/>
  </si>
  <si>
    <t>sistemar erta</t>
    <phoneticPr fontId="1" type="noConversion"/>
  </si>
  <si>
    <t>luona</t>
    <phoneticPr fontId="1" type="noConversion"/>
  </si>
  <si>
    <t>syl</t>
    <phoneticPr fontId="1" type="noConversion"/>
  </si>
  <si>
    <t>mars</t>
    <phoneticPr fontId="1" type="noConversion"/>
  </si>
  <si>
    <t>mercul</t>
    <phoneticPr fontId="1" type="noConversion"/>
  </si>
  <si>
    <t>venuss</t>
    <phoneticPr fontId="1" type="noConversion"/>
  </si>
  <si>
    <t>jupiter</t>
    <phoneticPr fontId="1" type="noConversion"/>
  </si>
  <si>
    <t>seturne</t>
    <phoneticPr fontId="1" type="noConversion"/>
  </si>
  <si>
    <t>ulanus</t>
    <phoneticPr fontId="1" type="noConversion"/>
  </si>
  <si>
    <t>neptune</t>
    <phoneticPr fontId="1" type="noConversion"/>
  </si>
  <si>
    <t>pluton</t>
    <phoneticPr fontId="1" type="noConversion"/>
  </si>
  <si>
    <t>地月系</t>
    <phoneticPr fontId="1" type="noConversion"/>
  </si>
  <si>
    <t>地球</t>
    <phoneticPr fontId="1" type="noConversion"/>
  </si>
  <si>
    <t>大地，土地</t>
    <phoneticPr fontId="1" type="noConversion"/>
  </si>
  <si>
    <t>概念</t>
    <phoneticPr fontId="1" type="noConversion"/>
  </si>
  <si>
    <t>月球，月曜</t>
    <phoneticPr fontId="1" type="noConversion"/>
  </si>
  <si>
    <t>太阳，日，日耀</t>
    <phoneticPr fontId="1" type="noConversion"/>
  </si>
  <si>
    <t>火星，火耀</t>
    <phoneticPr fontId="1" type="noConversion"/>
  </si>
  <si>
    <t>水星，水耀</t>
    <phoneticPr fontId="1" type="noConversion"/>
  </si>
  <si>
    <t>金星，金耀</t>
    <phoneticPr fontId="1" type="noConversion"/>
  </si>
  <si>
    <t>木星，木耀</t>
    <phoneticPr fontId="1" type="noConversion"/>
  </si>
  <si>
    <t>土星，土耀</t>
    <phoneticPr fontId="1" type="noConversion"/>
  </si>
  <si>
    <t>天王星</t>
    <phoneticPr fontId="1" type="noConversion"/>
  </si>
  <si>
    <t>海王星</t>
    <phoneticPr fontId="1" type="noConversion"/>
  </si>
  <si>
    <t>冥王星</t>
    <phoneticPr fontId="1" type="noConversion"/>
  </si>
  <si>
    <t>flordnoar</t>
    <phoneticPr fontId="1" type="noConversion"/>
  </si>
  <si>
    <t>sujear</t>
    <phoneticPr fontId="1" type="noConversion"/>
  </si>
  <si>
    <t>moh'lanar</t>
    <phoneticPr fontId="1" type="noConversion"/>
  </si>
  <si>
    <t>terharar</t>
    <phoneticPr fontId="1" type="noConversion"/>
  </si>
  <si>
    <t>tubirar</t>
    <phoneticPr fontId="1" type="noConversion"/>
  </si>
  <si>
    <t>flordnar</t>
    <phoneticPr fontId="1" type="noConversion"/>
  </si>
  <si>
    <t>sujerar</t>
    <phoneticPr fontId="1" type="noConversion"/>
  </si>
  <si>
    <t>ertanol</t>
    <phoneticPr fontId="1" type="noConversion"/>
  </si>
  <si>
    <t>luonanol</t>
    <phoneticPr fontId="1" type="noConversion"/>
  </si>
  <si>
    <t>sylanol</t>
    <phoneticPr fontId="1" type="noConversion"/>
  </si>
  <si>
    <t>marsanol</t>
    <phoneticPr fontId="1" type="noConversion"/>
  </si>
  <si>
    <t>merculanol</t>
    <phoneticPr fontId="1" type="noConversion"/>
  </si>
  <si>
    <t>venussanol</t>
    <phoneticPr fontId="1" type="noConversion"/>
  </si>
  <si>
    <t>jupiteranol</t>
    <phoneticPr fontId="1" type="noConversion"/>
  </si>
  <si>
    <t>seturnenol</t>
    <phoneticPr fontId="1" type="noConversion"/>
  </si>
  <si>
    <t>ulanusanol</t>
    <phoneticPr fontId="1" type="noConversion"/>
  </si>
  <si>
    <t>neptunenol</t>
    <phoneticPr fontId="1" type="noConversion"/>
  </si>
  <si>
    <t>plutonol</t>
    <phoneticPr fontId="1" type="noConversion"/>
  </si>
  <si>
    <t>flordnoaranol</t>
    <phoneticPr fontId="1" type="noConversion"/>
  </si>
  <si>
    <t>sujearanol</t>
    <phoneticPr fontId="1" type="noConversion"/>
  </si>
  <si>
    <t>moh'lanaranol</t>
    <phoneticPr fontId="1" type="noConversion"/>
  </si>
  <si>
    <t>terhararanol</t>
    <phoneticPr fontId="1" type="noConversion"/>
  </si>
  <si>
    <t>tubiraranol</t>
    <phoneticPr fontId="1" type="noConversion"/>
  </si>
  <si>
    <t>flordnaranol</t>
    <phoneticPr fontId="1" type="noConversion"/>
  </si>
  <si>
    <t>sujeraranol</t>
    <phoneticPr fontId="1" type="noConversion"/>
  </si>
  <si>
    <t>venusanol</t>
    <phoneticPr fontId="1" type="noConversion"/>
  </si>
  <si>
    <t>neptunol</t>
    <phoneticPr fontId="1" type="noConversion"/>
  </si>
  <si>
    <t>plutonanol</t>
    <phoneticPr fontId="1" type="noConversion"/>
  </si>
  <si>
    <t>moh'laranol</t>
    <phoneticPr fontId="1" type="noConversion"/>
  </si>
  <si>
    <t>terharanol</t>
    <phoneticPr fontId="1" type="noConversion"/>
  </si>
  <si>
    <t>tubiranol</t>
    <phoneticPr fontId="1" type="noConversion"/>
  </si>
  <si>
    <t>moh'lar</t>
    <phoneticPr fontId="1" type="noConversion"/>
  </si>
  <si>
    <t>luonar</t>
    <phoneticPr fontId="1" type="noConversion"/>
  </si>
  <si>
    <t>sylar</t>
    <phoneticPr fontId="1" type="noConversion"/>
  </si>
  <si>
    <t>luonaranol</t>
    <phoneticPr fontId="1" type="noConversion"/>
  </si>
  <si>
    <t>sylaranol</t>
    <phoneticPr fontId="1" type="noConversion"/>
  </si>
  <si>
    <t>wotoa</t>
    <phoneticPr fontId="1" type="noConversion"/>
  </si>
  <si>
    <t>mulica</t>
    <phoneticPr fontId="1" type="noConversion"/>
  </si>
  <si>
    <t>galicsanto</t>
    <phoneticPr fontId="1" type="noConversion"/>
  </si>
  <si>
    <t>sconech sylar</t>
    <phoneticPr fontId="1" type="noConversion"/>
  </si>
  <si>
    <t>sconech</t>
    <phoneticPr fontId="1" type="noConversion"/>
  </si>
  <si>
    <t>vindu</t>
    <phoneticPr fontId="1" type="noConversion"/>
  </si>
  <si>
    <t>cuvos</t>
    <phoneticPr fontId="1" type="noConversion"/>
  </si>
  <si>
    <t>miec</t>
    <phoneticPr fontId="1" type="noConversion"/>
  </si>
  <si>
    <t>veunhwald</t>
    <phoneticPr fontId="1" type="noConversion"/>
  </si>
  <si>
    <t>rey</t>
    <phoneticPr fontId="1" type="noConversion"/>
  </si>
  <si>
    <t>motinme</t>
    <phoneticPr fontId="1" type="noConversion"/>
  </si>
  <si>
    <t>shi</t>
    <phoneticPr fontId="1" type="noConversion"/>
  </si>
  <si>
    <t>snie</t>
    <phoneticPr fontId="1" type="noConversion"/>
  </si>
  <si>
    <t>shienjt</t>
    <phoneticPr fontId="1" type="noConversion"/>
  </si>
  <si>
    <t>tals</t>
    <phoneticPr fontId="1" type="noConversion"/>
  </si>
  <si>
    <t>sand'n</t>
    <phoneticPr fontId="1" type="noConversion"/>
  </si>
  <si>
    <t>frel</t>
    <phoneticPr fontId="1" type="noConversion"/>
  </si>
  <si>
    <t>rem</t>
    <phoneticPr fontId="1" type="noConversion"/>
  </si>
  <si>
    <t>sitor</t>
    <phoneticPr fontId="1" type="noConversion"/>
  </si>
  <si>
    <t>snieglar</t>
    <phoneticPr fontId="1" type="noConversion"/>
  </si>
  <si>
    <t>hagl</t>
    <phoneticPr fontId="1" type="noConversion"/>
  </si>
  <si>
    <t>squ'al</t>
    <phoneticPr fontId="1" type="noConversion"/>
  </si>
  <si>
    <t>tsunamy</t>
    <phoneticPr fontId="1" type="noConversion"/>
  </si>
  <si>
    <t>nunda</t>
    <phoneticPr fontId="1" type="noConversion"/>
  </si>
  <si>
    <t>easilena</t>
    <phoneticPr fontId="1" type="noConversion"/>
  </si>
  <si>
    <t>taefon</t>
    <phoneticPr fontId="1" type="noConversion"/>
  </si>
  <si>
    <t>horicen</t>
    <phoneticPr fontId="1" type="noConversion"/>
  </si>
  <si>
    <t>teremotus</t>
    <phoneticPr fontId="1" type="noConversion"/>
  </si>
  <si>
    <t>arbsuldy</t>
    <phoneticPr fontId="1" type="noConversion"/>
  </si>
  <si>
    <t>tinen</t>
    <phoneticPr fontId="1" type="noConversion"/>
  </si>
  <si>
    <t>tubragoard</t>
    <phoneticPr fontId="1" type="noConversion"/>
  </si>
  <si>
    <t>天气</t>
    <phoneticPr fontId="1" type="noConversion"/>
  </si>
  <si>
    <t>气象学</t>
    <phoneticPr fontId="1" type="noConversion"/>
  </si>
  <si>
    <t>气候</t>
    <phoneticPr fontId="1" type="noConversion"/>
  </si>
  <si>
    <t>气候，气候学</t>
    <phoneticPr fontId="1" type="noConversion"/>
  </si>
  <si>
    <t>（光）照耀，照</t>
    <phoneticPr fontId="1" type="noConversion"/>
  </si>
  <si>
    <t>阳光，光照</t>
    <phoneticPr fontId="1" type="noConversion"/>
  </si>
  <si>
    <t>阳光明媚，阳光普照</t>
    <phoneticPr fontId="1" type="noConversion"/>
  </si>
  <si>
    <t>明媚的（阳光）</t>
    <phoneticPr fontId="1" type="noConversion"/>
  </si>
  <si>
    <t>风；刮风</t>
    <phoneticPr fontId="1" type="noConversion"/>
  </si>
  <si>
    <t>云；有云</t>
    <phoneticPr fontId="1" type="noConversion"/>
  </si>
  <si>
    <t>雾，雾气；有雾</t>
    <phoneticPr fontId="1" type="noConversion"/>
  </si>
  <si>
    <t>寒潮；来寒潮</t>
    <phoneticPr fontId="1" type="noConversion"/>
  </si>
  <si>
    <t>雷；打雷</t>
    <phoneticPr fontId="1" type="noConversion"/>
  </si>
  <si>
    <t>闪电；打闪</t>
    <phoneticPr fontId="1" type="noConversion"/>
  </si>
  <si>
    <t>雨；下雨</t>
    <phoneticPr fontId="1" type="noConversion"/>
  </si>
  <si>
    <t>雪；下雪</t>
    <phoneticPr fontId="1" type="noConversion"/>
  </si>
  <si>
    <t>雨夹雪；下雨夹雪</t>
    <phoneticPr fontId="1" type="noConversion"/>
  </si>
  <si>
    <t>露；起露</t>
    <phoneticPr fontId="1" type="noConversion"/>
  </si>
  <si>
    <t>霰；下霰</t>
    <phoneticPr fontId="1" type="noConversion"/>
  </si>
  <si>
    <t>霜冻；起霜冻</t>
    <phoneticPr fontId="1" type="noConversion"/>
  </si>
  <si>
    <t>雾凇；起雾凇</t>
    <phoneticPr fontId="1" type="noConversion"/>
  </si>
  <si>
    <t>雨凇；起雨凇</t>
    <phoneticPr fontId="1" type="noConversion"/>
  </si>
  <si>
    <t>雪凇；起雪凇</t>
    <phoneticPr fontId="1" type="noConversion"/>
  </si>
  <si>
    <t>雹；下雹，打雹</t>
    <phoneticPr fontId="1" type="noConversion"/>
  </si>
  <si>
    <t>飑；刮飑</t>
    <phoneticPr fontId="1" type="noConversion"/>
  </si>
  <si>
    <t>海啸；起海啸</t>
    <phoneticPr fontId="1" type="noConversion"/>
  </si>
  <si>
    <t>洪涝；发生洪涝</t>
    <phoneticPr fontId="1" type="noConversion"/>
  </si>
  <si>
    <t>沙尘暴；起沙尘暴</t>
    <phoneticPr fontId="1" type="noConversion"/>
  </si>
  <si>
    <t>台风；刮台风</t>
    <phoneticPr fontId="1" type="noConversion"/>
  </si>
  <si>
    <t>飓风；刮飓风</t>
    <phoneticPr fontId="1" type="noConversion"/>
  </si>
  <si>
    <t>地震；发生地震</t>
    <phoneticPr fontId="1" type="noConversion"/>
  </si>
  <si>
    <t>滑坡；发生滑坡</t>
    <phoneticPr fontId="1" type="noConversion"/>
  </si>
  <si>
    <t>泥石流；发生泥石流</t>
    <phoneticPr fontId="1" type="noConversion"/>
  </si>
  <si>
    <t>雾；起雾</t>
    <phoneticPr fontId="1" type="noConversion"/>
  </si>
  <si>
    <t>vargiel</t>
    <phoneticPr fontId="1" type="noConversion"/>
  </si>
  <si>
    <t>nibla</t>
    <phoneticPr fontId="1" type="noConversion"/>
  </si>
  <si>
    <t>banca</t>
    <phoneticPr fontId="1" type="noConversion"/>
  </si>
  <si>
    <t>flevou</t>
    <phoneticPr fontId="1" type="noConversion"/>
  </si>
  <si>
    <t>vidin</t>
    <phoneticPr fontId="1" type="noConversion"/>
  </si>
  <si>
    <t>hop</t>
    <phoneticPr fontId="1" type="noConversion"/>
  </si>
  <si>
    <t>huj</t>
    <phoneticPr fontId="1" type="noConversion"/>
  </si>
  <si>
    <t>calum</t>
    <phoneticPr fontId="1" type="noConversion"/>
  </si>
  <si>
    <t>purpla</t>
    <phoneticPr fontId="1" type="noConversion"/>
  </si>
  <si>
    <t>olagaz</t>
    <phoneticPr fontId="1" type="noConversion"/>
  </si>
  <si>
    <t>clan</t>
    <phoneticPr fontId="1" type="noConversion"/>
  </si>
  <si>
    <t>indigo</t>
    <phoneticPr fontId="1" type="noConversion"/>
  </si>
  <si>
    <t>castanioc</t>
    <phoneticPr fontId="1" type="noConversion"/>
  </si>
  <si>
    <t>vecleuge</t>
    <phoneticPr fontId="1" type="noConversion"/>
  </si>
  <si>
    <t>castanieom</t>
    <phoneticPr fontId="1" type="noConversion"/>
  </si>
  <si>
    <t>guldah'b</t>
    <phoneticPr fontId="1" type="noConversion"/>
  </si>
  <si>
    <t>rosa</t>
    <phoneticPr fontId="1" type="noConversion"/>
  </si>
  <si>
    <t>fopac</t>
    <phoneticPr fontId="1" type="noConversion"/>
  </si>
  <si>
    <t>bronz</t>
    <phoneticPr fontId="1" type="noConversion"/>
  </si>
  <si>
    <t>azuel</t>
    <phoneticPr fontId="1" type="noConversion"/>
  </si>
  <si>
    <t>laqu'ungra</t>
    <phoneticPr fontId="1" type="noConversion"/>
  </si>
  <si>
    <t>portegra</t>
    <phoneticPr fontId="1" type="noConversion"/>
  </si>
  <si>
    <t>tulipasnagra</t>
    <phoneticPr fontId="1" type="noConversion"/>
  </si>
  <si>
    <t>sangussgra</t>
    <phoneticPr fontId="1" type="noConversion"/>
  </si>
  <si>
    <t>violegra</t>
    <phoneticPr fontId="1" type="noConversion"/>
  </si>
  <si>
    <t>pêcurmgra</t>
    <phoneticPr fontId="1" type="noConversion"/>
  </si>
  <si>
    <t>cihimmelgra</t>
    <phoneticPr fontId="1" type="noConversion"/>
  </si>
  <si>
    <t>mergra</t>
    <phoneticPr fontId="1" type="noConversion"/>
  </si>
  <si>
    <t>ôngrobasgra</t>
    <phoneticPr fontId="1" type="noConversion"/>
  </si>
  <si>
    <t>janzh'r</t>
    <phoneticPr fontId="1" type="noConversion"/>
  </si>
  <si>
    <t>arbitizgra</t>
    <phoneticPr fontId="1" type="noConversion"/>
  </si>
  <si>
    <t>opraistogra</t>
    <phoneticPr fontId="1" type="noConversion"/>
  </si>
  <si>
    <t>jiuntai</t>
    <phoneticPr fontId="1" type="noConversion"/>
  </si>
  <si>
    <t>turbirgra</t>
    <phoneticPr fontId="1" type="noConversion"/>
  </si>
  <si>
    <t>sniegra</t>
    <phoneticPr fontId="1" type="noConversion"/>
  </si>
  <si>
    <t>condireigirgra</t>
    <phoneticPr fontId="1" type="noConversion"/>
  </si>
  <si>
    <t>giligra</t>
    <phoneticPr fontId="1" type="noConversion"/>
  </si>
  <si>
    <t>tarogra</t>
    <phoneticPr fontId="1" type="noConversion"/>
  </si>
  <si>
    <t>cuvosgra</t>
    <phoneticPr fontId="1" type="noConversion"/>
  </si>
  <si>
    <t>merênct</t>
    <phoneticPr fontId="1" type="noConversion"/>
  </si>
  <si>
    <t>1, 3</t>
    <phoneticPr fontId="1" type="noConversion"/>
  </si>
  <si>
    <t>3-4</t>
    <phoneticPr fontId="1" type="noConversion"/>
  </si>
  <si>
    <t>颜色</t>
    <phoneticPr fontId="1" type="noConversion"/>
  </si>
  <si>
    <t>黑色</t>
    <phoneticPr fontId="1" type="noConversion"/>
  </si>
  <si>
    <t>白色</t>
    <phoneticPr fontId="1" type="noConversion"/>
  </si>
  <si>
    <t>黄色</t>
    <phoneticPr fontId="1" type="noConversion"/>
  </si>
  <si>
    <t>绿色</t>
    <phoneticPr fontId="1" type="noConversion"/>
  </si>
  <si>
    <t>红色</t>
    <phoneticPr fontId="1" type="noConversion"/>
  </si>
  <si>
    <t>灰色</t>
    <phoneticPr fontId="1" type="noConversion"/>
  </si>
  <si>
    <t>蓝色</t>
    <phoneticPr fontId="1" type="noConversion"/>
  </si>
  <si>
    <t>紫色</t>
    <phoneticPr fontId="1" type="noConversion"/>
  </si>
  <si>
    <t>橙色</t>
    <phoneticPr fontId="1" type="noConversion"/>
  </si>
  <si>
    <t>青色</t>
    <phoneticPr fontId="1" type="noConversion"/>
  </si>
  <si>
    <t>靛蓝</t>
    <phoneticPr fontId="1" type="noConversion"/>
  </si>
  <si>
    <t>棕色</t>
    <phoneticPr fontId="1" type="noConversion"/>
  </si>
  <si>
    <t>肉色</t>
    <phoneticPr fontId="1" type="noConversion"/>
  </si>
  <si>
    <t>栗色</t>
    <phoneticPr fontId="1" type="noConversion"/>
  </si>
  <si>
    <t>金色</t>
    <phoneticPr fontId="1" type="noConversion"/>
  </si>
  <si>
    <t>粉色</t>
    <phoneticPr fontId="1" type="noConversion"/>
  </si>
  <si>
    <t>银色</t>
    <phoneticPr fontId="1" type="noConversion"/>
  </si>
  <si>
    <t>古铜色</t>
    <phoneticPr fontId="1" type="noConversion"/>
  </si>
  <si>
    <t>湖蓝色</t>
    <phoneticPr fontId="1" type="noConversion"/>
  </si>
  <si>
    <t>酒绿色</t>
    <phoneticPr fontId="1" type="noConversion"/>
  </si>
  <si>
    <t>郁金香色</t>
    <phoneticPr fontId="1" type="noConversion"/>
  </si>
  <si>
    <t>血红色</t>
    <phoneticPr fontId="1" type="noConversion"/>
  </si>
  <si>
    <t>紫罗兰色，紫色</t>
    <phoneticPr fontId="1" type="noConversion"/>
  </si>
  <si>
    <t>天蓝色，蓝色</t>
    <phoneticPr fontId="1" type="noConversion"/>
  </si>
  <si>
    <t>粉色，肉色</t>
    <phoneticPr fontId="1" type="noConversion"/>
  </si>
  <si>
    <t>桃红色</t>
    <phoneticPr fontId="1" type="noConversion"/>
  </si>
  <si>
    <t>天青色，天蓝色</t>
    <phoneticPr fontId="1" type="noConversion"/>
  </si>
  <si>
    <t>海蓝色</t>
    <phoneticPr fontId="1" type="noConversion"/>
  </si>
  <si>
    <t>葡萄紫</t>
    <phoneticPr fontId="1" type="noConversion"/>
  </si>
  <si>
    <t>胭脂红</t>
    <phoneticPr fontId="1" type="noConversion"/>
  </si>
  <si>
    <t>西瓜红</t>
    <phoneticPr fontId="1" type="noConversion"/>
  </si>
  <si>
    <t>景泰蓝</t>
    <phoneticPr fontId="1" type="noConversion"/>
  </si>
  <si>
    <t>土黄色</t>
    <phoneticPr fontId="1" type="noConversion"/>
  </si>
  <si>
    <t>橙黄色</t>
    <phoneticPr fontId="1" type="noConversion"/>
  </si>
  <si>
    <t>雪白色</t>
    <phoneticPr fontId="1" type="noConversion"/>
  </si>
  <si>
    <t>铅白色</t>
    <phoneticPr fontId="1" type="noConversion"/>
  </si>
  <si>
    <t>草绿色</t>
    <phoneticPr fontId="1" type="noConversion"/>
  </si>
  <si>
    <t>石青色</t>
    <phoneticPr fontId="1" type="noConversion"/>
  </si>
  <si>
    <t>日落黄</t>
    <phoneticPr fontId="1" type="noConversion"/>
  </si>
  <si>
    <t>云白色</t>
    <phoneticPr fontId="1" type="noConversion"/>
  </si>
  <si>
    <t>海军蓝</t>
    <phoneticPr fontId="1" type="noConversion"/>
  </si>
  <si>
    <t>vindunol</t>
    <phoneticPr fontId="1" type="noConversion"/>
  </si>
  <si>
    <t>cuvosanol</t>
    <phoneticPr fontId="1" type="noConversion"/>
  </si>
  <si>
    <t>miecanol</t>
    <phoneticPr fontId="1" type="noConversion"/>
  </si>
  <si>
    <t>veunhwaldanol</t>
    <phoneticPr fontId="1" type="noConversion"/>
  </si>
  <si>
    <t>reynol</t>
    <phoneticPr fontId="1" type="noConversion"/>
  </si>
  <si>
    <t>motinmenol</t>
    <phoneticPr fontId="1" type="noConversion"/>
  </si>
  <si>
    <t>shinol</t>
    <phoneticPr fontId="1" type="noConversion"/>
  </si>
  <si>
    <t>snienol</t>
    <phoneticPr fontId="1" type="noConversion"/>
  </si>
  <si>
    <t>shienjtanol</t>
    <phoneticPr fontId="1" type="noConversion"/>
  </si>
  <si>
    <t>talsanol</t>
    <phoneticPr fontId="1" type="noConversion"/>
  </si>
  <si>
    <t>sand'nanol</t>
    <phoneticPr fontId="1" type="noConversion"/>
  </si>
  <si>
    <t>frelanol</t>
    <phoneticPr fontId="1" type="noConversion"/>
  </si>
  <si>
    <t>remanol</t>
    <phoneticPr fontId="1" type="noConversion"/>
  </si>
  <si>
    <t>sitoranol</t>
    <phoneticPr fontId="1" type="noConversion"/>
  </si>
  <si>
    <t>snieglaranol</t>
    <phoneticPr fontId="1" type="noConversion"/>
  </si>
  <si>
    <t>haglanol</t>
    <phoneticPr fontId="1" type="noConversion"/>
  </si>
  <si>
    <t>squ'alanol</t>
    <phoneticPr fontId="1" type="noConversion"/>
  </si>
  <si>
    <t>tsunamynol</t>
    <phoneticPr fontId="1" type="noConversion"/>
  </si>
  <si>
    <t>nundanol</t>
    <phoneticPr fontId="1" type="noConversion"/>
  </si>
  <si>
    <t>easilenanol</t>
    <phoneticPr fontId="1" type="noConversion"/>
  </si>
  <si>
    <t>taefonol</t>
    <phoneticPr fontId="1" type="noConversion"/>
  </si>
  <si>
    <t>horicenol</t>
    <phoneticPr fontId="1" type="noConversion"/>
  </si>
  <si>
    <t>teremotusanol</t>
    <phoneticPr fontId="1" type="noConversion"/>
  </si>
  <si>
    <t>arbsuldynol</t>
    <phoneticPr fontId="1" type="noConversion"/>
  </si>
  <si>
    <t>tinenol</t>
    <phoneticPr fontId="1" type="noConversion"/>
  </si>
  <si>
    <t>tubragoardanol</t>
    <phoneticPr fontId="1" type="noConversion"/>
  </si>
  <si>
    <t>vargielanol</t>
    <phoneticPr fontId="1" type="noConversion"/>
  </si>
  <si>
    <t>niblanol</t>
    <phoneticPr fontId="1" type="noConversion"/>
  </si>
  <si>
    <t>bancanol</t>
    <phoneticPr fontId="1" type="noConversion"/>
  </si>
  <si>
    <t>flevounol</t>
    <phoneticPr fontId="1" type="noConversion"/>
  </si>
  <si>
    <t>vidinol</t>
    <phoneticPr fontId="1" type="noConversion"/>
  </si>
  <si>
    <t>hopanol</t>
    <phoneticPr fontId="1" type="noConversion"/>
  </si>
  <si>
    <t>hujnol</t>
    <phoneticPr fontId="1" type="noConversion"/>
  </si>
  <si>
    <t>calumanol</t>
    <phoneticPr fontId="1" type="noConversion"/>
  </si>
  <si>
    <t>purplanol</t>
    <phoneticPr fontId="1" type="noConversion"/>
  </si>
  <si>
    <t>olagazanol</t>
    <phoneticPr fontId="1" type="noConversion"/>
  </si>
  <si>
    <t>clanol</t>
    <phoneticPr fontId="1" type="noConversion"/>
  </si>
  <si>
    <t>indigonol</t>
    <phoneticPr fontId="1" type="noConversion"/>
  </si>
  <si>
    <t>castaniocanol</t>
    <phoneticPr fontId="1" type="noConversion"/>
  </si>
  <si>
    <t>vecleugenol</t>
    <phoneticPr fontId="1" type="noConversion"/>
  </si>
  <si>
    <t>castanieomanol</t>
    <phoneticPr fontId="1" type="noConversion"/>
  </si>
  <si>
    <t>guldah'banol</t>
    <phoneticPr fontId="1" type="noConversion"/>
  </si>
  <si>
    <t>rosanol</t>
    <phoneticPr fontId="1" type="noConversion"/>
  </si>
  <si>
    <t>fopacanol</t>
    <phoneticPr fontId="1" type="noConversion"/>
  </si>
  <si>
    <t>bronzanol</t>
    <phoneticPr fontId="1" type="noConversion"/>
  </si>
  <si>
    <t>azuelanol</t>
    <phoneticPr fontId="1" type="noConversion"/>
  </si>
  <si>
    <t>laqu'ungranol</t>
    <phoneticPr fontId="1" type="noConversion"/>
  </si>
  <si>
    <t>portegranol</t>
    <phoneticPr fontId="1" type="noConversion"/>
  </si>
  <si>
    <t>tulipasnagranol</t>
    <phoneticPr fontId="1" type="noConversion"/>
  </si>
  <si>
    <t>sangussgranol</t>
  </si>
  <si>
    <t>violegranol</t>
  </si>
  <si>
    <t>pêcurmgranol</t>
  </si>
  <si>
    <t>cihimmelgranol</t>
  </si>
  <si>
    <t>mergranol</t>
  </si>
  <si>
    <t>ôngrobasgranol</t>
  </si>
  <si>
    <t>arbitizgranol</t>
  </si>
  <si>
    <t>opraistogranol</t>
  </si>
  <si>
    <t>turbirgranol</t>
  </si>
  <si>
    <t>sniegranol</t>
  </si>
  <si>
    <t>condireigirgranol</t>
  </si>
  <si>
    <t>giligranol</t>
  </si>
  <si>
    <t>tarogranol</t>
  </si>
  <si>
    <t>cuvosgranol</t>
  </si>
  <si>
    <t>janzh'rnol</t>
    <phoneticPr fontId="1" type="noConversion"/>
  </si>
  <si>
    <t>jiuntainol</t>
    <phoneticPr fontId="1" type="noConversion"/>
  </si>
  <si>
    <t>merênctanol</t>
    <phoneticPr fontId="1" type="noConversion"/>
  </si>
  <si>
    <t>cashtesylaranol</t>
  </si>
  <si>
    <t>cashtevindunol</t>
  </si>
  <si>
    <t>cashtecuvosanol</t>
  </si>
  <si>
    <t>cashtemiecanol</t>
  </si>
  <si>
    <t>cashteveunhwaldanol</t>
  </si>
  <si>
    <t>cashtereynol</t>
  </si>
  <si>
    <t>cashtemotinmenol</t>
  </si>
  <si>
    <t>cashteshinol</t>
  </si>
  <si>
    <t>cashtesnienol</t>
  </si>
  <si>
    <t>cashteshienjtanol</t>
  </si>
  <si>
    <t>cashtetalsanol</t>
  </si>
  <si>
    <t>cashtesand'nanol</t>
  </si>
  <si>
    <t>cashtefrelanol</t>
  </si>
  <si>
    <t>cashteremanol</t>
  </si>
  <si>
    <t>cashtesitoranol</t>
  </si>
  <si>
    <t>cashtesnieglaranol</t>
  </si>
  <si>
    <t>cashtehaglanol</t>
  </si>
  <si>
    <t>cashtesqu'alanol</t>
  </si>
  <si>
    <t>cashtetsunamynol</t>
  </si>
  <si>
    <t>cashtenundanol</t>
  </si>
  <si>
    <t>cashteeasilenanol</t>
  </si>
  <si>
    <t>cashtetaefonol</t>
  </si>
  <si>
    <t>cashtehoricenol</t>
  </si>
  <si>
    <t>cashteteremotusanol</t>
  </si>
  <si>
    <t>cashtearbsuldynol</t>
  </si>
  <si>
    <t>cashtetinenol</t>
  </si>
  <si>
    <t>多光照</t>
    <phoneticPr fontId="1" type="noConversion"/>
  </si>
  <si>
    <t>多风</t>
    <phoneticPr fontId="1" type="noConversion"/>
  </si>
  <si>
    <t>多云</t>
    <phoneticPr fontId="1" type="noConversion"/>
  </si>
  <si>
    <t>多雾</t>
    <phoneticPr fontId="1" type="noConversion"/>
  </si>
  <si>
    <t>多寒潮</t>
    <phoneticPr fontId="1" type="noConversion"/>
  </si>
  <si>
    <t>多雷</t>
    <phoneticPr fontId="1" type="noConversion"/>
  </si>
  <si>
    <t>多闪电</t>
    <phoneticPr fontId="1" type="noConversion"/>
  </si>
  <si>
    <t>多雨</t>
    <phoneticPr fontId="1" type="noConversion"/>
  </si>
  <si>
    <t>多雪</t>
    <phoneticPr fontId="1" type="noConversion"/>
  </si>
  <si>
    <t>多雨夹雪</t>
    <phoneticPr fontId="1" type="noConversion"/>
  </si>
  <si>
    <t>多露</t>
    <phoneticPr fontId="1" type="noConversion"/>
  </si>
  <si>
    <t>多霰</t>
    <phoneticPr fontId="1" type="noConversion"/>
  </si>
  <si>
    <t>多霜冻</t>
    <phoneticPr fontId="1" type="noConversion"/>
  </si>
  <si>
    <t>多雾凇</t>
    <phoneticPr fontId="1" type="noConversion"/>
  </si>
  <si>
    <t>多雨凇</t>
    <phoneticPr fontId="1" type="noConversion"/>
  </si>
  <si>
    <t>多雪凇</t>
    <phoneticPr fontId="1" type="noConversion"/>
  </si>
  <si>
    <t>多雹</t>
    <phoneticPr fontId="1" type="noConversion"/>
  </si>
  <si>
    <t>多飑</t>
    <phoneticPr fontId="1" type="noConversion"/>
  </si>
  <si>
    <t>多海啸</t>
    <phoneticPr fontId="1" type="noConversion"/>
  </si>
  <si>
    <t>多洪涝</t>
    <phoneticPr fontId="1" type="noConversion"/>
  </si>
  <si>
    <t>多沙尘暴</t>
    <phoneticPr fontId="1" type="noConversion"/>
  </si>
  <si>
    <t>多台风</t>
    <phoneticPr fontId="1" type="noConversion"/>
  </si>
  <si>
    <t>多飓风</t>
    <phoneticPr fontId="1" type="noConversion"/>
  </si>
  <si>
    <t>多地震</t>
    <phoneticPr fontId="1" type="noConversion"/>
  </si>
  <si>
    <t>多滑坡</t>
    <phoneticPr fontId="1" type="noConversion"/>
  </si>
  <si>
    <t>多泥石流</t>
    <phoneticPr fontId="1" type="noConversion"/>
  </si>
  <si>
    <t>cashtetubragoardanol</t>
    <phoneticPr fontId="1" type="noConversion"/>
  </si>
  <si>
    <t>reyshi</t>
    <phoneticPr fontId="1" type="noConversion"/>
  </si>
  <si>
    <t>reymotinme</t>
    <phoneticPr fontId="1" type="noConversion"/>
  </si>
  <si>
    <t>tals suje</t>
    <phoneticPr fontId="1" type="noConversion"/>
  </si>
  <si>
    <t>tals suye</t>
    <phoneticPr fontId="1" type="noConversion"/>
  </si>
  <si>
    <t>tals bul</t>
    <phoneticPr fontId="1" type="noConversion"/>
  </si>
  <si>
    <t>squ'aldol</t>
    <phoneticPr fontId="1" type="noConversion"/>
  </si>
  <si>
    <t>taefon-ayan</t>
    <phoneticPr fontId="1" type="noConversion"/>
  </si>
  <si>
    <t>7-3</t>
    <phoneticPr fontId="1" type="noConversion"/>
  </si>
  <si>
    <t>7-4</t>
    <phoneticPr fontId="1" type="noConversion"/>
  </si>
  <si>
    <t>雷雨</t>
    <phoneticPr fontId="1" type="noConversion"/>
  </si>
  <si>
    <t>雷电</t>
    <phoneticPr fontId="1" type="noConversion"/>
  </si>
  <si>
    <t>露水</t>
    <phoneticPr fontId="1" type="noConversion"/>
  </si>
  <si>
    <t>露珠</t>
    <phoneticPr fontId="1" type="noConversion"/>
  </si>
  <si>
    <t>飑线</t>
    <phoneticPr fontId="1" type="noConversion"/>
  </si>
  <si>
    <t>台风眼</t>
    <phoneticPr fontId="1" type="noConversion"/>
  </si>
  <si>
    <t>cashtereyshinol</t>
    <phoneticPr fontId="1" type="noConversion"/>
  </si>
  <si>
    <t>cashtereymotinmenol</t>
    <phoneticPr fontId="1" type="noConversion"/>
  </si>
  <si>
    <t>reyshinol</t>
    <phoneticPr fontId="1" type="noConversion"/>
  </si>
  <si>
    <t>reymotinmenol</t>
    <phoneticPr fontId="1" type="noConversion"/>
  </si>
  <si>
    <t>squ'aldolanol</t>
    <phoneticPr fontId="1" type="noConversion"/>
  </si>
  <si>
    <t>taefon-ayanol</t>
    <phoneticPr fontId="1" type="noConversion"/>
  </si>
  <si>
    <t>多雷雨</t>
    <phoneticPr fontId="1" type="noConversion"/>
  </si>
  <si>
    <t>多雷电</t>
    <phoneticPr fontId="1" type="noConversion"/>
  </si>
  <si>
    <t>ban-</t>
    <phoneticPr fontId="1" type="noConversion"/>
  </si>
  <si>
    <t>banca-</t>
    <phoneticPr fontId="1" type="noConversion"/>
  </si>
  <si>
    <t>flevo-</t>
    <phoneticPr fontId="1" type="noConversion"/>
  </si>
  <si>
    <t>vido-</t>
    <phoneticPr fontId="1" type="noConversion"/>
  </si>
  <si>
    <t>ho-</t>
    <phoneticPr fontId="1" type="noConversion"/>
  </si>
  <si>
    <t>huo-</t>
    <phoneticPr fontId="1" type="noConversion"/>
  </si>
  <si>
    <t>calumo-</t>
    <phoneticPr fontId="1" type="noConversion"/>
  </si>
  <si>
    <t>clano-</t>
    <phoneticPr fontId="1" type="noConversion"/>
  </si>
  <si>
    <t>purplo-</t>
    <phoneticPr fontId="1" type="noConversion"/>
  </si>
  <si>
    <t>olaga-</t>
    <phoneticPr fontId="1" type="noConversion"/>
  </si>
  <si>
    <t>indigo-</t>
    <phoneticPr fontId="1" type="noConversion"/>
  </si>
  <si>
    <t>casto-</t>
    <phoneticPr fontId="1" type="noConversion"/>
  </si>
  <si>
    <t>veclo-</t>
    <phoneticPr fontId="1" type="noConversion"/>
  </si>
  <si>
    <t>gulda-</t>
    <phoneticPr fontId="1" type="noConversion"/>
  </si>
  <si>
    <t>ro-</t>
    <phoneticPr fontId="1" type="noConversion"/>
  </si>
  <si>
    <t>fopa-</t>
    <phoneticPr fontId="1" type="noConversion"/>
  </si>
  <si>
    <t>bro-</t>
    <phoneticPr fontId="1" type="noConversion"/>
  </si>
  <si>
    <t>azo-</t>
    <phoneticPr fontId="1" type="noConversion"/>
  </si>
  <si>
    <t>黑</t>
    <phoneticPr fontId="1" type="noConversion"/>
  </si>
  <si>
    <t>白</t>
    <phoneticPr fontId="1" type="noConversion"/>
  </si>
  <si>
    <t>黄</t>
    <phoneticPr fontId="1" type="noConversion"/>
  </si>
  <si>
    <t>绿</t>
    <phoneticPr fontId="1" type="noConversion"/>
  </si>
  <si>
    <t>红</t>
    <phoneticPr fontId="1" type="noConversion"/>
  </si>
  <si>
    <t>灰</t>
    <phoneticPr fontId="1" type="noConversion"/>
  </si>
  <si>
    <t>蓝</t>
    <phoneticPr fontId="1" type="noConversion"/>
  </si>
  <si>
    <t>紫</t>
    <phoneticPr fontId="1" type="noConversion"/>
  </si>
  <si>
    <t>种族歧视</t>
    <phoneticPr fontId="1" type="noConversion"/>
  </si>
  <si>
    <t>社会学</t>
    <phoneticPr fontId="1" type="noConversion"/>
  </si>
  <si>
    <t>颜色革命</t>
    <phoneticPr fontId="1" type="noConversion"/>
  </si>
  <si>
    <t>vargielanolorin</t>
    <phoneticPr fontId="1" type="noConversion"/>
  </si>
  <si>
    <t>mezangivargielanol</t>
    <phoneticPr fontId="1" type="noConversion"/>
  </si>
  <si>
    <t>mezangivargiel</t>
    <phoneticPr fontId="1" type="noConversion"/>
  </si>
  <si>
    <t>多彩；彩色；丰富</t>
    <phoneticPr fontId="1" type="noConversion"/>
  </si>
  <si>
    <t>彩色，多彩</t>
    <phoneticPr fontId="1" type="noConversion"/>
  </si>
  <si>
    <t>nibla giua banca</t>
    <phoneticPr fontId="1" type="noConversion"/>
  </si>
  <si>
    <t>flevou-vidin</t>
    <phoneticPr fontId="1" type="noConversion"/>
  </si>
  <si>
    <t>flevovidin</t>
    <phoneticPr fontId="1" type="noConversion"/>
  </si>
  <si>
    <t>vidoflevou</t>
    <phoneticPr fontId="1" type="noConversion"/>
  </si>
  <si>
    <t>1-0-1</t>
    <phoneticPr fontId="1" type="noConversion"/>
  </si>
  <si>
    <t>黑白相间</t>
    <phoneticPr fontId="1" type="noConversion"/>
  </si>
  <si>
    <t>黄绿色</t>
    <phoneticPr fontId="1" type="noConversion"/>
  </si>
  <si>
    <t>黄绿色，更偏绿</t>
    <phoneticPr fontId="1" type="noConversion"/>
  </si>
  <si>
    <t>黄绿色，更偏黄</t>
    <phoneticPr fontId="1" type="noConversion"/>
  </si>
  <si>
    <t>bu</t>
    <phoneticPr fontId="1" type="noConversion"/>
  </si>
  <si>
    <t>sud</t>
    <phoneticPr fontId="1" type="noConversion"/>
  </si>
  <si>
    <t>osten</t>
    <phoneticPr fontId="1" type="noConversion"/>
  </si>
  <si>
    <t>aduist</t>
    <phoneticPr fontId="1" type="noConversion"/>
  </si>
  <si>
    <t>buaduist</t>
    <phoneticPr fontId="1" type="noConversion"/>
  </si>
  <si>
    <t>sudaduist</t>
    <phoneticPr fontId="1" type="noConversion"/>
  </si>
  <si>
    <t>buosten</t>
    <phoneticPr fontId="1" type="noConversion"/>
  </si>
  <si>
    <t>sudosten</t>
    <phoneticPr fontId="1" type="noConversion"/>
  </si>
  <si>
    <t>北</t>
    <phoneticPr fontId="1" type="noConversion"/>
  </si>
  <si>
    <t>南</t>
    <phoneticPr fontId="1" type="noConversion"/>
  </si>
  <si>
    <t>西</t>
    <phoneticPr fontId="1" type="noConversion"/>
  </si>
  <si>
    <t>东</t>
    <phoneticPr fontId="1" type="noConversion"/>
  </si>
  <si>
    <t>方向</t>
    <phoneticPr fontId="1" type="noConversion"/>
  </si>
  <si>
    <t>东北，NE</t>
    <phoneticPr fontId="1" type="noConversion"/>
  </si>
  <si>
    <t>东南，SE</t>
    <phoneticPr fontId="1" type="noConversion"/>
  </si>
  <si>
    <t>西北，NW</t>
    <phoneticPr fontId="1" type="noConversion"/>
  </si>
  <si>
    <t>西南，SW</t>
    <phoneticPr fontId="1" type="noConversion"/>
  </si>
  <si>
    <t>bu-buaduist</t>
    <phoneticPr fontId="1" type="noConversion"/>
  </si>
  <si>
    <t>bu-sudaduist</t>
    <phoneticPr fontId="1" type="noConversion"/>
  </si>
  <si>
    <t>bu-buosten</t>
    <phoneticPr fontId="1" type="noConversion"/>
  </si>
  <si>
    <t>bu-sudosten</t>
    <phoneticPr fontId="1" type="noConversion"/>
  </si>
  <si>
    <t>东北北，NNE</t>
    <phoneticPr fontId="1" type="noConversion"/>
  </si>
  <si>
    <t>西北北，NNW</t>
    <phoneticPr fontId="1" type="noConversion"/>
  </si>
  <si>
    <t>西南北，SNW</t>
    <phoneticPr fontId="1" type="noConversion"/>
  </si>
  <si>
    <t>东南北，SNE</t>
    <phoneticPr fontId="1" type="noConversion"/>
  </si>
  <si>
    <t>sud-buaduist</t>
    <phoneticPr fontId="1" type="noConversion"/>
  </si>
  <si>
    <t>sud-sudaduist</t>
    <phoneticPr fontId="1" type="noConversion"/>
  </si>
  <si>
    <t>sud-buosten</t>
    <phoneticPr fontId="1" type="noConversion"/>
  </si>
  <si>
    <t>sud-sudosten</t>
    <phoneticPr fontId="1" type="noConversion"/>
  </si>
  <si>
    <t>东北南，NSE</t>
    <phoneticPr fontId="1" type="noConversion"/>
  </si>
  <si>
    <t>东南南，SSE</t>
    <phoneticPr fontId="1" type="noConversion"/>
  </si>
  <si>
    <t>西北南，NSW</t>
    <phoneticPr fontId="1" type="noConversion"/>
  </si>
  <si>
    <t>西南南，SSW</t>
    <phoneticPr fontId="1" type="noConversion"/>
  </si>
  <si>
    <t>bueim</t>
    <phoneticPr fontId="1" type="noConversion"/>
  </si>
  <si>
    <t>sudeim</t>
    <phoneticPr fontId="1" type="noConversion"/>
  </si>
  <si>
    <t>osteneim</t>
    <phoneticPr fontId="1" type="noConversion"/>
  </si>
  <si>
    <t>aduisteim</t>
    <phoneticPr fontId="1" type="noConversion"/>
  </si>
  <si>
    <t>偏北</t>
    <phoneticPr fontId="1" type="noConversion"/>
  </si>
  <si>
    <t>偏南</t>
    <phoneticPr fontId="1" type="noConversion"/>
  </si>
  <si>
    <t>偏西</t>
    <phoneticPr fontId="1" type="noConversion"/>
  </si>
  <si>
    <t>偏东</t>
    <phoneticPr fontId="1" type="noConversion"/>
  </si>
  <si>
    <t>bueimorin</t>
  </si>
  <si>
    <t>sudeimorin</t>
  </si>
  <si>
    <t>osteneimorin</t>
  </si>
  <si>
    <t>aduisteimorin</t>
  </si>
  <si>
    <t>material</t>
    <phoneticPr fontId="1" type="noConversion"/>
  </si>
  <si>
    <t>broncery</t>
    <phoneticPr fontId="1" type="noConversion"/>
  </si>
  <si>
    <t>guldary</t>
    <phoneticPr fontId="1" type="noConversion"/>
  </si>
  <si>
    <t>fopacery</t>
    <phoneticPr fontId="1" type="noConversion"/>
  </si>
  <si>
    <t>etal</t>
    <phoneticPr fontId="1" type="noConversion"/>
  </si>
  <si>
    <t>etalery</t>
    <phoneticPr fontId="1" type="noConversion"/>
  </si>
  <si>
    <t>cortical</t>
    <phoneticPr fontId="1" type="noConversion"/>
  </si>
  <si>
    <t>corticalery</t>
    <phoneticPr fontId="1" type="noConversion"/>
  </si>
  <si>
    <t>coton</t>
    <phoneticPr fontId="1" type="noConversion"/>
  </si>
  <si>
    <t>cotenry</t>
    <phoneticPr fontId="1" type="noConversion"/>
  </si>
  <si>
    <t>aci</t>
    <phoneticPr fontId="1" type="noConversion"/>
  </si>
  <si>
    <t>aciery</t>
    <phoneticPr fontId="1" type="noConversion"/>
  </si>
  <si>
    <t>feo</t>
    <phoneticPr fontId="1" type="noConversion"/>
  </si>
  <si>
    <t>feory</t>
    <phoneticPr fontId="1" type="noConversion"/>
  </si>
  <si>
    <t>pape</t>
    <phoneticPr fontId="1" type="noConversion"/>
  </si>
  <si>
    <t>papery</t>
    <phoneticPr fontId="1" type="noConversion"/>
  </si>
  <si>
    <t>silvest</t>
    <phoneticPr fontId="1" type="noConversion"/>
  </si>
  <si>
    <t>silvery</t>
    <phoneticPr fontId="1" type="noConversion"/>
  </si>
  <si>
    <t>plastiqu'e</t>
    <phoneticPr fontId="1" type="noConversion"/>
  </si>
  <si>
    <t>veco</t>
    <phoneticPr fontId="1" type="noConversion"/>
  </si>
  <si>
    <t>aliminiom</t>
    <phoneticPr fontId="1" type="noConversion"/>
  </si>
  <si>
    <t>aliminery</t>
    <phoneticPr fontId="1" type="noConversion"/>
  </si>
  <si>
    <t>zinc</t>
    <phoneticPr fontId="1" type="noConversion"/>
  </si>
  <si>
    <t>zincery</t>
    <phoneticPr fontId="1" type="noConversion"/>
  </si>
  <si>
    <t>bambuc</t>
    <phoneticPr fontId="1" type="noConversion"/>
  </si>
  <si>
    <t>bambucery</t>
    <phoneticPr fontId="1" type="noConversion"/>
  </si>
  <si>
    <t>plastiqu'ery</t>
    <phoneticPr fontId="1" type="noConversion"/>
  </si>
  <si>
    <t>vecery</t>
    <phoneticPr fontId="1" type="noConversion"/>
  </si>
  <si>
    <t>cas</t>
    <phoneticPr fontId="1" type="noConversion"/>
  </si>
  <si>
    <t>casder</t>
    <phoneticPr fontId="1" type="noConversion"/>
  </si>
  <si>
    <t>casden</t>
    <phoneticPr fontId="1" type="noConversion"/>
  </si>
  <si>
    <t>casgra</t>
    <phoneticPr fontId="1" type="noConversion"/>
  </si>
  <si>
    <t>casanol</t>
    <phoneticPr fontId="1" type="noConversion"/>
  </si>
  <si>
    <t>gôr</t>
    <phoneticPr fontId="1" type="noConversion"/>
  </si>
  <si>
    <t>gôrcal</t>
    <phoneticPr fontId="1" type="noConversion"/>
  </si>
  <si>
    <t>gôranol</t>
    <phoneticPr fontId="1" type="noConversion"/>
  </si>
  <si>
    <t>familis</t>
    <phoneticPr fontId="1" type="noConversion"/>
  </si>
  <si>
    <t>familisanol</t>
    <phoneticPr fontId="1" type="noConversion"/>
  </si>
  <si>
    <t>ta'lfar</t>
    <phoneticPr fontId="1" type="noConversion"/>
  </si>
  <si>
    <t>paper</t>
    <phoneticPr fontId="1" type="noConversion"/>
  </si>
  <si>
    <t>neimur</t>
    <phoneticPr fontId="1" type="noConversion"/>
  </si>
  <si>
    <t>mamer</t>
    <phoneticPr fontId="1" type="noConversion"/>
  </si>
  <si>
    <t>wacnir</t>
    <phoneticPr fontId="1" type="noConversion"/>
  </si>
  <si>
    <t>fylar</t>
    <phoneticPr fontId="1" type="noConversion"/>
  </si>
  <si>
    <t>brot</t>
    <phoneticPr fontId="1" type="noConversion"/>
  </si>
  <si>
    <t>hermano</t>
    <phoneticPr fontId="1" type="noConversion"/>
  </si>
  <si>
    <t>sistar</t>
    <phoneticPr fontId="1" type="noConversion"/>
  </si>
  <si>
    <t>almodseshostra</t>
    <phoneticPr fontId="1" type="noConversion"/>
  </si>
  <si>
    <t>avoisat</t>
    <phoneticPr fontId="1" type="noConversion"/>
  </si>
  <si>
    <t>avoisata</t>
    <phoneticPr fontId="1" type="noConversion"/>
  </si>
  <si>
    <t>dedushdjc</t>
    <phoneticPr fontId="1" type="noConversion"/>
  </si>
  <si>
    <t>dedushdjca</t>
    <phoneticPr fontId="1" type="noConversion"/>
  </si>
  <si>
    <t>haitoc</t>
    <phoneticPr fontId="1" type="noConversion"/>
  </si>
  <si>
    <t>haitoca</t>
    <phoneticPr fontId="1" type="noConversion"/>
  </si>
  <si>
    <t>dadalyamin</t>
    <phoneticPr fontId="1" type="noConversion"/>
  </si>
  <si>
    <t>dadalyamina</t>
    <phoneticPr fontId="1" type="noConversion"/>
  </si>
  <si>
    <t>achlew</t>
    <phoneticPr fontId="1" type="noConversion"/>
  </si>
  <si>
    <t>achlewa</t>
    <phoneticPr fontId="1" type="noConversion"/>
  </si>
  <si>
    <t>tio</t>
    <phoneticPr fontId="1" type="noConversion"/>
  </si>
  <si>
    <t>tia</t>
    <phoneticPr fontId="1" type="noConversion"/>
  </si>
  <si>
    <t>tijivsnasaum</t>
    <phoneticPr fontId="1" type="noConversion"/>
  </si>
  <si>
    <t>tijivsnasauma</t>
    <phoneticPr fontId="1" type="noConversion"/>
  </si>
  <si>
    <t>pacan</t>
    <phoneticPr fontId="1" type="noConversion"/>
  </si>
  <si>
    <t>pacana</t>
    <phoneticPr fontId="1" type="noConversion"/>
  </si>
  <si>
    <t>coliamtsiv</t>
    <phoneticPr fontId="1" type="noConversion"/>
  </si>
  <si>
    <t>nefeu</t>
    <phoneticPr fontId="1" type="noConversion"/>
  </si>
  <si>
    <t>nefewa</t>
    <phoneticPr fontId="1" type="noConversion"/>
  </si>
  <si>
    <t>belientac</t>
    <phoneticPr fontId="1" type="noConversion"/>
  </si>
  <si>
    <t>belientaca</t>
    <phoneticPr fontId="1" type="noConversion"/>
  </si>
  <si>
    <t>ezhouna</t>
    <phoneticPr fontId="1" type="noConversion"/>
  </si>
  <si>
    <t>halzriou</t>
    <phoneticPr fontId="1" type="noConversion"/>
  </si>
  <si>
    <t>beataginar</t>
    <phoneticPr fontId="1" type="noConversion"/>
  </si>
  <si>
    <t>元素</t>
    <phoneticPr fontId="1" type="noConversion"/>
  </si>
  <si>
    <t>物质；物料；材料</t>
    <phoneticPr fontId="1" type="noConversion"/>
  </si>
  <si>
    <t>由……制成的，材质是……，变为形容词</t>
    <phoneticPr fontId="1" type="noConversion"/>
  </si>
  <si>
    <t>铜制的</t>
    <phoneticPr fontId="1" type="noConversion"/>
  </si>
  <si>
    <t>金制的</t>
    <phoneticPr fontId="1" type="noConversion"/>
  </si>
  <si>
    <t>材质</t>
    <phoneticPr fontId="1" type="noConversion"/>
  </si>
  <si>
    <t>银制的</t>
    <phoneticPr fontId="1" type="noConversion"/>
  </si>
  <si>
    <t>锡制的</t>
    <phoneticPr fontId="1" type="noConversion"/>
  </si>
  <si>
    <t>皮革</t>
    <phoneticPr fontId="1" type="noConversion"/>
  </si>
  <si>
    <t>物品</t>
    <phoneticPr fontId="1" type="noConversion"/>
  </si>
  <si>
    <t>皮革制的</t>
    <phoneticPr fontId="1" type="noConversion"/>
  </si>
  <si>
    <t>棉，棉花</t>
    <phoneticPr fontId="1" type="noConversion"/>
  </si>
  <si>
    <t>棉质的</t>
    <phoneticPr fontId="1" type="noConversion"/>
  </si>
  <si>
    <t>钢</t>
    <phoneticPr fontId="1" type="noConversion"/>
  </si>
  <si>
    <t>钢制的</t>
    <phoneticPr fontId="1" type="noConversion"/>
  </si>
  <si>
    <t>铁制的</t>
    <phoneticPr fontId="1" type="noConversion"/>
  </si>
  <si>
    <t>纸，纸张</t>
    <phoneticPr fontId="1" type="noConversion"/>
  </si>
  <si>
    <t>纸质的</t>
    <phoneticPr fontId="1" type="noConversion"/>
  </si>
  <si>
    <t>木材；木料</t>
    <phoneticPr fontId="1" type="noConversion"/>
  </si>
  <si>
    <t>木质的，木制的</t>
    <phoneticPr fontId="1" type="noConversion"/>
  </si>
  <si>
    <t>塑料</t>
    <phoneticPr fontId="1" type="noConversion"/>
  </si>
  <si>
    <t>玻璃</t>
    <phoneticPr fontId="1" type="noConversion"/>
  </si>
  <si>
    <t>铝制的</t>
    <phoneticPr fontId="1" type="noConversion"/>
  </si>
  <si>
    <t>锌制的</t>
    <phoneticPr fontId="1" type="noConversion"/>
  </si>
  <si>
    <t>竹，竹子</t>
    <phoneticPr fontId="1" type="noConversion"/>
  </si>
  <si>
    <t>竹制的</t>
    <phoneticPr fontId="1" type="noConversion"/>
  </si>
  <si>
    <t>塑料制的</t>
    <phoneticPr fontId="1" type="noConversion"/>
  </si>
  <si>
    <t>玻璃制的，玻璃质的</t>
    <phoneticPr fontId="1" type="noConversion"/>
  </si>
  <si>
    <t>家</t>
    <phoneticPr fontId="1" type="noConversion"/>
  </si>
  <si>
    <t>家人</t>
    <phoneticPr fontId="1" type="noConversion"/>
  </si>
  <si>
    <t>如家的，温馨的</t>
    <phoneticPr fontId="1" type="noConversion"/>
  </si>
  <si>
    <t>家族</t>
    <phoneticPr fontId="1" type="noConversion"/>
  </si>
  <si>
    <t>亲戚</t>
    <phoneticPr fontId="1" type="noConversion"/>
  </si>
  <si>
    <t>家族式</t>
    <phoneticPr fontId="1" type="noConversion"/>
  </si>
  <si>
    <t>家庭</t>
    <phoneticPr fontId="1" type="noConversion"/>
  </si>
  <si>
    <t>父亲</t>
    <phoneticPr fontId="1" type="noConversion"/>
  </si>
  <si>
    <t>爸爸</t>
    <phoneticPr fontId="1" type="noConversion"/>
  </si>
  <si>
    <t>母亲</t>
    <phoneticPr fontId="1" type="noConversion"/>
  </si>
  <si>
    <t>妈妈</t>
    <phoneticPr fontId="1" type="noConversion"/>
  </si>
  <si>
    <t>儿子</t>
    <phoneticPr fontId="1" type="noConversion"/>
  </si>
  <si>
    <t>女儿</t>
    <phoneticPr fontId="1" type="noConversion"/>
  </si>
  <si>
    <t>哥哥</t>
    <phoneticPr fontId="1" type="noConversion"/>
  </si>
  <si>
    <t>弟弟</t>
    <phoneticPr fontId="1" type="noConversion"/>
  </si>
  <si>
    <t>姐姐</t>
    <phoneticPr fontId="1" type="noConversion"/>
  </si>
  <si>
    <t>妹妹</t>
    <phoneticPr fontId="1" type="noConversion"/>
  </si>
  <si>
    <t>祖父，爷爷</t>
    <phoneticPr fontId="1" type="noConversion"/>
  </si>
  <si>
    <t>祖母，奶奶</t>
    <phoneticPr fontId="1" type="noConversion"/>
  </si>
  <si>
    <t>外祖父</t>
    <phoneticPr fontId="1" type="noConversion"/>
  </si>
  <si>
    <t>外祖母</t>
    <phoneticPr fontId="1" type="noConversion"/>
  </si>
  <si>
    <t>孙子，外孙</t>
    <phoneticPr fontId="1" type="noConversion"/>
  </si>
  <si>
    <t>孙女，外孙女</t>
    <phoneticPr fontId="1" type="noConversion"/>
  </si>
  <si>
    <t>婶婶，婶母，叔叔的妻子</t>
    <phoneticPr fontId="1" type="noConversion"/>
  </si>
  <si>
    <t>叔叔，叔父，父亲的弟弟</t>
    <phoneticPr fontId="1" type="noConversion"/>
  </si>
  <si>
    <t>舅父，舅舅，母亲的兄弟</t>
    <phoneticPr fontId="1" type="noConversion"/>
  </si>
  <si>
    <t>舅母，舅妈，舅父的妻子</t>
    <phoneticPr fontId="1" type="noConversion"/>
  </si>
  <si>
    <t>伯伯，伯父，父亲的哥哥</t>
    <phoneticPr fontId="1" type="noConversion"/>
  </si>
  <si>
    <t>伯母，伯父的妻子</t>
    <phoneticPr fontId="1" type="noConversion"/>
  </si>
  <si>
    <t>姑姑，姑妈，父亲的姐妹</t>
    <phoneticPr fontId="1" type="noConversion"/>
  </si>
  <si>
    <t>姑父，姑妈的丈夫</t>
    <phoneticPr fontId="1" type="noConversion"/>
  </si>
  <si>
    <t>姨母，姨姨，母亲的姐妹</t>
    <phoneticPr fontId="1" type="noConversion"/>
  </si>
  <si>
    <t>姨父，姨母的丈夫</t>
    <phoneticPr fontId="1" type="noConversion"/>
  </si>
  <si>
    <t>父母</t>
    <phoneticPr fontId="1" type="noConversion"/>
  </si>
  <si>
    <t>侄子，兄弟的儿子</t>
    <phoneticPr fontId="1" type="noConversion"/>
  </si>
  <si>
    <t>侄女，兄弟的女儿</t>
    <phoneticPr fontId="1" type="noConversion"/>
  </si>
  <si>
    <t>外甥，姐妹的儿子</t>
    <phoneticPr fontId="1" type="noConversion"/>
  </si>
  <si>
    <t>外甥女，姐妹的女儿</t>
    <phoneticPr fontId="1" type="noConversion"/>
  </si>
  <si>
    <t>妻子，老婆</t>
    <phoneticPr fontId="1" type="noConversion"/>
  </si>
  <si>
    <t>丈夫，老公</t>
    <phoneticPr fontId="1" type="noConversion"/>
  </si>
  <si>
    <t>岳父母，妻子的父母</t>
    <phoneticPr fontId="1" type="noConversion"/>
  </si>
  <si>
    <t>cong'nato</t>
    <phoneticPr fontId="1" type="noConversion"/>
  </si>
  <si>
    <t>公婆，丈夫的父母</t>
    <phoneticPr fontId="1" type="noConversion"/>
  </si>
  <si>
    <t>licos</t>
    <phoneticPr fontId="1" type="noConversion"/>
  </si>
  <si>
    <t>flandy</t>
    <phoneticPr fontId="1" type="noConversion"/>
  </si>
  <si>
    <t>sestra</t>
    <phoneticPr fontId="1" type="noConversion"/>
  </si>
  <si>
    <t>promaun</t>
    <phoneticPr fontId="1" type="noConversion"/>
  </si>
  <si>
    <t>sororale</t>
    <phoneticPr fontId="1" type="noConversion"/>
  </si>
  <si>
    <t>pont</t>
    <phoneticPr fontId="1" type="noConversion"/>
  </si>
  <si>
    <t>jid</t>
    <phoneticPr fontId="1" type="noConversion"/>
  </si>
  <si>
    <t>jida</t>
    <phoneticPr fontId="1" type="noConversion"/>
  </si>
  <si>
    <t>bafonaldico</t>
    <phoneticPr fontId="1" type="noConversion"/>
  </si>
  <si>
    <t>vistecose</t>
    <phoneticPr fontId="1" type="noConversion"/>
  </si>
  <si>
    <t>vistecosa</t>
    <phoneticPr fontId="1" type="noConversion"/>
  </si>
  <si>
    <t>tabevordnj</t>
    <phoneticPr fontId="1" type="noConversion"/>
  </si>
  <si>
    <t>tabevordnja</t>
    <phoneticPr fontId="1" type="noConversion"/>
  </si>
  <si>
    <t>dh'eniun</t>
    <phoneticPr fontId="1" type="noConversion"/>
  </si>
  <si>
    <t>dheniun</t>
    <phoneticPr fontId="1" type="noConversion"/>
  </si>
  <si>
    <t>qu'unulie</t>
    <phoneticPr fontId="1" type="noConversion"/>
  </si>
  <si>
    <t>fuvoritus</t>
    <phoneticPr fontId="1" type="noConversion"/>
  </si>
  <si>
    <t>fuvoritusa</t>
    <phoneticPr fontId="1" type="noConversion"/>
  </si>
  <si>
    <t>aprab'che</t>
    <phoneticPr fontId="1" type="noConversion"/>
  </si>
  <si>
    <t>cegoine</t>
    <phoneticPr fontId="1" type="noConversion"/>
  </si>
  <si>
    <t>peticom</t>
    <phoneticPr fontId="1" type="noConversion"/>
  </si>
  <si>
    <t>peticoma</t>
    <phoneticPr fontId="1" type="noConversion"/>
  </si>
  <si>
    <t>stocvaqu'</t>
    <phoneticPr fontId="1" type="noConversion"/>
  </si>
  <si>
    <t>vaisar</t>
    <phoneticPr fontId="1" type="noConversion"/>
  </si>
  <si>
    <t>amsaub</t>
    <phoneticPr fontId="1" type="noConversion"/>
  </si>
  <si>
    <t>asardre</t>
    <phoneticPr fontId="1" type="noConversion"/>
  </si>
  <si>
    <t>meaj</t>
    <phoneticPr fontId="1" type="noConversion"/>
  </si>
  <si>
    <t>dutre</t>
    <phoneticPr fontId="1" type="noConversion"/>
  </si>
  <si>
    <t>muc</t>
    <phoneticPr fontId="1" type="noConversion"/>
  </si>
  <si>
    <t>zoc</t>
    <phoneticPr fontId="1" type="noConversion"/>
  </si>
  <si>
    <t>ach</t>
    <phoneticPr fontId="1" type="noConversion"/>
  </si>
  <si>
    <t>cis</t>
    <phoneticPr fontId="1" type="noConversion"/>
  </si>
  <si>
    <t>men</t>
    <phoneticPr fontId="1" type="noConversion"/>
  </si>
  <si>
    <t>表兄，堂兄</t>
    <phoneticPr fontId="1" type="noConversion"/>
  </si>
  <si>
    <t>表弟，堂弟</t>
    <phoneticPr fontId="1" type="noConversion"/>
  </si>
  <si>
    <t>表姐，堂姐</t>
    <phoneticPr fontId="1" type="noConversion"/>
  </si>
  <si>
    <t>表妹，堂妹</t>
    <phoneticPr fontId="1" type="noConversion"/>
  </si>
  <si>
    <t>妯娌，哥哥的妻子与弟弟的妻子之间</t>
    <phoneticPr fontId="1" type="noConversion"/>
  </si>
  <si>
    <t>曾辈，曾祖辈，曾孙辈</t>
    <phoneticPr fontId="1" type="noConversion"/>
  </si>
  <si>
    <t>高祖母</t>
    <phoneticPr fontId="1" type="noConversion"/>
  </si>
  <si>
    <t>……代</t>
    <phoneticPr fontId="1" type="noConversion"/>
  </si>
  <si>
    <t>一代，一代人</t>
    <phoneticPr fontId="1" type="noConversion"/>
  </si>
  <si>
    <t>继父；义父；义父母</t>
    <phoneticPr fontId="1" type="noConversion"/>
  </si>
  <si>
    <t>继母；义母</t>
    <phoneticPr fontId="1" type="noConversion"/>
  </si>
  <si>
    <t>继子；义子</t>
    <phoneticPr fontId="1" type="noConversion"/>
  </si>
  <si>
    <t>继女；义女</t>
    <phoneticPr fontId="1" type="noConversion"/>
  </si>
  <si>
    <t>女婿</t>
    <phoneticPr fontId="1" type="noConversion"/>
  </si>
  <si>
    <t>儿媳</t>
    <phoneticPr fontId="1" type="noConversion"/>
  </si>
  <si>
    <t>义兄弟</t>
    <phoneticPr fontId="1" type="noConversion"/>
  </si>
  <si>
    <t>义姐妹</t>
    <phoneticPr fontId="1" type="noConversion"/>
  </si>
  <si>
    <t>（血缘关系）近</t>
    <phoneticPr fontId="1" type="noConversion"/>
  </si>
  <si>
    <t>（血缘关系）远</t>
    <phoneticPr fontId="1" type="noConversion"/>
  </si>
  <si>
    <t>未婚夫；男朋友</t>
    <phoneticPr fontId="1" type="noConversion"/>
  </si>
  <si>
    <t>未婚妻；女朋友</t>
    <phoneticPr fontId="1" type="noConversion"/>
  </si>
  <si>
    <t>朋友</t>
    <phoneticPr fontId="1" type="noConversion"/>
  </si>
  <si>
    <t>邻居</t>
    <phoneticPr fontId="1" type="noConversion"/>
  </si>
  <si>
    <t>祖先</t>
    <phoneticPr fontId="1" type="noConversion"/>
  </si>
  <si>
    <t>我的（谦称），家-，鄙-，拙-</t>
    <phoneticPr fontId="1" type="noConversion"/>
  </si>
  <si>
    <t>您的（敬称），令-，贵-，高-</t>
    <phoneticPr fontId="1" type="noConversion"/>
  </si>
  <si>
    <t>伯，嫡长</t>
    <phoneticPr fontId="1" type="noConversion"/>
  </si>
  <si>
    <t>仲，次</t>
    <phoneticPr fontId="1" type="noConversion"/>
  </si>
  <si>
    <t>叔，再次</t>
    <phoneticPr fontId="1" type="noConversion"/>
  </si>
  <si>
    <t>季，最小，幺</t>
    <phoneticPr fontId="1" type="noConversion"/>
  </si>
  <si>
    <t>孟，庶长</t>
    <phoneticPr fontId="1" type="noConversion"/>
  </si>
  <si>
    <t>关系</t>
    <phoneticPr fontId="1" type="noConversion"/>
  </si>
  <si>
    <t>祖宗，泛指所有长辈</t>
    <phoneticPr fontId="1" type="noConversion"/>
  </si>
  <si>
    <t>后代，后裔，泛指所有晚辈</t>
    <phoneticPr fontId="1" type="noConversion"/>
  </si>
  <si>
    <t>perihie</t>
    <phoneticPr fontId="1" type="noConversion"/>
  </si>
  <si>
    <t>relatif</t>
    <phoneticPr fontId="1" type="noConversion"/>
  </si>
  <si>
    <t>aprab'che-perinhie</t>
    <phoneticPr fontId="1" type="noConversion"/>
  </si>
  <si>
    <t>3-3</t>
    <phoneticPr fontId="1" type="noConversion"/>
  </si>
  <si>
    <t>cegoine-perihie</t>
    <phoneticPr fontId="1" type="noConversion"/>
  </si>
  <si>
    <t>2-3</t>
    <phoneticPr fontId="1" type="noConversion"/>
  </si>
  <si>
    <t>pont-haitoc</t>
    <phoneticPr fontId="1" type="noConversion"/>
  </si>
  <si>
    <t>pont-haitoca</t>
    <phoneticPr fontId="1" type="noConversion"/>
  </si>
  <si>
    <t>jid-haitoc</t>
    <phoneticPr fontId="1" type="noConversion"/>
  </si>
  <si>
    <t>jid-haitoca</t>
    <phoneticPr fontId="1" type="noConversion"/>
  </si>
  <si>
    <t>3-1</t>
    <phoneticPr fontId="1" type="noConversion"/>
  </si>
  <si>
    <t>近亲</t>
    <phoneticPr fontId="1" type="noConversion"/>
  </si>
  <si>
    <t>远亲</t>
    <phoneticPr fontId="1" type="noConversion"/>
  </si>
  <si>
    <t>曾孙</t>
    <phoneticPr fontId="1" type="noConversion"/>
  </si>
  <si>
    <t>曾孙女</t>
    <phoneticPr fontId="1" type="noConversion"/>
  </si>
  <si>
    <t>avoisat-coliamtsiv</t>
    <phoneticPr fontId="1" type="noConversion"/>
  </si>
  <si>
    <t>dedushdjc-coliamtsiv</t>
    <phoneticPr fontId="1" type="noConversion"/>
  </si>
  <si>
    <t>pont-avoisat</t>
    <phoneticPr fontId="1" type="noConversion"/>
  </si>
  <si>
    <t>pont-avoisata</t>
    <phoneticPr fontId="1" type="noConversion"/>
  </si>
  <si>
    <t>5-1</t>
    <phoneticPr fontId="1" type="noConversion"/>
  </si>
  <si>
    <t>3-5</t>
    <phoneticPr fontId="1" type="noConversion"/>
  </si>
  <si>
    <t>祖父母</t>
    <phoneticPr fontId="1" type="noConversion"/>
  </si>
  <si>
    <t>外祖父母</t>
    <phoneticPr fontId="1" type="noConversion"/>
  </si>
  <si>
    <t>曾祖父母</t>
    <phoneticPr fontId="1" type="noConversion"/>
  </si>
  <si>
    <t>曾祖父</t>
    <phoneticPr fontId="1" type="noConversion"/>
  </si>
  <si>
    <t>曾祖母</t>
    <phoneticPr fontId="1" type="noConversion"/>
  </si>
  <si>
    <t>pont-dedushdjc</t>
    <phoneticPr fontId="1" type="noConversion"/>
  </si>
  <si>
    <t>pont-dedushdjca</t>
    <phoneticPr fontId="1" type="noConversion"/>
  </si>
  <si>
    <t>曾外祖父</t>
    <phoneticPr fontId="1" type="noConversion"/>
  </si>
  <si>
    <t>曾外祖母</t>
    <phoneticPr fontId="1" type="noConversion"/>
  </si>
  <si>
    <t>jid-coliamtsiv</t>
    <phoneticPr fontId="1" type="noConversion"/>
  </si>
  <si>
    <t>高祖父母</t>
    <phoneticPr fontId="1" type="noConversion"/>
  </si>
  <si>
    <t>玄孙</t>
    <phoneticPr fontId="1" type="noConversion"/>
  </si>
  <si>
    <t>玄孙女</t>
    <phoneticPr fontId="1" type="noConversion"/>
  </si>
  <si>
    <t>高祖辈，玄孙辈；高祖父</t>
    <phoneticPr fontId="1" type="noConversion"/>
  </si>
  <si>
    <t>stocvaqu'âc</t>
    <phoneticPr fontId="1" type="noConversion"/>
  </si>
  <si>
    <t>vaisarâc</t>
    <phoneticPr fontId="1" type="noConversion"/>
  </si>
  <si>
    <t>ansne</t>
    <phoneticPr fontId="1" type="noConversion"/>
  </si>
  <si>
    <t>mencius</t>
    <phoneticPr fontId="1" type="noConversion"/>
  </si>
  <si>
    <t>孟子</t>
    <phoneticPr fontId="1" type="noConversion"/>
  </si>
  <si>
    <t>邻里间的</t>
    <phoneticPr fontId="1" type="noConversion"/>
  </si>
  <si>
    <t>朋友间的</t>
    <phoneticPr fontId="1" type="noConversion"/>
  </si>
  <si>
    <t>do</t>
    <phoneticPr fontId="1" type="noConversion"/>
  </si>
  <si>
    <t>athla</t>
    <phoneticPr fontId="1" type="noConversion"/>
  </si>
  <si>
    <t>vu</t>
    <phoneticPr fontId="1" type="noConversion"/>
  </si>
  <si>
    <t>meth</t>
    <phoneticPr fontId="1" type="noConversion"/>
  </si>
  <si>
    <t>vom</t>
    <phoneticPr fontId="1" type="noConversion"/>
  </si>
  <si>
    <t>erwac</t>
    <phoneticPr fontId="1" type="noConversion"/>
  </si>
  <si>
    <t>mitwi</t>
    <phoneticPr fontId="1" type="noConversion"/>
  </si>
  <si>
    <t>po</t>
    <phoneticPr fontId="1" type="noConversion"/>
  </si>
  <si>
    <t>ano</t>
    <phoneticPr fontId="1" type="noConversion"/>
  </si>
  <si>
    <t>ex</t>
    <phoneticPr fontId="1" type="noConversion"/>
  </si>
  <si>
    <t>via</t>
    <phoneticPr fontId="1" type="noConversion"/>
  </si>
  <si>
    <t>cor</t>
    <phoneticPr fontId="1" type="noConversion"/>
  </si>
  <si>
    <t>apute</t>
    <phoneticPr fontId="1" type="noConversion"/>
  </si>
  <si>
    <t>ab</t>
    <phoneticPr fontId="1" type="noConversion"/>
  </si>
  <si>
    <t>abss</t>
    <phoneticPr fontId="1" type="noConversion"/>
  </si>
  <si>
    <t>au</t>
    <phoneticPr fontId="1" type="noConversion"/>
  </si>
  <si>
    <t>de</t>
    <phoneticPr fontId="1" type="noConversion"/>
  </si>
  <si>
    <t>per</t>
    <phoneticPr fontId="1" type="noConversion"/>
  </si>
  <si>
    <t>p. a.-coliamtsiv</t>
    <phoneticPr fontId="1" type="noConversion"/>
  </si>
  <si>
    <t>pont-coliamtsiv</t>
    <phoneticPr fontId="1" type="noConversion"/>
  </si>
  <si>
    <t>pont-dedushdjc-coliamtsiv</t>
    <phoneticPr fontId="1" type="noConversion"/>
  </si>
  <si>
    <t>pont-avoisat-
coliamtsiv</t>
    <phoneticPr fontId="1" type="noConversion"/>
  </si>
  <si>
    <t>jid-avoisat-coliamtsiv</t>
    <phoneticPr fontId="1" type="noConversion"/>
  </si>
  <si>
    <t>jid-dedushdjc-
coliamtsiv</t>
    <phoneticPr fontId="1" type="noConversion"/>
  </si>
  <si>
    <t>almod</t>
    <phoneticPr fontId="1" type="noConversion"/>
  </si>
  <si>
    <t>atec.</t>
    <phoneticPr fontId="1" type="noConversion"/>
  </si>
  <si>
    <t>baf</t>
    <phoneticPr fontId="1" type="noConversion"/>
  </si>
  <si>
    <t>tiji</t>
    <phoneticPr fontId="1" type="noConversion"/>
  </si>
  <si>
    <t>dadal</t>
    <phoneticPr fontId="1" type="noConversion"/>
  </si>
  <si>
    <t>4-1-1</t>
    <phoneticPr fontId="1" type="noConversion"/>
  </si>
  <si>
    <t>3-1-1</t>
    <phoneticPr fontId="1" type="noConversion"/>
  </si>
  <si>
    <t>3-5-1</t>
    <phoneticPr fontId="1" type="noConversion"/>
  </si>
  <si>
    <t>1-5-1</t>
    <phoneticPr fontId="1" type="noConversion"/>
  </si>
  <si>
    <t>1-1-1</t>
    <phoneticPr fontId="1" type="noConversion"/>
  </si>
  <si>
    <t>曾外祖父母</t>
    <phoneticPr fontId="1" type="noConversion"/>
  </si>
  <si>
    <t>高外祖父母</t>
    <phoneticPr fontId="1" type="noConversion"/>
  </si>
  <si>
    <t>姑姑，姑父</t>
    <phoneticPr fontId="1" type="noConversion"/>
  </si>
  <si>
    <t>舅舅，舅妈</t>
    <phoneticPr fontId="1" type="noConversion"/>
  </si>
  <si>
    <t>jid-avoisat</t>
    <phoneticPr fontId="1" type="noConversion"/>
  </si>
  <si>
    <t>jid-avoisata</t>
    <phoneticPr fontId="1" type="noConversion"/>
  </si>
  <si>
    <t>1-5</t>
    <phoneticPr fontId="1" type="noConversion"/>
  </si>
  <si>
    <t>高祖父</t>
    <phoneticPr fontId="1" type="noConversion"/>
  </si>
  <si>
    <t>jid-dedushdjc</t>
    <phoneticPr fontId="1" type="noConversion"/>
  </si>
  <si>
    <t>jid-dedushdjca</t>
    <phoneticPr fontId="1" type="noConversion"/>
  </si>
  <si>
    <t>高外祖父</t>
    <phoneticPr fontId="1" type="noConversion"/>
  </si>
  <si>
    <t>高外祖母</t>
    <phoneticPr fontId="1" type="noConversion"/>
  </si>
  <si>
    <t>p. d.-coliamtsiv</t>
    <phoneticPr fontId="1" type="noConversion"/>
  </si>
  <si>
    <t>4-4-1</t>
    <phoneticPr fontId="1" type="noConversion"/>
  </si>
  <si>
    <t>j. a.-coliamtsiv</t>
    <phoneticPr fontId="1" type="noConversion"/>
  </si>
  <si>
    <t>j. d.-coliamtsiv</t>
    <phoneticPr fontId="1" type="noConversion"/>
  </si>
  <si>
    <t>5-1-1</t>
    <phoneticPr fontId="1" type="noConversion"/>
  </si>
  <si>
    <t>5-4-1</t>
    <phoneticPr fontId="1" type="noConversion"/>
  </si>
  <si>
    <t>eta.</t>
    <phoneticPr fontId="1" type="noConversion"/>
  </si>
  <si>
    <t>qien</t>
    <phoneticPr fontId="1" type="noConversion"/>
  </si>
  <si>
    <t>zui</t>
    <phoneticPr fontId="1" type="noConversion"/>
  </si>
  <si>
    <t>trai</t>
    <phoneticPr fontId="1" type="noConversion"/>
  </si>
  <si>
    <t>fai</t>
    <phoneticPr fontId="1" type="noConversion"/>
  </si>
  <si>
    <t>tron</t>
    <phoneticPr fontId="1" type="noConversion"/>
  </si>
  <si>
    <t>fiei</t>
    <phoneticPr fontId="1" type="noConversion"/>
  </si>
  <si>
    <t>intra</t>
    <phoneticPr fontId="1" type="noConversion"/>
  </si>
  <si>
    <t>oasht</t>
    <phoneticPr fontId="1" type="noConversion"/>
  </si>
  <si>
    <t>上</t>
    <phoneticPr fontId="1" type="noConversion"/>
  </si>
  <si>
    <t>下</t>
    <phoneticPr fontId="1" type="noConversion"/>
  </si>
  <si>
    <t>左</t>
    <phoneticPr fontId="1" type="noConversion"/>
  </si>
  <si>
    <t>右</t>
    <phoneticPr fontId="1" type="noConversion"/>
  </si>
  <si>
    <t>前</t>
    <phoneticPr fontId="1" type="noConversion"/>
  </si>
  <si>
    <t>后</t>
    <phoneticPr fontId="1" type="noConversion"/>
  </si>
  <si>
    <t>中，中间；介于</t>
    <phoneticPr fontId="1" type="noConversion"/>
  </si>
  <si>
    <t>内</t>
    <phoneticPr fontId="1" type="noConversion"/>
  </si>
  <si>
    <t>外</t>
    <phoneticPr fontId="1" type="noConversion"/>
  </si>
  <si>
    <t>到，至, do la noctu到夜晚, do inglia到英国, do sacin 19tua.
到19世纪</t>
    <phoneticPr fontId="1" type="noConversion"/>
  </si>
  <si>
    <t>在……期间, athla la tawabeya corodha在疫情时期</t>
    <phoneticPr fontId="1" type="noConversion"/>
  </si>
  <si>
    <t>用来；以；为了；以来, ascud vu hal为他鼓掌, vu ovôlen la spemra为了揭示阴谋</t>
    <phoneticPr fontId="1" type="noConversion"/>
  </si>
  <si>
    <t>有；带着, meth fenomenal de efeiuca有极好的效果</t>
    <phoneticPr fontId="1" type="noConversion"/>
  </si>
  <si>
    <t>来自, vom nanjiun来自南京, pruntent vom cuoseadech
据皇室展露的消息</t>
    <phoneticPr fontId="1" type="noConversion"/>
  </si>
  <si>
    <t>朝，朝向, curan erwac hal'o hjumre朝他的房间走</t>
    <phoneticPr fontId="1" type="noConversion"/>
  </si>
  <si>
    <t>在……与……中间, esêt mitwi yi'o ta'lfar en neimur坐在
他的父母中间</t>
    <phoneticPr fontId="1" type="noConversion"/>
  </si>
  <si>
    <t>沿着，顺着, curan po la pauleveth沿着林荫大道走</t>
    <phoneticPr fontId="1" type="noConversion"/>
  </si>
  <si>
    <t>在……上，内，中, ano esum在夏天, ano em在行动中</t>
    <phoneticPr fontId="1" type="noConversion"/>
  </si>
  <si>
    <t>作为, ex un de drany lerzoe作为国家公民</t>
    <phoneticPr fontId="1" type="noConversion"/>
  </si>
  <si>
    <t>经过, curan via un nelpencaper走过摩天大厦, via india do zogia
取道印度到中国</t>
    <phoneticPr fontId="1" type="noConversion"/>
  </si>
  <si>
    <t>对，对于, sanitoze cor la viso给器皿消毒, cor nebuyi对于
贵族来说</t>
    <phoneticPr fontId="1" type="noConversion"/>
  </si>
  <si>
    <t>在……之间, apute studento, vis si la moss m'selenzeaj de.
所有学生之中，你是最吵闹的。</t>
    <phoneticPr fontId="1" type="noConversion"/>
  </si>
  <si>
    <t>根据, au de la natrun carbon根据碳元素的性质</t>
    <phoneticPr fontId="1" type="noConversion"/>
  </si>
  <si>
    <t>societe</t>
    <phoneticPr fontId="1" type="noConversion"/>
  </si>
  <si>
    <t>societehelta</t>
    <phoneticPr fontId="1" type="noConversion"/>
  </si>
  <si>
    <t>社会</t>
    <phoneticPr fontId="1" type="noConversion"/>
  </si>
  <si>
    <t>societerin</t>
    <phoneticPr fontId="1" type="noConversion"/>
  </si>
  <si>
    <t>societenol</t>
    <phoneticPr fontId="1" type="noConversion"/>
  </si>
  <si>
    <t>社会化，个人学习社会规范、价值观的过程</t>
    <phoneticPr fontId="1" type="noConversion"/>
  </si>
  <si>
    <t>societeheltarin</t>
    <phoneticPr fontId="1" type="noConversion"/>
  </si>
  <si>
    <t>socio</t>
    <phoneticPr fontId="1" type="noConversion"/>
  </si>
  <si>
    <t>社会，社会学</t>
    <phoneticPr fontId="1" type="noConversion"/>
  </si>
  <si>
    <t>materailjzmos</t>
    <phoneticPr fontId="1" type="noConversion"/>
  </si>
  <si>
    <t>物质主义</t>
    <phoneticPr fontId="1" type="noConversion"/>
  </si>
  <si>
    <t>eneromaterailjzmos</t>
    <phoneticPr fontId="1" type="noConversion"/>
  </si>
  <si>
    <t>唯物主义</t>
    <phoneticPr fontId="1" type="noConversion"/>
  </si>
  <si>
    <t>materailjzmosanol</t>
    <phoneticPr fontId="1" type="noConversion"/>
  </si>
  <si>
    <t>eneromaterailjzmosan
ol</t>
    <phoneticPr fontId="1" type="noConversion"/>
  </si>
  <si>
    <t>materialjzt</t>
    <phoneticPr fontId="1" type="noConversion"/>
  </si>
  <si>
    <t>eneromaterialjzt</t>
    <phoneticPr fontId="1" type="noConversion"/>
  </si>
  <si>
    <t>物质主义者</t>
    <phoneticPr fontId="1" type="noConversion"/>
  </si>
  <si>
    <t>唯物主义者</t>
    <phoneticPr fontId="1" type="noConversion"/>
  </si>
  <si>
    <t>materialjztanol</t>
    <phoneticPr fontId="1" type="noConversion"/>
  </si>
  <si>
    <t>eneromaterialjztanol</t>
    <phoneticPr fontId="1" type="noConversion"/>
  </si>
  <si>
    <t>自从, ab hal'o ta'lfar duct le自从他父亲死后</t>
    <phoneticPr fontId="1" type="noConversion"/>
  </si>
  <si>
    <t>距离, abss 5 zhole beijiun距离北京5华里</t>
    <phoneticPr fontId="1" type="noConversion"/>
  </si>
  <si>
    <t>的, goda de rancan好计划, de la stocvaqu'朋友的</t>
    <phoneticPr fontId="1" type="noConversion"/>
  </si>
  <si>
    <t>的, de+de, alim det diranzhug eufetag科学历法的作用</t>
    <phoneticPr fontId="1" type="noConversion"/>
  </si>
  <si>
    <t>由；每, per dir每人, pisnajil per un rh'eoriticezt由一位修辞学家撰写</t>
    <phoneticPr fontId="1" type="noConversion"/>
  </si>
  <si>
    <t>mucwacnir</t>
    <phoneticPr fontId="1" type="noConversion"/>
  </si>
  <si>
    <t>zocwacnir</t>
    <phoneticPr fontId="1" type="noConversion"/>
  </si>
  <si>
    <t>achwacnir</t>
    <phoneticPr fontId="1" type="noConversion"/>
  </si>
  <si>
    <t>ciswacnir</t>
    <phoneticPr fontId="1" type="noConversion"/>
  </si>
  <si>
    <t>menwacnir</t>
    <phoneticPr fontId="1" type="noConversion"/>
  </si>
  <si>
    <t>mucfylar</t>
    <phoneticPr fontId="1" type="noConversion"/>
  </si>
  <si>
    <t>zocfylar</t>
    <phoneticPr fontId="1" type="noConversion"/>
  </si>
  <si>
    <t>achfylar</t>
    <phoneticPr fontId="1" type="noConversion"/>
  </si>
  <si>
    <t>cisfylar</t>
    <phoneticPr fontId="1" type="noConversion"/>
  </si>
  <si>
    <t>menfylar</t>
    <phoneticPr fontId="1" type="noConversion"/>
  </si>
  <si>
    <t>嫡长子</t>
    <phoneticPr fontId="1" type="noConversion"/>
  </si>
  <si>
    <t>次子</t>
    <phoneticPr fontId="1" type="noConversion"/>
  </si>
  <si>
    <t>三子</t>
    <phoneticPr fontId="1" type="noConversion"/>
  </si>
  <si>
    <t>老幺，小儿子</t>
    <phoneticPr fontId="1" type="noConversion"/>
  </si>
  <si>
    <t>庶长子</t>
    <phoneticPr fontId="1" type="noConversion"/>
  </si>
  <si>
    <t>嫡长女</t>
    <phoneticPr fontId="1" type="noConversion"/>
  </si>
  <si>
    <t>次女</t>
    <phoneticPr fontId="1" type="noConversion"/>
  </si>
  <si>
    <t>三女</t>
    <phoneticPr fontId="1" type="noConversion"/>
  </si>
  <si>
    <t>小女儿</t>
    <phoneticPr fontId="1" type="noConversion"/>
  </si>
  <si>
    <t>庶长女</t>
    <phoneticPr fontId="1" type="noConversion"/>
  </si>
  <si>
    <t>7-1</t>
    <phoneticPr fontId="1" type="noConversion"/>
  </si>
  <si>
    <t>bronceryrin</t>
    <phoneticPr fontId="1" type="noConversion"/>
  </si>
  <si>
    <t>guldaryrin</t>
    <phoneticPr fontId="1" type="noConversion"/>
  </si>
  <si>
    <t>fopaceryrin</t>
    <phoneticPr fontId="1" type="noConversion"/>
  </si>
  <si>
    <t>etaleryrin</t>
    <phoneticPr fontId="1" type="noConversion"/>
  </si>
  <si>
    <t>corticaleryrin</t>
    <phoneticPr fontId="1" type="noConversion"/>
  </si>
  <si>
    <t>cotenryrin</t>
    <phoneticPr fontId="1" type="noConversion"/>
  </si>
  <si>
    <t>acieryrin</t>
    <phoneticPr fontId="1" type="noConversion"/>
  </si>
  <si>
    <t>feoryrin</t>
    <phoneticPr fontId="1" type="noConversion"/>
  </si>
  <si>
    <t>paperyrin</t>
    <phoneticPr fontId="1" type="noConversion"/>
  </si>
  <si>
    <t>silveryrin</t>
    <phoneticPr fontId="1" type="noConversion"/>
  </si>
  <si>
    <t>alimineryrin</t>
    <phoneticPr fontId="1" type="noConversion"/>
  </si>
  <si>
    <t>zinceryrin</t>
    <phoneticPr fontId="1" type="noConversion"/>
  </si>
  <si>
    <t>bambuceryrin</t>
    <phoneticPr fontId="1" type="noConversion"/>
  </si>
  <si>
    <t>plastiqu'eryrin</t>
    <phoneticPr fontId="1" type="noConversion"/>
  </si>
  <si>
    <t>veceryrin</t>
    <phoneticPr fontId="1" type="noConversion"/>
  </si>
  <si>
    <t>黄金制品</t>
    <phoneticPr fontId="1" type="noConversion"/>
  </si>
  <si>
    <t>白银制品</t>
    <phoneticPr fontId="1" type="noConversion"/>
  </si>
  <si>
    <t>锡器</t>
    <phoneticPr fontId="1" type="noConversion"/>
  </si>
  <si>
    <t>铜器</t>
    <phoneticPr fontId="1" type="noConversion"/>
  </si>
  <si>
    <t>皮革制品</t>
    <phoneticPr fontId="1" type="noConversion"/>
  </si>
  <si>
    <t>棉物</t>
    <phoneticPr fontId="1" type="noConversion"/>
  </si>
  <si>
    <t>钢制品</t>
    <phoneticPr fontId="1" type="noConversion"/>
  </si>
  <si>
    <t>铁制品</t>
    <phoneticPr fontId="1" type="noConversion"/>
  </si>
  <si>
    <t>纸制品</t>
    <phoneticPr fontId="1" type="noConversion"/>
  </si>
  <si>
    <t>木制品</t>
    <phoneticPr fontId="1" type="noConversion"/>
  </si>
  <si>
    <t>铝制品</t>
    <phoneticPr fontId="1" type="noConversion"/>
  </si>
  <si>
    <t>锌制品</t>
    <phoneticPr fontId="1" type="noConversion"/>
  </si>
  <si>
    <t>竹制物</t>
    <phoneticPr fontId="1" type="noConversion"/>
  </si>
  <si>
    <t>塑料制品</t>
    <phoneticPr fontId="1" type="noConversion"/>
  </si>
  <si>
    <t>玻璃制品</t>
    <phoneticPr fontId="1" type="noConversion"/>
  </si>
  <si>
    <t>bronceryscasir</t>
    <phoneticPr fontId="1" type="noConversion"/>
  </si>
  <si>
    <t>guldaryscasir</t>
    <phoneticPr fontId="1" type="noConversion"/>
  </si>
  <si>
    <t>fopaceryscasir</t>
    <phoneticPr fontId="1" type="noConversion"/>
  </si>
  <si>
    <t>etaleryscasir</t>
    <phoneticPr fontId="1" type="noConversion"/>
  </si>
  <si>
    <t>corticaleryscasir</t>
    <phoneticPr fontId="1" type="noConversion"/>
  </si>
  <si>
    <t>cotenryscasir</t>
    <phoneticPr fontId="1" type="noConversion"/>
  </si>
  <si>
    <t>acieryscasir</t>
    <phoneticPr fontId="1" type="noConversion"/>
  </si>
  <si>
    <t>feoryscasir</t>
    <phoneticPr fontId="1" type="noConversion"/>
  </si>
  <si>
    <t>paperyscasir</t>
    <phoneticPr fontId="1" type="noConversion"/>
  </si>
  <si>
    <t>silveryscasir</t>
    <phoneticPr fontId="1" type="noConversion"/>
  </si>
  <si>
    <t>alimineryscasir</t>
    <phoneticPr fontId="1" type="noConversion"/>
  </si>
  <si>
    <t>zinceryscasir</t>
    <phoneticPr fontId="1" type="noConversion"/>
  </si>
  <si>
    <t>bambuceryscasir</t>
    <phoneticPr fontId="1" type="noConversion"/>
  </si>
  <si>
    <t>plastiqu'eryscasir</t>
    <phoneticPr fontId="1" type="noConversion"/>
  </si>
  <si>
    <t>veceryscasir</t>
    <phoneticPr fontId="1" type="noConversion"/>
  </si>
  <si>
    <t>eu'lse</t>
    <phoneticPr fontId="1" type="noConversion"/>
  </si>
  <si>
    <t>electron</t>
    <phoneticPr fontId="1" type="noConversion"/>
  </si>
  <si>
    <t>electrom-storja</t>
    <phoneticPr fontId="1" type="noConversion"/>
  </si>
  <si>
    <t>storja</t>
    <phoneticPr fontId="1" type="noConversion"/>
  </si>
  <si>
    <t>moh'lan</t>
    <phoneticPr fontId="1" type="noConversion"/>
  </si>
  <si>
    <t>radioeu'lse</t>
    <phoneticPr fontId="1" type="noConversion"/>
  </si>
  <si>
    <t>radio'lse</t>
    <phoneticPr fontId="1" type="noConversion"/>
  </si>
  <si>
    <t>muscutaul de eu'lse</t>
    <phoneticPr fontId="1" type="noConversion"/>
  </si>
  <si>
    <t>eu'lsenol</t>
    <phoneticPr fontId="1" type="noConversion"/>
  </si>
  <si>
    <t>guânz eu'lse</t>
    <phoneticPr fontId="1" type="noConversion"/>
  </si>
  <si>
    <t>halogen</t>
    <phoneticPr fontId="1" type="noConversion"/>
  </si>
  <si>
    <t>moh'lan eu'lse</t>
    <phoneticPr fontId="1" type="noConversion"/>
  </si>
  <si>
    <t>ubergan'lse</t>
    <phoneticPr fontId="1" type="noConversion"/>
  </si>
  <si>
    <t>xithmoh'lse</t>
    <phoneticPr fontId="1" type="noConversion"/>
  </si>
  <si>
    <t>xithmoh'lan eul'se</t>
    <phoneticPr fontId="1" type="noConversion"/>
  </si>
  <si>
    <t>xithmoh'lan</t>
    <phoneticPr fontId="1" type="noConversion"/>
  </si>
  <si>
    <t>terhar</t>
    <phoneticPr fontId="1" type="noConversion"/>
  </si>
  <si>
    <t>suje</t>
    <phoneticPr fontId="1" type="noConversion"/>
  </si>
  <si>
    <t>suye</t>
    <phoneticPr fontId="1" type="noConversion"/>
  </si>
  <si>
    <t>jac</t>
    <phoneticPr fontId="1" type="noConversion"/>
  </si>
  <si>
    <t>flordno</t>
    <phoneticPr fontId="1" type="noConversion"/>
  </si>
  <si>
    <t>turbir</t>
    <phoneticPr fontId="1" type="noConversion"/>
  </si>
  <si>
    <t>guânz</t>
    <phoneticPr fontId="1" type="noConversion"/>
  </si>
  <si>
    <t>electric</t>
    <phoneticPr fontId="1" type="noConversion"/>
  </si>
  <si>
    <t>seltolan</t>
    <phoneticPr fontId="1" type="noConversion"/>
  </si>
  <si>
    <t>htsaibojen</t>
    <phoneticPr fontId="1" type="noConversion"/>
  </si>
  <si>
    <t>hstaibo-</t>
    <phoneticPr fontId="1" type="noConversion"/>
  </si>
  <si>
    <t>helium</t>
    <phoneticPr fontId="1" type="noConversion"/>
  </si>
  <si>
    <t>lithyus</t>
    <phoneticPr fontId="1" type="noConversion"/>
  </si>
  <si>
    <t>berylyus</t>
    <phoneticPr fontId="1" type="noConversion"/>
  </si>
  <si>
    <t>buron</t>
    <phoneticPr fontId="1" type="noConversion"/>
  </si>
  <si>
    <t>carbon</t>
    <phoneticPr fontId="1" type="noConversion"/>
  </si>
  <si>
    <t>azashit</t>
    <phoneticPr fontId="1" type="noConversion"/>
  </si>
  <si>
    <t>nitrat</t>
    <phoneticPr fontId="1" type="noConversion"/>
  </si>
  <si>
    <t>ammonia</t>
    <phoneticPr fontId="1" type="noConversion"/>
  </si>
  <si>
    <t>htsaibozin</t>
    <phoneticPr fontId="1" type="noConversion"/>
  </si>
  <si>
    <t>sôy</t>
    <phoneticPr fontId="1" type="noConversion"/>
  </si>
  <si>
    <t>sô</t>
    <phoneticPr fontId="1" type="noConversion"/>
  </si>
  <si>
    <t>oxijen</t>
    <phoneticPr fontId="1" type="noConversion"/>
  </si>
  <si>
    <t>ozôn</t>
    <phoneticPr fontId="1" type="noConversion"/>
  </si>
  <si>
    <t>flor</t>
    <phoneticPr fontId="1" type="noConversion"/>
  </si>
  <si>
    <t>nion</t>
    <phoneticPr fontId="1" type="noConversion"/>
  </si>
  <si>
    <t>sodic</t>
    <phoneticPr fontId="1" type="noConversion"/>
  </si>
  <si>
    <t>megneshic</t>
    <phoneticPr fontId="1" type="noConversion"/>
  </si>
  <si>
    <t>silicon</t>
    <phoneticPr fontId="1" type="noConversion"/>
  </si>
  <si>
    <t>fosforus</t>
    <phoneticPr fontId="1" type="noConversion"/>
  </si>
  <si>
    <t>sulacauris</t>
    <phoneticPr fontId="1" type="noConversion"/>
  </si>
  <si>
    <t>ch'iuluer</t>
    <phoneticPr fontId="1" type="noConversion"/>
  </si>
  <si>
    <t>argony</t>
    <phoneticPr fontId="1" type="noConversion"/>
  </si>
  <si>
    <t>patassnius</t>
    <phoneticPr fontId="1" type="noConversion"/>
  </si>
  <si>
    <t>patassnyus</t>
    <phoneticPr fontId="1" type="noConversion"/>
  </si>
  <si>
    <t>calip</t>
    <phoneticPr fontId="1" type="noConversion"/>
  </si>
  <si>
    <t>scand</t>
    <phoneticPr fontId="1" type="noConversion"/>
  </si>
  <si>
    <t>titan</t>
    <phoneticPr fontId="1" type="noConversion"/>
  </si>
  <si>
    <t>vanady</t>
    <phoneticPr fontId="1" type="noConversion"/>
  </si>
  <si>
    <t>cirome</t>
    <phoneticPr fontId="1" type="noConversion"/>
  </si>
  <si>
    <t>maganetse</t>
    <phoneticPr fontId="1" type="noConversion"/>
  </si>
  <si>
    <t>cubaity</t>
    <phoneticPr fontId="1" type="noConversion"/>
  </si>
  <si>
    <t>niciel</t>
    <phoneticPr fontId="1" type="noConversion"/>
  </si>
  <si>
    <t>gal</t>
    <phoneticPr fontId="1" type="noConversion"/>
  </si>
  <si>
    <t>germany</t>
    <phoneticPr fontId="1" type="noConversion"/>
  </si>
  <si>
    <t>meshyac</t>
    <phoneticPr fontId="1" type="noConversion"/>
  </si>
  <si>
    <t>selenium</t>
    <phoneticPr fontId="1" type="noConversion"/>
  </si>
  <si>
    <t>bromin</t>
    <phoneticPr fontId="1" type="noConversion"/>
  </si>
  <si>
    <t>cripton</t>
    <phoneticPr fontId="1" type="noConversion"/>
  </si>
  <si>
    <t>rubidy</t>
    <phoneticPr fontId="1" type="noConversion"/>
  </si>
  <si>
    <t>stronty</t>
    <phoneticPr fontId="1" type="noConversion"/>
  </si>
  <si>
    <t>irtry</t>
    <phoneticPr fontId="1" type="noConversion"/>
  </si>
  <si>
    <t>zircuny</t>
    <phoneticPr fontId="1" type="noConversion"/>
  </si>
  <si>
    <t>nojuby</t>
    <phoneticPr fontId="1" type="noConversion"/>
  </si>
  <si>
    <t>molybden</t>
    <phoneticPr fontId="1" type="noConversion"/>
  </si>
  <si>
    <t>tecnetsym</t>
    <phoneticPr fontId="1" type="noConversion"/>
  </si>
  <si>
    <t>rutheny</t>
    <phoneticPr fontId="1" type="noConversion"/>
  </si>
  <si>
    <t>rh'uzy</t>
    <phoneticPr fontId="1" type="noConversion"/>
  </si>
  <si>
    <t>palady</t>
    <phoneticPr fontId="1" type="noConversion"/>
  </si>
  <si>
    <t>cadmy</t>
    <phoneticPr fontId="1" type="noConversion"/>
  </si>
  <si>
    <t>indy</t>
    <phoneticPr fontId="1" type="noConversion"/>
  </si>
  <si>
    <t>antimon</t>
    <phoneticPr fontId="1" type="noConversion"/>
  </si>
  <si>
    <t>telury</t>
    <phoneticPr fontId="1" type="noConversion"/>
  </si>
  <si>
    <t>xenon</t>
    <phoneticPr fontId="1" type="noConversion"/>
  </si>
  <si>
    <t>tsecy</t>
    <phoneticPr fontId="1" type="noConversion"/>
  </si>
  <si>
    <t>bary</t>
    <phoneticPr fontId="1" type="noConversion"/>
  </si>
  <si>
    <t>lanthannum</t>
    <phoneticPr fontId="1" type="noConversion"/>
  </si>
  <si>
    <t>tsery</t>
    <phoneticPr fontId="1" type="noConversion"/>
  </si>
  <si>
    <t>praseodymyus</t>
    <phoneticPr fontId="1" type="noConversion"/>
  </si>
  <si>
    <t>neodimy</t>
    <phoneticPr fontId="1" type="noConversion"/>
  </si>
  <si>
    <t>promethy</t>
    <phoneticPr fontId="1" type="noConversion"/>
  </si>
  <si>
    <t>samary</t>
    <phoneticPr fontId="1" type="noConversion"/>
  </si>
  <si>
    <t>europy</t>
    <phoneticPr fontId="1" type="noConversion"/>
  </si>
  <si>
    <t>terbium</t>
    <phoneticPr fontId="1" type="noConversion"/>
  </si>
  <si>
    <t>despruosy</t>
    <phoneticPr fontId="1" type="noConversion"/>
  </si>
  <si>
    <t>holmy</t>
    <phoneticPr fontId="1" type="noConversion"/>
  </si>
  <si>
    <t>erby</t>
    <phoneticPr fontId="1" type="noConversion"/>
  </si>
  <si>
    <t>tuly</t>
    <phoneticPr fontId="1" type="noConversion"/>
  </si>
  <si>
    <t>yterby</t>
    <phoneticPr fontId="1" type="noConversion"/>
  </si>
  <si>
    <t>lutesty</t>
    <phoneticPr fontId="1" type="noConversion"/>
  </si>
  <si>
    <t>hafny</t>
    <phoneticPr fontId="1" type="noConversion"/>
  </si>
  <si>
    <t>tantaly</t>
    <phoneticPr fontId="1" type="noConversion"/>
  </si>
  <si>
    <t>tulifriam</t>
    <phoneticPr fontId="1" type="noConversion"/>
  </si>
  <si>
    <t>rh'eny</t>
    <phoneticPr fontId="1" type="noConversion"/>
  </si>
  <si>
    <t>osmy</t>
    <phoneticPr fontId="1" type="noConversion"/>
  </si>
  <si>
    <t>iridy</t>
    <phoneticPr fontId="1" type="noConversion"/>
  </si>
  <si>
    <t>platin</t>
    <phoneticPr fontId="1" type="noConversion"/>
  </si>
  <si>
    <t>gadoliny</t>
    <phoneticPr fontId="1" type="noConversion"/>
  </si>
  <si>
    <t>mercury</t>
    <phoneticPr fontId="1" type="noConversion"/>
  </si>
  <si>
    <t>cestero</t>
    <phoneticPr fontId="1" type="noConversion"/>
  </si>
  <si>
    <t>thally</t>
    <phoneticPr fontId="1" type="noConversion"/>
  </si>
  <si>
    <t>condireigir</t>
    <phoneticPr fontId="1" type="noConversion"/>
  </si>
  <si>
    <t>bismuth</t>
    <phoneticPr fontId="1" type="noConversion"/>
  </si>
  <si>
    <t>polony</t>
    <phoneticPr fontId="1" type="noConversion"/>
  </si>
  <si>
    <t>astatin</t>
    <phoneticPr fontId="1" type="noConversion"/>
  </si>
  <si>
    <t>fransy</t>
    <phoneticPr fontId="1" type="noConversion"/>
  </si>
  <si>
    <t>rady</t>
    <phoneticPr fontId="1" type="noConversion"/>
  </si>
  <si>
    <t>actiny</t>
    <phoneticPr fontId="1" type="noConversion"/>
  </si>
  <si>
    <t>thory</t>
    <phoneticPr fontId="1" type="noConversion"/>
  </si>
  <si>
    <t>protactiny</t>
    <phoneticPr fontId="1" type="noConversion"/>
  </si>
  <si>
    <t>urany</t>
    <phoneticPr fontId="1" type="noConversion"/>
  </si>
  <si>
    <t>neptunyus</t>
    <phoneticPr fontId="1" type="noConversion"/>
  </si>
  <si>
    <t>plutonyus</t>
    <phoneticPr fontId="1" type="noConversion"/>
  </si>
  <si>
    <t>americy</t>
    <phoneticPr fontId="1" type="noConversion"/>
  </si>
  <si>
    <t>cury</t>
    <phoneticPr fontId="1" type="noConversion"/>
  </si>
  <si>
    <t>bercely</t>
    <phoneticPr fontId="1" type="noConversion"/>
  </si>
  <si>
    <t>califormie</t>
    <phoneticPr fontId="1" type="noConversion"/>
  </si>
  <si>
    <t>califormy</t>
    <phoneticPr fontId="1" type="noConversion"/>
  </si>
  <si>
    <t>einsteiny</t>
    <phoneticPr fontId="1" type="noConversion"/>
  </si>
  <si>
    <t>fermy</t>
    <phoneticPr fontId="1" type="noConversion"/>
  </si>
  <si>
    <t>merdelevy</t>
    <phoneticPr fontId="1" type="noConversion"/>
  </si>
  <si>
    <t>nobely</t>
    <phoneticPr fontId="1" type="noConversion"/>
  </si>
  <si>
    <t>lawrency</t>
    <phoneticPr fontId="1" type="noConversion"/>
  </si>
  <si>
    <t>rutherfordy</t>
    <phoneticPr fontId="1" type="noConversion"/>
  </si>
  <si>
    <t>dubny</t>
    <phoneticPr fontId="1" type="noConversion"/>
  </si>
  <si>
    <t>seaborgy</t>
    <phoneticPr fontId="1" type="noConversion"/>
  </si>
  <si>
    <t>boh'ry</t>
    <phoneticPr fontId="1" type="noConversion"/>
  </si>
  <si>
    <t>hasy</t>
    <phoneticPr fontId="1" type="noConversion"/>
  </si>
  <si>
    <t>meithery</t>
    <phoneticPr fontId="1" type="noConversion"/>
  </si>
  <si>
    <t>darmstadty</t>
    <phoneticPr fontId="1" type="noConversion"/>
  </si>
  <si>
    <t>roentgeny</t>
    <phoneticPr fontId="1" type="noConversion"/>
  </si>
  <si>
    <t>copernicy</t>
    <phoneticPr fontId="1" type="noConversion"/>
  </si>
  <si>
    <t>ununby</t>
    <phoneticPr fontId="1" type="noConversion"/>
  </si>
  <si>
    <t>nihony</t>
    <phoneticPr fontId="1" type="noConversion"/>
  </si>
  <si>
    <t>ununtry</t>
    <phoneticPr fontId="1" type="noConversion"/>
  </si>
  <si>
    <t>flerovy</t>
    <phoneticPr fontId="1" type="noConversion"/>
  </si>
  <si>
    <t>ununqu'ady</t>
    <phoneticPr fontId="1" type="noConversion"/>
  </si>
  <si>
    <t>moscovy</t>
    <phoneticPr fontId="1" type="noConversion"/>
  </si>
  <si>
    <t>ununpenty</t>
    <phoneticPr fontId="1" type="noConversion"/>
  </si>
  <si>
    <t>livermory</t>
    <phoneticPr fontId="1" type="noConversion"/>
  </si>
  <si>
    <t>ununhexy</t>
    <phoneticPr fontId="1" type="noConversion"/>
  </si>
  <si>
    <t>tenesine</t>
    <phoneticPr fontId="1" type="noConversion"/>
  </si>
  <si>
    <t>ununsepty</t>
    <phoneticPr fontId="1" type="noConversion"/>
  </si>
  <si>
    <t>oganeson</t>
    <phoneticPr fontId="1" type="noConversion"/>
  </si>
  <si>
    <t>ununocty</t>
    <phoneticPr fontId="1" type="noConversion"/>
  </si>
  <si>
    <t>unun'octy</t>
    <phoneticPr fontId="1" type="noConversion"/>
  </si>
  <si>
    <t>unbihexy</t>
    <phoneticPr fontId="1" type="noConversion"/>
  </si>
  <si>
    <t>电子</t>
    <phoneticPr fontId="1" type="noConversion"/>
  </si>
  <si>
    <t>电子层</t>
    <phoneticPr fontId="1" type="noConversion"/>
  </si>
  <si>
    <t>层</t>
    <phoneticPr fontId="1" type="noConversion"/>
  </si>
  <si>
    <t>金，金属</t>
    <phoneticPr fontId="1" type="noConversion"/>
  </si>
  <si>
    <t>放射性元素</t>
    <phoneticPr fontId="1" type="noConversion"/>
  </si>
  <si>
    <t>人造元素</t>
    <phoneticPr fontId="1" type="noConversion"/>
  </si>
  <si>
    <t>气体元素</t>
    <phoneticPr fontId="1" type="noConversion"/>
  </si>
  <si>
    <t>卤素</t>
    <phoneticPr fontId="1" type="noConversion"/>
  </si>
  <si>
    <t>金属元素</t>
    <phoneticPr fontId="1" type="noConversion"/>
  </si>
  <si>
    <t>过渡元素</t>
    <phoneticPr fontId="1" type="noConversion"/>
  </si>
  <si>
    <t>非金属</t>
    <phoneticPr fontId="1" type="noConversion"/>
  </si>
  <si>
    <t>非金属元素</t>
    <phoneticPr fontId="1" type="noConversion"/>
  </si>
  <si>
    <t>土</t>
    <phoneticPr fontId="1" type="noConversion"/>
  </si>
  <si>
    <t>水</t>
    <phoneticPr fontId="1" type="noConversion"/>
  </si>
  <si>
    <t>光</t>
    <phoneticPr fontId="1" type="noConversion"/>
  </si>
  <si>
    <t>火</t>
    <phoneticPr fontId="1" type="noConversion"/>
  </si>
  <si>
    <t>木</t>
    <phoneticPr fontId="1" type="noConversion"/>
  </si>
  <si>
    <t>气体，气</t>
    <phoneticPr fontId="1" type="noConversion"/>
  </si>
  <si>
    <t>电</t>
    <phoneticPr fontId="1" type="noConversion"/>
  </si>
  <si>
    <t>稀土</t>
    <phoneticPr fontId="1" type="noConversion"/>
  </si>
  <si>
    <t>硝</t>
    <phoneticPr fontId="1" type="noConversion"/>
  </si>
  <si>
    <t>氨</t>
    <phoneticPr fontId="1" type="noConversion"/>
  </si>
  <si>
    <t>肼</t>
    <phoneticPr fontId="1" type="noConversion"/>
  </si>
  <si>
    <t>豆</t>
    <phoneticPr fontId="1" type="noConversion"/>
  </si>
  <si>
    <t>臭氧</t>
    <phoneticPr fontId="1" type="noConversion"/>
  </si>
  <si>
    <t>水银</t>
    <phoneticPr fontId="1" type="noConversion"/>
  </si>
  <si>
    <t>radon</t>
    <phoneticPr fontId="1" type="noConversion"/>
  </si>
  <si>
    <t>物理</t>
    <phoneticPr fontId="1" type="noConversion"/>
  </si>
  <si>
    <t>化学</t>
    <phoneticPr fontId="1" type="noConversion"/>
  </si>
  <si>
    <t>作物</t>
    <phoneticPr fontId="1" type="noConversion"/>
  </si>
  <si>
    <t>氢,H</t>
    <phoneticPr fontId="1" type="noConversion"/>
  </si>
  <si>
    <t>氢气；氢, H</t>
    <phoneticPr fontId="1" type="noConversion"/>
  </si>
  <si>
    <t>氦, He</t>
    <phoneticPr fontId="1" type="noConversion"/>
  </si>
  <si>
    <t>锂, Li</t>
    <phoneticPr fontId="1" type="noConversion"/>
  </si>
  <si>
    <t>铍, Be</t>
    <phoneticPr fontId="1" type="noConversion"/>
  </si>
  <si>
    <t>硼, B</t>
    <phoneticPr fontId="1" type="noConversion"/>
  </si>
  <si>
    <t>碳, C</t>
    <phoneticPr fontId="1" type="noConversion"/>
  </si>
  <si>
    <t>氮, N</t>
    <phoneticPr fontId="1" type="noConversion"/>
  </si>
  <si>
    <t>氧, O</t>
    <phoneticPr fontId="1" type="noConversion"/>
  </si>
  <si>
    <t>氟, F</t>
    <phoneticPr fontId="1" type="noConversion"/>
  </si>
  <si>
    <t>铝, Al</t>
    <phoneticPr fontId="1" type="noConversion"/>
  </si>
  <si>
    <t>铜, Cu</t>
    <phoneticPr fontId="1" type="noConversion"/>
  </si>
  <si>
    <t>锡, Sn</t>
    <phoneticPr fontId="1" type="noConversion"/>
  </si>
  <si>
    <t>铁, Fe</t>
    <phoneticPr fontId="1" type="noConversion"/>
  </si>
  <si>
    <t>金, Au</t>
    <phoneticPr fontId="1" type="noConversion"/>
  </si>
  <si>
    <t>锌, Zn</t>
    <phoneticPr fontId="1" type="noConversion"/>
  </si>
  <si>
    <t>氖, Ne</t>
    <phoneticPr fontId="1" type="noConversion"/>
  </si>
  <si>
    <t>钠, Na</t>
    <phoneticPr fontId="1" type="noConversion"/>
  </si>
  <si>
    <t>镁, Mg</t>
    <phoneticPr fontId="1" type="noConversion"/>
  </si>
  <si>
    <t>硅，矽, Si</t>
    <phoneticPr fontId="1" type="noConversion"/>
  </si>
  <si>
    <t>磷, P</t>
    <phoneticPr fontId="1" type="noConversion"/>
  </si>
  <si>
    <t>硫, S</t>
    <phoneticPr fontId="1" type="noConversion"/>
  </si>
  <si>
    <t>氯, Cl</t>
    <phoneticPr fontId="1" type="noConversion"/>
  </si>
  <si>
    <t>氩, Ar</t>
    <phoneticPr fontId="1" type="noConversion"/>
  </si>
  <si>
    <t>钾, K</t>
    <phoneticPr fontId="1" type="noConversion"/>
  </si>
  <si>
    <t>钙, Ca</t>
    <phoneticPr fontId="1" type="noConversion"/>
  </si>
  <si>
    <t>钪, Sc</t>
    <phoneticPr fontId="1" type="noConversion"/>
  </si>
  <si>
    <t>钛, Ti</t>
    <phoneticPr fontId="1" type="noConversion"/>
  </si>
  <si>
    <t>钒, V</t>
    <phoneticPr fontId="1" type="noConversion"/>
  </si>
  <si>
    <t>铬, Cr</t>
    <phoneticPr fontId="1" type="noConversion"/>
  </si>
  <si>
    <t>锰, Mn</t>
    <phoneticPr fontId="1" type="noConversion"/>
  </si>
  <si>
    <t>钴, Co</t>
    <phoneticPr fontId="1" type="noConversion"/>
  </si>
  <si>
    <t>镍, Ni</t>
    <phoneticPr fontId="1" type="noConversion"/>
  </si>
  <si>
    <t>镓, Ga</t>
    <phoneticPr fontId="1" type="noConversion"/>
  </si>
  <si>
    <t>锗, Ge</t>
    <phoneticPr fontId="1" type="noConversion"/>
  </si>
  <si>
    <t>砷, As</t>
    <phoneticPr fontId="1" type="noConversion"/>
  </si>
  <si>
    <t>硒, Se</t>
    <phoneticPr fontId="1" type="noConversion"/>
  </si>
  <si>
    <t>溴, Br</t>
    <phoneticPr fontId="1" type="noConversion"/>
  </si>
  <si>
    <t>氪, Kr</t>
    <phoneticPr fontId="1" type="noConversion"/>
  </si>
  <si>
    <t>铷, Rb</t>
    <phoneticPr fontId="1" type="noConversion"/>
  </si>
  <si>
    <t>锶, Sr</t>
    <phoneticPr fontId="1" type="noConversion"/>
  </si>
  <si>
    <t>钇, Y</t>
    <phoneticPr fontId="1" type="noConversion"/>
  </si>
  <si>
    <t>锆, Zr</t>
    <phoneticPr fontId="1" type="noConversion"/>
  </si>
  <si>
    <t>铌, Nb</t>
    <phoneticPr fontId="1" type="noConversion"/>
  </si>
  <si>
    <t>钼, Mo</t>
    <phoneticPr fontId="1" type="noConversion"/>
  </si>
  <si>
    <t>锝, Tc</t>
    <phoneticPr fontId="1" type="noConversion"/>
  </si>
  <si>
    <t>钌, Ru</t>
    <phoneticPr fontId="1" type="noConversion"/>
  </si>
  <si>
    <t>铑, Rh</t>
    <phoneticPr fontId="1" type="noConversion"/>
  </si>
  <si>
    <t>钯, Pd</t>
    <phoneticPr fontId="1" type="noConversion"/>
  </si>
  <si>
    <t>镉, Cd</t>
    <phoneticPr fontId="1" type="noConversion"/>
  </si>
  <si>
    <t>铟, In</t>
    <phoneticPr fontId="1" type="noConversion"/>
  </si>
  <si>
    <t>锑, Sn</t>
    <phoneticPr fontId="1" type="noConversion"/>
  </si>
  <si>
    <t>碲, Te</t>
    <phoneticPr fontId="1" type="noConversion"/>
  </si>
  <si>
    <t>碘, I</t>
    <phoneticPr fontId="1" type="noConversion"/>
  </si>
  <si>
    <t>氙, Xe</t>
    <phoneticPr fontId="1" type="noConversion"/>
  </si>
  <si>
    <t>铯, Cs</t>
    <phoneticPr fontId="1" type="noConversion"/>
  </si>
  <si>
    <t>钡, Ba</t>
    <phoneticPr fontId="1" type="noConversion"/>
  </si>
  <si>
    <t>镧, La</t>
    <phoneticPr fontId="1" type="noConversion"/>
  </si>
  <si>
    <t>铈, Ce</t>
    <phoneticPr fontId="1" type="noConversion"/>
  </si>
  <si>
    <t>镨, Pr</t>
    <phoneticPr fontId="1" type="noConversion"/>
  </si>
  <si>
    <t>钕, Nd</t>
    <phoneticPr fontId="1" type="noConversion"/>
  </si>
  <si>
    <t>钷, Pm</t>
    <phoneticPr fontId="1" type="noConversion"/>
  </si>
  <si>
    <t>钐, Sm</t>
    <phoneticPr fontId="1" type="noConversion"/>
  </si>
  <si>
    <t>铕, Eu</t>
    <phoneticPr fontId="1" type="noConversion"/>
  </si>
  <si>
    <t>铽, Tb</t>
    <phoneticPr fontId="1" type="noConversion"/>
  </si>
  <si>
    <t>镝, Dy</t>
    <phoneticPr fontId="1" type="noConversion"/>
  </si>
  <si>
    <t>钬, Ho</t>
    <phoneticPr fontId="1" type="noConversion"/>
  </si>
  <si>
    <t>铒, Er</t>
    <phoneticPr fontId="1" type="noConversion"/>
  </si>
  <si>
    <t>铥, Tm</t>
    <phoneticPr fontId="1" type="noConversion"/>
  </si>
  <si>
    <t>镱, Yb</t>
    <phoneticPr fontId="1" type="noConversion"/>
  </si>
  <si>
    <t>镥, Lu</t>
    <phoneticPr fontId="1" type="noConversion"/>
  </si>
  <si>
    <t>铪, Hf</t>
    <phoneticPr fontId="1" type="noConversion"/>
  </si>
  <si>
    <t>钽, Ta</t>
    <phoneticPr fontId="1" type="noConversion"/>
  </si>
  <si>
    <t>钨, W</t>
    <phoneticPr fontId="1" type="noConversion"/>
  </si>
  <si>
    <t>铼, Re</t>
    <phoneticPr fontId="1" type="noConversion"/>
  </si>
  <si>
    <t>锇, Os</t>
    <phoneticPr fontId="1" type="noConversion"/>
  </si>
  <si>
    <t>铱, Ir</t>
    <phoneticPr fontId="1" type="noConversion"/>
  </si>
  <si>
    <t>铂, Pt</t>
    <phoneticPr fontId="1" type="noConversion"/>
  </si>
  <si>
    <t>钆, Gd</t>
    <phoneticPr fontId="1" type="noConversion"/>
  </si>
  <si>
    <t>汞, Hg</t>
    <phoneticPr fontId="1" type="noConversion"/>
  </si>
  <si>
    <t>铊, Tl</t>
    <phoneticPr fontId="1" type="noConversion"/>
  </si>
  <si>
    <t>铅, Pb</t>
    <phoneticPr fontId="1" type="noConversion"/>
  </si>
  <si>
    <t>铋, Bi</t>
    <phoneticPr fontId="1" type="noConversion"/>
  </si>
  <si>
    <t>钋, Po</t>
    <phoneticPr fontId="1" type="noConversion"/>
  </si>
  <si>
    <t>砹, At</t>
    <phoneticPr fontId="1" type="noConversion"/>
  </si>
  <si>
    <t>钫, Fr</t>
    <phoneticPr fontId="1" type="noConversion"/>
  </si>
  <si>
    <t>镭, Ra</t>
    <phoneticPr fontId="1" type="noConversion"/>
  </si>
  <si>
    <t>锕, Ac</t>
    <phoneticPr fontId="1" type="noConversion"/>
  </si>
  <si>
    <t>钍, Th</t>
    <phoneticPr fontId="1" type="noConversion"/>
  </si>
  <si>
    <t>镤, Pa</t>
    <phoneticPr fontId="1" type="noConversion"/>
  </si>
  <si>
    <t>铀, U</t>
    <phoneticPr fontId="1" type="noConversion"/>
  </si>
  <si>
    <t>镎, Np</t>
    <phoneticPr fontId="1" type="noConversion"/>
  </si>
  <si>
    <t>钚, Pu</t>
    <phoneticPr fontId="1" type="noConversion"/>
  </si>
  <si>
    <t>镅, Am</t>
    <phoneticPr fontId="1" type="noConversion"/>
  </si>
  <si>
    <t>锔, Cm</t>
    <phoneticPr fontId="1" type="noConversion"/>
  </si>
  <si>
    <t>锫, Bk</t>
    <phoneticPr fontId="1" type="noConversion"/>
  </si>
  <si>
    <t>锎, Cf</t>
    <phoneticPr fontId="1" type="noConversion"/>
  </si>
  <si>
    <t>锿, Er</t>
    <phoneticPr fontId="1" type="noConversion"/>
  </si>
  <si>
    <t>镄, Fm</t>
    <phoneticPr fontId="1" type="noConversion"/>
  </si>
  <si>
    <t>钔, Md</t>
    <phoneticPr fontId="1" type="noConversion"/>
  </si>
  <si>
    <t>锘, No</t>
    <phoneticPr fontId="1" type="noConversion"/>
  </si>
  <si>
    <t>铹, Lr</t>
    <phoneticPr fontId="1" type="noConversion"/>
  </si>
  <si>
    <r>
      <rPr>
        <sz val="10"/>
        <color theme="1"/>
        <rFont val="微软雅黑"/>
        <family val="2"/>
        <charset val="134"/>
      </rPr>
      <t>𬬻</t>
    </r>
    <r>
      <rPr>
        <sz val="10"/>
        <color theme="1"/>
        <rFont val="华文楷体"/>
        <family val="3"/>
        <charset val="134"/>
      </rPr>
      <t>, Rf</t>
    </r>
    <phoneticPr fontId="1" type="noConversion"/>
  </si>
  <si>
    <r>
      <rPr>
        <sz val="10"/>
        <color theme="1"/>
        <rFont val="微软雅黑"/>
        <family val="2"/>
        <charset val="134"/>
      </rPr>
      <t>𬭊</t>
    </r>
    <r>
      <rPr>
        <sz val="10"/>
        <color theme="1"/>
        <rFont val="华文楷体"/>
        <family val="3"/>
        <charset val="134"/>
      </rPr>
      <t>, Db</t>
    </r>
    <phoneticPr fontId="1" type="noConversion"/>
  </si>
  <si>
    <t>𬭳, Sg</t>
    <phoneticPr fontId="1" type="noConversion"/>
  </si>
  <si>
    <t>𬭛, Bh</t>
    <phoneticPr fontId="1" type="noConversion"/>
  </si>
  <si>
    <t>𬭶, Hs</t>
    <phoneticPr fontId="1" type="noConversion"/>
  </si>
  <si>
    <r>
      <rPr>
        <sz val="10"/>
        <color theme="1"/>
        <rFont val="宋体"/>
        <family val="3"/>
        <charset val="134"/>
      </rPr>
      <t>鿏</t>
    </r>
    <r>
      <rPr>
        <sz val="10"/>
        <color theme="1"/>
        <rFont val="华文楷体"/>
        <family val="3"/>
        <charset val="134"/>
      </rPr>
      <t>, Mt</t>
    </r>
    <phoneticPr fontId="1" type="noConversion"/>
  </si>
  <si>
    <t>𫟼, Ds</t>
    <phoneticPr fontId="1" type="noConversion"/>
  </si>
  <si>
    <t>𬬭, Rg</t>
    <phoneticPr fontId="1" type="noConversion"/>
  </si>
  <si>
    <r>
      <rPr>
        <sz val="10"/>
        <color theme="1"/>
        <rFont val="宋体"/>
        <family val="3"/>
        <charset val="134"/>
      </rPr>
      <t>鿔</t>
    </r>
    <r>
      <rPr>
        <sz val="10"/>
        <color theme="1"/>
        <rFont val="华文楷体"/>
        <family val="3"/>
        <charset val="134"/>
      </rPr>
      <t>，112号元素, Cn</t>
    </r>
    <phoneticPr fontId="1" type="noConversion"/>
  </si>
  <si>
    <r>
      <rPr>
        <sz val="10"/>
        <color theme="1"/>
        <rFont val="宋体"/>
        <family val="3"/>
        <charset val="134"/>
      </rPr>
      <t>鿔</t>
    </r>
    <r>
      <rPr>
        <sz val="10"/>
        <color theme="1"/>
        <rFont val="华文楷体"/>
        <family val="3"/>
        <charset val="134"/>
      </rPr>
      <t>，113号元素, Uub</t>
    </r>
    <phoneticPr fontId="1" type="noConversion"/>
  </si>
  <si>
    <t>鉨，113号元素, Nh</t>
    <phoneticPr fontId="1" type="noConversion"/>
  </si>
  <si>
    <t>鉨，113号元素, Uut</t>
    <phoneticPr fontId="1" type="noConversion"/>
  </si>
  <si>
    <r>
      <rPr>
        <sz val="10"/>
        <color theme="1"/>
        <rFont val="微软雅黑"/>
        <family val="2"/>
        <charset val="134"/>
      </rPr>
      <t>𫓧</t>
    </r>
    <r>
      <rPr>
        <sz val="10"/>
        <color theme="1"/>
        <rFont val="华文楷体"/>
        <family val="3"/>
        <charset val="134"/>
      </rPr>
      <t xml:space="preserve">，114号元素, </t>
    </r>
    <r>
      <rPr>
        <sz val="10"/>
        <color theme="1"/>
        <rFont val="Calibri"/>
        <family val="3"/>
      </rPr>
      <t>Fl</t>
    </r>
    <phoneticPr fontId="1" type="noConversion"/>
  </si>
  <si>
    <r>
      <rPr>
        <sz val="10"/>
        <color theme="1"/>
        <rFont val="微软雅黑"/>
        <family val="2"/>
        <charset val="134"/>
      </rPr>
      <t>𫓧</t>
    </r>
    <r>
      <rPr>
        <sz val="10"/>
        <color theme="1"/>
        <rFont val="华文楷体"/>
        <family val="3"/>
        <charset val="134"/>
      </rPr>
      <t>，114号元素,</t>
    </r>
    <r>
      <rPr>
        <sz val="10"/>
        <color theme="1"/>
        <rFont val="Calibri"/>
        <family val="3"/>
      </rPr>
      <t xml:space="preserve"> Uuq</t>
    </r>
    <phoneticPr fontId="1" type="noConversion"/>
  </si>
  <si>
    <t>镆，115号元素, Mc</t>
    <phoneticPr fontId="1" type="noConversion"/>
  </si>
  <si>
    <t>镆，115号元素, Uup</t>
    <phoneticPr fontId="1" type="noConversion"/>
  </si>
  <si>
    <t>鉝，116号元素, Lv</t>
    <phoneticPr fontId="1" type="noConversion"/>
  </si>
  <si>
    <t>鉝，116号元素, Uuh</t>
    <phoneticPr fontId="1" type="noConversion"/>
  </si>
  <si>
    <r>
      <rPr>
        <sz val="10"/>
        <color theme="1"/>
        <rFont val="宋体"/>
        <family val="3"/>
        <charset val="134"/>
      </rPr>
      <t>鿬</t>
    </r>
    <r>
      <rPr>
        <sz val="10"/>
        <color theme="1"/>
        <rFont val="华文楷体"/>
        <family val="3"/>
        <charset val="134"/>
      </rPr>
      <t>，117号元素, Ts</t>
    </r>
    <phoneticPr fontId="1" type="noConversion"/>
  </si>
  <si>
    <r>
      <rPr>
        <sz val="10"/>
        <color theme="1"/>
        <rFont val="宋体"/>
        <family val="3"/>
        <charset val="134"/>
      </rPr>
      <t>鿬</t>
    </r>
    <r>
      <rPr>
        <sz val="10"/>
        <color theme="1"/>
        <rFont val="华文楷体"/>
        <family val="3"/>
        <charset val="134"/>
      </rPr>
      <t>，117号元素, Uus</t>
    </r>
    <phoneticPr fontId="1" type="noConversion"/>
  </si>
  <si>
    <r>
      <rPr>
        <sz val="10"/>
        <color theme="1"/>
        <rFont val="宋体"/>
        <family val="3"/>
        <charset val="134"/>
      </rPr>
      <t>鿫</t>
    </r>
    <r>
      <rPr>
        <sz val="10"/>
        <color theme="1"/>
        <rFont val="华文楷体"/>
        <family val="3"/>
        <charset val="134"/>
      </rPr>
      <t>，118号元素, Og</t>
    </r>
    <phoneticPr fontId="1" type="noConversion"/>
  </si>
  <si>
    <r>
      <rPr>
        <sz val="10"/>
        <color theme="1"/>
        <rFont val="宋体"/>
        <family val="3"/>
        <charset val="134"/>
      </rPr>
      <t>鿫</t>
    </r>
    <r>
      <rPr>
        <sz val="10"/>
        <color theme="1"/>
        <rFont val="华文楷体"/>
        <family val="3"/>
        <charset val="134"/>
      </rPr>
      <t>，118号元素, Uuo</t>
    </r>
    <phoneticPr fontId="1" type="noConversion"/>
  </si>
  <si>
    <t>126号元素, Ubh</t>
    <phoneticPr fontId="1" type="noConversion"/>
  </si>
  <si>
    <t>氡, Rd</t>
    <phoneticPr fontId="1" type="noConversion"/>
  </si>
  <si>
    <t>银, Ag</t>
    <phoneticPr fontId="1" type="noConversion"/>
  </si>
  <si>
    <t>aliminiomanol</t>
  </si>
  <si>
    <t>bronzanol</t>
  </si>
  <si>
    <t>etalanol</t>
  </si>
  <si>
    <t>fopacanol</t>
  </si>
  <si>
    <t>guldah'banol</t>
  </si>
  <si>
    <t>zincanol</t>
  </si>
  <si>
    <t>halogenanol</t>
  </si>
  <si>
    <t>terharanol</t>
  </si>
  <si>
    <t>jacanol</t>
  </si>
  <si>
    <t>guânzanol</t>
  </si>
  <si>
    <t>electricanol</t>
  </si>
  <si>
    <t>heliumanol</t>
  </si>
  <si>
    <t>lithyusanol</t>
  </si>
  <si>
    <t>berylyusanol</t>
  </si>
  <si>
    <t>azashitanol</t>
  </si>
  <si>
    <t>floranol</t>
  </si>
  <si>
    <t>sodicanol</t>
  </si>
  <si>
    <t>megneshicanol</t>
  </si>
  <si>
    <t>fosforusanol</t>
  </si>
  <si>
    <t>sulacaurisanol</t>
  </si>
  <si>
    <t>ch'iulueranol</t>
  </si>
  <si>
    <t>patassnyusanol</t>
  </si>
  <si>
    <t>calipanol</t>
  </si>
  <si>
    <t>scandanol</t>
  </si>
  <si>
    <t>titananol</t>
  </si>
  <si>
    <t>nicielanol</t>
  </si>
  <si>
    <t>galanol</t>
  </si>
  <si>
    <t>seleniumanol</t>
  </si>
  <si>
    <t>tecnetsymanol</t>
  </si>
  <si>
    <t>yodanol</t>
  </si>
  <si>
    <t>lanthannumanol</t>
  </si>
  <si>
    <t>praseodymyusanol</t>
  </si>
  <si>
    <t>tulifriamanol</t>
  </si>
  <si>
    <t>condireigiranol</t>
  </si>
  <si>
    <t>bismuthanol</t>
  </si>
  <si>
    <t>neptunyusanol</t>
  </si>
  <si>
    <t>plutonyusanol</t>
  </si>
  <si>
    <t>feonol</t>
    <phoneticPr fontId="1" type="noConversion"/>
  </si>
  <si>
    <t>radioeu'lsenol</t>
    <phoneticPr fontId="1" type="noConversion"/>
  </si>
  <si>
    <t>radio'lsenol</t>
    <phoneticPr fontId="1" type="noConversion"/>
  </si>
  <si>
    <t>ubergan'lsenol</t>
    <phoneticPr fontId="1" type="noConversion"/>
  </si>
  <si>
    <t>xithmoh'lsenol</t>
    <phoneticPr fontId="1" type="noConversion"/>
  </si>
  <si>
    <t>xithmoh'lanol</t>
    <phoneticPr fontId="1" type="noConversion"/>
  </si>
  <si>
    <t>sujenol</t>
    <phoneticPr fontId="1" type="noConversion"/>
  </si>
  <si>
    <t>suyenol</t>
    <phoneticPr fontId="1" type="noConversion"/>
  </si>
  <si>
    <t>flordnonol</t>
    <phoneticPr fontId="1" type="noConversion"/>
  </si>
  <si>
    <t>turbiranol</t>
    <phoneticPr fontId="1" type="noConversion"/>
  </si>
  <si>
    <t>seltolanol</t>
    <phoneticPr fontId="1" type="noConversion"/>
  </si>
  <si>
    <t>htsaibojenol</t>
    <phoneticPr fontId="1" type="noConversion"/>
  </si>
  <si>
    <t>buronol</t>
    <phoneticPr fontId="1" type="noConversion"/>
  </si>
  <si>
    <t>carbonol</t>
    <phoneticPr fontId="1" type="noConversion"/>
  </si>
  <si>
    <t>oxijenol</t>
    <phoneticPr fontId="1" type="noConversion"/>
  </si>
  <si>
    <t>nionol</t>
    <phoneticPr fontId="1" type="noConversion"/>
  </si>
  <si>
    <t>siliconol</t>
    <phoneticPr fontId="1" type="noConversion"/>
  </si>
  <si>
    <t>argonynol</t>
    <phoneticPr fontId="1" type="noConversion"/>
  </si>
  <si>
    <t>patassniusanol</t>
    <phoneticPr fontId="1" type="noConversion"/>
  </si>
  <si>
    <t>vanadynol</t>
    <phoneticPr fontId="1" type="noConversion"/>
  </si>
  <si>
    <t>ciromenol</t>
    <phoneticPr fontId="1" type="noConversion"/>
  </si>
  <si>
    <t>maganetsenol</t>
    <phoneticPr fontId="1" type="noConversion"/>
  </si>
  <si>
    <t>cubaitynol</t>
    <phoneticPr fontId="1" type="noConversion"/>
  </si>
  <si>
    <t>germanynol</t>
    <phoneticPr fontId="1" type="noConversion"/>
  </si>
  <si>
    <t>meshyacanol</t>
    <phoneticPr fontId="1" type="noConversion"/>
  </si>
  <si>
    <t>brominol</t>
    <phoneticPr fontId="1" type="noConversion"/>
  </si>
  <si>
    <t>criptonol</t>
    <phoneticPr fontId="1" type="noConversion"/>
  </si>
  <si>
    <t>rubidynol</t>
    <phoneticPr fontId="1" type="noConversion"/>
  </si>
  <si>
    <t>strontynol</t>
    <phoneticPr fontId="1" type="noConversion"/>
  </si>
  <si>
    <t>irtrynol</t>
    <phoneticPr fontId="1" type="noConversion"/>
  </si>
  <si>
    <t>zircunynol</t>
    <phoneticPr fontId="1" type="noConversion"/>
  </si>
  <si>
    <t>nojubynol</t>
    <phoneticPr fontId="1" type="noConversion"/>
  </si>
  <si>
    <t>molybdenol</t>
    <phoneticPr fontId="1" type="noConversion"/>
  </si>
  <si>
    <t>ruthenynol</t>
    <phoneticPr fontId="1" type="noConversion"/>
  </si>
  <si>
    <t>rh'uzynol</t>
    <phoneticPr fontId="1" type="noConversion"/>
  </si>
  <si>
    <t>paladynol</t>
    <phoneticPr fontId="1" type="noConversion"/>
  </si>
  <si>
    <t>cadmynol</t>
    <phoneticPr fontId="1" type="noConversion"/>
  </si>
  <si>
    <t>indynol</t>
    <phoneticPr fontId="1" type="noConversion"/>
  </si>
  <si>
    <t>antimonol</t>
    <phoneticPr fontId="1" type="noConversion"/>
  </si>
  <si>
    <t>telurynol</t>
    <phoneticPr fontId="1" type="noConversion"/>
  </si>
  <si>
    <t>xenonol</t>
    <phoneticPr fontId="1" type="noConversion"/>
  </si>
  <si>
    <t>tsecynol</t>
    <phoneticPr fontId="1" type="noConversion"/>
  </si>
  <si>
    <t>barynol</t>
    <phoneticPr fontId="1" type="noConversion"/>
  </si>
  <si>
    <t>tserynol</t>
    <phoneticPr fontId="1" type="noConversion"/>
  </si>
  <si>
    <t>neodimynol</t>
    <phoneticPr fontId="1" type="noConversion"/>
  </si>
  <si>
    <t>promethynol</t>
    <phoneticPr fontId="1" type="noConversion"/>
  </si>
  <si>
    <t>samarynol</t>
    <phoneticPr fontId="1" type="noConversion"/>
  </si>
  <si>
    <t>europynol</t>
    <phoneticPr fontId="1" type="noConversion"/>
  </si>
  <si>
    <t>terbiumanol</t>
    <phoneticPr fontId="1" type="noConversion"/>
  </si>
  <si>
    <t>despruosynol</t>
    <phoneticPr fontId="1" type="noConversion"/>
  </si>
  <si>
    <t>holmynol</t>
    <phoneticPr fontId="1" type="noConversion"/>
  </si>
  <si>
    <t>erbynol</t>
    <phoneticPr fontId="1" type="noConversion"/>
  </si>
  <si>
    <t>tulynol</t>
    <phoneticPr fontId="1" type="noConversion"/>
  </si>
  <si>
    <t>yterbynol</t>
    <phoneticPr fontId="1" type="noConversion"/>
  </si>
  <si>
    <t>lutestynol</t>
    <phoneticPr fontId="1" type="noConversion"/>
  </si>
  <si>
    <t>hafnynol</t>
    <phoneticPr fontId="1" type="noConversion"/>
  </si>
  <si>
    <t>tantalynol</t>
    <phoneticPr fontId="1" type="noConversion"/>
  </si>
  <si>
    <t>rh'enynol</t>
    <phoneticPr fontId="1" type="noConversion"/>
  </si>
  <si>
    <t>osmynol</t>
    <phoneticPr fontId="1" type="noConversion"/>
  </si>
  <si>
    <t>iridynol</t>
    <phoneticPr fontId="1" type="noConversion"/>
  </si>
  <si>
    <t>platinol</t>
    <phoneticPr fontId="1" type="noConversion"/>
  </si>
  <si>
    <t>gadolinynol</t>
    <phoneticPr fontId="1" type="noConversion"/>
  </si>
  <si>
    <t>mercurynol</t>
    <phoneticPr fontId="1" type="noConversion"/>
  </si>
  <si>
    <t>thallynol</t>
    <phoneticPr fontId="1" type="noConversion"/>
  </si>
  <si>
    <t>polonynol</t>
    <phoneticPr fontId="1" type="noConversion"/>
  </si>
  <si>
    <t>astatinol</t>
    <phoneticPr fontId="1" type="noConversion"/>
  </si>
  <si>
    <t>fransynol</t>
    <phoneticPr fontId="1" type="noConversion"/>
  </si>
  <si>
    <t>radynol</t>
    <phoneticPr fontId="1" type="noConversion"/>
  </si>
  <si>
    <t>actinynol</t>
    <phoneticPr fontId="1" type="noConversion"/>
  </si>
  <si>
    <t>thorynol</t>
    <phoneticPr fontId="1" type="noConversion"/>
  </si>
  <si>
    <t>protactinynol</t>
    <phoneticPr fontId="1" type="noConversion"/>
  </si>
  <si>
    <t>uranynol</t>
    <phoneticPr fontId="1" type="noConversion"/>
  </si>
  <si>
    <t>americynol</t>
    <phoneticPr fontId="1" type="noConversion"/>
  </si>
  <si>
    <t>curynol</t>
    <phoneticPr fontId="1" type="noConversion"/>
  </si>
  <si>
    <t>bercelynol</t>
    <phoneticPr fontId="1" type="noConversion"/>
  </si>
  <si>
    <t>califormienol</t>
    <phoneticPr fontId="1" type="noConversion"/>
  </si>
  <si>
    <t>califormynol</t>
    <phoneticPr fontId="1" type="noConversion"/>
  </si>
  <si>
    <t>einsteinynol</t>
    <phoneticPr fontId="1" type="noConversion"/>
  </si>
  <si>
    <t>fermynol</t>
    <phoneticPr fontId="1" type="noConversion"/>
  </si>
  <si>
    <t>merdelevynol</t>
    <phoneticPr fontId="1" type="noConversion"/>
  </si>
  <si>
    <t>nobelynol</t>
    <phoneticPr fontId="1" type="noConversion"/>
  </si>
  <si>
    <t>lawrencynol</t>
    <phoneticPr fontId="1" type="noConversion"/>
  </si>
  <si>
    <t>rutherfordynol</t>
    <phoneticPr fontId="1" type="noConversion"/>
  </si>
  <si>
    <t>dubnynol</t>
    <phoneticPr fontId="1" type="noConversion"/>
  </si>
  <si>
    <t>seaborgynol</t>
    <phoneticPr fontId="1" type="noConversion"/>
  </si>
  <si>
    <t>boh'rynol</t>
    <phoneticPr fontId="1" type="noConversion"/>
  </si>
  <si>
    <t>hasynol</t>
    <phoneticPr fontId="1" type="noConversion"/>
  </si>
  <si>
    <t>meitherynol</t>
    <phoneticPr fontId="1" type="noConversion"/>
  </si>
  <si>
    <t>darmstadtynol</t>
    <phoneticPr fontId="1" type="noConversion"/>
  </si>
  <si>
    <t>roentgenynol</t>
    <phoneticPr fontId="1" type="noConversion"/>
  </si>
  <si>
    <t>copernicynol</t>
    <phoneticPr fontId="1" type="noConversion"/>
  </si>
  <si>
    <t>ununbynol</t>
    <phoneticPr fontId="1" type="noConversion"/>
  </si>
  <si>
    <t>nihonynol</t>
    <phoneticPr fontId="1" type="noConversion"/>
  </si>
  <si>
    <t>ununtrynol</t>
    <phoneticPr fontId="1" type="noConversion"/>
  </si>
  <si>
    <t>flerovynol</t>
    <phoneticPr fontId="1" type="noConversion"/>
  </si>
  <si>
    <t>ununqu'adynol</t>
    <phoneticPr fontId="1" type="noConversion"/>
  </si>
  <si>
    <t>moscovynol</t>
    <phoneticPr fontId="1" type="noConversion"/>
  </si>
  <si>
    <t>ununpentynol</t>
    <phoneticPr fontId="1" type="noConversion"/>
  </si>
  <si>
    <t>livermorynol</t>
    <phoneticPr fontId="1" type="noConversion"/>
  </si>
  <si>
    <t>ununhexynol</t>
    <phoneticPr fontId="1" type="noConversion"/>
  </si>
  <si>
    <t>tenesinenol</t>
    <phoneticPr fontId="1" type="noConversion"/>
  </si>
  <si>
    <t>ununseptynol</t>
    <phoneticPr fontId="1" type="noConversion"/>
  </si>
  <si>
    <t>oganesonol</t>
    <phoneticPr fontId="1" type="noConversion"/>
  </si>
  <si>
    <t>ununoctynol</t>
    <phoneticPr fontId="1" type="noConversion"/>
  </si>
  <si>
    <t>unun'octynol</t>
    <phoneticPr fontId="1" type="noConversion"/>
  </si>
  <si>
    <t>unbihexynol</t>
    <phoneticPr fontId="1" type="noConversion"/>
  </si>
  <si>
    <t>radonol</t>
    <phoneticPr fontId="1" type="noConversion"/>
  </si>
  <si>
    <t>鿏, Mt</t>
    <phoneticPr fontId="1" type="noConversion"/>
  </si>
  <si>
    <t>……化物，化合物</t>
    <phoneticPr fontId="1" type="noConversion"/>
  </si>
  <si>
    <t>hstaibojenure</t>
    <phoneticPr fontId="1" type="noConversion"/>
  </si>
  <si>
    <t>buronure</t>
    <phoneticPr fontId="1" type="noConversion"/>
  </si>
  <si>
    <t>carbonure</t>
    <phoneticPr fontId="1" type="noConversion"/>
  </si>
  <si>
    <t>azoshiture</t>
    <phoneticPr fontId="1" type="noConversion"/>
  </si>
  <si>
    <t>oxijenure</t>
    <phoneticPr fontId="1" type="noConversion"/>
  </si>
  <si>
    <t>florure</t>
    <phoneticPr fontId="1" type="noConversion"/>
  </si>
  <si>
    <t>siliconure</t>
    <phoneticPr fontId="1" type="noConversion"/>
  </si>
  <si>
    <t>sulacaurisure</t>
    <phoneticPr fontId="1" type="noConversion"/>
  </si>
  <si>
    <t>ch'iuluerure</t>
    <phoneticPr fontId="1" type="noConversion"/>
  </si>
  <si>
    <t>lithyusure</t>
    <phoneticPr fontId="1" type="noConversion"/>
  </si>
  <si>
    <t>aliminiomure</t>
    <phoneticPr fontId="1" type="noConversion"/>
  </si>
  <si>
    <t>氢化物</t>
    <phoneticPr fontId="1" type="noConversion"/>
  </si>
  <si>
    <t>硼化物</t>
    <phoneticPr fontId="1" type="noConversion"/>
  </si>
  <si>
    <t>碳化物</t>
    <phoneticPr fontId="1" type="noConversion"/>
  </si>
  <si>
    <t>氮化物</t>
    <phoneticPr fontId="1" type="noConversion"/>
  </si>
  <si>
    <t>氧化物</t>
    <phoneticPr fontId="1" type="noConversion"/>
  </si>
  <si>
    <t>氟化物</t>
    <phoneticPr fontId="1" type="noConversion"/>
  </si>
  <si>
    <t>氯化物</t>
    <phoneticPr fontId="1" type="noConversion"/>
  </si>
  <si>
    <t>硫化物</t>
    <phoneticPr fontId="1" type="noConversion"/>
  </si>
  <si>
    <t>锂化物</t>
    <phoneticPr fontId="1" type="noConversion"/>
  </si>
  <si>
    <t>铝化物</t>
    <phoneticPr fontId="1" type="noConversion"/>
  </si>
  <si>
    <t>monohstaibojenure</t>
    <phoneticPr fontId="1" type="noConversion"/>
  </si>
  <si>
    <t>monoburonure</t>
    <phoneticPr fontId="1" type="noConversion"/>
  </si>
  <si>
    <t>hexaburonure</t>
    <phoneticPr fontId="1" type="noConversion"/>
  </si>
  <si>
    <t>hami-</t>
    <phoneticPr fontId="1" type="noConversion"/>
  </si>
  <si>
    <t>semi-</t>
    <phoneticPr fontId="1" type="noConversion"/>
  </si>
  <si>
    <t>mono-</t>
    <phoneticPr fontId="1" type="noConversion"/>
  </si>
  <si>
    <t>uni-</t>
    <phoneticPr fontId="1" type="noConversion"/>
  </si>
  <si>
    <t>sesqu'i-</t>
    <phoneticPr fontId="1" type="noConversion"/>
  </si>
  <si>
    <t>di-</t>
    <phoneticPr fontId="1" type="noConversion"/>
  </si>
  <si>
    <t>bi-</t>
    <phoneticPr fontId="1" type="noConversion"/>
  </si>
  <si>
    <t>tri-</t>
    <phoneticPr fontId="1" type="noConversion"/>
  </si>
  <si>
    <t>te-</t>
    <phoneticPr fontId="1" type="noConversion"/>
  </si>
  <si>
    <t>tatra-</t>
    <phoneticPr fontId="1" type="noConversion"/>
  </si>
  <si>
    <t>penta-</t>
    <phoneticPr fontId="1" type="noConversion"/>
  </si>
  <si>
    <t>hexa-</t>
    <phoneticPr fontId="1" type="noConversion"/>
  </si>
  <si>
    <t>sisi-</t>
    <phoneticPr fontId="1" type="noConversion"/>
  </si>
  <si>
    <t>hepta-</t>
    <phoneticPr fontId="1" type="noConversion"/>
  </si>
  <si>
    <t>septi-</t>
    <phoneticPr fontId="1" type="noConversion"/>
  </si>
  <si>
    <t>octa-</t>
    <phoneticPr fontId="1" type="noConversion"/>
  </si>
  <si>
    <t>nona-</t>
    <phoneticPr fontId="1" type="noConversion"/>
  </si>
  <si>
    <t>deca-</t>
    <phoneticPr fontId="1" type="noConversion"/>
  </si>
  <si>
    <t>hundeca-</t>
    <phoneticPr fontId="1" type="noConversion"/>
  </si>
  <si>
    <t>dideca-</t>
    <phoneticPr fontId="1" type="noConversion"/>
  </si>
  <si>
    <t>trideca-</t>
    <phoneticPr fontId="1" type="noConversion"/>
  </si>
  <si>
    <t>tatradeca-</t>
    <phoneticPr fontId="1" type="noConversion"/>
  </si>
  <si>
    <t>pentadeca-</t>
    <phoneticPr fontId="1" type="noConversion"/>
  </si>
  <si>
    <t>hexadeca-</t>
    <phoneticPr fontId="1" type="noConversion"/>
  </si>
  <si>
    <t>heptadeca-</t>
    <phoneticPr fontId="1" type="noConversion"/>
  </si>
  <si>
    <t>octadeca-</t>
    <phoneticPr fontId="1" type="noConversion"/>
  </si>
  <si>
    <t>nonadeca-</t>
    <phoneticPr fontId="1" type="noConversion"/>
  </si>
  <si>
    <t>êcosa-</t>
    <phoneticPr fontId="1" type="noConversion"/>
  </si>
  <si>
    <t>huncosa-</t>
    <phoneticPr fontId="1" type="noConversion"/>
  </si>
  <si>
    <t>dicosa-</t>
    <phoneticPr fontId="1" type="noConversion"/>
  </si>
  <si>
    <t>tricosa-</t>
    <phoneticPr fontId="1" type="noConversion"/>
  </si>
  <si>
    <t>tatracosa-</t>
    <phoneticPr fontId="1" type="noConversion"/>
  </si>
  <si>
    <t>pentacosa-</t>
    <phoneticPr fontId="1" type="noConversion"/>
  </si>
  <si>
    <t>hexacosa-</t>
    <phoneticPr fontId="1" type="noConversion"/>
  </si>
  <si>
    <t>heptacosa-</t>
    <phoneticPr fontId="1" type="noConversion"/>
  </si>
  <si>
    <t>octacosa-</t>
    <phoneticPr fontId="1" type="noConversion"/>
  </si>
  <si>
    <t>nonacosa-</t>
    <phoneticPr fontId="1" type="noConversion"/>
  </si>
  <si>
    <t>triconta-</t>
    <phoneticPr fontId="1" type="noConversion"/>
  </si>
  <si>
    <t>hun-triconta-</t>
    <phoneticPr fontId="1" type="noConversion"/>
  </si>
  <si>
    <t>di-triconta-</t>
    <phoneticPr fontId="1" type="noConversion"/>
  </si>
  <si>
    <t>tri-triconta-</t>
    <phoneticPr fontId="1" type="noConversion"/>
  </si>
  <si>
    <t>tatra-triconta-</t>
    <phoneticPr fontId="1" type="noConversion"/>
  </si>
  <si>
    <t>penta-triconta-</t>
    <phoneticPr fontId="1" type="noConversion"/>
  </si>
  <si>
    <t>hexa-triconta-</t>
    <phoneticPr fontId="1" type="noConversion"/>
  </si>
  <si>
    <t>hepta-triconta-</t>
    <phoneticPr fontId="1" type="noConversion"/>
  </si>
  <si>
    <t>3/2, 1.5</t>
    <phoneticPr fontId="1" type="noConversion"/>
  </si>
  <si>
    <t>1/2, 0.5</t>
    <phoneticPr fontId="1" type="noConversion"/>
  </si>
  <si>
    <t>qu'adri-</t>
    <phoneticPr fontId="1" type="noConversion"/>
  </si>
  <si>
    <t>qu'ivqu'i-</t>
    <phoneticPr fontId="1" type="noConversion"/>
  </si>
  <si>
    <t>octa-triconta-</t>
    <phoneticPr fontId="1" type="noConversion"/>
  </si>
  <si>
    <t>nona-triconta-</t>
    <phoneticPr fontId="1" type="noConversion"/>
  </si>
  <si>
    <t>tatraconta-</t>
    <phoneticPr fontId="1" type="noConversion"/>
  </si>
  <si>
    <t>pentaconta-</t>
    <phoneticPr fontId="1" type="noConversion"/>
  </si>
  <si>
    <t>hexaconta-</t>
    <phoneticPr fontId="1" type="noConversion"/>
  </si>
  <si>
    <t>octaconta-</t>
    <phoneticPr fontId="1" type="noConversion"/>
  </si>
  <si>
    <t>nonaconta-</t>
    <phoneticPr fontId="1" type="noConversion"/>
  </si>
  <si>
    <t>heptaconta-</t>
    <phoneticPr fontId="1" type="noConversion"/>
  </si>
  <si>
    <t>dicenti-</t>
    <phoneticPr fontId="1" type="noConversion"/>
  </si>
  <si>
    <t>tricenti-</t>
    <phoneticPr fontId="1" type="noConversion"/>
  </si>
  <si>
    <t>tatracenti-</t>
    <phoneticPr fontId="1" type="noConversion"/>
  </si>
  <si>
    <t>pentacenti-</t>
    <phoneticPr fontId="1" type="noConversion"/>
  </si>
  <si>
    <t>hexacenti-</t>
    <phoneticPr fontId="1" type="noConversion"/>
  </si>
  <si>
    <t>heptacenti-</t>
    <phoneticPr fontId="1" type="noConversion"/>
  </si>
  <si>
    <t>octacenti-</t>
    <phoneticPr fontId="1" type="noConversion"/>
  </si>
  <si>
    <t>nonacenti-</t>
    <phoneticPr fontId="1" type="noConversion"/>
  </si>
  <si>
    <t>dimoli-</t>
    <phoneticPr fontId="1" type="noConversion"/>
  </si>
  <si>
    <t>trimoli-</t>
    <phoneticPr fontId="1" type="noConversion"/>
  </si>
  <si>
    <t>tatramoli-</t>
    <phoneticPr fontId="1" type="noConversion"/>
  </si>
  <si>
    <t>pentamoli-</t>
    <phoneticPr fontId="1" type="noConversion"/>
  </si>
  <si>
    <t>hexamoli-</t>
    <phoneticPr fontId="1" type="noConversion"/>
  </si>
  <si>
    <t>heptamoli-</t>
    <phoneticPr fontId="1" type="noConversion"/>
  </si>
  <si>
    <t>octamoli-</t>
    <phoneticPr fontId="1" type="noConversion"/>
  </si>
  <si>
    <t>nonamoli-</t>
    <phoneticPr fontId="1" type="noConversion"/>
  </si>
  <si>
    <t>diwani-</t>
    <phoneticPr fontId="1" type="noConversion"/>
  </si>
  <si>
    <t>triwani-</t>
    <phoneticPr fontId="1" type="noConversion"/>
  </si>
  <si>
    <t>tatrawani-</t>
    <phoneticPr fontId="1" type="noConversion"/>
  </si>
  <si>
    <t>pentawani-</t>
    <phoneticPr fontId="1" type="noConversion"/>
  </si>
  <si>
    <t>hexawani-</t>
    <phoneticPr fontId="1" type="noConversion"/>
  </si>
  <si>
    <t>heptawani-</t>
    <phoneticPr fontId="1" type="noConversion"/>
  </si>
  <si>
    <t>octawani-</t>
    <phoneticPr fontId="1" type="noConversion"/>
  </si>
  <si>
    <t>nonawani-</t>
    <phoneticPr fontId="1" type="noConversion"/>
  </si>
  <si>
    <t>一氢化物</t>
    <phoneticPr fontId="1" type="noConversion"/>
  </si>
  <si>
    <t>一硼化物</t>
    <phoneticPr fontId="1" type="noConversion"/>
  </si>
  <si>
    <t>六硼化物</t>
    <phoneticPr fontId="1" type="noConversion"/>
  </si>
  <si>
    <t>monocarbonure</t>
    <phoneticPr fontId="1" type="noConversion"/>
  </si>
  <si>
    <t>dicarbonure</t>
    <phoneticPr fontId="1" type="noConversion"/>
  </si>
  <si>
    <t>monoxijenure</t>
    <phoneticPr fontId="1" type="noConversion"/>
  </si>
  <si>
    <t>monazoshiture</t>
    <phoneticPr fontId="1" type="noConversion"/>
  </si>
  <si>
    <t>dioxijenure</t>
    <phoneticPr fontId="1" type="noConversion"/>
  </si>
  <si>
    <t>trioxijenure</t>
    <phoneticPr fontId="1" type="noConversion"/>
  </si>
  <si>
    <t>monoflorure</t>
    <phoneticPr fontId="1" type="noConversion"/>
  </si>
  <si>
    <t>triflorure</t>
    <phoneticPr fontId="1" type="noConversion"/>
  </si>
  <si>
    <t>monosiliconure</t>
    <phoneticPr fontId="1" type="noConversion"/>
  </si>
  <si>
    <t>disiliconure</t>
    <phoneticPr fontId="1" type="noConversion"/>
  </si>
  <si>
    <t>fosforusure</t>
    <phoneticPr fontId="1" type="noConversion"/>
  </si>
  <si>
    <t>磷化物</t>
    <phoneticPr fontId="1" type="noConversion"/>
  </si>
  <si>
    <t>monofosforusure</t>
    <phoneticPr fontId="1" type="noConversion"/>
  </si>
  <si>
    <t>monosulacaurisure</t>
    <phoneticPr fontId="1" type="noConversion"/>
  </si>
  <si>
    <t>disulacaurisure</t>
    <phoneticPr fontId="1" type="noConversion"/>
  </si>
  <si>
    <t>trisulacaurisure</t>
    <phoneticPr fontId="1" type="noConversion"/>
  </si>
  <si>
    <t>monoch'iuluerure</t>
    <phoneticPr fontId="1" type="noConversion"/>
  </si>
  <si>
    <t>trich'iuluerure</t>
    <phoneticPr fontId="1" type="noConversion"/>
  </si>
  <si>
    <t>一碳化物</t>
    <phoneticPr fontId="1" type="noConversion"/>
  </si>
  <si>
    <t>二碳化物</t>
    <phoneticPr fontId="1" type="noConversion"/>
  </si>
  <si>
    <t>一氮化物</t>
    <phoneticPr fontId="1" type="noConversion"/>
  </si>
  <si>
    <t>一氧化物</t>
    <phoneticPr fontId="1" type="noConversion"/>
  </si>
  <si>
    <t>二氧化物</t>
    <phoneticPr fontId="1" type="noConversion"/>
  </si>
  <si>
    <t>三氧化物</t>
    <phoneticPr fontId="1" type="noConversion"/>
  </si>
  <si>
    <t>一氟化物</t>
    <phoneticPr fontId="1" type="noConversion"/>
  </si>
  <si>
    <t>三氟化物</t>
    <phoneticPr fontId="1" type="noConversion"/>
  </si>
  <si>
    <t>一硅化物</t>
    <phoneticPr fontId="1" type="noConversion"/>
  </si>
  <si>
    <t>二硅化物</t>
    <phoneticPr fontId="1" type="noConversion"/>
  </si>
  <si>
    <t>一磷化物</t>
    <phoneticPr fontId="1" type="noConversion"/>
  </si>
  <si>
    <t>一硫化物</t>
    <phoneticPr fontId="1" type="noConversion"/>
  </si>
  <si>
    <t>二硫化物</t>
    <phoneticPr fontId="1" type="noConversion"/>
  </si>
  <si>
    <t>三硫化物</t>
    <phoneticPr fontId="1" type="noConversion"/>
  </si>
  <si>
    <t>一氯化物</t>
    <phoneticPr fontId="1" type="noConversion"/>
  </si>
  <si>
    <t>三氯化物</t>
    <phoneticPr fontId="1" type="noConversion"/>
  </si>
  <si>
    <t>meshyacure</t>
    <phoneticPr fontId="1" type="noConversion"/>
  </si>
  <si>
    <t>seleniumure</t>
    <phoneticPr fontId="1" type="noConversion"/>
  </si>
  <si>
    <t>brominure</t>
    <phoneticPr fontId="1" type="noConversion"/>
  </si>
  <si>
    <t>galure</t>
    <phoneticPr fontId="1" type="noConversion"/>
  </si>
  <si>
    <t>germanyure</t>
    <phoneticPr fontId="1" type="noConversion"/>
  </si>
  <si>
    <t>monogermanyure</t>
    <phoneticPr fontId="1" type="noConversion"/>
  </si>
  <si>
    <t>monomeshyacure</t>
    <phoneticPr fontId="1" type="noConversion"/>
  </si>
  <si>
    <t>diseleniumure</t>
    <phoneticPr fontId="1" type="noConversion"/>
  </si>
  <si>
    <t>tribrominure</t>
    <phoneticPr fontId="1" type="noConversion"/>
  </si>
  <si>
    <t>etalure</t>
    <phoneticPr fontId="1" type="noConversion"/>
  </si>
  <si>
    <t>antimonure</t>
    <phoneticPr fontId="1" type="noConversion"/>
  </si>
  <si>
    <t>monantimonure</t>
    <phoneticPr fontId="1" type="noConversion"/>
  </si>
  <si>
    <t>teluryure</t>
    <phoneticPr fontId="1" type="noConversion"/>
  </si>
  <si>
    <t>monoteluryure</t>
    <phoneticPr fontId="1" type="noConversion"/>
  </si>
  <si>
    <t>yodure</t>
    <phoneticPr fontId="1" type="noConversion"/>
  </si>
  <si>
    <t>monoyodure</t>
    <phoneticPr fontId="1" type="noConversion"/>
  </si>
  <si>
    <t>xenonure</t>
    <phoneticPr fontId="1" type="noConversion"/>
  </si>
  <si>
    <t>镓化物</t>
    <phoneticPr fontId="1" type="noConversion"/>
  </si>
  <si>
    <t>锗化物</t>
    <phoneticPr fontId="1" type="noConversion"/>
  </si>
  <si>
    <t>一锗化物</t>
    <phoneticPr fontId="1" type="noConversion"/>
  </si>
  <si>
    <t>砷化物</t>
    <phoneticPr fontId="1" type="noConversion"/>
  </si>
  <si>
    <t>一砷化物</t>
    <phoneticPr fontId="1" type="noConversion"/>
  </si>
  <si>
    <t>硒化物</t>
    <phoneticPr fontId="1" type="noConversion"/>
  </si>
  <si>
    <t>二硒化物</t>
    <phoneticPr fontId="1" type="noConversion"/>
  </si>
  <si>
    <t>溴化物</t>
    <phoneticPr fontId="1" type="noConversion"/>
  </si>
  <si>
    <t>三溴化物</t>
    <phoneticPr fontId="1" type="noConversion"/>
  </si>
  <si>
    <t>锡化物</t>
    <phoneticPr fontId="1" type="noConversion"/>
  </si>
  <si>
    <t>锑, Sb</t>
    <phoneticPr fontId="1" type="noConversion"/>
  </si>
  <si>
    <t>锑化物</t>
    <phoneticPr fontId="1" type="noConversion"/>
  </si>
  <si>
    <t>一锑化物</t>
    <phoneticPr fontId="1" type="noConversion"/>
  </si>
  <si>
    <t>碲化物</t>
    <phoneticPr fontId="1" type="noConversion"/>
  </si>
  <si>
    <t>一碲化物</t>
    <phoneticPr fontId="1" type="noConversion"/>
  </si>
  <si>
    <t>碘化物</t>
    <phoneticPr fontId="1" type="noConversion"/>
  </si>
  <si>
    <t>一碘化物</t>
    <phoneticPr fontId="1" type="noConversion"/>
  </si>
  <si>
    <t>氙化物</t>
    <phoneticPr fontId="1" type="noConversion"/>
  </si>
  <si>
    <t>condireigirure</t>
    <phoneticPr fontId="1" type="noConversion"/>
  </si>
  <si>
    <t>bismuthure</t>
    <phoneticPr fontId="1" type="noConversion"/>
  </si>
  <si>
    <t>polonyure</t>
    <phoneticPr fontId="1" type="noConversion"/>
  </si>
  <si>
    <t>astatinure</t>
    <phoneticPr fontId="1" type="noConversion"/>
  </si>
  <si>
    <t>铅化物</t>
    <phoneticPr fontId="1" type="noConversion"/>
  </si>
  <si>
    <t>铋化物</t>
    <phoneticPr fontId="1" type="noConversion"/>
  </si>
  <si>
    <t>钋化物</t>
    <phoneticPr fontId="1" type="noConversion"/>
  </si>
  <si>
    <t>砹化物</t>
    <phoneticPr fontId="1" type="noConversion"/>
  </si>
  <si>
    <t>monobismuthure</t>
    <phoneticPr fontId="1" type="noConversion"/>
  </si>
  <si>
    <t>monopolonyure</t>
    <phoneticPr fontId="1" type="noConversion"/>
  </si>
  <si>
    <t>monoastatinure</t>
    <phoneticPr fontId="1" type="noConversion"/>
  </si>
  <si>
    <t>hstaiboxijenure</t>
    <phoneticPr fontId="1" type="noConversion"/>
  </si>
  <si>
    <t>syanure</t>
    <phoneticPr fontId="1" type="noConversion"/>
  </si>
  <si>
    <t>氰化物</t>
    <phoneticPr fontId="1" type="noConversion"/>
  </si>
  <si>
    <t>氢氧化物</t>
    <phoneticPr fontId="1" type="noConversion"/>
  </si>
  <si>
    <t>peroxijenure</t>
    <phoneticPr fontId="1" type="noConversion"/>
  </si>
  <si>
    <t>superoxijenure</t>
    <phoneticPr fontId="1" type="noConversion"/>
  </si>
  <si>
    <t>aziure</t>
    <phoneticPr fontId="1" type="noConversion"/>
  </si>
  <si>
    <t>过氧化物</t>
    <phoneticPr fontId="1" type="noConversion"/>
  </si>
  <si>
    <t>超氧化物</t>
    <phoneticPr fontId="1" type="noConversion"/>
  </si>
  <si>
    <t>叠氮化物</t>
    <phoneticPr fontId="1" type="noConversion"/>
  </si>
  <si>
    <t>thiosyanure</t>
    <phoneticPr fontId="1" type="noConversion"/>
  </si>
  <si>
    <t>amiure</t>
    <phoneticPr fontId="1" type="noConversion"/>
  </si>
  <si>
    <t>fosforamiure</t>
    <phoneticPr fontId="1" type="noConversion"/>
  </si>
  <si>
    <t>imiure</t>
    <phoneticPr fontId="1" type="noConversion"/>
  </si>
  <si>
    <t>硫氰化物</t>
    <phoneticPr fontId="1" type="noConversion"/>
  </si>
  <si>
    <t>氨基化物</t>
    <phoneticPr fontId="1" type="noConversion"/>
  </si>
  <si>
    <t>磷酰胺化物</t>
    <phoneticPr fontId="1" type="noConversion"/>
  </si>
  <si>
    <t>亚氨基化物</t>
    <phoneticPr fontId="1" type="noConversion"/>
  </si>
  <si>
    <t>hstaiboxilamiure</t>
    <phoneticPr fontId="1" type="noConversion"/>
  </si>
  <si>
    <t>羟胺化物</t>
    <phoneticPr fontId="1" type="noConversion"/>
  </si>
  <si>
    <t>triyodure</t>
    <phoneticPr fontId="1" type="noConversion"/>
  </si>
  <si>
    <t>三碘化物</t>
    <phoneticPr fontId="1" type="noConversion"/>
  </si>
  <si>
    <t>tetrazoliure</t>
    <phoneticPr fontId="1" type="noConversion"/>
  </si>
  <si>
    <t>四唑化物</t>
    <phoneticPr fontId="1" type="noConversion"/>
  </si>
  <si>
    <t>pentazoliure</t>
    <phoneticPr fontId="1" type="noConversion"/>
  </si>
  <si>
    <t>polysulacaurisure</t>
    <phoneticPr fontId="1" type="noConversion"/>
  </si>
  <si>
    <t>polyhalure</t>
    <phoneticPr fontId="1" type="noConversion"/>
  </si>
  <si>
    <t>五唑化物</t>
    <phoneticPr fontId="1" type="noConversion"/>
  </si>
  <si>
    <t>多硫化物</t>
    <phoneticPr fontId="1" type="noConversion"/>
  </si>
  <si>
    <t>多卤化物</t>
    <phoneticPr fontId="1" type="noConversion"/>
  </si>
  <si>
    <t>htsaiboperoxijenure</t>
    <phoneticPr fontId="1" type="noConversion"/>
  </si>
  <si>
    <t>ozônure</t>
    <phoneticPr fontId="1" type="noConversion"/>
  </si>
  <si>
    <t>氢过氧化物</t>
    <phoneticPr fontId="1" type="noConversion"/>
  </si>
  <si>
    <t>臭氧化物</t>
    <phoneticPr fontId="1" type="noConversion"/>
  </si>
  <si>
    <t>granda</t>
    <phoneticPr fontId="1" type="noConversion"/>
  </si>
  <si>
    <t>enormer</t>
    <phoneticPr fontId="1" type="noConversion"/>
  </si>
  <si>
    <t>petols</t>
    <phoneticPr fontId="1" type="noConversion"/>
  </si>
  <si>
    <t>puco</t>
    <phoneticPr fontId="1" type="noConversion"/>
  </si>
  <si>
    <t>marscan</t>
    <phoneticPr fontId="1" type="noConversion"/>
  </si>
  <si>
    <t>mechuor</t>
    <phoneticPr fontId="1" type="noConversion"/>
  </si>
  <si>
    <t>pag</t>
    <phoneticPr fontId="1" type="noConversion"/>
  </si>
  <si>
    <t>fual'enarqu'o</t>
    <phoneticPr fontId="1" type="noConversion"/>
  </si>
  <si>
    <t>anqu'ashinatel</t>
    <phoneticPr fontId="1" type="noConversion"/>
  </si>
  <si>
    <t>lonjo</t>
    <phoneticPr fontId="1" type="noConversion"/>
  </si>
  <si>
    <t>short</t>
    <phoneticPr fontId="1" type="noConversion"/>
  </si>
  <si>
    <t>pozitif</t>
    <phoneticPr fontId="1" type="noConversion"/>
  </si>
  <si>
    <t>negatif</t>
    <phoneticPr fontId="1" type="noConversion"/>
  </si>
  <si>
    <t>goda</t>
    <phoneticPr fontId="1" type="noConversion"/>
  </si>
  <si>
    <t>cersh</t>
    <phoneticPr fontId="1" type="noConversion"/>
  </si>
  <si>
    <t>iuenvt</t>
    <phoneticPr fontId="1" type="noConversion"/>
  </si>
  <si>
    <t>age</t>
    <phoneticPr fontId="1" type="noConversion"/>
  </si>
  <si>
    <t>cher</t>
    <phoneticPr fontId="1" type="noConversion"/>
  </si>
  <si>
    <t>gia'r</t>
    <phoneticPr fontId="1" type="noConversion"/>
  </si>
  <si>
    <t>ninir</t>
    <phoneticPr fontId="1" type="noConversion"/>
  </si>
  <si>
    <t>snubtiny</t>
    <phoneticPr fontId="1" type="noConversion"/>
  </si>
  <si>
    <t>chelava</t>
    <phoneticPr fontId="1" type="noConversion"/>
  </si>
  <si>
    <t>visi</t>
    <phoneticPr fontId="1" type="noConversion"/>
  </si>
  <si>
    <t>ehonen</t>
    <phoneticPr fontId="1" type="noConversion"/>
  </si>
  <si>
    <t>desprecave</t>
    <phoneticPr fontId="1" type="noConversion"/>
  </si>
  <si>
    <t>haudce</t>
    <phoneticPr fontId="1" type="noConversion"/>
  </si>
  <si>
    <t>nescy</t>
    <phoneticPr fontId="1" type="noConversion"/>
  </si>
  <si>
    <t>caurvy</t>
    <phoneticPr fontId="1" type="noConversion"/>
  </si>
  <si>
    <t>clasuby</t>
    <phoneticPr fontId="1" type="noConversion"/>
  </si>
  <si>
    <t>banicar</t>
    <phoneticPr fontId="1" type="noConversion"/>
  </si>
  <si>
    <t>watho</t>
    <phoneticPr fontId="1" type="noConversion"/>
  </si>
  <si>
    <t>espeshta</t>
    <phoneticPr fontId="1" type="noConversion"/>
  </si>
  <si>
    <t>lut</t>
    <phoneticPr fontId="1" type="noConversion"/>
  </si>
  <si>
    <t>thravid</t>
    <phoneticPr fontId="1" type="noConversion"/>
  </si>
  <si>
    <t>laipeadech</t>
    <phoneticPr fontId="1" type="noConversion"/>
  </si>
  <si>
    <t>haitende</t>
    <phoneticPr fontId="1" type="noConversion"/>
  </si>
  <si>
    <t>qu'uitig</t>
    <phoneticPr fontId="1" type="noConversion"/>
  </si>
  <si>
    <t>hicshorin</t>
    <phoneticPr fontId="1" type="noConversion"/>
  </si>
  <si>
    <t>silitic</t>
    <phoneticPr fontId="1" type="noConversion"/>
  </si>
  <si>
    <t>naclabira</t>
    <phoneticPr fontId="1" type="noConversion"/>
  </si>
  <si>
    <t>qu'artse</t>
    <phoneticPr fontId="1" type="noConversion"/>
  </si>
  <si>
    <t>galdis</t>
    <phoneticPr fontId="1" type="noConversion"/>
  </si>
  <si>
    <t>gruny</t>
    <phoneticPr fontId="1" type="noConversion"/>
  </si>
  <si>
    <t>sbalast</t>
    <phoneticPr fontId="1" type="noConversion"/>
  </si>
  <si>
    <t>ounlums</t>
    <phoneticPr fontId="1" type="noConversion"/>
  </si>
  <si>
    <t>majicosh</t>
    <phoneticPr fontId="1" type="noConversion"/>
  </si>
  <si>
    <t>sointerestoi</t>
    <phoneticPr fontId="1" type="noConversion"/>
  </si>
  <si>
    <t>versuptota</t>
    <phoneticPr fontId="1" type="noConversion"/>
  </si>
  <si>
    <t>uasful</t>
    <phoneticPr fontId="1" type="noConversion"/>
  </si>
  <si>
    <t>asurese</t>
    <phoneticPr fontId="1" type="noConversion"/>
  </si>
  <si>
    <t>special</t>
    <phoneticPr fontId="1" type="noConversion"/>
  </si>
  <si>
    <t>enida</t>
    <phoneticPr fontId="1" type="noConversion"/>
  </si>
  <si>
    <t>nouval</t>
    <phoneticPr fontId="1" type="noConversion"/>
  </si>
  <si>
    <t>antiqu'is</t>
    <phoneticPr fontId="1" type="noConversion"/>
  </si>
  <si>
    <t>ormonseal</t>
    <phoneticPr fontId="1" type="noConversion"/>
  </si>
  <si>
    <t>persby</t>
    <phoneticPr fontId="1" type="noConversion"/>
  </si>
  <si>
    <t>present</t>
    <phoneticPr fontId="1" type="noConversion"/>
  </si>
  <si>
    <t>futurau</t>
    <phoneticPr fontId="1" type="noConversion"/>
  </si>
  <si>
    <t>shic</t>
    <phoneticPr fontId="1" type="noConversion"/>
  </si>
  <si>
    <t>operue</t>
    <phoneticPr fontId="1" type="noConversion"/>
  </si>
  <si>
    <t>ahem</t>
    <phoneticPr fontId="1" type="noConversion"/>
  </si>
  <si>
    <t>aham</t>
    <phoneticPr fontId="1" type="noConversion"/>
  </si>
  <si>
    <t>saradunpi</t>
    <phoneticPr fontId="1" type="noConversion"/>
  </si>
  <si>
    <t>tefone</t>
    <phoneticPr fontId="1" type="noConversion"/>
  </si>
  <si>
    <t>aim</t>
    <phoneticPr fontId="1" type="noConversion"/>
  </si>
  <si>
    <t>hriestuag</t>
    <phoneticPr fontId="1" type="noConversion"/>
  </si>
  <si>
    <t>ohefress</t>
    <phoneticPr fontId="1" type="noConversion"/>
  </si>
  <si>
    <t>frotuitur</t>
    <phoneticPr fontId="1" type="noConversion"/>
  </si>
  <si>
    <t>sanha</t>
    <phoneticPr fontId="1" type="noConversion"/>
  </si>
  <si>
    <t>mainco</t>
    <phoneticPr fontId="1" type="noConversion"/>
  </si>
  <si>
    <t>irceunbior</t>
    <phoneticPr fontId="1" type="noConversion"/>
  </si>
  <si>
    <t>inpegôflig</t>
    <phoneticPr fontId="1" type="noConversion"/>
  </si>
  <si>
    <t>suagit</t>
    <phoneticPr fontId="1" type="noConversion"/>
  </si>
  <si>
    <t>m'selenzeaj</t>
    <phoneticPr fontId="1" type="noConversion"/>
  </si>
  <si>
    <t>leurvelig</t>
    <phoneticPr fontId="1" type="noConversion"/>
  </si>
  <si>
    <t>renot</t>
    <phoneticPr fontId="1" type="noConversion"/>
  </si>
  <si>
    <t>pasto</t>
    <phoneticPr fontId="1" type="noConversion"/>
  </si>
  <si>
    <t>pecentvi</t>
    <phoneticPr fontId="1" type="noConversion"/>
  </si>
  <si>
    <t>comscon</t>
    <phoneticPr fontId="1" type="noConversion"/>
  </si>
  <si>
    <t>muzchino</t>
    <phoneticPr fontId="1" type="noConversion"/>
  </si>
  <si>
    <t>zhemchina</t>
    <phoneticPr fontId="1" type="noConversion"/>
  </si>
  <si>
    <t>feyida</t>
    <phoneticPr fontId="1" type="noConversion"/>
  </si>
  <si>
    <t>vedanir</t>
    <phoneticPr fontId="1" type="noConversion"/>
  </si>
  <si>
    <t>jelion</t>
    <phoneticPr fontId="1" type="noConversion"/>
  </si>
  <si>
    <t>pollto</t>
    <phoneticPr fontId="1" type="noConversion"/>
  </si>
  <si>
    <t>fairodivy</t>
    <phoneticPr fontId="1" type="noConversion"/>
  </si>
  <si>
    <t>dibaqu'al</t>
    <phoneticPr fontId="1" type="noConversion"/>
  </si>
  <si>
    <t>deformiss</t>
    <phoneticPr fontId="1" type="noConversion"/>
  </si>
  <si>
    <t>namevb</t>
    <phoneticPr fontId="1" type="noConversion"/>
  </si>
  <si>
    <t>suanejdur</t>
    <phoneticPr fontId="1" type="noConversion"/>
  </si>
  <si>
    <t>sioharine</t>
    <phoneticPr fontId="1" type="noConversion"/>
  </si>
  <si>
    <t>moj</t>
    <phoneticPr fontId="1" type="noConversion"/>
  </si>
  <si>
    <t>depnol</t>
    <phoneticPr fontId="1" type="noConversion"/>
  </si>
  <si>
    <t>wasim</t>
    <phoneticPr fontId="1" type="noConversion"/>
  </si>
  <si>
    <t>xisjoy</t>
    <phoneticPr fontId="1" type="noConversion"/>
  </si>
  <si>
    <t>vanchom</t>
    <phoneticPr fontId="1" type="noConversion"/>
  </si>
  <si>
    <t>nelasbado</t>
    <phoneticPr fontId="1" type="noConversion"/>
  </si>
  <si>
    <t>randalne</t>
    <phoneticPr fontId="1" type="noConversion"/>
  </si>
  <si>
    <t>cuombinet</t>
    <phoneticPr fontId="1" type="noConversion"/>
  </si>
  <si>
    <t>qu'late</t>
    <phoneticPr fontId="1" type="noConversion"/>
  </si>
  <si>
    <t>sorascim</t>
    <phoneticPr fontId="1" type="noConversion"/>
  </si>
  <si>
    <t>piucezimy</t>
    <phoneticPr fontId="1" type="noConversion"/>
  </si>
  <si>
    <t>zatuct</t>
    <phoneticPr fontId="1" type="noConversion"/>
  </si>
  <si>
    <t>debamt</t>
    <phoneticPr fontId="1" type="noConversion"/>
  </si>
  <si>
    <t>silnycarar</t>
    <phoneticPr fontId="1" type="noConversion"/>
  </si>
  <si>
    <t>vech'ivo</t>
    <phoneticPr fontId="1" type="noConversion"/>
  </si>
  <si>
    <t>tadarih</t>
    <phoneticPr fontId="1" type="noConversion"/>
  </si>
  <si>
    <t>tadarich</t>
    <phoneticPr fontId="1" type="noConversion"/>
  </si>
  <si>
    <t>demwy</t>
    <phoneticPr fontId="1" type="noConversion"/>
  </si>
  <si>
    <t>rueztj</t>
    <phoneticPr fontId="1" type="noConversion"/>
  </si>
  <si>
    <t>ruz'rsutiny</t>
    <phoneticPr fontId="1" type="noConversion"/>
  </si>
  <si>
    <t>pragodna</t>
    <phoneticPr fontId="1" type="noConversion"/>
  </si>
  <si>
    <t>jênuar</t>
    <phoneticPr fontId="1" type="noConversion"/>
  </si>
  <si>
    <t>renhartra</t>
    <phoneticPr fontId="1" type="noConversion"/>
  </si>
  <si>
    <t>grimuth</t>
    <phoneticPr fontId="1" type="noConversion"/>
  </si>
  <si>
    <t>fenomenal</t>
    <phoneticPr fontId="1" type="noConversion"/>
  </si>
  <si>
    <t>miecin</t>
    <phoneticPr fontId="1" type="noConversion"/>
  </si>
  <si>
    <t>reschit</t>
    <phoneticPr fontId="1" type="noConversion"/>
  </si>
  <si>
    <t>reshit</t>
    <phoneticPr fontId="1" type="noConversion"/>
  </si>
  <si>
    <t>daneba</t>
    <phoneticPr fontId="1" type="noConversion"/>
  </si>
  <si>
    <t>qu'arsny</t>
    <phoneticPr fontId="1" type="noConversion"/>
  </si>
  <si>
    <t>meguz</t>
    <phoneticPr fontId="1" type="noConversion"/>
  </si>
  <si>
    <t>idenzich</t>
    <phoneticPr fontId="1" type="noConversion"/>
  </si>
  <si>
    <t>do'rleum</t>
    <phoneticPr fontId="1" type="noConversion"/>
  </si>
  <si>
    <t>narauslechy</t>
    <phoneticPr fontId="1" type="noConversion"/>
  </si>
  <si>
    <t>chizny</t>
    <phoneticPr fontId="1" type="noConversion"/>
  </si>
  <si>
    <t>amubiteux</t>
    <phoneticPr fontId="1" type="noConversion"/>
  </si>
  <si>
    <t>inmubal</t>
    <phoneticPr fontId="1" type="noConversion"/>
  </si>
  <si>
    <t>heulax</t>
    <phoneticPr fontId="1" type="noConversion"/>
  </si>
  <si>
    <t>cunlu</t>
    <phoneticPr fontId="1" type="noConversion"/>
  </si>
  <si>
    <t>jomaful</t>
    <phoneticPr fontId="1" type="noConversion"/>
  </si>
  <si>
    <t>deshprese</t>
    <phoneticPr fontId="1" type="noConversion"/>
  </si>
  <si>
    <t>mercange</t>
    <phoneticPr fontId="1" type="noConversion"/>
  </si>
  <si>
    <t>comcan</t>
    <phoneticPr fontId="1" type="noConversion"/>
  </si>
  <si>
    <t>apohy</t>
    <phoneticPr fontId="1" type="noConversion"/>
  </si>
  <si>
    <t>apohi</t>
    <phoneticPr fontId="1" type="noConversion"/>
  </si>
  <si>
    <t>sacli</t>
    <phoneticPr fontId="1" type="noConversion"/>
  </si>
  <si>
    <t>cahig</t>
    <phoneticPr fontId="1" type="noConversion"/>
  </si>
  <si>
    <t>verioh</t>
    <phoneticPr fontId="1" type="noConversion"/>
  </si>
  <si>
    <t>carachra</t>
    <phoneticPr fontId="1" type="noConversion"/>
  </si>
  <si>
    <t>cheven</t>
    <phoneticPr fontId="1" type="noConversion"/>
  </si>
  <si>
    <t>enfreilach</t>
    <phoneticPr fontId="1" type="noConversion"/>
  </si>
  <si>
    <t>imbelent</t>
    <phoneticPr fontId="1" type="noConversion"/>
  </si>
  <si>
    <t>parcost</t>
    <phoneticPr fontId="1" type="noConversion"/>
  </si>
  <si>
    <t>bavya</t>
    <phoneticPr fontId="1" type="noConversion"/>
  </si>
  <si>
    <t>cejint</t>
    <phoneticPr fontId="1" type="noConversion"/>
  </si>
  <si>
    <t>clounisc</t>
    <phoneticPr fontId="1" type="noConversion"/>
  </si>
  <si>
    <t>ersnt</t>
    <phoneticPr fontId="1" type="noConversion"/>
  </si>
  <si>
    <t>chisn</t>
    <phoneticPr fontId="1" type="noConversion"/>
  </si>
  <si>
    <t>dertig</t>
    <phoneticPr fontId="1" type="noConversion"/>
  </si>
  <si>
    <t>selbamoprem</t>
    <phoneticPr fontId="1" type="noConversion"/>
  </si>
  <si>
    <t>behodin</t>
    <phoneticPr fontId="1" type="noConversion"/>
  </si>
  <si>
    <t>zejisty</t>
    <phoneticPr fontId="1" type="noConversion"/>
  </si>
  <si>
    <t>trit</t>
    <phoneticPr fontId="1" type="noConversion"/>
  </si>
  <si>
    <t>cunlasch</t>
    <phoneticPr fontId="1" type="noConversion"/>
  </si>
  <si>
    <t>cunlash</t>
    <phoneticPr fontId="1" type="noConversion"/>
  </si>
  <si>
    <t>fudsy</t>
    <phoneticPr fontId="1" type="noConversion"/>
  </si>
  <si>
    <t>doenwint</t>
    <phoneticPr fontId="1" type="noConversion"/>
  </si>
  <si>
    <t>vesotic</t>
    <phoneticPr fontId="1" type="noConversion"/>
  </si>
  <si>
    <t>sexuasy</t>
    <phoneticPr fontId="1" type="noConversion"/>
  </si>
  <si>
    <t>tlamiz</t>
    <phoneticPr fontId="1" type="noConversion"/>
  </si>
  <si>
    <t>fasua</t>
    <phoneticPr fontId="1" type="noConversion"/>
  </si>
  <si>
    <t>daneta</t>
    <phoneticPr fontId="1" type="noConversion"/>
  </si>
  <si>
    <t>cansoem</t>
    <phoneticPr fontId="1" type="noConversion"/>
  </si>
  <si>
    <t>amirly</t>
    <phoneticPr fontId="1" type="noConversion"/>
  </si>
  <si>
    <t>amvily</t>
    <phoneticPr fontId="1" type="noConversion"/>
  </si>
  <si>
    <t>egelit</t>
    <phoneticPr fontId="1" type="noConversion"/>
  </si>
  <si>
    <t>mormin</t>
    <phoneticPr fontId="1" type="noConversion"/>
  </si>
  <si>
    <t>alim</t>
    <phoneticPr fontId="1" type="noConversion"/>
  </si>
  <si>
    <t>mosclian</t>
    <phoneticPr fontId="1" type="noConversion"/>
  </si>
  <si>
    <t>setanach</t>
    <phoneticPr fontId="1" type="noConversion"/>
  </si>
  <si>
    <t>foedech</t>
    <phoneticPr fontId="1" type="noConversion"/>
  </si>
  <si>
    <t>salama</t>
    <phoneticPr fontId="1" type="noConversion"/>
  </si>
  <si>
    <t>vaentray</t>
    <phoneticPr fontId="1" type="noConversion"/>
  </si>
  <si>
    <t>democrosi</t>
    <phoneticPr fontId="1" type="noConversion"/>
  </si>
  <si>
    <t>autoritary</t>
    <phoneticPr fontId="1" type="noConversion"/>
  </si>
  <si>
    <t>autocrosi</t>
    <phoneticPr fontId="1" type="noConversion"/>
  </si>
  <si>
    <t>jura</t>
    <phoneticPr fontId="1" type="noConversion"/>
  </si>
  <si>
    <t>chascite</t>
    <phoneticPr fontId="1" type="noConversion"/>
  </si>
  <si>
    <t>satis</t>
    <phoneticPr fontId="1" type="noConversion"/>
  </si>
  <si>
    <t>purafit</t>
    <phoneticPr fontId="1" type="noConversion"/>
  </si>
  <si>
    <t>colihat</t>
    <phoneticPr fontId="1" type="noConversion"/>
  </si>
  <si>
    <t>dutieb</t>
    <phoneticPr fontId="1" type="noConversion"/>
  </si>
  <si>
    <t>bojanchay</t>
    <phoneticPr fontId="1" type="noConversion"/>
  </si>
  <si>
    <t>musand</t>
    <phoneticPr fontId="1" type="noConversion"/>
  </si>
  <si>
    <t>ejuluz</t>
    <phoneticPr fontId="1" type="noConversion"/>
  </si>
  <si>
    <t>trube</t>
    <phoneticPr fontId="1" type="noConversion"/>
  </si>
  <si>
    <t>chunty</t>
    <phoneticPr fontId="1" type="noConversion"/>
  </si>
  <si>
    <t>weich</t>
    <phoneticPr fontId="1" type="noConversion"/>
  </si>
  <si>
    <t>bliscie</t>
    <phoneticPr fontId="1" type="noConversion"/>
  </si>
  <si>
    <t>tage</t>
    <phoneticPr fontId="1" type="noConversion"/>
  </si>
  <si>
    <t>abedin</t>
    <phoneticPr fontId="1" type="noConversion"/>
  </si>
  <si>
    <t>molody</t>
    <phoneticPr fontId="1" type="noConversion"/>
  </si>
  <si>
    <t>fumogre</t>
    <phoneticPr fontId="1" type="noConversion"/>
  </si>
  <si>
    <t>otfene</t>
    <phoneticPr fontId="1" type="noConversion"/>
  </si>
  <si>
    <t>oza</t>
    <phoneticPr fontId="1" type="noConversion"/>
  </si>
  <si>
    <t>fida</t>
    <phoneticPr fontId="1" type="noConversion"/>
  </si>
  <si>
    <t>pul</t>
    <phoneticPr fontId="1" type="noConversion"/>
  </si>
  <si>
    <t>rolt</t>
    <phoneticPr fontId="1" type="noConversion"/>
  </si>
  <si>
    <t>drôt</t>
    <phoneticPr fontId="1" type="noConversion"/>
  </si>
  <si>
    <t>opatni</t>
    <phoneticPr fontId="1" type="noConversion"/>
  </si>
  <si>
    <t>fexibel</t>
    <phoneticPr fontId="1" type="noConversion"/>
  </si>
  <si>
    <t>larcanirz</t>
    <phoneticPr fontId="1" type="noConversion"/>
  </si>
  <si>
    <t>qu'uz</t>
    <phoneticPr fontId="1" type="noConversion"/>
  </si>
  <si>
    <t>tic</t>
    <phoneticPr fontId="1" type="noConversion"/>
  </si>
  <si>
    <t>porlcu</t>
    <phoneticPr fontId="1" type="noConversion"/>
  </si>
  <si>
    <t>efato</t>
    <phoneticPr fontId="1" type="noConversion"/>
  </si>
  <si>
    <t>savt</t>
    <phoneticPr fontId="1" type="noConversion"/>
  </si>
  <si>
    <t>basgranicot</t>
    <phoneticPr fontId="1" type="noConversion"/>
  </si>
  <si>
    <t>ildomeatus</t>
    <phoneticPr fontId="1" type="noConversion"/>
  </si>
  <si>
    <t>ildomeatuss</t>
    <phoneticPr fontId="1" type="noConversion"/>
  </si>
  <si>
    <t>qu'ahicen</t>
    <phoneticPr fontId="1" type="noConversion"/>
  </si>
  <si>
    <t>vugt</t>
    <phoneticPr fontId="1" type="noConversion"/>
  </si>
  <si>
    <t>znainsy</t>
    <phoneticPr fontId="1" type="noConversion"/>
  </si>
  <si>
    <t>rungit</t>
    <phoneticPr fontId="1" type="noConversion"/>
  </si>
  <si>
    <t>dolocem</t>
    <phoneticPr fontId="1" type="noConversion"/>
  </si>
  <si>
    <t>cualesus</t>
    <phoneticPr fontId="1" type="noConversion"/>
  </si>
  <si>
    <t>haya</t>
    <phoneticPr fontId="1" type="noConversion"/>
  </si>
  <si>
    <t>duct</t>
    <phoneticPr fontId="1" type="noConversion"/>
  </si>
  <si>
    <t>daqiqu'</t>
    <phoneticPr fontId="1" type="noConversion"/>
  </si>
  <si>
    <t>bashtuar</t>
    <phoneticPr fontId="1" type="noConversion"/>
  </si>
  <si>
    <t>zumatic</t>
    <phoneticPr fontId="1" type="noConversion"/>
  </si>
  <si>
    <t>aberent</t>
    <phoneticPr fontId="1" type="noConversion"/>
  </si>
  <si>
    <t>cuohag</t>
    <phoneticPr fontId="1" type="noConversion"/>
  </si>
  <si>
    <t>muscutaul</t>
    <phoneticPr fontId="1" type="noConversion"/>
  </si>
  <si>
    <t>naturalny</t>
    <phoneticPr fontId="1" type="noConversion"/>
  </si>
  <si>
    <t>sempre</t>
    <phoneticPr fontId="1" type="noConversion"/>
  </si>
  <si>
    <t>macasoreac</t>
    <phoneticPr fontId="1" type="noConversion"/>
  </si>
  <si>
    <t>veboten</t>
    <phoneticPr fontId="1" type="noConversion"/>
  </si>
  <si>
    <t>vex</t>
    <phoneticPr fontId="1" type="noConversion"/>
  </si>
  <si>
    <t>welus</t>
    <phoneticPr fontId="1" type="noConversion"/>
  </si>
  <si>
    <t>mirss</t>
    <phoneticPr fontId="1" type="noConversion"/>
  </si>
  <si>
    <t>efet</t>
    <phoneticPr fontId="1" type="noConversion"/>
  </si>
  <si>
    <t>seredmy</t>
    <phoneticPr fontId="1" type="noConversion"/>
  </si>
  <si>
    <t>cangl</t>
    <phoneticPr fontId="1" type="noConversion"/>
  </si>
  <si>
    <t>vigacy</t>
    <phoneticPr fontId="1" type="noConversion"/>
  </si>
  <si>
    <t>fagitan</t>
    <phoneticPr fontId="1" type="noConversion"/>
  </si>
  <si>
    <t>shoripilanc</t>
    <phoneticPr fontId="1" type="noConversion"/>
  </si>
  <si>
    <t>casio</t>
    <phoneticPr fontId="1" type="noConversion"/>
  </si>
  <si>
    <t>duset</t>
    <phoneticPr fontId="1" type="noConversion"/>
  </si>
  <si>
    <t>hidocli</t>
    <phoneticPr fontId="1" type="noConversion"/>
  </si>
  <si>
    <t>spicantni</t>
    <phoneticPr fontId="1" type="noConversion"/>
  </si>
  <si>
    <t>anhenna</t>
    <phoneticPr fontId="1" type="noConversion"/>
  </si>
  <si>
    <t>shabi</t>
    <phoneticPr fontId="1" type="noConversion"/>
  </si>
  <si>
    <t>大</t>
    <phoneticPr fontId="1" type="noConversion"/>
  </si>
  <si>
    <t>巨大</t>
    <phoneticPr fontId="1" type="noConversion"/>
  </si>
  <si>
    <t>小</t>
    <phoneticPr fontId="1" type="noConversion"/>
  </si>
  <si>
    <t>渺小，小</t>
    <phoneticPr fontId="1" type="noConversion"/>
  </si>
  <si>
    <t>中，中等，不大不小，不好不坏</t>
    <phoneticPr fontId="1" type="noConversion"/>
  </si>
  <si>
    <t>多</t>
    <phoneticPr fontId="1" type="noConversion"/>
  </si>
  <si>
    <t>少</t>
    <phoneticPr fontId="1" type="noConversion"/>
  </si>
  <si>
    <t>长</t>
    <phoneticPr fontId="1" type="noConversion"/>
  </si>
  <si>
    <t>短</t>
    <phoneticPr fontId="1" type="noConversion"/>
  </si>
  <si>
    <t>正，阳，正向的，积极的；阳性的</t>
    <phoneticPr fontId="1" type="noConversion"/>
  </si>
  <si>
    <t>负，阴，消极的；阴性的</t>
    <phoneticPr fontId="1" type="noConversion"/>
  </si>
  <si>
    <t>好</t>
    <phoneticPr fontId="1" type="noConversion"/>
  </si>
  <si>
    <t>坏</t>
    <phoneticPr fontId="1" type="noConversion"/>
  </si>
  <si>
    <t>年少的，年轻的</t>
    <phoneticPr fontId="1" type="noConversion"/>
  </si>
  <si>
    <t>老的，年老的（形容人）</t>
    <phoneticPr fontId="1" type="noConversion"/>
  </si>
  <si>
    <t>老旧的（形容物事）</t>
    <phoneticPr fontId="1" type="noConversion"/>
  </si>
  <si>
    <t>贵的，昂贵的；代价高昂的</t>
    <phoneticPr fontId="1" type="noConversion"/>
  </si>
  <si>
    <t>便宜的，价贱的；廉价的；低贱的</t>
    <phoneticPr fontId="1" type="noConversion"/>
  </si>
  <si>
    <t>笨，傻</t>
    <phoneticPr fontId="1" type="noConversion"/>
  </si>
  <si>
    <t>聪明</t>
    <phoneticPr fontId="1" type="noConversion"/>
  </si>
  <si>
    <t>尊贵的，高贵的；荣耀的</t>
    <phoneticPr fontId="1" type="noConversion"/>
  </si>
  <si>
    <t>低贱的（书面上）；地位低的</t>
    <phoneticPr fontId="1" type="noConversion"/>
  </si>
  <si>
    <t>（长得）高；高级；（海拔、地势）高</t>
    <phoneticPr fontId="1" type="noConversion"/>
  </si>
  <si>
    <t>低；低级的</t>
    <phoneticPr fontId="1" type="noConversion"/>
  </si>
  <si>
    <t>（长得）矮，矮小</t>
    <phoneticPr fontId="1" type="noConversion"/>
  </si>
  <si>
    <t>胖，肥胖</t>
    <phoneticPr fontId="1" type="noConversion"/>
  </si>
  <si>
    <t>瘦</t>
    <phoneticPr fontId="1" type="noConversion"/>
  </si>
  <si>
    <t>（宽度、程度）宽；宽泛</t>
    <phoneticPr fontId="1" type="noConversion"/>
  </si>
  <si>
    <t>（宽度、程度）窄；目光狭窄；范围窄</t>
    <phoneticPr fontId="1" type="noConversion"/>
  </si>
  <si>
    <t>（质量、程度）轻</t>
    <phoneticPr fontId="1" type="noConversion"/>
  </si>
  <si>
    <t>（质量、程度）重</t>
    <phoneticPr fontId="1" type="noConversion"/>
  </si>
  <si>
    <t>（乐曲、生活节奏）舒缓；（局势）缓和</t>
    <phoneticPr fontId="1" type="noConversion"/>
  </si>
  <si>
    <t>心急的；（乐曲、生活节奏）急促；（局势）紧急，危急</t>
    <phoneticPr fontId="1" type="noConversion"/>
  </si>
  <si>
    <t>快；节奏快</t>
    <phoneticPr fontId="1" type="noConversion"/>
  </si>
  <si>
    <t>慢；节奏慢</t>
    <phoneticPr fontId="1" type="noConversion"/>
  </si>
  <si>
    <t>对的，正确的</t>
    <phoneticPr fontId="1" type="noConversion"/>
  </si>
  <si>
    <t>错误的；误导的</t>
    <phoneticPr fontId="1" type="noConversion"/>
  </si>
  <si>
    <t>清澈的（河流）；清白无辜；清纯纯洁；清廉</t>
    <phoneticPr fontId="1" type="noConversion"/>
  </si>
  <si>
    <t>高明；个子高；程度高</t>
    <phoneticPr fontId="1" type="noConversion"/>
  </si>
  <si>
    <t>（河水）浑浊；混浊，混沌；杂乱；腐败</t>
    <phoneticPr fontId="1" type="noConversion"/>
  </si>
  <si>
    <t>正义；正直；正派，正道</t>
    <phoneticPr fontId="1" type="noConversion"/>
  </si>
  <si>
    <t>邪恶；品德坏，品德低下</t>
    <phoneticPr fontId="1" type="noConversion"/>
  </si>
  <si>
    <t>神奇，魔法一样的；戏剧性的；神奇地</t>
    <phoneticPr fontId="1" type="noConversion"/>
  </si>
  <si>
    <t>有趣的</t>
    <phoneticPr fontId="1" type="noConversion"/>
  </si>
  <si>
    <t>无聊的，乏味的</t>
    <phoneticPr fontId="1" type="noConversion"/>
  </si>
  <si>
    <t>令人感到吃惊、震惊的</t>
    <phoneticPr fontId="1" type="noConversion"/>
  </si>
  <si>
    <t>特别的，特殊的</t>
    <phoneticPr fontId="1" type="noConversion"/>
  </si>
  <si>
    <t>（人、事）无趣的，无聊的</t>
    <phoneticPr fontId="1" type="noConversion"/>
  </si>
  <si>
    <t>新的，崭新的；新奇的；新颖的</t>
    <phoneticPr fontId="1" type="noConversion"/>
  </si>
  <si>
    <t>旧的，古老的；古代的；老旧的；过时的</t>
    <phoneticPr fontId="1" type="noConversion"/>
  </si>
  <si>
    <t>原始的，初级的；原始社会</t>
    <phoneticPr fontId="1" type="noConversion"/>
  </si>
  <si>
    <t>过去的；之前的；过去</t>
    <phoneticPr fontId="1" type="noConversion"/>
  </si>
  <si>
    <t>现在的，当下的；当代的，现代的，现有的；现在，当下</t>
    <phoneticPr fontId="1" type="noConversion"/>
  </si>
  <si>
    <t>将来的，未来的；以后的；未来</t>
    <phoneticPr fontId="1" type="noConversion"/>
  </si>
  <si>
    <t>别的，其他的，其它的；别样的</t>
    <phoneticPr fontId="1" type="noConversion"/>
  </si>
  <si>
    <t>令人感到厌恶的</t>
    <phoneticPr fontId="1" type="noConversion"/>
  </si>
  <si>
    <t>令人感到恐怖的</t>
    <phoneticPr fontId="1" type="noConversion"/>
  </si>
  <si>
    <t>爱；热爱着的，深爱着的；爱情的</t>
    <phoneticPr fontId="1" type="noConversion"/>
  </si>
  <si>
    <t>恨；痛恨的，愤恨的</t>
    <phoneticPr fontId="1" type="noConversion"/>
  </si>
  <si>
    <t>哀，悲哀；哀痛的，悲哀的；哀伤的；为……感到悲哀</t>
    <phoneticPr fontId="1" type="noConversion"/>
  </si>
  <si>
    <t>愁苦；忧愁，发愁；对……发愁</t>
    <phoneticPr fontId="1" type="noConversion"/>
  </si>
  <si>
    <t>愤怒，生气；怒火</t>
    <phoneticPr fontId="1" type="noConversion"/>
  </si>
  <si>
    <t>第62个万综字母</t>
    <phoneticPr fontId="1" type="noConversion"/>
  </si>
  <si>
    <t>疯狂；变疯狂；对……疯狂</t>
    <phoneticPr fontId="1" type="noConversion"/>
  </si>
  <si>
    <t>暴躁；情绪暴躁；对……暴躁</t>
    <phoneticPr fontId="1" type="noConversion"/>
  </si>
  <si>
    <t>冷漠，漠不关心；对……冷漠</t>
    <phoneticPr fontId="1" type="noConversion"/>
  </si>
  <si>
    <t>安静；使……安静</t>
    <phoneticPr fontId="1" type="noConversion"/>
  </si>
  <si>
    <t>喧闹，吵闹</t>
    <phoneticPr fontId="1" type="noConversion"/>
  </si>
  <si>
    <t>活泼，好动；活跃</t>
    <phoneticPr fontId="1" type="noConversion"/>
  </si>
  <si>
    <t>静谧，安静；宁静</t>
    <phoneticPr fontId="1" type="noConversion"/>
  </si>
  <si>
    <t>有耐心的</t>
    <phoneticPr fontId="1" type="noConversion"/>
  </si>
  <si>
    <t>（来得）早</t>
    <phoneticPr fontId="1" type="noConversion"/>
  </si>
  <si>
    <t>（来得）迟，晚</t>
    <phoneticPr fontId="1" type="noConversion"/>
  </si>
  <si>
    <t>冷静的，镇静的；（使）冷静下来</t>
    <phoneticPr fontId="1" type="noConversion"/>
  </si>
  <si>
    <t>男性，男人，男子；男性的</t>
    <phoneticPr fontId="1" type="noConversion"/>
  </si>
  <si>
    <t>女性，女人，女子；女性的</t>
    <phoneticPr fontId="1" type="noConversion"/>
  </si>
  <si>
    <t>有益处的，有好处的，有帮助的</t>
    <phoneticPr fontId="1" type="noConversion"/>
  </si>
  <si>
    <t>有害的</t>
    <phoneticPr fontId="1" type="noConversion"/>
  </si>
  <si>
    <t>饥饿；饥饿的，正处于饥饿状态的；感到饥饿的</t>
    <phoneticPr fontId="1" type="noConversion"/>
  </si>
  <si>
    <t>吃饱；吃饱了的，饱腹的；饱腹的状态</t>
    <phoneticPr fontId="1" type="noConversion"/>
  </si>
  <si>
    <t>公平</t>
    <phoneticPr fontId="1" type="noConversion"/>
  </si>
  <si>
    <t>善，善良</t>
    <phoneticPr fontId="1" type="noConversion"/>
  </si>
  <si>
    <t>丑恶，作恶，邪恶，罪恶；恶行；邪恶</t>
    <phoneticPr fontId="1" type="noConversion"/>
  </si>
  <si>
    <t>麻辣的；麻痹的，麻木的；感到……麻；麻痹感</t>
    <phoneticPr fontId="1" type="noConversion"/>
  </si>
  <si>
    <t>咸的；咸水，海水</t>
    <phoneticPr fontId="1" type="noConversion"/>
  </si>
  <si>
    <t>淡的；寡淡的，淡而无味的；淡水，淡水资源</t>
    <phoneticPr fontId="1" type="noConversion"/>
  </si>
  <si>
    <t>美丽的，漂亮的</t>
    <phoneticPr fontId="1" type="noConversion"/>
  </si>
  <si>
    <t>美丽；美貌；美景</t>
    <phoneticPr fontId="1" type="noConversion"/>
  </si>
  <si>
    <t>英俊潇洒的；玉树临风的</t>
    <phoneticPr fontId="1" type="noConversion"/>
  </si>
  <si>
    <t>（字迹）清秀的；相貌清秀端正</t>
    <phoneticPr fontId="1" type="noConversion"/>
  </si>
  <si>
    <t>（相貌，建筑等）端庄</t>
    <phoneticPr fontId="1" type="noConversion"/>
  </si>
  <si>
    <t>（排列）工整，整齐有序</t>
    <phoneticPr fontId="1" type="noConversion"/>
  </si>
  <si>
    <t>分裂；分裂了的；分开的，分离的；正在分裂的；部分</t>
    <phoneticPr fontId="1" type="noConversion"/>
  </si>
  <si>
    <t>合；联合；合作；结合的</t>
    <phoneticPr fontId="1" type="noConversion"/>
  </si>
  <si>
    <t>光滑的；狡猾，滑溜，滑头</t>
    <phoneticPr fontId="1" type="noConversion"/>
  </si>
  <si>
    <t>粗糙；粗略；粗劣；笨拙</t>
    <phoneticPr fontId="1" type="noConversion"/>
  </si>
  <si>
    <t>强势，强盛，壮年；使……强盛；使……达到盛世</t>
    <phoneticPr fontId="1" type="noConversion"/>
  </si>
  <si>
    <t>衰弱；衰老；迟暮；逐渐减弱</t>
    <phoneticPr fontId="1" type="noConversion"/>
  </si>
  <si>
    <t>弱；弱小；弱势；体弱多病</t>
    <phoneticPr fontId="1" type="noConversion"/>
  </si>
  <si>
    <t>强，强大，强势；强横，蛮横</t>
    <phoneticPr fontId="1" type="noConversion"/>
  </si>
  <si>
    <t>辛苦，辛劳；吃苦；吃苦耐劳，肯吃苦</t>
    <phoneticPr fontId="1" type="noConversion"/>
  </si>
  <si>
    <t>勤劳，勤奋；勤快</t>
    <phoneticPr fontId="1" type="noConversion"/>
  </si>
  <si>
    <t>懒惰；懒于做……的</t>
    <phoneticPr fontId="1" type="noConversion"/>
  </si>
  <si>
    <t>节约，勤俭节约，节俭；简朴，朴素</t>
    <phoneticPr fontId="1" type="noConversion"/>
  </si>
  <si>
    <t>浪费；铺张浪费；豪奢</t>
    <phoneticPr fontId="1" type="noConversion"/>
  </si>
  <si>
    <t>便利；方便；便捷</t>
    <phoneticPr fontId="1" type="noConversion"/>
  </si>
  <si>
    <t>麻烦的；大麻烦，问题，困境</t>
    <phoneticPr fontId="1" type="noConversion"/>
  </si>
  <si>
    <t>舒服；感到舒服的</t>
    <phoneticPr fontId="1" type="noConversion"/>
  </si>
  <si>
    <t>身体不适；心里难受；感到难受</t>
    <phoneticPr fontId="1" type="noConversion"/>
  </si>
  <si>
    <t>极好的，极佳的；出彩的，很好；不错</t>
    <phoneticPr fontId="1" type="noConversion"/>
  </si>
  <si>
    <t>质地软；内心柔软善良；软弱的</t>
    <phoneticPr fontId="1" type="noConversion"/>
  </si>
  <si>
    <t>硬，硬度大；坚硬，坚强；强硬，硬气，生硬</t>
    <phoneticPr fontId="1" type="noConversion"/>
  </si>
  <si>
    <t>光；光亮的，光明的，亮堂堂的</t>
    <phoneticPr fontId="1" type="noConversion"/>
  </si>
  <si>
    <t>暗影，阴影；影子；暗，昏暗</t>
    <phoneticPr fontId="1" type="noConversion"/>
  </si>
  <si>
    <t>（视野、逻辑）清晰；对……清楚</t>
    <phoneticPr fontId="1" type="noConversion"/>
  </si>
  <si>
    <t>相同的；等同的；同等的；与……相同</t>
    <phoneticPr fontId="1" type="noConversion"/>
  </si>
  <si>
    <t>看起来模糊的，不清楚的；局势不明朗的；模糊的，界限不清晰的；朦胧的，婆娑的；对……不清楚；对……不清晰；眼泪留下，泪眼婆娑（cira.）</t>
    <phoneticPr fontId="1" type="noConversion"/>
  </si>
  <si>
    <t>不同的，相异的；异，不同之处；与……不同</t>
    <phoneticPr fontId="1" type="noConversion"/>
  </si>
  <si>
    <t>病重的，病笃的，病入膏肓的；生病的；生病；疾病</t>
    <phoneticPr fontId="1" type="noConversion"/>
  </si>
  <si>
    <t>痊愈；痊愈的，治好了的，完全康复了的</t>
    <phoneticPr fontId="1" type="noConversion"/>
  </si>
  <si>
    <t>雄心勃勃的，有野心的；雄心壮志；野心；对……雄心勃
勃</t>
    <phoneticPr fontId="1" type="noConversion"/>
  </si>
  <si>
    <t>淡薄的，淡泊名利的；超脱的</t>
    <phoneticPr fontId="1" type="noConversion"/>
  </si>
  <si>
    <t>高兴，快乐，幸福；……好（问好，寒暄，打招呼）；
祝……快乐（节日的祝福）</t>
    <phoneticPr fontId="1" type="noConversion"/>
  </si>
  <si>
    <t>嫉妒，忌妒，妒忌</t>
    <phoneticPr fontId="1" type="noConversion"/>
  </si>
  <si>
    <t>有希望的，有前途的</t>
    <phoneticPr fontId="1" type="noConversion"/>
  </si>
  <si>
    <t>失望的；对……感到失望</t>
    <phoneticPr fontId="1" type="noConversion"/>
  </si>
  <si>
    <t>奇怪；对……感到奇怪</t>
    <phoneticPr fontId="1" type="noConversion"/>
  </si>
  <si>
    <t>普通；平凡；一般</t>
    <phoneticPr fontId="1" type="noConversion"/>
  </si>
  <si>
    <t>神圣；圣洁</t>
    <phoneticPr fontId="1" type="noConversion"/>
  </si>
  <si>
    <t>贤明的，贤能的，圣贤的</t>
    <phoneticPr fontId="1" type="noConversion"/>
  </si>
  <si>
    <t>奸诈的，狡诈的</t>
    <phoneticPr fontId="1" type="noConversion"/>
  </si>
  <si>
    <t>勇敢的，勇猛的；勇气</t>
    <phoneticPr fontId="1" type="noConversion"/>
  </si>
  <si>
    <t>胆小的；怯懦的；懦弱的</t>
    <phoneticPr fontId="1" type="noConversion"/>
  </si>
  <si>
    <t>恐惧的，害怕的，感到恐怖的，恐慌的；对……感到恐惧</t>
    <phoneticPr fontId="1" type="noConversion"/>
  </si>
  <si>
    <t>重要的，紧要的；重要性</t>
    <phoneticPr fontId="1" type="noConversion"/>
  </si>
  <si>
    <t>珍贵的，值钱的，宝贵的</t>
    <phoneticPr fontId="1" type="noConversion"/>
  </si>
  <si>
    <t>雅，风雅，高雅</t>
    <phoneticPr fontId="1" type="noConversion"/>
  </si>
  <si>
    <t>俗，通俗；鄙俗；俗称</t>
    <phoneticPr fontId="1" type="noConversion"/>
  </si>
  <si>
    <t>滑稽，搞笑；捉弄……</t>
    <phoneticPr fontId="1" type="noConversion"/>
  </si>
  <si>
    <t>严肃，严厉；对……严肃</t>
    <phoneticPr fontId="1" type="noConversion"/>
  </si>
  <si>
    <t>干净，没有污渍；纯洁；廉洁，清廉；正派；不留痕迹</t>
    <phoneticPr fontId="1" type="noConversion"/>
  </si>
  <si>
    <t>脏，肮脏，腌臜；腐败；藏污纳垢；（心灵）肮脏</t>
    <phoneticPr fontId="1" type="noConversion"/>
  </si>
  <si>
    <t>自尊心；自尊的，自立的</t>
    <phoneticPr fontId="1" type="noConversion"/>
  </si>
  <si>
    <t>无耻的</t>
    <phoneticPr fontId="1" type="noConversion"/>
  </si>
  <si>
    <t>清醒的</t>
    <phoneticPr fontId="1" type="noConversion"/>
  </si>
  <si>
    <t>油腻的，恶心的，造作的</t>
    <phoneticPr fontId="1" type="noConversion"/>
  </si>
  <si>
    <t>清淡的，冷淡的；淡雅的，素雅的</t>
    <phoneticPr fontId="1" type="noConversion"/>
  </si>
  <si>
    <t>多彩的，五彩缤纷的；多元的，包容的</t>
    <phoneticPr fontId="1" type="noConversion"/>
  </si>
  <si>
    <t>凌乱的，散乱的；不整洁的</t>
    <phoneticPr fontId="1" type="noConversion"/>
  </si>
  <si>
    <t xml:space="preserve">Duset </t>
    <phoneticPr fontId="1" type="noConversion"/>
  </si>
  <si>
    <t>暴力的，暴戾的；暴戾</t>
    <phoneticPr fontId="1" type="noConversion"/>
  </si>
  <si>
    <t>血腥的；残暴的，草菅人命的；血腥残暴的特质</t>
    <phoneticPr fontId="1" type="noConversion"/>
  </si>
  <si>
    <t>性；性感，有性暗示的；色情的</t>
    <phoneticPr fontId="1" type="noConversion"/>
  </si>
  <si>
    <t>廉洁的，清廉的，两袖清风的；廉洁，廉洁性</t>
    <phoneticPr fontId="1" type="noConversion"/>
  </si>
  <si>
    <t>腐烂；腐烂的；腐败的，贪腐的，贪污的；贪污，腐败</t>
    <phoneticPr fontId="1" type="noConversion"/>
  </si>
  <si>
    <t>令人感到可惜的，令人感到遗憾的，令人叹惋的</t>
    <phoneticPr fontId="1" type="noConversion"/>
  </si>
  <si>
    <t>可怜的，令人同情的</t>
    <phoneticPr fontId="1" type="noConversion"/>
  </si>
  <si>
    <t>可爱的</t>
    <phoneticPr fontId="1" type="noConversion"/>
  </si>
  <si>
    <t>平等；平等的；地位平等的</t>
    <phoneticPr fontId="1" type="noConversion"/>
  </si>
  <si>
    <t>（等级）森明，森严，严明</t>
    <phoneticPr fontId="1" type="noConversion"/>
  </si>
  <si>
    <t>科学；科学的，尊重事实的</t>
    <phoneticPr fontId="1" type="noConversion"/>
  </si>
  <si>
    <t>迷信的，神神叨叨的（人）；鬼神的；鬼神之事，迷信</t>
    <phoneticPr fontId="1" type="noConversion"/>
  </si>
  <si>
    <t>宗教，宗派，教派；宗教的；信教的</t>
    <phoneticPr fontId="1" type="noConversion"/>
  </si>
  <si>
    <t>封建的；分封；分封制；分封的</t>
    <phoneticPr fontId="1" type="noConversion"/>
  </si>
  <si>
    <t>诚实的，诚信的，守信的，讲信用的；诚实，信用</t>
    <phoneticPr fontId="1" type="noConversion"/>
  </si>
  <si>
    <t>不诚实的，不守诚信的，不守信用的，言而无信的；不诚信，没有诚信</t>
    <phoneticPr fontId="1" type="noConversion"/>
  </si>
  <si>
    <t>民主的；民主；民主体制</t>
    <phoneticPr fontId="1" type="noConversion"/>
  </si>
  <si>
    <t>专治的；专治；专治体制；权威的；权威，专家</t>
    <phoneticPr fontId="1" type="noConversion"/>
  </si>
  <si>
    <t>独裁的，个人专治的，独揽大权的；独裁，独揽大权</t>
    <phoneticPr fontId="1" type="noConversion"/>
  </si>
  <si>
    <t>（自由）受限；限制自由；软禁中的</t>
    <phoneticPr fontId="1" type="noConversion"/>
  </si>
  <si>
    <t>足够的，足量的，充足的</t>
    <phoneticPr fontId="1" type="noConversion"/>
  </si>
  <si>
    <t>不足的，不够的，不充足的；不足之处</t>
    <phoneticPr fontId="1" type="noConversion"/>
  </si>
  <si>
    <t>礼貌；礼数；礼仪；讲礼貌的</t>
    <phoneticPr fontId="1" type="noConversion"/>
  </si>
  <si>
    <t>博学的，博览群书的，学识丰厚的</t>
    <phoneticPr fontId="1" type="noConversion"/>
  </si>
  <si>
    <t>孤陋寡闻的，没有见识的；了解得很少的</t>
    <phoneticPr fontId="1" type="noConversion"/>
  </si>
  <si>
    <t>著名的，闻名的，驰名的，有名的</t>
    <phoneticPr fontId="1" type="noConversion"/>
  </si>
  <si>
    <t>无奈的，无可奈何的；没有办法的</t>
    <phoneticPr fontId="1" type="noConversion"/>
  </si>
  <si>
    <t>（层）厚的</t>
    <phoneticPr fontId="1" type="noConversion"/>
  </si>
  <si>
    <t>（层）薄的</t>
    <phoneticPr fontId="1" type="noConversion"/>
  </si>
  <si>
    <t>（距离、感官）远的；远处，远方</t>
    <phoneticPr fontId="1" type="noConversion"/>
  </si>
  <si>
    <t>（距离、感官）近的；近处</t>
    <phoneticPr fontId="1" type="noConversion"/>
  </si>
  <si>
    <t>仔细的；细心；当心，留心</t>
    <phoneticPr fontId="1" type="noConversion"/>
  </si>
  <si>
    <t>累，疲倦，疲乏；困倦，疲惫；感到疲劳，感到疲倦</t>
    <phoneticPr fontId="1" type="noConversion"/>
  </si>
  <si>
    <t>（门、窗、柜子……）开；开着</t>
    <phoneticPr fontId="1" type="noConversion"/>
  </si>
  <si>
    <t>（门、窗、柜子……）关；关着</t>
    <phoneticPr fontId="1" type="noConversion"/>
  </si>
  <si>
    <t>空白；空着，空置；空余，闲余，空闲</t>
    <phoneticPr fontId="1" type="noConversion"/>
  </si>
  <si>
    <t>满，充满，盛满</t>
    <phoneticPr fontId="1" type="noConversion"/>
  </si>
  <si>
    <t>（头发，线条……）直；直接；耿直；率直</t>
    <phoneticPr fontId="1" type="noConversion"/>
  </si>
  <si>
    <t>合适；适合；相宜；相称；不错，好</t>
    <phoneticPr fontId="1" type="noConversion"/>
  </si>
  <si>
    <t>灵活</t>
    <phoneticPr fontId="1" type="noConversion"/>
  </si>
  <si>
    <t>笨拙</t>
    <phoneticPr fontId="1" type="noConversion"/>
  </si>
  <si>
    <t>（文章篇幅）长</t>
    <phoneticPr fontId="1" type="noConversion"/>
  </si>
  <si>
    <t>（文章篇幅）短</t>
    <phoneticPr fontId="1" type="noConversion"/>
  </si>
  <si>
    <t>粗</t>
    <phoneticPr fontId="1" type="noConversion"/>
  </si>
  <si>
    <t>细</t>
    <phoneticPr fontId="1" type="noConversion"/>
  </si>
  <si>
    <t>困难，艰难</t>
    <phoneticPr fontId="1" type="noConversion"/>
  </si>
  <si>
    <t>容易，简单</t>
    <phoneticPr fontId="1" type="noConversion"/>
  </si>
  <si>
    <t>有限；可数；受限</t>
    <phoneticPr fontId="1" type="noConversion"/>
  </si>
  <si>
    <t>无限；不可数</t>
    <phoneticPr fontId="1" type="noConversion"/>
  </si>
  <si>
    <t>干旱；干燥；干</t>
    <phoneticPr fontId="1" type="noConversion"/>
  </si>
  <si>
    <t>潮湿；湿润</t>
    <phoneticPr fontId="1" type="noConversion"/>
  </si>
  <si>
    <t>有意义的，重要的，影响大的</t>
    <phoneticPr fontId="1" type="noConversion"/>
  </si>
  <si>
    <t>皱着的；皱（眉）；揉皱（纸）</t>
    <phoneticPr fontId="1" type="noConversion"/>
  </si>
  <si>
    <t>疼痛的，疼的；感到疼痛</t>
    <phoneticPr fontId="1" type="noConversion"/>
  </si>
  <si>
    <t>感觉痒；哈痒</t>
    <phoneticPr fontId="1" type="noConversion"/>
  </si>
  <si>
    <t>活；活着；生活；生命；活着的</t>
    <phoneticPr fontId="1" type="noConversion"/>
  </si>
  <si>
    <t>死，死亡；死了的</t>
    <phoneticPr fontId="1" type="noConversion"/>
  </si>
  <si>
    <t>准确的，精准的</t>
    <phoneticPr fontId="1" type="noConversion"/>
  </si>
  <si>
    <t>丑陋的；丑的；（外貌、行为、道德）丑陋</t>
    <phoneticPr fontId="1" type="noConversion"/>
  </si>
  <si>
    <t>自信，有底气</t>
    <phoneticPr fontId="1" type="noConversion"/>
  </si>
  <si>
    <t>反常的；反常之处</t>
    <phoneticPr fontId="1" type="noConversion"/>
  </si>
  <si>
    <t>慷慨的，心地善良的，大方帮助别人的</t>
    <phoneticPr fontId="1" type="noConversion"/>
  </si>
  <si>
    <t>人工的，人为的，人造的，人力因素的</t>
    <phoneticPr fontId="1" type="noConversion"/>
  </si>
  <si>
    <t>自然的；自然；大自然；本性；情不自禁地</t>
    <phoneticPr fontId="1" type="noConversion"/>
  </si>
  <si>
    <t>永远，永恒</t>
    <phoneticPr fontId="1" type="noConversion"/>
  </si>
  <si>
    <t>友善的，好相处的</t>
    <phoneticPr fontId="1" type="noConversion"/>
  </si>
  <si>
    <t>被禁止的，禁忌的</t>
    <phoneticPr fontId="1" type="noConversion"/>
  </si>
  <si>
    <t>恼火，窝火；令人恼火、着恼的</t>
    <phoneticPr fontId="1" type="noConversion"/>
  </si>
  <si>
    <t>真；真的；真实；真是</t>
    <phoneticPr fontId="1" type="noConversion"/>
  </si>
  <si>
    <t>和平；和平的，不好战的</t>
    <phoneticPr fontId="1" type="noConversion"/>
  </si>
  <si>
    <t>平的；平坦的；平板的</t>
    <phoneticPr fontId="1" type="noConversion"/>
  </si>
  <si>
    <t>一般；普通；正常</t>
    <phoneticPr fontId="1" type="noConversion"/>
  </si>
  <si>
    <t>酸的；酸楚的，痛苦的</t>
    <phoneticPr fontId="1" type="noConversion"/>
  </si>
  <si>
    <t>甜的；甜蜜的，高兴的</t>
    <phoneticPr fontId="1" type="noConversion"/>
  </si>
  <si>
    <t>苦的；苦涩的；痛苦的</t>
    <phoneticPr fontId="1" type="noConversion"/>
  </si>
  <si>
    <t>辣的；火辣的，性感的</t>
    <phoneticPr fontId="1" type="noConversion"/>
  </si>
  <si>
    <t>傲慢的，自负的</t>
    <phoneticPr fontId="1" type="noConversion"/>
  </si>
  <si>
    <t>吝啬的；贪财的</t>
    <phoneticPr fontId="1" type="noConversion"/>
  </si>
  <si>
    <t>伟大的；强大的；伟岸的</t>
    <phoneticPr fontId="1" type="noConversion"/>
  </si>
  <si>
    <t>令人困倦的；感到困倦的；困倦，疲惫</t>
    <phoneticPr fontId="1" type="noConversion"/>
  </si>
  <si>
    <t>好，上等的;上等的东西</t>
    <phoneticPr fontId="1" type="noConversion"/>
  </si>
  <si>
    <t>次等的，下等的，稍逊的；次等的东西</t>
    <phoneticPr fontId="1" type="noConversion"/>
  </si>
  <si>
    <t>主要的；正位的；主导的;主位</t>
    <phoneticPr fontId="1" type="noConversion"/>
  </si>
  <si>
    <t>副的，裨位的；从属的；副职</t>
    <phoneticPr fontId="1" type="noConversion"/>
  </si>
  <si>
    <t>时尚，时髦，时兴，摩登的；流行的</t>
    <phoneticPr fontId="1" type="noConversion"/>
  </si>
  <si>
    <t>过气潮流；过时的，不再流行的；怀旧的</t>
    <phoneticPr fontId="1" type="noConversion"/>
  </si>
  <si>
    <t>表层;表面的；表面上看；肤浅的；外表</t>
    <phoneticPr fontId="1" type="noConversion"/>
  </si>
  <si>
    <t>深层;内在的；内在；往深处看；有深意的</t>
    <phoneticPr fontId="1" type="noConversion"/>
  </si>
  <si>
    <t>n., v.</t>
    <phoneticPr fontId="1" type="noConversion"/>
  </si>
  <si>
    <t>edj., v.</t>
    <phoneticPr fontId="1" type="noConversion"/>
  </si>
  <si>
    <t>自由；自由的；被解放的，解放后的；解放</t>
    <phoneticPr fontId="1" type="noConversion"/>
  </si>
  <si>
    <t>卷（起来）；（头发，线条……）卷，卷曲，蜷曲；卷</t>
    <phoneticPr fontId="1" type="noConversion"/>
  </si>
  <si>
    <t>grand-</t>
    <phoneticPr fontId="1" type="noConversion"/>
  </si>
  <si>
    <t>eno-</t>
    <phoneticPr fontId="1" type="noConversion"/>
  </si>
  <si>
    <t>peu-</t>
    <phoneticPr fontId="1" type="noConversion"/>
  </si>
  <si>
    <t>mes-</t>
    <phoneticPr fontId="1" type="noConversion"/>
  </si>
  <si>
    <t>mezangi-</t>
    <phoneticPr fontId="1" type="noConversion"/>
  </si>
  <si>
    <t>ehono-</t>
    <phoneticPr fontId="1" type="noConversion"/>
  </si>
  <si>
    <t>peo-</t>
    <phoneticPr fontId="1" type="noConversion"/>
  </si>
  <si>
    <t>2</t>
  </si>
  <si>
    <t>中；中等</t>
    <phoneticPr fontId="1" type="noConversion"/>
  </si>
  <si>
    <t>inglia</t>
    <phoneticPr fontId="1" type="noConversion"/>
  </si>
  <si>
    <t>italia</t>
    <phoneticPr fontId="1" type="noConversion"/>
  </si>
  <si>
    <t>flansia</t>
    <phoneticPr fontId="1" type="noConversion"/>
  </si>
  <si>
    <t>flancia</t>
    <phoneticPr fontId="1" type="noConversion"/>
  </si>
  <si>
    <t>esbania</t>
    <phoneticPr fontId="1" type="noConversion"/>
  </si>
  <si>
    <t>portugia</t>
    <phoneticPr fontId="1" type="noConversion"/>
  </si>
  <si>
    <t>zogia</t>
    <phoneticPr fontId="1" type="noConversion"/>
  </si>
  <si>
    <t>bu-goria</t>
    <phoneticPr fontId="1" type="noConversion"/>
  </si>
  <si>
    <t>sud-goria</t>
    <phoneticPr fontId="1" type="noConversion"/>
  </si>
  <si>
    <t>josia</t>
    <phoneticPr fontId="1" type="noConversion"/>
  </si>
  <si>
    <t>baequ'ia</t>
    <phoneticPr fontId="1" type="noConversion"/>
  </si>
  <si>
    <t>sillia</t>
    <phoneticPr fontId="1" type="noConversion"/>
  </si>
  <si>
    <t>hunia</t>
    <phoneticPr fontId="1" type="noConversion"/>
  </si>
  <si>
    <t>jabia</t>
    <phoneticPr fontId="1" type="noConversion"/>
  </si>
  <si>
    <t>dechemania</t>
    <phoneticPr fontId="1" type="noConversion"/>
  </si>
  <si>
    <t>prussia</t>
    <phoneticPr fontId="1" type="noConversion"/>
  </si>
  <si>
    <t>etedia-uniss</t>
    <phoneticPr fontId="1" type="noConversion"/>
  </si>
  <si>
    <t>america</t>
    <phoneticPr fontId="1" type="noConversion"/>
  </si>
  <si>
    <t>canadia</t>
    <phoneticPr fontId="1" type="noConversion"/>
  </si>
  <si>
    <t>newfoundlandia</t>
    <phoneticPr fontId="1" type="noConversion"/>
  </si>
  <si>
    <t>mexiceya</t>
    <phoneticPr fontId="1" type="noConversion"/>
  </si>
  <si>
    <t>menhulia</t>
    <phoneticPr fontId="1" type="noConversion"/>
  </si>
  <si>
    <t>sweciya</t>
    <phoneticPr fontId="1" type="noConversion"/>
  </si>
  <si>
    <t>finlandia</t>
    <phoneticPr fontId="1" type="noConversion"/>
  </si>
  <si>
    <t>svejcalia</t>
    <phoneticPr fontId="1" type="noConversion"/>
  </si>
  <si>
    <t>hollandia</t>
    <phoneticPr fontId="1" type="noConversion"/>
  </si>
  <si>
    <t>holandia</t>
    <phoneticPr fontId="1" type="noConversion"/>
  </si>
  <si>
    <t>nethelandia</t>
    <phoneticPr fontId="1" type="noConversion"/>
  </si>
  <si>
    <t>gilya</t>
    <phoneticPr fontId="1" type="noConversion"/>
  </si>
  <si>
    <t>hellathia</t>
    <phoneticPr fontId="1" type="noConversion"/>
  </si>
  <si>
    <t>nalatadesia</t>
    <phoneticPr fontId="1" type="noConversion"/>
  </si>
  <si>
    <t>austria</t>
    <phoneticPr fontId="1" type="noConversion"/>
  </si>
  <si>
    <t>polonia</t>
    <phoneticPr fontId="1" type="noConversion"/>
  </si>
  <si>
    <t>rushia</t>
    <phoneticPr fontId="1" type="noConversion"/>
  </si>
  <si>
    <t>moscovya</t>
    <phoneticPr fontId="1" type="noConversion"/>
  </si>
  <si>
    <t>iraqu'ia</t>
    <phoneticPr fontId="1" type="noConversion"/>
  </si>
  <si>
    <t>belarushia</t>
    <phoneticPr fontId="1" type="noConversion"/>
  </si>
  <si>
    <t>luxembia</t>
    <phoneticPr fontId="1" type="noConversion"/>
  </si>
  <si>
    <t>intejcia</t>
    <phoneticPr fontId="1" type="noConversion"/>
  </si>
  <si>
    <t>ottomania</t>
    <phoneticPr fontId="1" type="noConversion"/>
  </si>
  <si>
    <t>india</t>
    <phoneticPr fontId="1" type="noConversion"/>
  </si>
  <si>
    <t>slofacia</t>
    <phoneticPr fontId="1" type="noConversion"/>
  </si>
  <si>
    <t>indonisia</t>
    <phoneticPr fontId="1" type="noConversion"/>
  </si>
  <si>
    <t>hvitlancia</t>
    <phoneticPr fontId="1" type="noConversion"/>
  </si>
  <si>
    <t>pathethnia</t>
    <phoneticPr fontId="1" type="noConversion"/>
  </si>
  <si>
    <t>blirtia-uniss</t>
    <phoneticPr fontId="1" type="noConversion"/>
  </si>
  <si>
    <t>estonia</t>
    <phoneticPr fontId="1" type="noConversion"/>
  </si>
  <si>
    <t>laitvia</t>
    <phoneticPr fontId="1" type="noConversion"/>
  </si>
  <si>
    <t>litwania</t>
    <phoneticPr fontId="1" type="noConversion"/>
  </si>
  <si>
    <t>ucrannia</t>
    <phoneticPr fontId="1" type="noConversion"/>
  </si>
  <si>
    <t>moldavia</t>
    <phoneticPr fontId="1" type="noConversion"/>
  </si>
  <si>
    <t>cechiya</t>
    <phoneticPr fontId="1" type="noConversion"/>
  </si>
  <si>
    <t>nibra-carnia</t>
    <phoneticPr fontId="1" type="noConversion"/>
  </si>
  <si>
    <t>serbia</t>
    <phoneticPr fontId="1" type="noConversion"/>
  </si>
  <si>
    <t>corotia</t>
    <phoneticPr fontId="1" type="noConversion"/>
  </si>
  <si>
    <t>slovennia</t>
    <phoneticPr fontId="1" type="noConversion"/>
  </si>
  <si>
    <t>bos'nia en 
herzegovinia</t>
    <phoneticPr fontId="1" type="noConversion"/>
  </si>
  <si>
    <t>mequ'edonia</t>
    <phoneticPr fontId="1" type="noConversion"/>
  </si>
  <si>
    <t>cosovia</t>
    <phoneticPr fontId="1" type="noConversion"/>
  </si>
  <si>
    <t>bugaria</t>
    <phoneticPr fontId="1" type="noConversion"/>
  </si>
  <si>
    <t>halbania</t>
    <phoneticPr fontId="1" type="noConversion"/>
  </si>
  <si>
    <t>islandia</t>
    <phoneticPr fontId="1" type="noConversion"/>
  </si>
  <si>
    <t>pathelavia</t>
    <phoneticPr fontId="1" type="noConversion"/>
  </si>
  <si>
    <t>belgia</t>
    <phoneticPr fontId="1" type="noConversion"/>
  </si>
  <si>
    <t>dinamarcia</t>
    <phoneticPr fontId="1" type="noConversion"/>
  </si>
  <si>
    <t>andoria</t>
    <phoneticPr fontId="1" type="noConversion"/>
  </si>
  <si>
    <t>monacia</t>
    <phoneticPr fontId="1" type="noConversion"/>
  </si>
  <si>
    <t>vaticia</t>
    <phoneticPr fontId="1" type="noConversion"/>
  </si>
  <si>
    <t>liechtensteinia</t>
    <phoneticPr fontId="1" type="noConversion"/>
  </si>
  <si>
    <t>honharia</t>
    <phoneticPr fontId="1" type="noConversion"/>
  </si>
  <si>
    <t>rumania</t>
    <phoneticPr fontId="1" type="noConversion"/>
  </si>
  <si>
    <t>jugoslavia</t>
    <phoneticPr fontId="1" type="noConversion"/>
  </si>
  <si>
    <t>malta</t>
    <phoneticPr fontId="1" type="noConversion"/>
  </si>
  <si>
    <t>maltia</t>
    <phoneticPr fontId="1" type="noConversion"/>
  </si>
  <si>
    <t>irlandia</t>
    <phoneticPr fontId="1" type="noConversion"/>
  </si>
  <si>
    <t>scotlandia</t>
    <phoneticPr fontId="1" type="noConversion"/>
  </si>
  <si>
    <t>uelia</t>
    <phoneticPr fontId="1" type="noConversion"/>
  </si>
  <si>
    <t>georgia</t>
    <phoneticPr fontId="1" type="noConversion"/>
  </si>
  <si>
    <t>armenia</t>
    <phoneticPr fontId="1" type="noConversion"/>
  </si>
  <si>
    <t>azerbaijia</t>
    <phoneticPr fontId="1" type="noConversion"/>
  </si>
  <si>
    <t>qu'ibria</t>
    <phoneticPr fontId="1" type="noConversion"/>
  </si>
  <si>
    <t>livonya</t>
    <phoneticPr fontId="1" type="noConversion"/>
  </si>
  <si>
    <t>syria</t>
    <phoneticPr fontId="1" type="noConversion"/>
  </si>
  <si>
    <t>israilya</t>
    <phoneticPr fontId="1" type="noConversion"/>
  </si>
  <si>
    <t>palestinia</t>
    <phoneticPr fontId="1" type="noConversion"/>
  </si>
  <si>
    <t>saudia-arab</t>
    <phoneticPr fontId="1" type="noConversion"/>
  </si>
  <si>
    <t>arabia</t>
    <phoneticPr fontId="1" type="noConversion"/>
  </si>
  <si>
    <t>cuwaitya</t>
    <phoneticPr fontId="1" type="noConversion"/>
  </si>
  <si>
    <t>bahria</t>
    <phoneticPr fontId="1" type="noConversion"/>
  </si>
  <si>
    <t>qu'atia</t>
    <phoneticPr fontId="1" type="noConversion"/>
  </si>
  <si>
    <t>amiratia-arab-uniss</t>
    <phoneticPr fontId="1" type="noConversion"/>
  </si>
  <si>
    <t>omannia</t>
    <phoneticPr fontId="1" type="noConversion"/>
  </si>
  <si>
    <t>irania</t>
    <phoneticPr fontId="1" type="noConversion"/>
  </si>
  <si>
    <t>turan</t>
    <phoneticPr fontId="1" type="noConversion"/>
  </si>
  <si>
    <t>persia</t>
    <phoneticPr fontId="1" type="noConversion"/>
  </si>
  <si>
    <t>cazacstanya</t>
    <phoneticPr fontId="1" type="noConversion"/>
  </si>
  <si>
    <t>turqu'menistanya</t>
    <phoneticPr fontId="1" type="noConversion"/>
  </si>
  <si>
    <t>uzbequ'ia</t>
    <phoneticPr fontId="1" type="noConversion"/>
  </si>
  <si>
    <t>cirgizia</t>
    <phoneticPr fontId="1" type="noConversion"/>
  </si>
  <si>
    <t>tajicia</t>
    <phoneticPr fontId="1" type="noConversion"/>
  </si>
  <si>
    <t>afgannisnya</t>
    <phoneticPr fontId="1" type="noConversion"/>
  </si>
  <si>
    <t>pacistanya</t>
    <phoneticPr fontId="1" type="noConversion"/>
  </si>
  <si>
    <t>nepalia</t>
    <phoneticPr fontId="1" type="noConversion"/>
  </si>
  <si>
    <t>crimia</t>
    <phoneticPr fontId="1" type="noConversion"/>
  </si>
  <si>
    <t>cashmia</t>
    <phoneticPr fontId="1" type="noConversion"/>
  </si>
  <si>
    <t>norgia</t>
    <phoneticPr fontId="1" type="noConversion"/>
  </si>
  <si>
    <t>qu'oqonia</t>
    <phoneticPr fontId="1" type="noConversion"/>
  </si>
  <si>
    <t>x'onligia</t>
    <phoneticPr fontId="1" type="noConversion"/>
  </si>
  <si>
    <t>x'orania</t>
    <phoneticPr fontId="1" type="noConversion"/>
  </si>
  <si>
    <t>cushania</t>
    <phoneticPr fontId="1" type="noConversion"/>
  </si>
  <si>
    <t>arsasia</t>
    <phoneticPr fontId="1" type="noConversion"/>
  </si>
  <si>
    <t>buch'aria</t>
    <phoneticPr fontId="1" type="noConversion"/>
  </si>
  <si>
    <t>ortia</t>
    <phoneticPr fontId="1" type="noConversion"/>
  </si>
  <si>
    <t>bodia</t>
    <phoneticPr fontId="1" type="noConversion"/>
  </si>
  <si>
    <t>cozacia</t>
    <phoneticPr fontId="1" type="noConversion"/>
  </si>
  <si>
    <t>tongia</t>
    <phoneticPr fontId="1" type="noConversion"/>
  </si>
  <si>
    <t>c'halc'hia</t>
    <phoneticPr fontId="1" type="noConversion"/>
  </si>
  <si>
    <t>ch'alch'ia</t>
    <phoneticPr fontId="1" type="noConversion"/>
  </si>
  <si>
    <t>dzungia</t>
    <phoneticPr fontId="1" type="noConversion"/>
  </si>
  <si>
    <t>joshoia</t>
    <phoneticPr fontId="1" type="noConversion"/>
  </si>
  <si>
    <t>turlvania</t>
    <phoneticPr fontId="1" type="noConversion"/>
  </si>
  <si>
    <t>laosia</t>
    <phoneticPr fontId="1" type="noConversion"/>
  </si>
  <si>
    <t>sihirtia</t>
    <phoneticPr fontId="1" type="noConversion"/>
  </si>
  <si>
    <t>cepchacia</t>
    <phoneticPr fontId="1" type="noConversion"/>
  </si>
  <si>
    <t>javia</t>
    <phoneticPr fontId="1" type="noConversion"/>
  </si>
  <si>
    <t>caucasus</t>
    <phoneticPr fontId="1" type="noConversion"/>
  </si>
  <si>
    <t>conjutia</t>
    <phoneticPr fontId="1" type="noConversion"/>
  </si>
  <si>
    <t>samboya</t>
    <phoneticPr fontId="1" type="noConversion"/>
  </si>
  <si>
    <t>johia</t>
    <phoneticPr fontId="1" type="noConversion"/>
  </si>
  <si>
    <t>saltania sulia</t>
    <phoneticPr fontId="1" type="noConversion"/>
  </si>
  <si>
    <t>luzonia</t>
    <phoneticPr fontId="1" type="noConversion"/>
  </si>
  <si>
    <t>siccimya</t>
    <phoneticPr fontId="1" type="noConversion"/>
  </si>
  <si>
    <t>butania</t>
    <phoneticPr fontId="1" type="noConversion"/>
  </si>
  <si>
    <t>malasya</t>
    <phoneticPr fontId="1" type="noConversion"/>
  </si>
  <si>
    <t>bangladeshia</t>
    <phoneticPr fontId="1" type="noConversion"/>
  </si>
  <si>
    <t>srilancia</t>
    <phoneticPr fontId="1" type="noConversion"/>
  </si>
  <si>
    <t>maldivia</t>
    <phoneticPr fontId="1" type="noConversion"/>
  </si>
  <si>
    <t>myanmia</t>
    <phoneticPr fontId="1" type="noConversion"/>
  </si>
  <si>
    <t>siemia</t>
    <phoneticPr fontId="1" type="noConversion"/>
  </si>
  <si>
    <t>cambodia</t>
    <phoneticPr fontId="1" type="noConversion"/>
  </si>
  <si>
    <t>malayzia</t>
    <phoneticPr fontId="1" type="noConversion"/>
  </si>
  <si>
    <t>sassandia</t>
    <phoneticPr fontId="1" type="noConversion"/>
  </si>
  <si>
    <t>bruneya</t>
    <phoneticPr fontId="1" type="noConversion"/>
  </si>
  <si>
    <t>filipinia</t>
    <phoneticPr fontId="1" type="noConversion"/>
  </si>
  <si>
    <t>aduist-timia</t>
    <phoneticPr fontId="1" type="noConversion"/>
  </si>
  <si>
    <t>papuasia-nouval-
gvinia</t>
    <phoneticPr fontId="1" type="noConversion"/>
  </si>
  <si>
    <t>nouval-zelandia</t>
    <phoneticPr fontId="1" type="noConversion"/>
  </si>
  <si>
    <t>palauya</t>
    <phoneticPr fontId="1" type="noConversion"/>
  </si>
  <si>
    <t>micronezia-uniss</t>
    <phoneticPr fontId="1" type="noConversion"/>
  </si>
  <si>
    <t>rjuqu'juya</t>
    <phoneticPr fontId="1" type="noConversion"/>
  </si>
  <si>
    <t>hawaiia</t>
    <phoneticPr fontId="1" type="noConversion"/>
  </si>
  <si>
    <t>polynesia</t>
    <phoneticPr fontId="1" type="noConversion"/>
  </si>
  <si>
    <t>salomonia</t>
    <phoneticPr fontId="1" type="noConversion"/>
  </si>
  <si>
    <t>varuatia</t>
    <phoneticPr fontId="1" type="noConversion"/>
  </si>
  <si>
    <t>tuvalia</t>
    <phoneticPr fontId="1" type="noConversion"/>
  </si>
  <si>
    <t>nauria</t>
    <phoneticPr fontId="1" type="noConversion"/>
  </si>
  <si>
    <t>qu'iribatia</t>
    <phoneticPr fontId="1" type="noConversion"/>
  </si>
  <si>
    <t>marshaloya</t>
    <phoneticPr fontId="1" type="noConversion"/>
  </si>
  <si>
    <t>fijia</t>
    <phoneticPr fontId="1" type="noConversion"/>
  </si>
  <si>
    <t>samoya</t>
    <phoneticPr fontId="1" type="noConversion"/>
  </si>
  <si>
    <t>nia</t>
    <phoneticPr fontId="1" type="noConversion"/>
  </si>
  <si>
    <t>bagamia</t>
    <phoneticPr fontId="1" type="noConversion"/>
  </si>
  <si>
    <t>cubia</t>
    <phoneticPr fontId="1" type="noConversion"/>
  </si>
  <si>
    <t>jamaiqu'ia</t>
    <phoneticPr fontId="1" type="noConversion"/>
  </si>
  <si>
    <t>haitia</t>
    <phoneticPr fontId="1" type="noConversion"/>
  </si>
  <si>
    <t>dominicia</t>
    <phoneticPr fontId="1" type="noConversion"/>
  </si>
  <si>
    <t>guatemalia</t>
    <phoneticPr fontId="1" type="noConversion"/>
  </si>
  <si>
    <t>belizia</t>
    <phoneticPr fontId="1" type="noConversion"/>
  </si>
  <si>
    <t>honduria</t>
    <phoneticPr fontId="1" type="noConversion"/>
  </si>
  <si>
    <t>salvadia</t>
    <phoneticPr fontId="1" type="noConversion"/>
  </si>
  <si>
    <t>costaricia</t>
    <phoneticPr fontId="1" type="noConversion"/>
  </si>
  <si>
    <t>panamia</t>
    <phoneticPr fontId="1" type="noConversion"/>
  </si>
  <si>
    <t>holand-antillia</t>
    <phoneticPr fontId="1" type="noConversion"/>
  </si>
  <si>
    <t>sacli-lucia</t>
    <phoneticPr fontId="1" type="noConversion"/>
  </si>
  <si>
    <t>sacli-vincentia en la 
grenadinia</t>
    <phoneticPr fontId="1" type="noConversion"/>
  </si>
  <si>
    <t>colombia</t>
    <phoneticPr fontId="1" type="noConversion"/>
  </si>
  <si>
    <t>venzuelia</t>
    <phoneticPr fontId="1" type="noConversion"/>
  </si>
  <si>
    <t>buya</t>
    <phoneticPr fontId="1" type="noConversion"/>
  </si>
  <si>
    <t>eguadia</t>
    <phoneticPr fontId="1" type="noConversion"/>
  </si>
  <si>
    <t>peria</t>
    <phoneticPr fontId="1" type="noConversion"/>
  </si>
  <si>
    <t>chilia</t>
    <phoneticPr fontId="1" type="noConversion"/>
  </si>
  <si>
    <t>bolivia</t>
    <phoneticPr fontId="1" type="noConversion"/>
  </si>
  <si>
    <t>argentinia</t>
    <phoneticPr fontId="1" type="noConversion"/>
  </si>
  <si>
    <t>paragwia</t>
    <phoneticPr fontId="1" type="noConversion"/>
  </si>
  <si>
    <t>uruguia</t>
    <phoneticPr fontId="1" type="noConversion"/>
  </si>
  <si>
    <t>urugwia</t>
    <phoneticPr fontId="1" type="noConversion"/>
  </si>
  <si>
    <t>guiania</t>
    <phoneticPr fontId="1" type="noConversion"/>
  </si>
  <si>
    <t>surinamia</t>
    <phoneticPr fontId="1" type="noConversion"/>
  </si>
  <si>
    <t>flanse-guiania</t>
    <phoneticPr fontId="1" type="noConversion"/>
  </si>
  <si>
    <t>barbadia</t>
    <phoneticPr fontId="1" type="noConversion"/>
  </si>
  <si>
    <t>marocia</t>
    <phoneticPr fontId="1" type="noConversion"/>
  </si>
  <si>
    <t>saharia-arab</t>
    <phoneticPr fontId="1" type="noConversion"/>
  </si>
  <si>
    <t>algeria</t>
    <phoneticPr fontId="1" type="noConversion"/>
  </si>
  <si>
    <t>tunesia</t>
    <phoneticPr fontId="1" type="noConversion"/>
  </si>
  <si>
    <t>egiptia</t>
    <phoneticPr fontId="1" type="noConversion"/>
  </si>
  <si>
    <t>babylia</t>
    <phoneticPr fontId="1" type="noConversion"/>
  </si>
  <si>
    <t>hittia</t>
    <phoneticPr fontId="1" type="noConversion"/>
  </si>
  <si>
    <t>trinidia en tobagia</t>
    <phoneticPr fontId="1" type="noConversion"/>
  </si>
  <si>
    <t>aztecia</t>
    <phoneticPr fontId="1" type="noConversion"/>
  </si>
  <si>
    <t>mauritania</t>
    <phoneticPr fontId="1" type="noConversion"/>
  </si>
  <si>
    <t>malia</t>
    <phoneticPr fontId="1" type="noConversion"/>
  </si>
  <si>
    <t>verdia</t>
    <phoneticPr fontId="1" type="noConversion"/>
  </si>
  <si>
    <t>vandalia</t>
    <phoneticPr fontId="1" type="noConversion"/>
  </si>
  <si>
    <t>gothia</t>
    <phoneticPr fontId="1" type="noConversion"/>
  </si>
  <si>
    <t>senegia</t>
    <phoneticPr fontId="1" type="noConversion"/>
  </si>
  <si>
    <t>gambia</t>
    <phoneticPr fontId="1" type="noConversion"/>
  </si>
  <si>
    <t>gvinia-bisia</t>
    <phoneticPr fontId="1" type="noConversion"/>
  </si>
  <si>
    <t>gvinia</t>
    <phoneticPr fontId="1" type="noConversion"/>
  </si>
  <si>
    <t>sieria-leonia</t>
    <phoneticPr fontId="1" type="noConversion"/>
  </si>
  <si>
    <t>liberia</t>
    <phoneticPr fontId="1" type="noConversion"/>
  </si>
  <si>
    <t>costare-efoya</t>
    <phoneticPr fontId="1" type="noConversion"/>
  </si>
  <si>
    <t>côte-d'ivoire</t>
    <phoneticPr fontId="1" type="noConversion"/>
  </si>
  <si>
    <t>costare-guldah'b</t>
    <phoneticPr fontId="1" type="noConversion"/>
  </si>
  <si>
    <t>costare-thralorber</t>
    <phoneticPr fontId="1" type="noConversion"/>
  </si>
  <si>
    <t>burcinia-fasia</t>
    <phoneticPr fontId="1" type="noConversion"/>
  </si>
  <si>
    <t>togia</t>
    <phoneticPr fontId="1" type="noConversion"/>
  </si>
  <si>
    <t>benia</t>
    <phoneticPr fontId="1" type="noConversion"/>
  </si>
  <si>
    <t>nigeria</t>
    <phoneticPr fontId="1" type="noConversion"/>
  </si>
  <si>
    <t>t'zadia</t>
    <phoneticPr fontId="1" type="noConversion"/>
  </si>
  <si>
    <t>cameronya</t>
    <phoneticPr fontId="1" type="noConversion"/>
  </si>
  <si>
    <t>africia-centria</t>
    <phoneticPr fontId="1" type="noConversion"/>
  </si>
  <si>
    <t>sao-tomia en 
principia</t>
    <phoneticPr fontId="1" type="noConversion"/>
  </si>
  <si>
    <t>gabonya</t>
    <phoneticPr fontId="1" type="noConversion"/>
  </si>
  <si>
    <t>congia</t>
    <phoneticPr fontId="1" type="noConversion"/>
  </si>
  <si>
    <t>zairia</t>
    <phoneticPr fontId="1" type="noConversion"/>
  </si>
  <si>
    <t>sudia</t>
    <phoneticPr fontId="1" type="noConversion"/>
  </si>
  <si>
    <t>sud-sudia</t>
    <phoneticPr fontId="1" type="noConversion"/>
  </si>
  <si>
    <t>eriteya</t>
    <phoneticPr fontId="1" type="noConversion"/>
  </si>
  <si>
    <t>d'jibutia</t>
    <phoneticPr fontId="1" type="noConversion"/>
  </si>
  <si>
    <t>ethiopia</t>
    <phoneticPr fontId="1" type="noConversion"/>
  </si>
  <si>
    <t>abysinia</t>
    <phoneticPr fontId="1" type="noConversion"/>
  </si>
  <si>
    <t>somalia</t>
    <phoneticPr fontId="1" type="noConversion"/>
  </si>
  <si>
    <t>song'haia</t>
    <phoneticPr fontId="1" type="noConversion"/>
  </si>
  <si>
    <t>zanzibia</t>
    <phoneticPr fontId="1" type="noConversion"/>
  </si>
  <si>
    <t>cenia</t>
    <phoneticPr fontId="1" type="noConversion"/>
  </si>
  <si>
    <t>cenya</t>
    <phoneticPr fontId="1" type="noConversion"/>
  </si>
  <si>
    <t>ruandia</t>
    <phoneticPr fontId="1" type="noConversion"/>
  </si>
  <si>
    <t>burundia</t>
    <phoneticPr fontId="1" type="noConversion"/>
  </si>
  <si>
    <t>tanzania</t>
    <phoneticPr fontId="1" type="noConversion"/>
  </si>
  <si>
    <t>seych'ellia</t>
    <phoneticPr fontId="1" type="noConversion"/>
  </si>
  <si>
    <t>comoria</t>
    <phoneticPr fontId="1" type="noConversion"/>
  </si>
  <si>
    <t>mauricia</t>
    <phoneticPr fontId="1" type="noConversion"/>
  </si>
  <si>
    <t>mosambiqu'ia</t>
    <phoneticPr fontId="1" type="noConversion"/>
  </si>
  <si>
    <t>zimbabia</t>
    <phoneticPr fontId="1" type="noConversion"/>
  </si>
  <si>
    <t>namibia</t>
    <phoneticPr fontId="1" type="noConversion"/>
  </si>
  <si>
    <t>botswania</t>
    <phoneticPr fontId="1" type="noConversion"/>
  </si>
  <si>
    <t>sud-africia</t>
    <phoneticPr fontId="1" type="noConversion"/>
  </si>
  <si>
    <t>lesotia</t>
    <phoneticPr fontId="1" type="noConversion"/>
  </si>
  <si>
    <t>suazilandia</t>
    <phoneticPr fontId="1" type="noConversion"/>
  </si>
  <si>
    <t>qu'art'hadashtia</t>
    <phoneticPr fontId="1" type="noConversion"/>
  </si>
  <si>
    <t>nubia</t>
    <phoneticPr fontId="1" type="noConversion"/>
  </si>
  <si>
    <t>foenicia</t>
    <phoneticPr fontId="1" type="noConversion"/>
  </si>
  <si>
    <t>gallia</t>
    <phoneticPr fontId="1" type="noConversion"/>
  </si>
  <si>
    <t>sumia</t>
    <phoneticPr fontId="1" type="noConversion"/>
  </si>
  <si>
    <t>masinia</t>
    <phoneticPr fontId="1" type="noConversion"/>
  </si>
  <si>
    <t>byzantinia</t>
    <phoneticPr fontId="1" type="noConversion"/>
  </si>
  <si>
    <t>guptia</t>
    <phoneticPr fontId="1" type="noConversion"/>
  </si>
  <si>
    <t>mug'halia</t>
    <phoneticPr fontId="1" type="noConversion"/>
  </si>
  <si>
    <t>axumia</t>
    <phoneticPr fontId="1" type="noConversion"/>
  </si>
  <si>
    <t>mogadishia</t>
    <phoneticPr fontId="1" type="noConversion"/>
  </si>
  <si>
    <t>mombasia</t>
    <phoneticPr fontId="1" type="noConversion"/>
  </si>
  <si>
    <t>incia</t>
    <phoneticPr fontId="1" type="noConversion"/>
  </si>
  <si>
    <t>nejdia</t>
    <phoneticPr fontId="1" type="noConversion"/>
  </si>
  <si>
    <t>hejazia</t>
    <phoneticPr fontId="1" type="noConversion"/>
  </si>
  <si>
    <t>engoya</t>
    <phoneticPr fontId="1" type="noConversion"/>
  </si>
  <si>
    <t>basutolandia</t>
    <phoneticPr fontId="1" type="noConversion"/>
  </si>
  <si>
    <t>genovia</t>
    <phoneticPr fontId="1" type="noConversion"/>
  </si>
  <si>
    <t>nyasalandia</t>
    <phoneticPr fontId="1" type="noConversion"/>
  </si>
  <si>
    <t>rh'odesia</t>
    <phoneticPr fontId="1" type="noConversion"/>
  </si>
  <si>
    <t>bechuanalandia</t>
    <phoneticPr fontId="1" type="noConversion"/>
  </si>
  <si>
    <t>sardegnia</t>
    <phoneticPr fontId="1" type="noConversion"/>
  </si>
  <si>
    <t>curdistanya</t>
    <phoneticPr fontId="1" type="noConversion"/>
  </si>
  <si>
    <t>brazia</t>
    <phoneticPr fontId="1" type="noConversion"/>
  </si>
  <si>
    <t>libia</t>
    <phoneticPr fontId="1" type="noConversion"/>
  </si>
  <si>
    <t>singaporia</t>
    <phoneticPr fontId="1" type="noConversion"/>
  </si>
  <si>
    <t>nicaragia</t>
    <phoneticPr fontId="1" type="noConversion"/>
  </si>
  <si>
    <t>san-marinia</t>
    <phoneticPr fontId="1" type="noConversion"/>
  </si>
  <si>
    <t>ferghania</t>
    <phoneticPr fontId="1" type="noConversion"/>
  </si>
  <si>
    <t>bactria</t>
    <phoneticPr fontId="1" type="noConversion"/>
  </si>
  <si>
    <t>sogdiania</t>
    <phoneticPr fontId="1" type="noConversion"/>
  </si>
  <si>
    <t>zeleucia</t>
    <phoneticPr fontId="1" type="noConversion"/>
  </si>
  <si>
    <t>magadhia</t>
    <phoneticPr fontId="1" type="noConversion"/>
  </si>
  <si>
    <t>maurya</t>
    <phoneticPr fontId="1" type="noConversion"/>
  </si>
  <si>
    <t>custania</t>
    <phoneticPr fontId="1" type="noConversion"/>
  </si>
  <si>
    <t>toc'haroia</t>
    <phoneticPr fontId="1" type="noConversion"/>
  </si>
  <si>
    <t>cusinia</t>
    <phoneticPr fontId="1" type="noConversion"/>
  </si>
  <si>
    <t>bragnia</t>
    <phoneticPr fontId="1" type="noConversion"/>
  </si>
  <si>
    <t>ch'almgudia</t>
    <phoneticPr fontId="1" type="noConversion"/>
  </si>
  <si>
    <t>burmia</t>
    <phoneticPr fontId="1" type="noConversion"/>
  </si>
  <si>
    <t>aljamenia</t>
    <phoneticPr fontId="1" type="noConversion"/>
  </si>
  <si>
    <t>asia</t>
    <phoneticPr fontId="1" type="noConversion"/>
  </si>
  <si>
    <t>africa</t>
    <phoneticPr fontId="1" type="noConversion"/>
  </si>
  <si>
    <t>europa</t>
    <phoneticPr fontId="1" type="noConversion"/>
  </si>
  <si>
    <t>ociania</t>
    <phoneticPr fontId="1" type="noConversion"/>
  </si>
  <si>
    <t>bu-america</t>
    <phoneticPr fontId="1" type="noConversion"/>
  </si>
  <si>
    <t>sud-america</t>
    <phoneticPr fontId="1" type="noConversion"/>
  </si>
  <si>
    <t>latinos-america</t>
    <phoneticPr fontId="1" type="noConversion"/>
  </si>
  <si>
    <t>centre-america</t>
    <phoneticPr fontId="1" type="noConversion"/>
  </si>
  <si>
    <t>australia</t>
    <phoneticPr fontId="1" type="noConversion"/>
  </si>
  <si>
    <t>antartiqu'a</t>
    <phoneticPr fontId="1" type="noConversion"/>
  </si>
  <si>
    <t>pasilievet</t>
    <phoneticPr fontId="1" type="noConversion"/>
  </si>
  <si>
    <t>atlantis</t>
    <phoneticPr fontId="1" type="noConversion"/>
  </si>
  <si>
    <t>indu</t>
    <phoneticPr fontId="1" type="noConversion"/>
  </si>
  <si>
    <t>atlantasco</t>
    <phoneticPr fontId="1" type="noConversion"/>
  </si>
  <si>
    <t>arctiqu'us</t>
    <phoneticPr fontId="1" type="noConversion"/>
  </si>
  <si>
    <t>ociano-pasilievet</t>
  </si>
  <si>
    <t>ociano-indu</t>
  </si>
  <si>
    <t>ociano-atlantasco</t>
  </si>
  <si>
    <t>ociano-arctiqu'us</t>
  </si>
  <si>
    <t>英格兰</t>
    <phoneticPr fontId="1" type="noConversion"/>
  </si>
  <si>
    <t>法国，法兰西</t>
    <phoneticPr fontId="1" type="noConversion"/>
  </si>
  <si>
    <t>法兰克</t>
    <phoneticPr fontId="1" type="noConversion"/>
  </si>
  <si>
    <t>西班牙，日斯巴尼亚</t>
    <phoneticPr fontId="1" type="noConversion"/>
  </si>
  <si>
    <t>葡萄牙</t>
    <phoneticPr fontId="1" type="noConversion"/>
  </si>
  <si>
    <t>中国，中华</t>
    <phoneticPr fontId="1" type="noConversion"/>
  </si>
  <si>
    <t>北朝鲜，朝鲜，北韩</t>
    <phoneticPr fontId="1" type="noConversion"/>
  </si>
  <si>
    <t>南朝鲜，韩国，南韩</t>
    <phoneticPr fontId="1" type="noConversion"/>
  </si>
  <si>
    <t>朝鲜</t>
    <phoneticPr fontId="1" type="noConversion"/>
  </si>
  <si>
    <t>百济</t>
    <phoneticPr fontId="1" type="noConversion"/>
  </si>
  <si>
    <t>新罗</t>
    <phoneticPr fontId="1" type="noConversion"/>
  </si>
  <si>
    <t>匈奴</t>
    <phoneticPr fontId="1" type="noConversion"/>
  </si>
  <si>
    <t>日本</t>
    <phoneticPr fontId="1" type="noConversion"/>
  </si>
  <si>
    <t>德国，德意志</t>
    <phoneticPr fontId="1" type="noConversion"/>
  </si>
  <si>
    <t>普鲁士</t>
    <phoneticPr fontId="1" type="noConversion"/>
  </si>
  <si>
    <t>鲜卑</t>
    <phoneticPr fontId="1" type="noConversion"/>
  </si>
  <si>
    <t>美国，美利坚，米国</t>
    <phoneticPr fontId="1" type="noConversion"/>
  </si>
  <si>
    <t>美国，美利坚，米国；美洲</t>
    <phoneticPr fontId="1" type="noConversion"/>
  </si>
  <si>
    <t>加拿大</t>
    <phoneticPr fontId="1" type="noConversion"/>
  </si>
  <si>
    <t>纽芬兰</t>
    <phoneticPr fontId="1" type="noConversion"/>
  </si>
  <si>
    <t>墨西哥</t>
    <phoneticPr fontId="1" type="noConversion"/>
  </si>
  <si>
    <t>蒙古</t>
    <phoneticPr fontId="1" type="noConversion"/>
  </si>
  <si>
    <t>瑞典</t>
    <phoneticPr fontId="1" type="noConversion"/>
  </si>
  <si>
    <t>芬兰</t>
    <phoneticPr fontId="1" type="noConversion"/>
  </si>
  <si>
    <t>瑞士</t>
    <phoneticPr fontId="1" type="noConversion"/>
  </si>
  <si>
    <t>荷兰</t>
    <phoneticPr fontId="1" type="noConversion"/>
  </si>
  <si>
    <t>尼德兰</t>
    <phoneticPr fontId="1" type="noConversion"/>
  </si>
  <si>
    <t>希腊</t>
    <phoneticPr fontId="1" type="noConversion"/>
  </si>
  <si>
    <t>cievia rushia</t>
    <phoneticPr fontId="1" type="noConversion"/>
  </si>
  <si>
    <t>古希腊；现代希腊</t>
    <phoneticPr fontId="1" type="noConversion"/>
  </si>
  <si>
    <t>挪威</t>
    <phoneticPr fontId="1" type="noConversion"/>
  </si>
  <si>
    <t>奥地利</t>
    <phoneticPr fontId="1" type="noConversion"/>
  </si>
  <si>
    <t>波兰</t>
    <phoneticPr fontId="1" type="noConversion"/>
  </si>
  <si>
    <t>俄罗斯</t>
    <phoneticPr fontId="1" type="noConversion"/>
  </si>
  <si>
    <t>基辅罗斯</t>
    <phoneticPr fontId="1" type="noConversion"/>
  </si>
  <si>
    <t>莫斯科公国</t>
    <phoneticPr fontId="1" type="noConversion"/>
  </si>
  <si>
    <t>伊拉克</t>
    <phoneticPr fontId="1" type="noConversion"/>
  </si>
  <si>
    <t>白俄罗斯</t>
    <phoneticPr fontId="1" type="noConversion"/>
  </si>
  <si>
    <t>卢森堡</t>
    <phoneticPr fontId="1" type="noConversion"/>
  </si>
  <si>
    <t>土耳其</t>
    <phoneticPr fontId="1" type="noConversion"/>
  </si>
  <si>
    <t>奥斯曼帝国</t>
    <phoneticPr fontId="1" type="noConversion"/>
  </si>
  <si>
    <t>印度</t>
    <phoneticPr fontId="1" type="noConversion"/>
  </si>
  <si>
    <t>斯洛伐克</t>
    <phoneticPr fontId="1" type="noConversion"/>
  </si>
  <si>
    <t>印度尼西亚</t>
    <phoneticPr fontId="1" type="noConversion"/>
  </si>
  <si>
    <t>越南，安南</t>
    <phoneticPr fontId="1" type="noConversion"/>
  </si>
  <si>
    <t>英国，大不列颠</t>
    <phoneticPr fontId="1" type="noConversion"/>
  </si>
  <si>
    <t>爱沙尼亚</t>
    <phoneticPr fontId="1" type="noConversion"/>
  </si>
  <si>
    <t>拉脱维亚</t>
    <phoneticPr fontId="1" type="noConversion"/>
  </si>
  <si>
    <t>立陶宛</t>
    <phoneticPr fontId="1" type="noConversion"/>
  </si>
  <si>
    <t>乌克兰</t>
    <phoneticPr fontId="1" type="noConversion"/>
  </si>
  <si>
    <t>摩尔多瓦，摩尔达维亚</t>
    <phoneticPr fontId="1" type="noConversion"/>
  </si>
  <si>
    <t>捷克</t>
    <phoneticPr fontId="1" type="noConversion"/>
  </si>
  <si>
    <t>黑山，门的内哥罗</t>
    <phoneticPr fontId="1" type="noConversion"/>
  </si>
  <si>
    <t>塞尔维亚</t>
    <phoneticPr fontId="1" type="noConversion"/>
  </si>
  <si>
    <t>克罗地亚</t>
    <phoneticPr fontId="1" type="noConversion"/>
  </si>
  <si>
    <t>斯洛文尼亚</t>
    <phoneticPr fontId="1" type="noConversion"/>
  </si>
  <si>
    <t>马其顿</t>
    <phoneticPr fontId="1" type="noConversion"/>
  </si>
  <si>
    <t>科索沃</t>
    <phoneticPr fontId="1" type="noConversion"/>
  </si>
  <si>
    <t>保加利亚</t>
    <phoneticPr fontId="1" type="noConversion"/>
  </si>
  <si>
    <t>阿尔巴尼亚</t>
    <phoneticPr fontId="1" type="noConversion"/>
  </si>
  <si>
    <t>冰岛</t>
    <phoneticPr fontId="1" type="noConversion"/>
  </si>
  <si>
    <t>比利时</t>
    <phoneticPr fontId="1" type="noConversion"/>
  </si>
  <si>
    <t>丹麦</t>
    <phoneticPr fontId="1" type="noConversion"/>
  </si>
  <si>
    <t>安道尔</t>
    <phoneticPr fontId="1" type="noConversion"/>
  </si>
  <si>
    <t>摩纳哥</t>
    <phoneticPr fontId="1" type="noConversion"/>
  </si>
  <si>
    <t>梵蒂冈</t>
    <phoneticPr fontId="1" type="noConversion"/>
  </si>
  <si>
    <t>匈牙利</t>
    <phoneticPr fontId="1" type="noConversion"/>
  </si>
  <si>
    <t>margya</t>
    <phoneticPr fontId="1" type="noConversion"/>
  </si>
  <si>
    <t>papesia</t>
    <phoneticPr fontId="1" type="noConversion"/>
  </si>
  <si>
    <t>罗马尼亚</t>
    <phoneticPr fontId="1" type="noConversion"/>
  </si>
  <si>
    <t>南斯拉夫</t>
    <phoneticPr fontId="1" type="noConversion"/>
  </si>
  <si>
    <t>马耳他</t>
    <phoneticPr fontId="1" type="noConversion"/>
  </si>
  <si>
    <t>爱尔兰</t>
    <phoneticPr fontId="1" type="noConversion"/>
  </si>
  <si>
    <t>苏格兰</t>
    <phoneticPr fontId="1" type="noConversion"/>
  </si>
  <si>
    <t>威尔士</t>
    <phoneticPr fontId="1" type="noConversion"/>
  </si>
  <si>
    <t>格鲁吉亚，乔治亚</t>
    <phoneticPr fontId="1" type="noConversion"/>
  </si>
  <si>
    <t>波黑，波斯尼亚和黑塞哥维那，
波赫，波士尼亚和赫塞哥维纳</t>
    <phoneticPr fontId="1" type="noConversion"/>
  </si>
  <si>
    <t>意大利，义大利</t>
    <phoneticPr fontId="1" type="noConversion"/>
  </si>
  <si>
    <t>列支敦士登，列支敦斯登</t>
    <phoneticPr fontId="1" type="noConversion"/>
  </si>
  <si>
    <t>亚美尼亚</t>
    <phoneticPr fontId="1" type="noConversion"/>
  </si>
  <si>
    <t>阿塞拜疆，亚塞拜然</t>
    <phoneticPr fontId="1" type="noConversion"/>
  </si>
  <si>
    <t>塞浦路斯，赛普勒斯</t>
    <phoneticPr fontId="1" type="noConversion"/>
  </si>
  <si>
    <t>黎巴嫩</t>
    <phoneticPr fontId="1" type="noConversion"/>
  </si>
  <si>
    <t>叙利亚</t>
    <phoneticPr fontId="1" type="noConversion"/>
  </si>
  <si>
    <t>以色列</t>
    <phoneticPr fontId="1" type="noConversion"/>
  </si>
  <si>
    <t>巴勒斯坦</t>
    <phoneticPr fontId="1" type="noConversion"/>
  </si>
  <si>
    <t>阿拉伯帝国，大食</t>
    <phoneticPr fontId="1" type="noConversion"/>
  </si>
  <si>
    <t>科威特</t>
    <phoneticPr fontId="1" type="noConversion"/>
  </si>
  <si>
    <t>巴林</t>
    <phoneticPr fontId="1" type="noConversion"/>
  </si>
  <si>
    <t>卡塔尔，卡达</t>
    <phoneticPr fontId="1" type="noConversion"/>
  </si>
  <si>
    <t>阿曼</t>
    <phoneticPr fontId="1" type="noConversion"/>
  </si>
  <si>
    <t>伊朗</t>
    <phoneticPr fontId="1" type="noConversion"/>
  </si>
  <si>
    <t>图兰</t>
    <phoneticPr fontId="1" type="noConversion"/>
  </si>
  <si>
    <t>波斯</t>
    <phoneticPr fontId="1" type="noConversion"/>
  </si>
  <si>
    <t>哈萨克，哈萨克斯坦</t>
    <phoneticPr fontId="1" type="noConversion"/>
  </si>
  <si>
    <t>土库曼，土库曼斯坦</t>
    <phoneticPr fontId="1" type="noConversion"/>
  </si>
  <si>
    <t>乌兹别克，乌兹别克斯坦</t>
    <phoneticPr fontId="1" type="noConversion"/>
  </si>
  <si>
    <t>吉尔吉斯，吉尔吉斯斯坦</t>
    <phoneticPr fontId="1" type="noConversion"/>
  </si>
  <si>
    <t>塔吉克，塔吉克斯坦</t>
    <phoneticPr fontId="1" type="noConversion"/>
  </si>
  <si>
    <t>阿富汗</t>
    <phoneticPr fontId="1" type="noConversion"/>
  </si>
  <si>
    <t>巴基斯坦</t>
    <phoneticPr fontId="1" type="noConversion"/>
  </si>
  <si>
    <t>尼泊尔</t>
    <phoneticPr fontId="1" type="noConversion"/>
  </si>
  <si>
    <t>克里米亚汗国</t>
    <phoneticPr fontId="1" type="noConversion"/>
  </si>
  <si>
    <t>喀什米尔国</t>
    <phoneticPr fontId="1" type="noConversion"/>
  </si>
  <si>
    <t>诺盖汗国</t>
    <phoneticPr fontId="1" type="noConversion"/>
  </si>
  <si>
    <t>浩罕国</t>
    <phoneticPr fontId="1" type="noConversion"/>
  </si>
  <si>
    <t>花剌子模</t>
    <phoneticPr fontId="1" type="noConversion"/>
  </si>
  <si>
    <t>安息帝国</t>
    <phoneticPr fontId="1" type="noConversion"/>
  </si>
  <si>
    <t>贵霜帝国</t>
    <phoneticPr fontId="1" type="noConversion"/>
  </si>
  <si>
    <t>布哈拉汗国</t>
    <phoneticPr fontId="1" type="noConversion"/>
  </si>
  <si>
    <t>瓦剌，卫拉特蒙古</t>
    <phoneticPr fontId="1" type="noConversion"/>
  </si>
  <si>
    <t>吐蕃</t>
    <phoneticPr fontId="1" type="noConversion"/>
  </si>
  <si>
    <t>哥萨克汗国</t>
    <phoneticPr fontId="1" type="noConversion"/>
  </si>
  <si>
    <t>土尔扈特汗国</t>
    <phoneticPr fontId="1" type="noConversion"/>
  </si>
  <si>
    <t>喀尔喀汗国</t>
    <phoneticPr fontId="1" type="noConversion"/>
  </si>
  <si>
    <t>准噶尔汗国</t>
    <phoneticPr fontId="1" type="noConversion"/>
  </si>
  <si>
    <t>和硕特汗国</t>
    <phoneticPr fontId="1" type="noConversion"/>
  </si>
  <si>
    <t>吐谷浑汗国</t>
    <phoneticPr fontId="1" type="noConversion"/>
  </si>
  <si>
    <t>铁勒，丁零</t>
    <phoneticPr fontId="1" type="noConversion"/>
  </si>
  <si>
    <t>帖木儿汗国</t>
    <phoneticPr fontId="1" type="noConversion"/>
  </si>
  <si>
    <t>爪哇</t>
    <phoneticPr fontId="1" type="noConversion"/>
  </si>
  <si>
    <t>高加索地区</t>
    <phoneticPr fontId="1" type="noConversion"/>
  </si>
  <si>
    <t>坎巨提</t>
    <phoneticPr fontId="1" type="noConversion"/>
  </si>
  <si>
    <t>三佛齐，室利佛逝</t>
    <phoneticPr fontId="1" type="noConversion"/>
  </si>
  <si>
    <t>柔佛，柔佛苏丹国</t>
    <phoneticPr fontId="1" type="noConversion"/>
  </si>
  <si>
    <t>苏禄国</t>
    <phoneticPr fontId="1" type="noConversion"/>
  </si>
  <si>
    <t>吕宋国</t>
    <phoneticPr fontId="1" type="noConversion"/>
  </si>
  <si>
    <t>锡金</t>
    <phoneticPr fontId="1" type="noConversion"/>
  </si>
  <si>
    <t>不丹</t>
    <phoneticPr fontId="1" type="noConversion"/>
  </si>
  <si>
    <t>孟加拉国，榜葛剌国</t>
    <phoneticPr fontId="1" type="noConversion"/>
  </si>
  <si>
    <t>斯里兰卡，锡兰</t>
    <phoneticPr fontId="1" type="noConversion"/>
  </si>
  <si>
    <t>缅甸</t>
    <phoneticPr fontId="1" type="noConversion"/>
  </si>
  <si>
    <t>暹罗国</t>
    <phoneticPr fontId="1" type="noConversion"/>
  </si>
  <si>
    <t>柬埔寨</t>
    <phoneticPr fontId="1" type="noConversion"/>
  </si>
  <si>
    <t>马来，马来西亚</t>
    <phoneticPr fontId="1" type="noConversion"/>
  </si>
  <si>
    <t>萨珊帝国</t>
    <phoneticPr fontId="1" type="noConversion"/>
  </si>
  <si>
    <t>文莱</t>
    <phoneticPr fontId="1" type="noConversion"/>
  </si>
  <si>
    <t>菲律宾</t>
    <phoneticPr fontId="1" type="noConversion"/>
  </si>
  <si>
    <t>东帝汶</t>
    <phoneticPr fontId="1" type="noConversion"/>
  </si>
  <si>
    <t>巴布亚新几内亚</t>
    <phoneticPr fontId="1" type="noConversion"/>
  </si>
  <si>
    <t>新西兰，纽西兰</t>
    <phoneticPr fontId="1" type="noConversion"/>
  </si>
  <si>
    <t>帕劳</t>
    <phoneticPr fontId="1" type="noConversion"/>
  </si>
  <si>
    <t>密克罗尼西亚联邦，密克罗尼西亚</t>
    <phoneticPr fontId="1" type="noConversion"/>
  </si>
  <si>
    <t>琉球国</t>
    <phoneticPr fontId="1" type="noConversion"/>
  </si>
  <si>
    <t>夏威夷国</t>
    <phoneticPr fontId="1" type="noConversion"/>
  </si>
  <si>
    <t>波利尼西亚</t>
    <phoneticPr fontId="1" type="noConversion"/>
  </si>
  <si>
    <t>所罗门群岛</t>
    <phoneticPr fontId="1" type="noConversion"/>
  </si>
  <si>
    <t>瓦努阿图</t>
    <phoneticPr fontId="1" type="noConversion"/>
  </si>
  <si>
    <t>图瓦卢</t>
    <phoneticPr fontId="1" type="noConversion"/>
  </si>
  <si>
    <t>瑙鲁</t>
    <phoneticPr fontId="1" type="noConversion"/>
  </si>
  <si>
    <t>基里巴斯，基里巴斯群岛</t>
    <phoneticPr fontId="1" type="noConversion"/>
  </si>
  <si>
    <t>马绍尔群岛</t>
    <phoneticPr fontId="1" type="noConversion"/>
  </si>
  <si>
    <t>斐济</t>
    <phoneticPr fontId="1" type="noConversion"/>
  </si>
  <si>
    <t>萨摩亚</t>
    <phoneticPr fontId="1" type="noConversion"/>
  </si>
  <si>
    <t>纽埃</t>
    <phoneticPr fontId="1" type="noConversion"/>
  </si>
  <si>
    <t>汤加</t>
    <phoneticPr fontId="1" type="noConversion"/>
  </si>
  <si>
    <t>巴哈马</t>
    <phoneticPr fontId="1" type="noConversion"/>
  </si>
  <si>
    <t>古巴</t>
    <phoneticPr fontId="1" type="noConversion"/>
  </si>
  <si>
    <t>牙买加</t>
    <phoneticPr fontId="1" type="noConversion"/>
  </si>
  <si>
    <t>海地</t>
    <phoneticPr fontId="1" type="noConversion"/>
  </si>
  <si>
    <t>多米尼加</t>
    <phoneticPr fontId="1" type="noConversion"/>
  </si>
  <si>
    <t>危地马拉</t>
    <phoneticPr fontId="1" type="noConversion"/>
  </si>
  <si>
    <t>伯利兹</t>
    <phoneticPr fontId="1" type="noConversion"/>
  </si>
  <si>
    <t>洪都拉斯</t>
    <phoneticPr fontId="1" type="noConversion"/>
  </si>
  <si>
    <t>萨瓦尔多</t>
    <phoneticPr fontId="1" type="noConversion"/>
  </si>
  <si>
    <t>哥斯达黎加</t>
    <phoneticPr fontId="1" type="noConversion"/>
  </si>
  <si>
    <t>巴拿马</t>
    <phoneticPr fontId="1" type="noConversion"/>
  </si>
  <si>
    <t>荷属安的列斯</t>
    <phoneticPr fontId="1" type="noConversion"/>
  </si>
  <si>
    <t>antigia en barbudia</t>
    <phoneticPr fontId="1" type="noConversion"/>
  </si>
  <si>
    <t>多米尼克国</t>
    <phoneticPr fontId="1" type="noConversion"/>
  </si>
  <si>
    <t>圣卢西亚</t>
    <phoneticPr fontId="1" type="noConversion"/>
  </si>
  <si>
    <t>圣文森特和格林纳丁斯</t>
    <phoneticPr fontId="1" type="noConversion"/>
  </si>
  <si>
    <t>哥伦比亚</t>
    <phoneticPr fontId="1" type="noConversion"/>
  </si>
  <si>
    <t>委内瑞拉</t>
    <phoneticPr fontId="1" type="noConversion"/>
  </si>
  <si>
    <t>cogurya</t>
    <phoneticPr fontId="1" type="noConversion"/>
  </si>
  <si>
    <t>高句丽，高丽</t>
    <phoneticPr fontId="1" type="noConversion"/>
  </si>
  <si>
    <t>扶余国，夫余国</t>
    <phoneticPr fontId="1" type="noConversion"/>
  </si>
  <si>
    <t>厄瓜多尔</t>
    <phoneticPr fontId="1" type="noConversion"/>
  </si>
  <si>
    <t>秘鲁</t>
    <phoneticPr fontId="1" type="noConversion"/>
  </si>
  <si>
    <t>智利</t>
    <phoneticPr fontId="1" type="noConversion"/>
  </si>
  <si>
    <t>玻利维亚</t>
    <phoneticPr fontId="1" type="noConversion"/>
  </si>
  <si>
    <t>阿根廷</t>
    <phoneticPr fontId="1" type="noConversion"/>
  </si>
  <si>
    <t>巴拉圭</t>
    <phoneticPr fontId="1" type="noConversion"/>
  </si>
  <si>
    <t>乌拉圭</t>
    <phoneticPr fontId="1" type="noConversion"/>
  </si>
  <si>
    <t>圭亚那</t>
    <phoneticPr fontId="1" type="noConversion"/>
  </si>
  <si>
    <t>苏里南</t>
    <phoneticPr fontId="1" type="noConversion"/>
  </si>
  <si>
    <t>法属圭亚那</t>
    <phoneticPr fontId="1" type="noConversion"/>
  </si>
  <si>
    <t>巴巴多斯</t>
    <phoneticPr fontId="1" type="noConversion"/>
  </si>
  <si>
    <t>摩洛哥</t>
    <phoneticPr fontId="1" type="noConversion"/>
  </si>
  <si>
    <t>西撒哈拉</t>
    <phoneticPr fontId="1" type="noConversion"/>
  </si>
  <si>
    <t>阿尔及利亚</t>
    <phoneticPr fontId="1" type="noConversion"/>
  </si>
  <si>
    <t>突尼斯</t>
    <phoneticPr fontId="1" type="noConversion"/>
  </si>
  <si>
    <t>埃及</t>
    <phoneticPr fontId="1" type="noConversion"/>
  </si>
  <si>
    <t>巴比伦国</t>
    <phoneticPr fontId="1" type="noConversion"/>
  </si>
  <si>
    <t>赫梯帝国</t>
    <phoneticPr fontId="1" type="noConversion"/>
  </si>
  <si>
    <t>特立尼达和多巴哥</t>
    <phoneticPr fontId="1" type="noConversion"/>
  </si>
  <si>
    <t>安提瓜和巴布达</t>
    <phoneticPr fontId="1" type="noConversion"/>
  </si>
  <si>
    <t>阿兹特克帝国</t>
    <phoneticPr fontId="1" type="noConversion"/>
  </si>
  <si>
    <t>毛里塔尼亚</t>
    <phoneticPr fontId="1" type="noConversion"/>
  </si>
  <si>
    <t>佛得角</t>
    <phoneticPr fontId="1" type="noConversion"/>
  </si>
  <si>
    <t>汪达尔国</t>
    <phoneticPr fontId="1" type="noConversion"/>
  </si>
  <si>
    <t>哥特国</t>
    <phoneticPr fontId="1" type="noConversion"/>
  </si>
  <si>
    <t>塞内加尔</t>
    <phoneticPr fontId="1" type="noConversion"/>
  </si>
  <si>
    <t>几内亚比绍</t>
    <phoneticPr fontId="1" type="noConversion"/>
  </si>
  <si>
    <t>几内亚</t>
    <phoneticPr fontId="1" type="noConversion"/>
  </si>
  <si>
    <t>利比亚</t>
    <phoneticPr fontId="1" type="noConversion"/>
  </si>
  <si>
    <t>利比里亚</t>
    <phoneticPr fontId="1" type="noConversion"/>
  </si>
  <si>
    <t>科特迪瓦，象牙海岸</t>
    <phoneticPr fontId="1" type="noConversion"/>
  </si>
  <si>
    <t>黄金海岸</t>
    <phoneticPr fontId="1" type="noConversion"/>
  </si>
  <si>
    <t>奴隶海岸</t>
    <phoneticPr fontId="1" type="noConversion"/>
  </si>
  <si>
    <t>gh'ania</t>
    <phoneticPr fontId="1" type="noConversion"/>
  </si>
  <si>
    <t>多哥</t>
    <phoneticPr fontId="1" type="noConversion"/>
  </si>
  <si>
    <t>喀麦隆</t>
    <phoneticPr fontId="1" type="noConversion"/>
  </si>
  <si>
    <t>中非，中非共和国</t>
    <phoneticPr fontId="1" type="noConversion"/>
  </si>
  <si>
    <t>equ'atore-gvinia</t>
    <phoneticPr fontId="1" type="noConversion"/>
  </si>
  <si>
    <t>赤道几内亚</t>
    <phoneticPr fontId="1" type="noConversion"/>
  </si>
  <si>
    <t>圣多马和普林西比</t>
    <phoneticPr fontId="1" type="noConversion"/>
  </si>
  <si>
    <t>刚果</t>
    <phoneticPr fontId="1" type="noConversion"/>
  </si>
  <si>
    <t>扎伊尔</t>
    <phoneticPr fontId="1" type="noConversion"/>
  </si>
  <si>
    <t>苏丹</t>
    <phoneticPr fontId="1" type="noConversion"/>
  </si>
  <si>
    <t>南苏丹</t>
    <phoneticPr fontId="1" type="noConversion"/>
  </si>
  <si>
    <t>阿比西尼亚</t>
    <phoneticPr fontId="1" type="noConversion"/>
  </si>
  <si>
    <t>桑海帝国</t>
    <phoneticPr fontId="1" type="noConversion"/>
  </si>
  <si>
    <t>桑给巴尔，层拔，昆仑层期，层摇罗，罗占吉巴</t>
    <phoneticPr fontId="1" type="noConversion"/>
  </si>
  <si>
    <t>肯尼亚，肯亚</t>
    <phoneticPr fontId="1" type="noConversion"/>
  </si>
  <si>
    <t>madagascia</t>
    <phoneticPr fontId="1" type="noConversion"/>
  </si>
  <si>
    <t>angolia</t>
    <phoneticPr fontId="1" type="noConversion"/>
  </si>
  <si>
    <t>zambia</t>
    <phoneticPr fontId="1" type="noConversion"/>
  </si>
  <si>
    <t>malawia</t>
    <phoneticPr fontId="1" type="noConversion"/>
  </si>
  <si>
    <t>澳大利亚，澳洲</t>
    <phoneticPr fontId="1" type="noConversion"/>
  </si>
  <si>
    <t>马达加斯加</t>
    <phoneticPr fontId="1" type="noConversion"/>
  </si>
  <si>
    <t>安哥拉</t>
    <phoneticPr fontId="1" type="noConversion"/>
  </si>
  <si>
    <t>纳米比亚</t>
    <phoneticPr fontId="1" type="noConversion"/>
  </si>
  <si>
    <t>南非</t>
    <phoneticPr fontId="1" type="noConversion"/>
  </si>
  <si>
    <t>迦太基国</t>
    <phoneticPr fontId="1" type="noConversion"/>
  </si>
  <si>
    <t>努比亚</t>
    <phoneticPr fontId="1" type="noConversion"/>
  </si>
  <si>
    <t>腓尼基国</t>
    <phoneticPr fontId="1" type="noConversion"/>
  </si>
  <si>
    <t>古高卢</t>
    <phoneticPr fontId="1" type="noConversion"/>
  </si>
  <si>
    <t>苏美尔国</t>
    <phoneticPr fontId="1" type="noConversion"/>
  </si>
  <si>
    <t>马西纳国</t>
    <phoneticPr fontId="1" type="noConversion"/>
  </si>
  <si>
    <t>拜占庭帝国</t>
    <phoneticPr fontId="1" type="noConversion"/>
  </si>
  <si>
    <t>笈多帝国</t>
    <phoneticPr fontId="1" type="noConversion"/>
  </si>
  <si>
    <t>莫卧儿帝国</t>
    <phoneticPr fontId="1" type="noConversion"/>
  </si>
  <si>
    <t>阿克苏姆国</t>
    <phoneticPr fontId="1" type="noConversion"/>
  </si>
  <si>
    <t>摩加迪沙，木骨都束</t>
    <phoneticPr fontId="1" type="noConversion"/>
  </si>
  <si>
    <t>蒙巴萨，慢八撒</t>
    <phoneticPr fontId="1" type="noConversion"/>
  </si>
  <si>
    <t>印加帝国</t>
    <phoneticPr fontId="1" type="noConversion"/>
  </si>
  <si>
    <t>内志国</t>
    <phoneticPr fontId="1" type="noConversion"/>
  </si>
  <si>
    <t>汉志国</t>
    <phoneticPr fontId="1" type="noConversion"/>
  </si>
  <si>
    <t>恩哥约国</t>
    <phoneticPr fontId="1" type="noConversion"/>
  </si>
  <si>
    <t>巴苏陀兰</t>
    <phoneticPr fontId="1" type="noConversion"/>
  </si>
  <si>
    <t>热那亚共和国</t>
    <phoneticPr fontId="1" type="noConversion"/>
  </si>
  <si>
    <t>尼亚萨兰</t>
    <phoneticPr fontId="1" type="noConversion"/>
  </si>
  <si>
    <t>罗德西亚</t>
    <phoneticPr fontId="1" type="noConversion"/>
  </si>
  <si>
    <t>贝专纳</t>
    <phoneticPr fontId="1" type="noConversion"/>
  </si>
  <si>
    <t>萨丁王国</t>
    <phoneticPr fontId="1" type="noConversion"/>
  </si>
  <si>
    <t>库尔德，库尔德斯坦</t>
    <phoneticPr fontId="1" type="noConversion"/>
  </si>
  <si>
    <t>巴西</t>
    <phoneticPr fontId="1" type="noConversion"/>
  </si>
  <si>
    <t>新加坡</t>
    <phoneticPr fontId="1" type="noConversion"/>
  </si>
  <si>
    <t>尼加拉瓜</t>
    <phoneticPr fontId="1" type="noConversion"/>
  </si>
  <si>
    <t>圣马力诺</t>
    <phoneticPr fontId="1" type="noConversion"/>
  </si>
  <si>
    <t>塞琉古帝国</t>
    <phoneticPr fontId="1" type="noConversion"/>
  </si>
  <si>
    <t>摩揭陀国</t>
    <phoneticPr fontId="1" type="noConversion"/>
  </si>
  <si>
    <t>康居国</t>
    <phoneticPr fontId="1" type="noConversion"/>
  </si>
  <si>
    <t>巴克特里亚，大夏国</t>
    <phoneticPr fontId="1" type="noConversion"/>
  </si>
  <si>
    <t>孔雀帝国</t>
    <phoneticPr fontId="1" type="noConversion"/>
  </si>
  <si>
    <t>吐火罗国</t>
    <phoneticPr fontId="1" type="noConversion"/>
  </si>
  <si>
    <t>于阗国，于田国</t>
    <phoneticPr fontId="1" type="noConversion"/>
  </si>
  <si>
    <t>龟兹国</t>
    <phoneticPr fontId="1" type="noConversion"/>
  </si>
  <si>
    <t>拔汗那国，钹汗国，破洛那国</t>
    <phoneticPr fontId="1" type="noConversion"/>
  </si>
  <si>
    <t>卡尔梅克国</t>
    <phoneticPr fontId="1" type="noConversion"/>
  </si>
  <si>
    <t>马扎尔国</t>
    <phoneticPr fontId="1" type="noConversion"/>
  </si>
  <si>
    <t>教皇国</t>
    <phoneticPr fontId="1" type="noConversion"/>
  </si>
  <si>
    <t>亚洲，亚细亚洲</t>
    <phoneticPr fontId="1" type="noConversion"/>
  </si>
  <si>
    <t>非洲，亚非利加洲</t>
    <phoneticPr fontId="1" type="noConversion"/>
  </si>
  <si>
    <t>欧洲，欧罗巴洲</t>
    <phoneticPr fontId="1" type="noConversion"/>
  </si>
  <si>
    <t>大洋洲</t>
    <phoneticPr fontId="1" type="noConversion"/>
  </si>
  <si>
    <t>美洲，亚美利加洲</t>
    <phoneticPr fontId="1" type="noConversion"/>
  </si>
  <si>
    <t>北美洲</t>
    <phoneticPr fontId="1" type="noConversion"/>
  </si>
  <si>
    <t>南美洲</t>
    <phoneticPr fontId="1" type="noConversion"/>
  </si>
  <si>
    <t>拉丁美洲</t>
    <phoneticPr fontId="1" type="noConversion"/>
  </si>
  <si>
    <t>中美洲</t>
    <phoneticPr fontId="1" type="noConversion"/>
  </si>
  <si>
    <t>澳洲，澳大利亚洲</t>
    <phoneticPr fontId="1" type="noConversion"/>
  </si>
  <si>
    <t>南极洲；南极</t>
    <phoneticPr fontId="1" type="noConversion"/>
  </si>
  <si>
    <t>太平洋</t>
    <phoneticPr fontId="1" type="noConversion"/>
  </si>
  <si>
    <t>亚特兰蒂斯</t>
    <phoneticPr fontId="1" type="noConversion"/>
  </si>
  <si>
    <t>印度洋</t>
    <phoneticPr fontId="1" type="noConversion"/>
  </si>
  <si>
    <t>大西洋</t>
    <phoneticPr fontId="1" type="noConversion"/>
  </si>
  <si>
    <t>北冰洋</t>
    <phoneticPr fontId="1" type="noConversion"/>
  </si>
  <si>
    <t>北极</t>
    <phoneticPr fontId="1" type="noConversion"/>
  </si>
  <si>
    <t>chagataia</t>
    <phoneticPr fontId="1" type="noConversion"/>
  </si>
  <si>
    <t>察合台汗国</t>
    <phoneticPr fontId="1" type="noConversion"/>
  </si>
  <si>
    <t>chagataia-ulus</t>
    <phoneticPr fontId="1" type="noConversion"/>
  </si>
  <si>
    <t>aduist-chagataia</t>
    <phoneticPr fontId="1" type="noConversion"/>
  </si>
  <si>
    <t>东察合台汗国</t>
    <phoneticPr fontId="1" type="noConversion"/>
  </si>
  <si>
    <t>yarqu'andia</t>
    <phoneticPr fontId="1" type="noConversion"/>
  </si>
  <si>
    <t>叶尔羌汗国</t>
    <phoneticPr fontId="1" type="noConversion"/>
  </si>
  <si>
    <t>ilia-baliqu'ia</t>
    <phoneticPr fontId="1" type="noConversion"/>
  </si>
  <si>
    <t>亦力把里，东察合台汗国</t>
    <phoneticPr fontId="1" type="noConversion"/>
  </si>
  <si>
    <t>beshia-baliqu'ia</t>
    <phoneticPr fontId="1" type="noConversion"/>
  </si>
  <si>
    <t>别失八里</t>
    <phoneticPr fontId="1" type="noConversion"/>
  </si>
  <si>
    <t>turpanya</t>
    <phoneticPr fontId="1" type="noConversion"/>
  </si>
  <si>
    <t>吐鲁番汗国</t>
    <phoneticPr fontId="1" type="noConversion"/>
  </si>
  <si>
    <t>osten-leuya</t>
    <phoneticPr fontId="1" type="noConversion"/>
  </si>
  <si>
    <t>西辽国</t>
    <phoneticPr fontId="1" type="noConversion"/>
  </si>
  <si>
    <t>qu'aria</t>
    <phoneticPr fontId="1" type="noConversion"/>
  </si>
  <si>
    <t>喀喇汗国</t>
    <phoneticPr fontId="1" type="noConversion"/>
  </si>
  <si>
    <t>on-uyguria</t>
    <phoneticPr fontId="1" type="noConversion"/>
  </si>
  <si>
    <t>回鹘国，十姓回鹘国</t>
    <phoneticPr fontId="1" type="noConversion"/>
  </si>
  <si>
    <t>naimanya</t>
    <phoneticPr fontId="1" type="noConversion"/>
  </si>
  <si>
    <t>naimanya-ulus</t>
    <phoneticPr fontId="1" type="noConversion"/>
  </si>
  <si>
    <t>乃蛮国</t>
    <phoneticPr fontId="1" type="noConversion"/>
  </si>
  <si>
    <t>克普恰克汗国，金帐汗国，钦察汗国</t>
    <phoneticPr fontId="1" type="noConversion"/>
  </si>
  <si>
    <t>jochia-ulus</t>
    <phoneticPr fontId="1" type="noConversion"/>
  </si>
  <si>
    <t>术赤兀鲁思，金帐汗国，钦察汗国</t>
    <phoneticPr fontId="1" type="noConversion"/>
  </si>
  <si>
    <t>ilia-ulus</t>
    <phoneticPr fontId="1" type="noConversion"/>
  </si>
  <si>
    <t>伊尔汗国，伊儿汗国</t>
    <phoneticPr fontId="1" type="noConversion"/>
  </si>
  <si>
    <t>huleguya-ulus</t>
    <phoneticPr fontId="1" type="noConversion"/>
  </si>
  <si>
    <t>旭烈兀兀鲁思，伊尔汗国，伊儿汗国</t>
    <phoneticPr fontId="1" type="noConversion"/>
  </si>
  <si>
    <t>nicaia</t>
    <phoneticPr fontId="1" type="noConversion"/>
  </si>
  <si>
    <t>尼西亚帝国</t>
    <phoneticPr fontId="1" type="noConversion"/>
  </si>
  <si>
    <t>trebizondia</t>
    <phoneticPr fontId="1" type="noConversion"/>
  </si>
  <si>
    <t>特拉布宗帝国</t>
    <phoneticPr fontId="1" type="noConversion"/>
  </si>
  <si>
    <t>epiria</t>
    <phoneticPr fontId="1" type="noConversion"/>
  </si>
  <si>
    <t>伊庇鲁斯，伊庇鲁斯专制国</t>
    <phoneticPr fontId="1" type="noConversion"/>
  </si>
  <si>
    <t>latinia</t>
    <phoneticPr fontId="1" type="noConversion"/>
  </si>
  <si>
    <t>拉丁帝国</t>
    <phoneticPr fontId="1" type="noConversion"/>
  </si>
  <si>
    <t>thessalonicia</t>
    <phoneticPr fontId="1" type="noConversion"/>
  </si>
  <si>
    <t>achaia</t>
    <phoneticPr fontId="1" type="noConversion"/>
  </si>
  <si>
    <t>athenia</t>
    <phoneticPr fontId="1" type="noConversion"/>
  </si>
  <si>
    <t>塞萨洛尼基王国</t>
    <phoneticPr fontId="1" type="noConversion"/>
  </si>
  <si>
    <t>阿卡亚王国</t>
    <phoneticPr fontId="1" type="noConversion"/>
  </si>
  <si>
    <t>雅典公国</t>
    <phoneticPr fontId="1" type="noConversion"/>
  </si>
  <si>
    <t>aragonia</t>
    <phoneticPr fontId="1" type="noConversion"/>
  </si>
  <si>
    <t>napolia</t>
    <phoneticPr fontId="1" type="noConversion"/>
  </si>
  <si>
    <t>sicilia</t>
    <phoneticPr fontId="1" type="noConversion"/>
  </si>
  <si>
    <t>阿拉贡王国</t>
    <phoneticPr fontId="1" type="noConversion"/>
  </si>
  <si>
    <t>那不勒斯王国</t>
    <phoneticPr fontId="1" type="noConversion"/>
  </si>
  <si>
    <t>西西里王国</t>
    <phoneticPr fontId="1" type="noConversion"/>
  </si>
  <si>
    <t>dus-sicilia</t>
    <phoneticPr fontId="1" type="noConversion"/>
  </si>
  <si>
    <t>两西西里王国</t>
    <phoneticPr fontId="1" type="noConversion"/>
  </si>
  <si>
    <t>nafaria</t>
    <phoneticPr fontId="1" type="noConversion"/>
  </si>
  <si>
    <t>纳瓦拉王国</t>
    <phoneticPr fontId="1" type="noConversion"/>
  </si>
  <si>
    <t>pamplonia</t>
    <phoneticPr fontId="1" type="noConversion"/>
  </si>
  <si>
    <t>潘普洛纳王国</t>
    <phoneticPr fontId="1" type="noConversion"/>
  </si>
  <si>
    <t>leonia</t>
    <phoneticPr fontId="1" type="noConversion"/>
  </si>
  <si>
    <t>莱昂王国</t>
    <phoneticPr fontId="1" type="noConversion"/>
  </si>
  <si>
    <t>asturia</t>
    <phoneticPr fontId="1" type="noConversion"/>
  </si>
  <si>
    <t>阿斯图里亚斯王国</t>
    <phoneticPr fontId="1" type="noConversion"/>
  </si>
  <si>
    <t>castillia</t>
    <phoneticPr fontId="1" type="noConversion"/>
  </si>
  <si>
    <t>卡斯蒂利亚王国，卡斯提亚王国</t>
    <phoneticPr fontId="1" type="noConversion"/>
  </si>
  <si>
    <t>泰国，暹罗</t>
    <phoneticPr fontId="1" type="noConversion"/>
  </si>
  <si>
    <t>老挝，寮国</t>
    <phoneticPr fontId="1" type="noConversion"/>
  </si>
  <si>
    <t>也门，叶门</t>
    <phoneticPr fontId="1" type="noConversion"/>
  </si>
  <si>
    <t>阿拉伯联合酋长国，阿联酋（AAU，UAE），阿拉伯联合大公国</t>
    <phoneticPr fontId="1" type="noConversion"/>
  </si>
  <si>
    <t>沙特，沙特阿拉伯，沙乌地阿拉伯</t>
    <phoneticPr fontId="1" type="noConversion"/>
  </si>
  <si>
    <t>马尔代夫，马尔地夫</t>
    <phoneticPr fontId="1" type="noConversion"/>
  </si>
  <si>
    <t>布基纳法索，布吉纳法索</t>
    <phoneticPr fontId="1" type="noConversion"/>
  </si>
  <si>
    <t>加纳，迦纳</t>
    <phoneticPr fontId="1" type="noConversion"/>
  </si>
  <si>
    <t>莱索托，赖索托</t>
    <phoneticPr fontId="1" type="noConversion"/>
  </si>
  <si>
    <t>莫桑比克，莫三比克</t>
    <phoneticPr fontId="1" type="noConversion"/>
  </si>
  <si>
    <t>马拉维，马拉威</t>
    <phoneticPr fontId="1" type="noConversion"/>
  </si>
  <si>
    <t>布隆迪，蒲隆地</t>
    <phoneticPr fontId="1" type="noConversion"/>
  </si>
  <si>
    <t>尼日尔，尼日</t>
    <phoneticPr fontId="1" type="noConversion"/>
  </si>
  <si>
    <t>埃塞俄比亚，依索比亚</t>
    <phoneticPr fontId="1" type="noConversion"/>
  </si>
  <si>
    <t>科摩罗，葛摩</t>
    <phoneticPr fontId="1" type="noConversion"/>
  </si>
  <si>
    <t>卢旺达，卢安达</t>
    <phoneticPr fontId="1" type="noConversion"/>
  </si>
  <si>
    <t>索马里，索马利亚</t>
    <phoneticPr fontId="1" type="noConversion"/>
  </si>
  <si>
    <t>津巴布韦，辛巴威</t>
    <phoneticPr fontId="1" type="noConversion"/>
  </si>
  <si>
    <t>斯威士兰，斯瓦士兰，史瓦济兰</t>
    <phoneticPr fontId="1" type="noConversion"/>
  </si>
  <si>
    <t>塞舌尔，塞席尔</t>
    <phoneticPr fontId="1" type="noConversion"/>
  </si>
  <si>
    <t>厄立特里亚，厄利垂亚</t>
    <phoneticPr fontId="1" type="noConversion"/>
  </si>
  <si>
    <t>坦桑尼亚，坦尚尼亚</t>
    <phoneticPr fontId="1" type="noConversion"/>
  </si>
  <si>
    <t>赞比亚，尚比亚</t>
    <phoneticPr fontId="1" type="noConversion"/>
  </si>
  <si>
    <t>吉布提，吉布地</t>
    <phoneticPr fontId="1" type="noConversion"/>
  </si>
  <si>
    <t>毛里求斯，模里西斯</t>
    <phoneticPr fontId="1" type="noConversion"/>
  </si>
  <si>
    <t>博茨瓦纳，波扎那</t>
    <phoneticPr fontId="1" type="noConversion"/>
  </si>
  <si>
    <t>马里，马利</t>
    <phoneticPr fontId="1" type="noConversion"/>
  </si>
  <si>
    <t>冈比亚，甘比亚</t>
    <phoneticPr fontId="1" type="noConversion"/>
  </si>
  <si>
    <t>塞拉利昂，狮子山</t>
    <phoneticPr fontId="1" type="noConversion"/>
  </si>
  <si>
    <t>贝宁，贝南</t>
    <phoneticPr fontId="1" type="noConversion"/>
  </si>
  <si>
    <t>尼日利亚，奈及利亚</t>
    <phoneticPr fontId="1" type="noConversion"/>
  </si>
  <si>
    <t>加蓬，加彭</t>
    <phoneticPr fontId="1" type="noConversion"/>
  </si>
  <si>
    <t>乍得，查德</t>
    <phoneticPr fontId="1" type="noConversion"/>
  </si>
  <si>
    <t>2-1</t>
    <phoneticPr fontId="1" type="noConversion"/>
  </si>
  <si>
    <t>3-0-1</t>
    <phoneticPr fontId="1" type="noConversion"/>
  </si>
  <si>
    <t>1-1-0-
0-4</t>
    <phoneticPr fontId="1" type="noConversion"/>
  </si>
  <si>
    <t>1-1-0
-1</t>
    <phoneticPr fontId="1" type="noConversion"/>
  </si>
  <si>
    <t>大宛国，费尔干纳</t>
    <phoneticPr fontId="1" type="noConversion"/>
  </si>
  <si>
    <t>4-2</t>
    <phoneticPr fontId="1" type="noConversion"/>
  </si>
  <si>
    <t>1-3</t>
    <phoneticPr fontId="1" type="noConversion"/>
  </si>
  <si>
    <t>4-5</t>
    <phoneticPr fontId="1" type="noConversion"/>
  </si>
  <si>
    <t>国家</t>
    <phoneticPr fontId="1" type="noConversion"/>
  </si>
  <si>
    <t>地区</t>
    <phoneticPr fontId="1" type="noConversion"/>
  </si>
  <si>
    <t>ingland</t>
    <phoneticPr fontId="1" type="noConversion"/>
  </si>
  <si>
    <t>flanse</t>
    <phoneticPr fontId="1" type="noConversion"/>
  </si>
  <si>
    <t>flanc</t>
    <phoneticPr fontId="1" type="noConversion"/>
  </si>
  <si>
    <t>flance</t>
    <phoneticPr fontId="1" type="noConversion"/>
  </si>
  <si>
    <t>portugal</t>
    <phoneticPr fontId="1" type="noConversion"/>
  </si>
  <si>
    <t>zhounjua</t>
    <phoneticPr fontId="1" type="noConversion"/>
  </si>
  <si>
    <t>bu-gorea</t>
    <phoneticPr fontId="1" type="noConversion"/>
  </si>
  <si>
    <t>sud-gorea</t>
    <phoneticPr fontId="1" type="noConversion"/>
  </si>
  <si>
    <t>joseon</t>
    <phoneticPr fontId="1" type="noConversion"/>
  </si>
  <si>
    <t>baequ'ie</t>
    <phoneticPr fontId="1" type="noConversion"/>
  </si>
  <si>
    <t>sillo</t>
    <phoneticPr fontId="1" type="noConversion"/>
  </si>
  <si>
    <t>hunu</t>
    <phoneticPr fontId="1" type="noConversion"/>
  </si>
  <si>
    <t>jabon</t>
    <phoneticPr fontId="1" type="noConversion"/>
  </si>
  <si>
    <t>goria</t>
    <phoneticPr fontId="1" type="noConversion"/>
  </si>
  <si>
    <t>gorea</t>
    <phoneticPr fontId="1" type="noConversion"/>
  </si>
  <si>
    <t>高丽，王氏朝鲜</t>
    <phoneticPr fontId="1" type="noConversion"/>
  </si>
  <si>
    <t>满剌加国，马六甲国</t>
    <phoneticPr fontId="1" type="noConversion"/>
  </si>
  <si>
    <t>deuch</t>
    <phoneticPr fontId="1" type="noConversion"/>
  </si>
  <si>
    <t>pruss</t>
    <phoneticPr fontId="1" type="noConversion"/>
  </si>
  <si>
    <t>siebi</t>
    <phoneticPr fontId="1" type="noConversion"/>
  </si>
  <si>
    <t>siebia</t>
    <phoneticPr fontId="1" type="noConversion"/>
  </si>
  <si>
    <t>eteda-uniss</t>
    <phoneticPr fontId="1" type="noConversion"/>
  </si>
  <si>
    <t>eteda</t>
    <phoneticPr fontId="1" type="noConversion"/>
  </si>
  <si>
    <t>americia</t>
    <phoneticPr fontId="1" type="noConversion"/>
  </si>
  <si>
    <t>canada</t>
    <phoneticPr fontId="1" type="noConversion"/>
  </si>
  <si>
    <t>newfoundland</t>
    <phoneticPr fontId="1" type="noConversion"/>
  </si>
  <si>
    <t>mexico</t>
    <phoneticPr fontId="1" type="noConversion"/>
  </si>
  <si>
    <t>mongolie</t>
    <phoneticPr fontId="1" type="noConversion"/>
  </si>
  <si>
    <t>sweden</t>
    <phoneticPr fontId="1" type="noConversion"/>
  </si>
  <si>
    <t>finland</t>
    <phoneticPr fontId="1" type="noConversion"/>
  </si>
  <si>
    <t>swaiz</t>
    <phoneticPr fontId="1" type="noConversion"/>
  </si>
  <si>
    <t>holland</t>
    <phoneticPr fontId="1" type="noConversion"/>
  </si>
  <si>
    <t>holand</t>
    <phoneticPr fontId="1" type="noConversion"/>
  </si>
  <si>
    <t>netheland</t>
    <phoneticPr fontId="1" type="noConversion"/>
  </si>
  <si>
    <t>gilss</t>
    <phoneticPr fontId="1" type="noConversion"/>
  </si>
  <si>
    <t>hellatha</t>
    <phoneticPr fontId="1" type="noConversion"/>
  </si>
  <si>
    <t>norweae</t>
    <phoneticPr fontId="1" type="noConversion"/>
  </si>
  <si>
    <t>polsca</t>
    <phoneticPr fontId="1" type="noConversion"/>
  </si>
  <si>
    <t>rusa</t>
    <phoneticPr fontId="1" type="noConversion"/>
  </si>
  <si>
    <t>moscow</t>
    <phoneticPr fontId="1" type="noConversion"/>
  </si>
  <si>
    <t>cievan rus</t>
    <phoneticPr fontId="1" type="noConversion"/>
  </si>
  <si>
    <t>iraqu'</t>
    <phoneticPr fontId="1" type="noConversion"/>
  </si>
  <si>
    <t>belarus</t>
    <phoneticPr fontId="1" type="noConversion"/>
  </si>
  <si>
    <t>luxemborg</t>
    <phoneticPr fontId="1" type="noConversion"/>
  </si>
  <si>
    <t>turcie</t>
    <phoneticPr fontId="1" type="noConversion"/>
  </si>
  <si>
    <t>eustomani</t>
    <phoneticPr fontId="1" type="noConversion"/>
  </si>
  <si>
    <t>slovensco</t>
    <phoneticPr fontId="1" type="noConversion"/>
  </si>
  <si>
    <t>hindia</t>
    <phoneticPr fontId="1" type="noConversion"/>
  </si>
  <si>
    <t>hindu</t>
    <phoneticPr fontId="1" type="noConversion"/>
  </si>
  <si>
    <t>hindi</t>
    <phoneticPr fontId="1" type="noConversion"/>
  </si>
  <si>
    <t>hvitlam</t>
    <phoneticPr fontId="1" type="noConversion"/>
  </si>
  <si>
    <t>hvitnam</t>
    <phoneticPr fontId="1" type="noConversion"/>
  </si>
  <si>
    <t>nam'hvit</t>
    <phoneticPr fontId="1" type="noConversion"/>
  </si>
  <si>
    <t>1-7</t>
    <phoneticPr fontId="1" type="noConversion"/>
  </si>
  <si>
    <t>pathetai</t>
    <phoneticPr fontId="1" type="noConversion"/>
  </si>
  <si>
    <t>mountai</t>
    <phoneticPr fontId="1" type="noConversion"/>
  </si>
  <si>
    <t>tailandia</t>
    <phoneticPr fontId="1" type="noConversion"/>
  </si>
  <si>
    <t>esti</t>
    <phoneticPr fontId="1" type="noConversion"/>
  </si>
  <si>
    <t>lietuva</t>
    <phoneticPr fontId="1" type="noConversion"/>
  </si>
  <si>
    <t>ucraina</t>
    <phoneticPr fontId="1" type="noConversion"/>
  </si>
  <si>
    <t>moldava</t>
    <phoneticPr fontId="1" type="noConversion"/>
  </si>
  <si>
    <t>chesca</t>
    <phoneticPr fontId="1" type="noConversion"/>
  </si>
  <si>
    <t>masabalu-nibla</t>
    <phoneticPr fontId="1" type="noConversion"/>
  </si>
  <si>
    <t>croatia</t>
    <phoneticPr fontId="1" type="noConversion"/>
  </si>
  <si>
    <t>slovennija</t>
    <phoneticPr fontId="1" type="noConversion"/>
  </si>
  <si>
    <t>cosovo</t>
    <phoneticPr fontId="1" type="noConversion"/>
  </si>
  <si>
    <t>island</t>
    <phoneticPr fontId="1" type="noConversion"/>
  </si>
  <si>
    <t>pathelav</t>
    <phoneticPr fontId="1" type="noConversion"/>
  </si>
  <si>
    <t>belgen</t>
    <phoneticPr fontId="1" type="noConversion"/>
  </si>
  <si>
    <t>dinamarca</t>
    <phoneticPr fontId="1" type="noConversion"/>
  </si>
  <si>
    <t>andorra</t>
    <phoneticPr fontId="1" type="noConversion"/>
  </si>
  <si>
    <t>monaco</t>
    <phoneticPr fontId="1" type="noConversion"/>
  </si>
  <si>
    <t>vatican</t>
    <phoneticPr fontId="1" type="noConversion"/>
  </si>
  <si>
    <t>liechtenstein</t>
    <phoneticPr fontId="1" type="noConversion"/>
  </si>
  <si>
    <t>hongari</t>
    <phoneticPr fontId="1" type="noConversion"/>
  </si>
  <si>
    <t>rumani</t>
    <phoneticPr fontId="1" type="noConversion"/>
  </si>
  <si>
    <t>jugoslavie</t>
    <phoneticPr fontId="1" type="noConversion"/>
  </si>
  <si>
    <t>irland</t>
    <phoneticPr fontId="1" type="noConversion"/>
  </si>
  <si>
    <t>scotland</t>
    <phoneticPr fontId="1" type="noConversion"/>
  </si>
  <si>
    <t>ueless</t>
    <phoneticPr fontId="1" type="noConversion"/>
  </si>
  <si>
    <t>azerbaijan</t>
    <phoneticPr fontId="1" type="noConversion"/>
  </si>
  <si>
    <t>qu'ipro</t>
    <phoneticPr fontId="1" type="noConversion"/>
  </si>
  <si>
    <t>livon</t>
    <phoneticPr fontId="1" type="noConversion"/>
  </si>
  <si>
    <t>israil</t>
    <phoneticPr fontId="1" type="noConversion"/>
  </si>
  <si>
    <t>palastina</t>
    <phoneticPr fontId="1" type="noConversion"/>
  </si>
  <si>
    <t>saudi-arab</t>
    <phoneticPr fontId="1" type="noConversion"/>
  </si>
  <si>
    <t>arab</t>
    <phoneticPr fontId="1" type="noConversion"/>
  </si>
  <si>
    <t>cuweit</t>
    <phoneticPr fontId="1" type="noConversion"/>
  </si>
  <si>
    <t>bahrain</t>
    <phoneticPr fontId="1" type="noConversion"/>
  </si>
  <si>
    <t>qu'atar</t>
    <phoneticPr fontId="1" type="noConversion"/>
  </si>
  <si>
    <t>emirat-arab-uniss</t>
    <phoneticPr fontId="1" type="noConversion"/>
  </si>
  <si>
    <t>oman</t>
    <phoneticPr fontId="1" type="noConversion"/>
  </si>
  <si>
    <t>iran</t>
    <phoneticPr fontId="1" type="noConversion"/>
  </si>
  <si>
    <t>perss</t>
    <phoneticPr fontId="1" type="noConversion"/>
  </si>
  <si>
    <t>cazacstan</t>
    <phoneticPr fontId="1" type="noConversion"/>
  </si>
  <si>
    <t>turqu'menistan</t>
    <phoneticPr fontId="1" type="noConversion"/>
  </si>
  <si>
    <t>uzbequ'istan</t>
    <phoneticPr fontId="1" type="noConversion"/>
  </si>
  <si>
    <t>cirgizistan</t>
    <phoneticPr fontId="1" type="noConversion"/>
  </si>
  <si>
    <t>tajicistan</t>
    <phoneticPr fontId="1" type="noConversion"/>
  </si>
  <si>
    <t>afganistan</t>
    <phoneticPr fontId="1" type="noConversion"/>
  </si>
  <si>
    <t>pacistan</t>
    <phoneticPr fontId="1" type="noConversion"/>
  </si>
  <si>
    <t>nepal</t>
    <phoneticPr fontId="1" type="noConversion"/>
  </si>
  <si>
    <t>crimea</t>
    <phoneticPr fontId="1" type="noConversion"/>
  </si>
  <si>
    <t>cashmir</t>
    <phoneticPr fontId="1" type="noConversion"/>
  </si>
  <si>
    <t>norgay</t>
    <phoneticPr fontId="1" type="noConversion"/>
  </si>
  <si>
    <t>qu'oqon</t>
    <phoneticPr fontId="1" type="noConversion"/>
  </si>
  <si>
    <t>x'onligi</t>
    <phoneticPr fontId="1" type="noConversion"/>
  </si>
  <si>
    <t>x'oranism</t>
    <phoneticPr fontId="1" type="noConversion"/>
  </si>
  <si>
    <t>arsaces</t>
    <phoneticPr fontId="1" type="noConversion"/>
  </si>
  <si>
    <t>buch'ara</t>
    <phoneticPr fontId="1" type="noConversion"/>
  </si>
  <si>
    <t>oord</t>
    <phoneticPr fontId="1" type="noConversion"/>
  </si>
  <si>
    <t>bod</t>
    <phoneticPr fontId="1" type="noConversion"/>
  </si>
  <si>
    <t>cozaci</t>
    <phoneticPr fontId="1" type="noConversion"/>
  </si>
  <si>
    <t>tonhued</t>
    <phoneticPr fontId="1" type="noConversion"/>
  </si>
  <si>
    <t>joshoit</t>
    <phoneticPr fontId="1" type="noConversion"/>
  </si>
  <si>
    <t>turlvana</t>
    <phoneticPr fontId="1" type="noConversion"/>
  </si>
  <si>
    <t>laos</t>
    <phoneticPr fontId="1" type="noConversion"/>
  </si>
  <si>
    <t>timurid</t>
    <phoneticPr fontId="1" type="noConversion"/>
  </si>
  <si>
    <t>timuridia</t>
    <phoneticPr fontId="1" type="noConversion"/>
  </si>
  <si>
    <t>cepchac</t>
    <phoneticPr fontId="1" type="noConversion"/>
  </si>
  <si>
    <t>java</t>
    <phoneticPr fontId="1" type="noConversion"/>
  </si>
  <si>
    <t>conjut</t>
    <phoneticPr fontId="1" type="noConversion"/>
  </si>
  <si>
    <t>srivijaya</t>
    <phoneticPr fontId="1" type="noConversion"/>
  </si>
  <si>
    <t>c'halc'ha</t>
    <phoneticPr fontId="1" type="noConversion"/>
  </si>
  <si>
    <t>ch'alch'a</t>
    <phoneticPr fontId="1" type="noConversion"/>
  </si>
  <si>
    <t>dzungar</t>
    <phoneticPr fontId="1" type="noConversion"/>
  </si>
  <si>
    <t>johor</t>
    <phoneticPr fontId="1" type="noConversion"/>
  </si>
  <si>
    <t>saltanah sulu</t>
    <phoneticPr fontId="1" type="noConversion"/>
  </si>
  <si>
    <t>luzon</t>
    <phoneticPr fontId="1" type="noConversion"/>
  </si>
  <si>
    <t>siccim</t>
    <phoneticPr fontId="1" type="noConversion"/>
  </si>
  <si>
    <t>butan</t>
    <phoneticPr fontId="1" type="noConversion"/>
  </si>
  <si>
    <t>malassa</t>
    <phoneticPr fontId="1" type="noConversion"/>
  </si>
  <si>
    <t>bangladesh</t>
    <phoneticPr fontId="1" type="noConversion"/>
  </si>
  <si>
    <t>srilanca</t>
    <phoneticPr fontId="1" type="noConversion"/>
  </si>
  <si>
    <t>maldives</t>
    <phoneticPr fontId="1" type="noConversion"/>
  </si>
  <si>
    <t>myanmar</t>
    <phoneticPr fontId="1" type="noConversion"/>
  </si>
  <si>
    <t>siem</t>
    <phoneticPr fontId="1" type="noConversion"/>
  </si>
  <si>
    <t>sassand</t>
    <phoneticPr fontId="1" type="noConversion"/>
  </si>
  <si>
    <t>brunei</t>
    <phoneticPr fontId="1" type="noConversion"/>
  </si>
  <si>
    <t>filipines</t>
    <phoneticPr fontId="1" type="noConversion"/>
  </si>
  <si>
    <t>aduist-timor</t>
    <phoneticPr fontId="1" type="noConversion"/>
  </si>
  <si>
    <t>papua-nouval-
gvinea</t>
    <phoneticPr fontId="1" type="noConversion"/>
  </si>
  <si>
    <t>nouval-zeland</t>
    <phoneticPr fontId="1" type="noConversion"/>
  </si>
  <si>
    <t>palau</t>
    <phoneticPr fontId="1" type="noConversion"/>
  </si>
  <si>
    <t>rjuqu'ju</t>
    <phoneticPr fontId="1" type="noConversion"/>
  </si>
  <si>
    <t>hawaii</t>
    <phoneticPr fontId="1" type="noConversion"/>
  </si>
  <si>
    <t>salomon</t>
    <phoneticPr fontId="1" type="noConversion"/>
  </si>
  <si>
    <t>varuatu</t>
    <phoneticPr fontId="1" type="noConversion"/>
  </si>
  <si>
    <t>tuvalu</t>
    <phoneticPr fontId="1" type="noConversion"/>
  </si>
  <si>
    <t>nauru</t>
    <phoneticPr fontId="1" type="noConversion"/>
  </si>
  <si>
    <t>fiji</t>
    <phoneticPr fontId="1" type="noConversion"/>
  </si>
  <si>
    <t>niue</t>
    <phoneticPr fontId="1" type="noConversion"/>
  </si>
  <si>
    <t>tonga</t>
    <phoneticPr fontId="1" type="noConversion"/>
  </si>
  <si>
    <t>bagama</t>
    <phoneticPr fontId="1" type="noConversion"/>
  </si>
  <si>
    <t>cuba</t>
    <phoneticPr fontId="1" type="noConversion"/>
  </si>
  <si>
    <t>jamaiqu'a</t>
    <phoneticPr fontId="1" type="noConversion"/>
  </si>
  <si>
    <t>haiti</t>
    <phoneticPr fontId="1" type="noConversion"/>
  </si>
  <si>
    <t>dominica</t>
    <phoneticPr fontId="1" type="noConversion"/>
  </si>
  <si>
    <t>guatemala</t>
    <phoneticPr fontId="1" type="noConversion"/>
  </si>
  <si>
    <t>belize</t>
    <phoneticPr fontId="1" type="noConversion"/>
  </si>
  <si>
    <t>honduruss</t>
    <phoneticPr fontId="1" type="noConversion"/>
  </si>
  <si>
    <t>salvado</t>
    <phoneticPr fontId="1" type="noConversion"/>
  </si>
  <si>
    <t>costarica</t>
    <phoneticPr fontId="1" type="noConversion"/>
  </si>
  <si>
    <t>panama</t>
    <phoneticPr fontId="1" type="noConversion"/>
  </si>
  <si>
    <t>holand-antillies</t>
    <phoneticPr fontId="1" type="noConversion"/>
  </si>
  <si>
    <t>antigua en barbudia</t>
    <phoneticPr fontId="1" type="noConversion"/>
  </si>
  <si>
    <t>sacli-vincent en la 
grenadinen</t>
    <phoneticPr fontId="1" type="noConversion"/>
  </si>
  <si>
    <t>venzuela</t>
    <phoneticPr fontId="1" type="noConversion"/>
  </si>
  <si>
    <t>coguryo</t>
    <phoneticPr fontId="1" type="noConversion"/>
  </si>
  <si>
    <t>buyo</t>
    <phoneticPr fontId="1" type="noConversion"/>
  </si>
  <si>
    <t>eguado</t>
    <phoneticPr fontId="1" type="noConversion"/>
  </si>
  <si>
    <t>peru</t>
    <phoneticPr fontId="1" type="noConversion"/>
  </si>
  <si>
    <t>chili</t>
    <phoneticPr fontId="1" type="noConversion"/>
  </si>
  <si>
    <t>argentina</t>
    <phoneticPr fontId="1" type="noConversion"/>
  </si>
  <si>
    <t>paraguay</t>
    <phoneticPr fontId="1" type="noConversion"/>
  </si>
  <si>
    <t>uruguay</t>
    <phoneticPr fontId="1" type="noConversion"/>
  </si>
  <si>
    <t>guiana</t>
    <phoneticPr fontId="1" type="noConversion"/>
  </si>
  <si>
    <t>surinam</t>
    <phoneticPr fontId="1" type="noConversion"/>
  </si>
  <si>
    <t>flanse-guiana</t>
    <phoneticPr fontId="1" type="noConversion"/>
  </si>
  <si>
    <t>barbadoss</t>
    <phoneticPr fontId="1" type="noConversion"/>
  </si>
  <si>
    <t>maroco</t>
    <phoneticPr fontId="1" type="noConversion"/>
  </si>
  <si>
    <t>sahara-arab</t>
    <phoneticPr fontId="1" type="noConversion"/>
  </si>
  <si>
    <t>egiptuss</t>
    <phoneticPr fontId="1" type="noConversion"/>
  </si>
  <si>
    <t>babylon</t>
    <phoneticPr fontId="1" type="noConversion"/>
  </si>
  <si>
    <t>hittie</t>
    <phoneticPr fontId="1" type="noConversion"/>
  </si>
  <si>
    <t>trinide en tobago</t>
    <phoneticPr fontId="1" type="noConversion"/>
  </si>
  <si>
    <t>maya</t>
    <phoneticPr fontId="1" type="noConversion"/>
  </si>
  <si>
    <t>assyria</t>
    <phoneticPr fontId="1" type="noConversion"/>
  </si>
  <si>
    <t>玛雅帝国</t>
    <phoneticPr fontId="1" type="noConversion"/>
  </si>
  <si>
    <t>亚述帝国</t>
    <phoneticPr fontId="1" type="noConversion"/>
  </si>
  <si>
    <t>aztec</t>
    <phoneticPr fontId="1" type="noConversion"/>
  </si>
  <si>
    <t>mali</t>
    <phoneticPr fontId="1" type="noConversion"/>
  </si>
  <si>
    <t>verde</t>
    <phoneticPr fontId="1" type="noConversion"/>
  </si>
  <si>
    <t>vandals</t>
    <phoneticPr fontId="1" type="noConversion"/>
  </si>
  <si>
    <t>goth</t>
    <phoneticPr fontId="1" type="noConversion"/>
  </si>
  <si>
    <t>senegal</t>
    <phoneticPr fontId="1" type="noConversion"/>
  </si>
  <si>
    <t>gvinea-bisau</t>
    <phoneticPr fontId="1" type="noConversion"/>
  </si>
  <si>
    <t>gvinea</t>
    <phoneticPr fontId="1" type="noConversion"/>
  </si>
  <si>
    <t>siere-leone</t>
    <phoneticPr fontId="1" type="noConversion"/>
  </si>
  <si>
    <t>gh'ana</t>
    <phoneticPr fontId="1" type="noConversion"/>
  </si>
  <si>
    <t>burcina-faso</t>
    <phoneticPr fontId="1" type="noConversion"/>
  </si>
  <si>
    <t>togu</t>
    <phoneticPr fontId="1" type="noConversion"/>
  </si>
  <si>
    <t>benin</t>
    <phoneticPr fontId="1" type="noConversion"/>
  </si>
  <si>
    <t>t'zad</t>
    <phoneticPr fontId="1" type="noConversion"/>
  </si>
  <si>
    <t>africa-centria</t>
    <phoneticPr fontId="1" type="noConversion"/>
  </si>
  <si>
    <t>cameron</t>
    <phoneticPr fontId="1" type="noConversion"/>
  </si>
  <si>
    <t>equ'atore-gvinea</t>
    <phoneticPr fontId="1" type="noConversion"/>
  </si>
  <si>
    <t>sao-tome en 
principe</t>
    <phoneticPr fontId="1" type="noConversion"/>
  </si>
  <si>
    <t>gabon</t>
    <phoneticPr fontId="1" type="noConversion"/>
  </si>
  <si>
    <t>congo</t>
    <phoneticPr fontId="1" type="noConversion"/>
  </si>
  <si>
    <t>zairo</t>
    <phoneticPr fontId="1" type="noConversion"/>
  </si>
  <si>
    <t>sudan</t>
    <phoneticPr fontId="1" type="noConversion"/>
  </si>
  <si>
    <t>sud-sudan</t>
    <phoneticPr fontId="1" type="noConversion"/>
  </si>
  <si>
    <t>d'jibuti</t>
    <phoneticPr fontId="1" type="noConversion"/>
  </si>
  <si>
    <t>song'hai</t>
    <phoneticPr fontId="1" type="noConversion"/>
  </si>
  <si>
    <t>zanzibar</t>
    <phoneticPr fontId="1" type="noConversion"/>
  </si>
  <si>
    <t>ruanda</t>
    <phoneticPr fontId="1" type="noConversion"/>
  </si>
  <si>
    <t>burundi</t>
    <phoneticPr fontId="1" type="noConversion"/>
  </si>
  <si>
    <t>seych'elless</t>
    <phoneticPr fontId="1" type="noConversion"/>
  </si>
  <si>
    <t>comoross</t>
    <phoneticPr fontId="1" type="noConversion"/>
  </si>
  <si>
    <t>madagascar</t>
    <phoneticPr fontId="1" type="noConversion"/>
  </si>
  <si>
    <t>angola</t>
    <phoneticPr fontId="1" type="noConversion"/>
  </si>
  <si>
    <t>malavia</t>
    <phoneticPr fontId="1" type="noConversion"/>
  </si>
  <si>
    <t>malavie</t>
    <phoneticPr fontId="1" type="noConversion"/>
  </si>
  <si>
    <t>mosambiqu'e</t>
    <phoneticPr fontId="1" type="noConversion"/>
  </si>
  <si>
    <t>zimbabue</t>
    <phoneticPr fontId="1" type="noConversion"/>
  </si>
  <si>
    <t>botswana</t>
    <phoneticPr fontId="1" type="noConversion"/>
  </si>
  <si>
    <t>sud-africa</t>
    <phoneticPr fontId="1" type="noConversion"/>
  </si>
  <si>
    <t>lesoto</t>
    <phoneticPr fontId="1" type="noConversion"/>
  </si>
  <si>
    <t>suaziland</t>
    <phoneticPr fontId="1" type="noConversion"/>
  </si>
  <si>
    <t>qu'art'hadash</t>
    <phoneticPr fontId="1" type="noConversion"/>
  </si>
  <si>
    <t>sumer</t>
    <phoneticPr fontId="1" type="noConversion"/>
  </si>
  <si>
    <t>masina</t>
    <phoneticPr fontId="1" type="noConversion"/>
  </si>
  <si>
    <t>byzantine</t>
    <phoneticPr fontId="1" type="noConversion"/>
  </si>
  <si>
    <t>gupta</t>
    <phoneticPr fontId="1" type="noConversion"/>
  </si>
  <si>
    <t>mug'hal</t>
    <phoneticPr fontId="1" type="noConversion"/>
  </si>
  <si>
    <t>axum</t>
    <phoneticPr fontId="1" type="noConversion"/>
  </si>
  <si>
    <t>mogadishu</t>
    <phoneticPr fontId="1" type="noConversion"/>
  </si>
  <si>
    <t>mombasa</t>
    <phoneticPr fontId="1" type="noConversion"/>
  </si>
  <si>
    <t>inca</t>
    <phoneticPr fontId="1" type="noConversion"/>
  </si>
  <si>
    <t>nejd</t>
    <phoneticPr fontId="1" type="noConversion"/>
  </si>
  <si>
    <t>hejaz</t>
    <phoneticPr fontId="1" type="noConversion"/>
  </si>
  <si>
    <t>engoyo</t>
    <phoneticPr fontId="1" type="noConversion"/>
  </si>
  <si>
    <t>basutoland</t>
    <phoneticPr fontId="1" type="noConversion"/>
  </si>
  <si>
    <t>genova</t>
    <phoneticPr fontId="1" type="noConversion"/>
  </si>
  <si>
    <t>nyasaland</t>
    <phoneticPr fontId="1" type="noConversion"/>
  </si>
  <si>
    <t>bechuanaland</t>
    <phoneticPr fontId="1" type="noConversion"/>
  </si>
  <si>
    <t>sardegna</t>
    <phoneticPr fontId="1" type="noConversion"/>
  </si>
  <si>
    <t>curdistan</t>
    <phoneticPr fontId="1" type="noConversion"/>
  </si>
  <si>
    <t>brazil</t>
    <phoneticPr fontId="1" type="noConversion"/>
  </si>
  <si>
    <t>singapore</t>
    <phoneticPr fontId="1" type="noConversion"/>
  </si>
  <si>
    <t>nicaragua</t>
    <phoneticPr fontId="1" type="noConversion"/>
  </si>
  <si>
    <t>san-marino</t>
    <phoneticPr fontId="1" type="noConversion"/>
  </si>
  <si>
    <t>ferghana</t>
    <phoneticPr fontId="1" type="noConversion"/>
  </si>
  <si>
    <t>sogdiana</t>
    <phoneticPr fontId="1" type="noConversion"/>
  </si>
  <si>
    <t>zeleucos</t>
    <phoneticPr fontId="1" type="noConversion"/>
  </si>
  <si>
    <t>magadha</t>
    <phoneticPr fontId="1" type="noConversion"/>
  </si>
  <si>
    <t>custana</t>
    <phoneticPr fontId="1" type="noConversion"/>
  </si>
  <si>
    <t>toc'haroi</t>
    <phoneticPr fontId="1" type="noConversion"/>
  </si>
  <si>
    <t>cusina</t>
    <phoneticPr fontId="1" type="noConversion"/>
  </si>
  <si>
    <t>bragn'c</t>
    <phoneticPr fontId="1" type="noConversion"/>
  </si>
  <si>
    <t>ch'almgud</t>
    <phoneticPr fontId="1" type="noConversion"/>
  </si>
  <si>
    <t>burma</t>
    <phoneticPr fontId="1" type="noConversion"/>
  </si>
  <si>
    <t>aljamen</t>
    <phoneticPr fontId="1" type="noConversion"/>
  </si>
  <si>
    <t>chagatai</t>
    <phoneticPr fontId="1" type="noConversion"/>
  </si>
  <si>
    <t>chagatai-ulus</t>
    <phoneticPr fontId="1" type="noConversion"/>
  </si>
  <si>
    <t>aduist-chagatai</t>
    <phoneticPr fontId="1" type="noConversion"/>
  </si>
  <si>
    <t>yarqu'and</t>
    <phoneticPr fontId="1" type="noConversion"/>
  </si>
  <si>
    <t>ili-baliqu'</t>
    <phoneticPr fontId="1" type="noConversion"/>
  </si>
  <si>
    <t>besh-baliqu'</t>
    <phoneticPr fontId="1" type="noConversion"/>
  </si>
  <si>
    <t>turpan</t>
    <phoneticPr fontId="1" type="noConversion"/>
  </si>
  <si>
    <t>osten-leu</t>
    <phoneticPr fontId="1" type="noConversion"/>
  </si>
  <si>
    <t>qu'ara</t>
    <phoneticPr fontId="1" type="noConversion"/>
  </si>
  <si>
    <t>on-uygur</t>
    <phoneticPr fontId="1" type="noConversion"/>
  </si>
  <si>
    <t>naiman</t>
    <phoneticPr fontId="1" type="noConversion"/>
  </si>
  <si>
    <t>naiman-ulus</t>
    <phoneticPr fontId="1" type="noConversion"/>
  </si>
  <si>
    <t>jochi-ulus</t>
    <phoneticPr fontId="1" type="noConversion"/>
  </si>
  <si>
    <t>ili-ulus</t>
    <phoneticPr fontId="1" type="noConversion"/>
  </si>
  <si>
    <t>hulegu-ulus</t>
    <phoneticPr fontId="1" type="noConversion"/>
  </si>
  <si>
    <t>nicaea</t>
    <phoneticPr fontId="1" type="noConversion"/>
  </si>
  <si>
    <t>trebizond</t>
    <phoneticPr fontId="1" type="noConversion"/>
  </si>
  <si>
    <t>epiruss</t>
    <phoneticPr fontId="1" type="noConversion"/>
  </si>
  <si>
    <t>latinos</t>
    <phoneticPr fontId="1" type="noConversion"/>
  </si>
  <si>
    <t>thessalonic</t>
    <phoneticPr fontId="1" type="noConversion"/>
  </si>
  <si>
    <t>achaea</t>
    <phoneticPr fontId="1" type="noConversion"/>
  </si>
  <si>
    <t>aragon</t>
    <phoneticPr fontId="1" type="noConversion"/>
  </si>
  <si>
    <t>napoli</t>
    <phoneticPr fontId="1" type="noConversion"/>
  </si>
  <si>
    <t>dus-sicili</t>
    <phoneticPr fontId="1" type="noConversion"/>
  </si>
  <si>
    <t>sicili</t>
    <phoneticPr fontId="1" type="noConversion"/>
  </si>
  <si>
    <t>nafarro</t>
    <phoneticPr fontId="1" type="noConversion"/>
  </si>
  <si>
    <t>pamplona</t>
    <phoneticPr fontId="1" type="noConversion"/>
  </si>
  <si>
    <t>leon</t>
    <phoneticPr fontId="1" type="noConversion"/>
  </si>
  <si>
    <t>castilla</t>
    <phoneticPr fontId="1" type="noConversion"/>
  </si>
  <si>
    <t>niger</t>
    <phoneticPr fontId="1" type="noConversion"/>
  </si>
  <si>
    <t>punicia</t>
    <phoneticPr fontId="1" type="noConversion"/>
  </si>
  <si>
    <t>punici</t>
    <phoneticPr fontId="1" type="noConversion"/>
  </si>
  <si>
    <t>布匿，迦太基</t>
    <phoneticPr fontId="1" type="noConversion"/>
  </si>
  <si>
    <t>大洲大洋</t>
    <phoneticPr fontId="1" type="noConversion"/>
  </si>
  <si>
    <t>turantca</t>
  </si>
  <si>
    <t>goreatca</t>
  </si>
  <si>
    <t>flansetca</t>
  </si>
  <si>
    <t>bu-goreatca</t>
  </si>
  <si>
    <t>sud-goreatca</t>
  </si>
  <si>
    <t>joseontca</t>
  </si>
  <si>
    <t>baequ'ietca</t>
  </si>
  <si>
    <t>sillotca</t>
  </si>
  <si>
    <t>hunutca</t>
  </si>
  <si>
    <t>jabontca</t>
  </si>
  <si>
    <t>siebitca</t>
  </si>
  <si>
    <t>etedatca</t>
  </si>
  <si>
    <t>americatca</t>
  </si>
  <si>
    <t>canadatca</t>
  </si>
  <si>
    <t>mexicotca</t>
  </si>
  <si>
    <t>swedentca</t>
  </si>
  <si>
    <t>hellathatca</t>
  </si>
  <si>
    <t>norweaetca</t>
  </si>
  <si>
    <t>moscowtca</t>
  </si>
  <si>
    <t>cievan rustca</t>
  </si>
  <si>
    <t>belarustca</t>
  </si>
  <si>
    <t>eustomanitca</t>
  </si>
  <si>
    <t>indutca</t>
  </si>
  <si>
    <t>hindutca</t>
  </si>
  <si>
    <t>hinditca</t>
  </si>
  <si>
    <t>slovenscotca</t>
  </si>
  <si>
    <t>hvitlamtca</t>
  </si>
  <si>
    <t>pathetaitca</t>
  </si>
  <si>
    <t>mountaitca</t>
  </si>
  <si>
    <t>estitca</t>
  </si>
  <si>
    <t>lietuvatca</t>
  </si>
  <si>
    <t>moldavatca</t>
  </si>
  <si>
    <t>masabalu-niblatca</t>
  </si>
  <si>
    <t>cosovotca</t>
  </si>
  <si>
    <t>belgentca</t>
  </si>
  <si>
    <t>dinamarcatca</t>
  </si>
  <si>
    <t>monacotca</t>
  </si>
  <si>
    <t>vaticantca</t>
  </si>
  <si>
    <t>liechtensteintca</t>
  </si>
  <si>
    <t>hongaritca</t>
  </si>
  <si>
    <t>rumanitca</t>
  </si>
  <si>
    <t>azerbaijantca</t>
  </si>
  <si>
    <t>qu'iprotca</t>
  </si>
  <si>
    <t>livontca</t>
  </si>
  <si>
    <t>cuweittca</t>
  </si>
  <si>
    <t>bahraintca</t>
  </si>
  <si>
    <t>qu'atartca</t>
  </si>
  <si>
    <t>omantca</t>
  </si>
  <si>
    <t>irantca</t>
  </si>
  <si>
    <t>crimeatca</t>
  </si>
  <si>
    <t>norgaytca</t>
  </si>
  <si>
    <t>qu'oqontca</t>
  </si>
  <si>
    <t>x'onligitca</t>
  </si>
  <si>
    <t>arsacestca</t>
  </si>
  <si>
    <t>buch'aratca</t>
  </si>
  <si>
    <t>cozacitca</t>
  </si>
  <si>
    <t>tonhuedtca</t>
  </si>
  <si>
    <t>c'halc'hatca</t>
  </si>
  <si>
    <t>ch'alch'atca</t>
  </si>
  <si>
    <t>dzungartca</t>
  </si>
  <si>
    <t>turlvanatca</t>
  </si>
  <si>
    <t>laostca</t>
  </si>
  <si>
    <t>javatca</t>
  </si>
  <si>
    <t>samboyatca</t>
  </si>
  <si>
    <t>johortca</t>
  </si>
  <si>
    <t>luzontca</t>
  </si>
  <si>
    <t>siccimtca</t>
  </si>
  <si>
    <t>butantca</t>
  </si>
  <si>
    <t>malassatca</t>
  </si>
  <si>
    <t>srilancatca</t>
  </si>
  <si>
    <t>bruneitca</t>
  </si>
  <si>
    <t>aduist-timortca</t>
  </si>
  <si>
    <t>palautca</t>
  </si>
  <si>
    <t>rjuqu'jutca</t>
  </si>
  <si>
    <t>hawaiitca</t>
  </si>
  <si>
    <t>salomontca</t>
  </si>
  <si>
    <t>varuatutca</t>
  </si>
  <si>
    <t>tuvalutca</t>
  </si>
  <si>
    <t>naurutca</t>
  </si>
  <si>
    <t>fijitca</t>
  </si>
  <si>
    <t>samoyatca</t>
  </si>
  <si>
    <t>niuetca</t>
  </si>
  <si>
    <t>tongatca</t>
  </si>
  <si>
    <t>bagamatca</t>
  </si>
  <si>
    <t>cubatca</t>
  </si>
  <si>
    <t>jamaiqu'atca</t>
  </si>
  <si>
    <t>haititca</t>
  </si>
  <si>
    <t>dominicatca</t>
  </si>
  <si>
    <t>guatemalatca</t>
  </si>
  <si>
    <t>belizetca</t>
  </si>
  <si>
    <t>salvadotca</t>
  </si>
  <si>
    <t>costaricatca</t>
  </si>
  <si>
    <t>panamatca</t>
  </si>
  <si>
    <t>holand-antilliestca</t>
  </si>
  <si>
    <t>venzuelatca</t>
  </si>
  <si>
    <t>coguryotca</t>
  </si>
  <si>
    <t>buyotca</t>
  </si>
  <si>
    <t>eguadotca</t>
  </si>
  <si>
    <t>perutca</t>
  </si>
  <si>
    <t>chilitca</t>
  </si>
  <si>
    <t>argentinatca</t>
  </si>
  <si>
    <t>paraguaytca</t>
  </si>
  <si>
    <t>uruguaytca</t>
  </si>
  <si>
    <t>guianatca</t>
  </si>
  <si>
    <t>flanse-guianatca</t>
  </si>
  <si>
    <t>marocotca</t>
  </si>
  <si>
    <t>babylontca</t>
  </si>
  <si>
    <t>malitca</t>
  </si>
  <si>
    <t>verdetca</t>
  </si>
  <si>
    <t>gvinea-bisautca</t>
  </si>
  <si>
    <t>gvineatca</t>
  </si>
  <si>
    <t>siere-leonetca</t>
  </si>
  <si>
    <t>costare-efoyatca</t>
  </si>
  <si>
    <t>côte-d'ivoiretca</t>
  </si>
  <si>
    <t>gh'anatca</t>
  </si>
  <si>
    <t>burcina-fasotca</t>
  </si>
  <si>
    <t>togutca</t>
  </si>
  <si>
    <t>benintca</t>
  </si>
  <si>
    <t>camerontca</t>
  </si>
  <si>
    <t>equ'atore-gvineatca</t>
  </si>
  <si>
    <t>gabontca</t>
  </si>
  <si>
    <t>congotca</t>
  </si>
  <si>
    <t>zairotca</t>
  </si>
  <si>
    <t>sudantca</t>
  </si>
  <si>
    <t>sud-sudantca</t>
  </si>
  <si>
    <t>eriteyatca</t>
  </si>
  <si>
    <t>d'jibutitca</t>
  </si>
  <si>
    <t>song'haitca</t>
  </si>
  <si>
    <t>zanzibartca</t>
  </si>
  <si>
    <t>cenyatca</t>
  </si>
  <si>
    <t>ruandatca</t>
  </si>
  <si>
    <t>burunditca</t>
  </si>
  <si>
    <t>angolatca</t>
  </si>
  <si>
    <t>mosambiqu'etca</t>
  </si>
  <si>
    <t>zimbabuetca</t>
  </si>
  <si>
    <t>botswanatca</t>
  </si>
  <si>
    <t>sud-africatca</t>
  </si>
  <si>
    <t>qu'art'hadashtca</t>
  </si>
  <si>
    <t>sumertca</t>
  </si>
  <si>
    <t>masinatca</t>
  </si>
  <si>
    <t>byzantinetca</t>
  </si>
  <si>
    <t>guptatca</t>
  </si>
  <si>
    <t>mogadishutca</t>
  </si>
  <si>
    <t>mombasatca</t>
  </si>
  <si>
    <t>incatca</t>
  </si>
  <si>
    <t>engoyotca</t>
  </si>
  <si>
    <t>genovatca</t>
  </si>
  <si>
    <t>sardegnatca</t>
  </si>
  <si>
    <t>nicaraguatca</t>
  </si>
  <si>
    <t>san-marinotca</t>
  </si>
  <si>
    <t>ferghanatca</t>
  </si>
  <si>
    <t>sogdianatca</t>
  </si>
  <si>
    <t>zeleucostca</t>
  </si>
  <si>
    <t>magadhatca</t>
  </si>
  <si>
    <t>mauryatca</t>
  </si>
  <si>
    <t>custanatca</t>
  </si>
  <si>
    <t>toc'haroitca</t>
  </si>
  <si>
    <t>cusinatca</t>
  </si>
  <si>
    <t>bragn'ctca</t>
  </si>
  <si>
    <t>ch'almgudtca</t>
  </si>
  <si>
    <t>burmatca</t>
  </si>
  <si>
    <t>aljamentca</t>
  </si>
  <si>
    <t>margyatca</t>
  </si>
  <si>
    <t>chagataitca</t>
  </si>
  <si>
    <t>aduist-chagataitca</t>
  </si>
  <si>
    <t>turpantca</t>
  </si>
  <si>
    <t>osten-leutca</t>
  </si>
  <si>
    <t>qu'aratca</t>
  </si>
  <si>
    <t>on-uygurtca</t>
  </si>
  <si>
    <t>naimantca</t>
  </si>
  <si>
    <t>nicaeatca</t>
  </si>
  <si>
    <t>achaeatca</t>
  </si>
  <si>
    <t>aragontca</t>
  </si>
  <si>
    <t>napolitca</t>
  </si>
  <si>
    <t>sicilitca</t>
  </si>
  <si>
    <t>dus-sicilitca</t>
  </si>
  <si>
    <t>pamplonatca</t>
  </si>
  <si>
    <t>castillatca</t>
  </si>
  <si>
    <t>nigertca</t>
  </si>
  <si>
    <t>srivijayatca</t>
  </si>
  <si>
    <t>punicitca</t>
  </si>
  <si>
    <t>polynetca</t>
    <phoneticPr fontId="1" type="noConversion"/>
  </si>
  <si>
    <t>caucasutca</t>
    <phoneticPr fontId="1" type="noConversion"/>
  </si>
  <si>
    <t>inglantca</t>
    <phoneticPr fontId="1" type="noConversion"/>
  </si>
  <si>
    <t>newfoundlantca</t>
  </si>
  <si>
    <t>finlantca</t>
  </si>
  <si>
    <t>hollantca</t>
  </si>
  <si>
    <t>holantca</t>
  </si>
  <si>
    <t>nethelantca</t>
  </si>
  <si>
    <t>islantca</t>
  </si>
  <si>
    <t>irlantca</t>
  </si>
  <si>
    <t>scotlantca</t>
  </si>
  <si>
    <t>nouval-zelantca</t>
  </si>
  <si>
    <t>suazilantca</t>
  </si>
  <si>
    <t>basutolantca</t>
  </si>
  <si>
    <t>nyasalantca</t>
  </si>
  <si>
    <t>bechuanalantca</t>
  </si>
  <si>
    <t>italitca</t>
    <phoneticPr fontId="1" type="noConversion"/>
  </si>
  <si>
    <t>flancetca</t>
    <phoneticPr fontId="1" type="noConversion"/>
  </si>
  <si>
    <t>esbanitca</t>
  </si>
  <si>
    <t>austritca</t>
  </si>
  <si>
    <t>indonisitca</t>
  </si>
  <si>
    <t>tailanditca</t>
  </si>
  <si>
    <t>laitvitca</t>
  </si>
  <si>
    <t>serbitca</t>
  </si>
  <si>
    <t>mequ'edonitca</t>
  </si>
  <si>
    <t>bugaritca</t>
  </si>
  <si>
    <t>halbanitca</t>
  </si>
  <si>
    <t>georgitca</t>
  </si>
  <si>
    <t>armenitca</t>
  </si>
  <si>
    <t>cushanitca</t>
  </si>
  <si>
    <t>camboditca</t>
  </si>
  <si>
    <t>malayzitca</t>
  </si>
  <si>
    <t>antigua en barbuditca</t>
  </si>
  <si>
    <t>sacli-lucitca</t>
  </si>
  <si>
    <t>bolivitca</t>
  </si>
  <si>
    <t>algeritca</t>
  </si>
  <si>
    <t>tunesitca</t>
  </si>
  <si>
    <t>mauritanitca</t>
  </si>
  <si>
    <t>gambitca</t>
  </si>
  <si>
    <t>liberitca</t>
  </si>
  <si>
    <t>nigeritca</t>
  </si>
  <si>
    <t>africa-centritca</t>
  </si>
  <si>
    <t>ethiopitca</t>
  </si>
  <si>
    <t>somalitca</t>
  </si>
  <si>
    <t>tanzanitca</t>
  </si>
  <si>
    <t>mauricitca</t>
  </si>
  <si>
    <t>australitca</t>
  </si>
  <si>
    <t>zambitca</t>
  </si>
  <si>
    <t>malavitca</t>
  </si>
  <si>
    <t>namibitca</t>
  </si>
  <si>
    <t>nubitca</t>
  </si>
  <si>
    <t>foenicitca</t>
  </si>
  <si>
    <t>rh'odesitca</t>
  </si>
  <si>
    <t>libitca</t>
  </si>
  <si>
    <t>bactritca</t>
  </si>
  <si>
    <t>papesitca</t>
  </si>
  <si>
    <t>athenitca</t>
  </si>
  <si>
    <t>asturitca</t>
  </si>
  <si>
    <t>assyritca</t>
  </si>
  <si>
    <t>portugatca</t>
    <phoneticPr fontId="1" type="noConversion"/>
  </si>
  <si>
    <t>zhoungutca</t>
    <phoneticPr fontId="1" type="noConversion"/>
  </si>
  <si>
    <t>deuchetca</t>
    <phoneticPr fontId="1" type="noConversion"/>
  </si>
  <si>
    <t>prustca</t>
  </si>
  <si>
    <t>perstca</t>
  </si>
  <si>
    <t>mengolitca</t>
    <phoneticPr fontId="1" type="noConversion"/>
  </si>
  <si>
    <t>swaitca</t>
    <phoneticPr fontId="1" type="noConversion"/>
  </si>
  <si>
    <t>gilsetca</t>
    <phoneticPr fontId="1" type="noConversion"/>
  </si>
  <si>
    <t>polostca</t>
    <phoneticPr fontId="1" type="noConversion"/>
  </si>
  <si>
    <t>rustca</t>
    <phoneticPr fontId="1" type="noConversion"/>
  </si>
  <si>
    <t>iraqu'etca</t>
    <phoneticPr fontId="1" type="noConversion"/>
  </si>
  <si>
    <t>luxembortca</t>
    <phoneticPr fontId="1" type="noConversion"/>
  </si>
  <si>
    <t>turcitca</t>
    <phoneticPr fontId="1" type="noConversion"/>
  </si>
  <si>
    <t>nam'hvitca</t>
    <phoneticPr fontId="1" type="noConversion"/>
  </si>
  <si>
    <t>hvitnamtca</t>
    <phoneticPr fontId="1" type="noConversion"/>
  </si>
  <si>
    <t>blirtontca</t>
    <phoneticPr fontId="1" type="noConversion"/>
  </si>
  <si>
    <t>ucrainstca</t>
    <phoneticPr fontId="1" type="noConversion"/>
  </si>
  <si>
    <t>chestca</t>
    <phoneticPr fontId="1" type="noConversion"/>
  </si>
  <si>
    <t>croatca</t>
    <phoneticPr fontId="1" type="noConversion"/>
  </si>
  <si>
    <t>slovennitca</t>
    <phoneticPr fontId="1" type="noConversion"/>
  </si>
  <si>
    <t>bos'herzetca</t>
    <phoneticPr fontId="1" type="noConversion"/>
  </si>
  <si>
    <t>pathelavetca</t>
    <phoneticPr fontId="1" type="noConversion"/>
  </si>
  <si>
    <t>andoratca</t>
    <phoneticPr fontId="1" type="noConversion"/>
  </si>
  <si>
    <t>jugoslavitca</t>
    <phoneticPr fontId="1" type="noConversion"/>
  </si>
  <si>
    <t>maltatca</t>
    <phoneticPr fontId="1" type="noConversion"/>
  </si>
  <si>
    <t>ueletca</t>
    <phoneticPr fontId="1" type="noConversion"/>
  </si>
  <si>
    <t>israilitca</t>
    <phoneticPr fontId="1" type="noConversion"/>
  </si>
  <si>
    <t>syritca</t>
    <phoneticPr fontId="1" type="noConversion"/>
  </si>
  <si>
    <t>saudi-arabitca</t>
    <phoneticPr fontId="1" type="noConversion"/>
  </si>
  <si>
    <t>arabitca</t>
    <phoneticPr fontId="1" type="noConversion"/>
  </si>
  <si>
    <t>palestinatca</t>
    <phoneticPr fontId="1" type="noConversion"/>
  </si>
  <si>
    <t>emirat-arabitca</t>
    <phoneticPr fontId="1" type="noConversion"/>
  </si>
  <si>
    <t>turqu'menitca</t>
  </si>
  <si>
    <t>uzbequ'itca</t>
  </si>
  <si>
    <t>cirgizitca</t>
  </si>
  <si>
    <t>tajicitca</t>
  </si>
  <si>
    <t>afganitca</t>
  </si>
  <si>
    <t>curditca</t>
  </si>
  <si>
    <t>cazacitca</t>
    <phoneticPr fontId="1" type="noConversion"/>
  </si>
  <si>
    <t>pacistca</t>
    <phoneticPr fontId="1" type="noConversion"/>
  </si>
  <si>
    <t>nepalatca</t>
    <phoneticPr fontId="1" type="noConversion"/>
  </si>
  <si>
    <t>cashmirtca</t>
    <phoneticPr fontId="1" type="noConversion"/>
  </si>
  <si>
    <t>x'orasimotca</t>
    <phoneticPr fontId="1" type="noConversion"/>
  </si>
  <si>
    <t>oiradetca</t>
    <phoneticPr fontId="1" type="noConversion"/>
  </si>
  <si>
    <t>bodtca</t>
    <phoneticPr fontId="1" type="noConversion"/>
  </si>
  <si>
    <t>joshutca</t>
    <phoneticPr fontId="1" type="noConversion"/>
  </si>
  <si>
    <t>sihirtca</t>
    <phoneticPr fontId="1" type="noConversion"/>
  </si>
  <si>
    <t>timuriditca</t>
    <phoneticPr fontId="1" type="noConversion"/>
  </si>
  <si>
    <t>cepchacetca</t>
    <phoneticPr fontId="1" type="noConversion"/>
  </si>
  <si>
    <t>conjutca</t>
    <phoneticPr fontId="1" type="noConversion"/>
  </si>
  <si>
    <t>saltanah-sulutca</t>
    <phoneticPr fontId="1" type="noConversion"/>
  </si>
  <si>
    <t>bangladeshitca</t>
    <phoneticPr fontId="1" type="noConversion"/>
  </si>
  <si>
    <t>maldivetca</t>
    <phoneticPr fontId="1" type="noConversion"/>
  </si>
  <si>
    <t>myanmartca</t>
    <phoneticPr fontId="1" type="noConversion"/>
  </si>
  <si>
    <t>siemitca</t>
    <phoneticPr fontId="1" type="noConversion"/>
  </si>
  <si>
    <t>sassanditca</t>
    <phoneticPr fontId="1" type="noConversion"/>
  </si>
  <si>
    <t>papua-nouval-
gvineatca</t>
    <phoneticPr fontId="1" type="noConversion"/>
  </si>
  <si>
    <t>filipinetca</t>
    <phoneticPr fontId="1" type="noConversion"/>
  </si>
  <si>
    <t>micronezitca</t>
    <phoneticPr fontId="1" type="noConversion"/>
  </si>
  <si>
    <t>qu'iribatca</t>
    <phoneticPr fontId="1" type="noConversion"/>
  </si>
  <si>
    <t>marshalotca</t>
    <phoneticPr fontId="1" type="noConversion"/>
  </si>
  <si>
    <t>honduratca</t>
    <phoneticPr fontId="1" type="noConversion"/>
  </si>
  <si>
    <t>sacli-vincent-
grenadinentca</t>
    <phoneticPr fontId="1" type="noConversion"/>
  </si>
  <si>
    <t>colombitca</t>
    <phoneticPr fontId="1" type="noConversion"/>
  </si>
  <si>
    <t>surinamitca</t>
    <phoneticPr fontId="1" type="noConversion"/>
  </si>
  <si>
    <t>barbadotca</t>
    <phoneticPr fontId="1" type="noConversion"/>
  </si>
  <si>
    <t>sahara-arabitca</t>
    <phoneticPr fontId="1" type="noConversion"/>
  </si>
  <si>
    <t>egiptutca</t>
    <phoneticPr fontId="1" type="noConversion"/>
  </si>
  <si>
    <t>hittitca</t>
    <phoneticPr fontId="1" type="noConversion"/>
  </si>
  <si>
    <t>trinide-tobagotca</t>
    <phoneticPr fontId="1" type="noConversion"/>
  </si>
  <si>
    <t>aztecitca</t>
    <phoneticPr fontId="1" type="noConversion"/>
  </si>
  <si>
    <t>vandaletca</t>
    <phoneticPr fontId="1" type="noConversion"/>
  </si>
  <si>
    <t>gothetca</t>
    <phoneticPr fontId="1" type="noConversion"/>
  </si>
  <si>
    <t>senegatca</t>
    <phoneticPr fontId="1" type="noConversion"/>
  </si>
  <si>
    <t>t'zadetca</t>
    <phoneticPr fontId="1" type="noConversion"/>
  </si>
  <si>
    <t>sao-tome-principetca</t>
    <phoneticPr fontId="1" type="noConversion"/>
  </si>
  <si>
    <t>ceniatca</t>
    <phoneticPr fontId="1" type="noConversion"/>
  </si>
  <si>
    <t>seych'elletca</t>
    <phoneticPr fontId="1" type="noConversion"/>
  </si>
  <si>
    <t>comorotca</t>
    <phoneticPr fontId="1" type="noConversion"/>
  </si>
  <si>
    <t>madagascartca</t>
    <phoneticPr fontId="1" type="noConversion"/>
  </si>
  <si>
    <t>malavitca</t>
    <phoneticPr fontId="1" type="noConversion"/>
  </si>
  <si>
    <t>lesotca</t>
    <phoneticPr fontId="1" type="noConversion"/>
  </si>
  <si>
    <t>gallotca</t>
    <phoneticPr fontId="1" type="noConversion"/>
  </si>
  <si>
    <t>mug'halitca</t>
    <phoneticPr fontId="1" type="noConversion"/>
  </si>
  <si>
    <t>axumitca</t>
    <phoneticPr fontId="1" type="noConversion"/>
  </si>
  <si>
    <t>nejdetca</t>
    <phoneticPr fontId="1" type="noConversion"/>
  </si>
  <si>
    <t>hejazitca</t>
    <phoneticPr fontId="1" type="noConversion"/>
  </si>
  <si>
    <t>brazitca</t>
    <phoneticPr fontId="1" type="noConversion"/>
  </si>
  <si>
    <t>singaportca</t>
    <phoneticPr fontId="1" type="noConversion"/>
  </si>
  <si>
    <t>yarqu'antca</t>
    <phoneticPr fontId="1" type="noConversion"/>
  </si>
  <si>
    <t>ilistca</t>
    <phoneticPr fontId="1" type="noConversion"/>
  </si>
  <si>
    <t>trebizontca</t>
    <phoneticPr fontId="1" type="noConversion"/>
  </si>
  <si>
    <t>epirutca</t>
    <phoneticPr fontId="1" type="noConversion"/>
  </si>
  <si>
    <t>latinotca</t>
    <phoneticPr fontId="1" type="noConversion"/>
  </si>
  <si>
    <t>thessalonicitca</t>
    <phoneticPr fontId="1" type="noConversion"/>
  </si>
  <si>
    <t>nafarotca</t>
    <phoneticPr fontId="1" type="noConversion"/>
  </si>
  <si>
    <t>leonetca</t>
    <phoneticPr fontId="1" type="noConversion"/>
  </si>
  <si>
    <t>图兰人</t>
  </si>
  <si>
    <t>波利尼西亚人</t>
  </si>
  <si>
    <t>英格兰人</t>
  </si>
  <si>
    <t>法兰克人</t>
  </si>
  <si>
    <t>葡萄牙人</t>
  </si>
  <si>
    <t>朝鲜人</t>
  </si>
  <si>
    <t>百济人</t>
  </si>
  <si>
    <t>新罗人</t>
  </si>
  <si>
    <t>匈奴人</t>
  </si>
  <si>
    <t>日本人</t>
  </si>
  <si>
    <t>普鲁士人</t>
  </si>
  <si>
    <t>鲜卑人</t>
  </si>
  <si>
    <t>加拿大人</t>
  </si>
  <si>
    <t>纽芬兰人</t>
  </si>
  <si>
    <t>墨西哥人</t>
  </si>
  <si>
    <t>蒙古人</t>
  </si>
  <si>
    <t>瑞典人</t>
  </si>
  <si>
    <t>芬兰人</t>
  </si>
  <si>
    <t>瑞士人</t>
  </si>
  <si>
    <t>荷兰人</t>
  </si>
  <si>
    <t>尼德兰人</t>
  </si>
  <si>
    <t>希腊人</t>
  </si>
  <si>
    <t>挪威人</t>
  </si>
  <si>
    <t>奥地利人</t>
  </si>
  <si>
    <t>波兰人</t>
  </si>
  <si>
    <t>俄罗斯人</t>
  </si>
  <si>
    <t>基辅罗斯人</t>
  </si>
  <si>
    <t>伊拉克人</t>
  </si>
  <si>
    <t>白俄罗斯人</t>
  </si>
  <si>
    <t>卢森堡人</t>
  </si>
  <si>
    <t>土耳其人</t>
  </si>
  <si>
    <t>印度人</t>
  </si>
  <si>
    <t>斯洛伐克人</t>
  </si>
  <si>
    <t>印度尼西亚人</t>
  </si>
  <si>
    <t>爱沙尼亚人</t>
  </si>
  <si>
    <t>拉脱维亚人</t>
  </si>
  <si>
    <t>立陶宛人</t>
  </si>
  <si>
    <t>乌克兰人</t>
  </si>
  <si>
    <t>捷克人</t>
  </si>
  <si>
    <t>塞尔维亚人</t>
  </si>
  <si>
    <t>克罗地亚人</t>
  </si>
  <si>
    <t>斯洛文尼亚人</t>
  </si>
  <si>
    <t>马其顿人</t>
  </si>
  <si>
    <t>科索沃人</t>
  </si>
  <si>
    <t>保加利亚人</t>
  </si>
  <si>
    <t>阿尔巴尼亚人</t>
  </si>
  <si>
    <t>冰岛人</t>
  </si>
  <si>
    <t>比利时人</t>
  </si>
  <si>
    <t>丹麦人</t>
  </si>
  <si>
    <t>安道尔人</t>
  </si>
  <si>
    <t>摩纳哥人</t>
  </si>
  <si>
    <t>梵蒂冈人</t>
  </si>
  <si>
    <t>匈牙利人</t>
  </si>
  <si>
    <t>罗马尼亚人</t>
  </si>
  <si>
    <t>南斯拉夫人</t>
  </si>
  <si>
    <t>马耳他人</t>
  </si>
  <si>
    <t>爱尔兰人</t>
  </si>
  <si>
    <t>苏格兰人</t>
  </si>
  <si>
    <t>威尔士人</t>
  </si>
  <si>
    <t>亚美尼亚人</t>
  </si>
  <si>
    <t>黎巴嫩人</t>
  </si>
  <si>
    <t>叙利亚人</t>
  </si>
  <si>
    <t>以色列人</t>
  </si>
  <si>
    <t>巴勒斯坦人</t>
  </si>
  <si>
    <t>科威特人</t>
  </si>
  <si>
    <t>巴林人</t>
  </si>
  <si>
    <t>阿曼人</t>
  </si>
  <si>
    <t>伊朗人</t>
  </si>
  <si>
    <t>波斯人</t>
  </si>
  <si>
    <t>阿富汗人</t>
  </si>
  <si>
    <t>巴基斯坦人</t>
  </si>
  <si>
    <t>尼泊尔人</t>
  </si>
  <si>
    <t>花剌子模人</t>
  </si>
  <si>
    <t>吐蕃人</t>
  </si>
  <si>
    <t>铁勒，丁零人</t>
  </si>
  <si>
    <t>爪哇人</t>
  </si>
  <si>
    <t>坎巨提人</t>
  </si>
  <si>
    <t>锡金人</t>
  </si>
  <si>
    <t>不丹人</t>
  </si>
  <si>
    <t>缅甸人</t>
  </si>
  <si>
    <t>柬埔寨人</t>
  </si>
  <si>
    <t>文莱人</t>
  </si>
  <si>
    <t>菲律宾人</t>
  </si>
  <si>
    <t>东帝汶人</t>
  </si>
  <si>
    <t>巴布亚新几内亚人</t>
  </si>
  <si>
    <t>帕劳人</t>
  </si>
  <si>
    <t>所罗门群岛人</t>
  </si>
  <si>
    <t>瓦努阿图人</t>
  </si>
  <si>
    <t>图瓦卢人</t>
  </si>
  <si>
    <t>瑙鲁人</t>
  </si>
  <si>
    <t>马绍尔群岛人</t>
  </si>
  <si>
    <t>斐济人</t>
  </si>
  <si>
    <t>萨摩亚人</t>
  </si>
  <si>
    <t>纽埃人</t>
  </si>
  <si>
    <t>汤加人</t>
  </si>
  <si>
    <t>巴哈马人</t>
  </si>
  <si>
    <t>古巴人</t>
  </si>
  <si>
    <t>牙买加人</t>
  </si>
  <si>
    <t>海地人</t>
  </si>
  <si>
    <t>多米尼加人</t>
  </si>
  <si>
    <t>危地马拉人</t>
  </si>
  <si>
    <t>伯利兹人</t>
  </si>
  <si>
    <t>洪都拉斯人</t>
  </si>
  <si>
    <t>萨瓦尔多人</t>
  </si>
  <si>
    <t>哥斯达黎加人</t>
  </si>
  <si>
    <t>巴拿马人</t>
  </si>
  <si>
    <t>荷属安的列斯人</t>
  </si>
  <si>
    <t>安提瓜和巴布达人</t>
  </si>
  <si>
    <t>圣卢西亚人</t>
  </si>
  <si>
    <t>圣文森特和格林纳丁斯人</t>
  </si>
  <si>
    <t>哥伦比亚人</t>
  </si>
  <si>
    <t>委内瑞拉人</t>
  </si>
  <si>
    <t>厄瓜多尔人</t>
  </si>
  <si>
    <t>秘鲁人</t>
  </si>
  <si>
    <t>智利人</t>
  </si>
  <si>
    <t>玻利维亚人</t>
  </si>
  <si>
    <t>阿根廷人</t>
  </si>
  <si>
    <t>巴拉圭人</t>
  </si>
  <si>
    <t>乌拉圭人</t>
  </si>
  <si>
    <t>圭亚那人</t>
  </si>
  <si>
    <t>苏里南人</t>
  </si>
  <si>
    <t>法属圭亚那人</t>
  </si>
  <si>
    <t>巴巴多斯人</t>
  </si>
  <si>
    <t>摩洛哥人</t>
  </si>
  <si>
    <t>西撒哈拉人</t>
  </si>
  <si>
    <t>阿尔及利亚人</t>
  </si>
  <si>
    <t>突尼斯人</t>
  </si>
  <si>
    <t>埃及人</t>
  </si>
  <si>
    <t>特立尼达和多巴哥人</t>
  </si>
  <si>
    <t>毛里塔尼亚人</t>
  </si>
  <si>
    <t>佛得角人</t>
  </si>
  <si>
    <t>塞内加尔人</t>
  </si>
  <si>
    <t>几内亚比绍人</t>
  </si>
  <si>
    <t>几内亚人</t>
  </si>
  <si>
    <t>利比里亚人</t>
  </si>
  <si>
    <t>多哥人</t>
  </si>
  <si>
    <t>喀麦隆人</t>
  </si>
  <si>
    <t>赤道几内亚人</t>
  </si>
  <si>
    <t>圣多马和普林西比人</t>
  </si>
  <si>
    <t>刚果人</t>
  </si>
  <si>
    <t>扎伊尔人</t>
  </si>
  <si>
    <t>苏丹人</t>
  </si>
  <si>
    <t>南苏丹人</t>
  </si>
  <si>
    <t>阿比西尼亚人</t>
  </si>
  <si>
    <t>马达加斯加人</t>
  </si>
  <si>
    <t>安哥拉人</t>
  </si>
  <si>
    <t>纳米比亚人</t>
  </si>
  <si>
    <t>南非人</t>
  </si>
  <si>
    <t>努比亚人</t>
  </si>
  <si>
    <t>古高卢人</t>
  </si>
  <si>
    <t>巴苏陀兰人</t>
  </si>
  <si>
    <t>尼亚萨兰人</t>
  </si>
  <si>
    <t>罗德西亚人</t>
  </si>
  <si>
    <t>贝专纳人</t>
  </si>
  <si>
    <t>巴西人</t>
  </si>
  <si>
    <t>利比亚人</t>
  </si>
  <si>
    <t>新加坡人</t>
  </si>
  <si>
    <t>尼加拉瓜人</t>
  </si>
  <si>
    <t>圣马力诺人</t>
  </si>
  <si>
    <t>高加索人</t>
    <phoneticPr fontId="1" type="noConversion"/>
  </si>
  <si>
    <t>高丽人，朝鲜人，韩国人</t>
    <phoneticPr fontId="1" type="noConversion"/>
  </si>
  <si>
    <t>意大利人，义大利人</t>
    <phoneticPr fontId="1" type="noConversion"/>
  </si>
  <si>
    <t>法国人，法兰西人</t>
    <phoneticPr fontId="1" type="noConversion"/>
  </si>
  <si>
    <t>西班牙人，日斯巴尼亚人</t>
    <phoneticPr fontId="1" type="noConversion"/>
  </si>
  <si>
    <t>中国人</t>
    <phoneticPr fontId="1" type="noConversion"/>
  </si>
  <si>
    <t>北朝鲜人，朝鲜人，北韩人</t>
    <phoneticPr fontId="1" type="noConversion"/>
  </si>
  <si>
    <t>德国人，德意志人</t>
    <phoneticPr fontId="1" type="noConversion"/>
  </si>
  <si>
    <t>美国人，美利坚人，米国人</t>
    <phoneticPr fontId="1" type="noConversion"/>
  </si>
  <si>
    <t>美国人，美利坚人，米国人；美洲人</t>
    <phoneticPr fontId="1" type="noConversion"/>
  </si>
  <si>
    <t>古希腊人；希腊人</t>
    <phoneticPr fontId="1" type="noConversion"/>
  </si>
  <si>
    <t>莫斯科人</t>
    <phoneticPr fontId="1" type="noConversion"/>
  </si>
  <si>
    <t>奥斯曼人</t>
    <phoneticPr fontId="1" type="noConversion"/>
  </si>
  <si>
    <t>越南人，安南人</t>
    <phoneticPr fontId="1" type="noConversion"/>
  </si>
  <si>
    <t>泰国人，暹罗人</t>
    <phoneticPr fontId="1" type="noConversion"/>
  </si>
  <si>
    <t>英国人，大不列颠人</t>
    <phoneticPr fontId="1" type="noConversion"/>
  </si>
  <si>
    <t>摩尔多瓦人，摩尔达维亚人</t>
    <phoneticPr fontId="1" type="noConversion"/>
  </si>
  <si>
    <t>黑山人，门的内哥罗人</t>
    <phoneticPr fontId="1" type="noConversion"/>
  </si>
  <si>
    <t>波黑人，波斯尼亚和黑塞哥维那人，波赫人</t>
    <phoneticPr fontId="1" type="noConversion"/>
  </si>
  <si>
    <t>列支敦士登人，列支敦斯登人</t>
    <phoneticPr fontId="1" type="noConversion"/>
  </si>
  <si>
    <t>格鲁吉亚人，乔治亚人</t>
    <phoneticPr fontId="1" type="noConversion"/>
  </si>
  <si>
    <t>阿塞拜疆人，亚塞拜然人</t>
    <phoneticPr fontId="1" type="noConversion"/>
  </si>
  <si>
    <t>塞浦路斯人，赛普勒斯人</t>
    <phoneticPr fontId="1" type="noConversion"/>
  </si>
  <si>
    <t>沙特人，沙特阿拉伯人，沙乌地阿拉伯人</t>
    <phoneticPr fontId="1" type="noConversion"/>
  </si>
  <si>
    <t>卡塔尔人，卡达人</t>
    <phoneticPr fontId="1" type="noConversion"/>
  </si>
  <si>
    <t>阿联酋人（AAU，UAE）</t>
    <phoneticPr fontId="1" type="noConversion"/>
  </si>
  <si>
    <t>哈萨克人，哈萨克斯坦人</t>
    <phoneticPr fontId="1" type="noConversion"/>
  </si>
  <si>
    <t>土库曼人，土库曼斯坦人</t>
    <phoneticPr fontId="1" type="noConversion"/>
  </si>
  <si>
    <t>乌兹别克人，乌兹别克斯坦人</t>
    <phoneticPr fontId="1" type="noConversion"/>
  </si>
  <si>
    <t>吉尔吉斯人，吉尔吉斯斯坦人</t>
    <phoneticPr fontId="1" type="noConversion"/>
  </si>
  <si>
    <t>塔吉克人，塔吉克斯坦人</t>
    <phoneticPr fontId="1" type="noConversion"/>
  </si>
  <si>
    <t>克里米亚人</t>
    <phoneticPr fontId="1" type="noConversion"/>
  </si>
  <si>
    <t>喀什米尔人</t>
    <phoneticPr fontId="1" type="noConversion"/>
  </si>
  <si>
    <t>诺盖人</t>
    <phoneticPr fontId="1" type="noConversion"/>
  </si>
  <si>
    <t>浩罕人</t>
    <phoneticPr fontId="1" type="noConversion"/>
  </si>
  <si>
    <t>贵霜人</t>
    <phoneticPr fontId="1" type="noConversion"/>
  </si>
  <si>
    <t>安息人</t>
    <phoneticPr fontId="1" type="noConversion"/>
  </si>
  <si>
    <t>布哈拉人</t>
    <phoneticPr fontId="1" type="noConversion"/>
  </si>
  <si>
    <t>瓦剌人，卫拉特人</t>
    <phoneticPr fontId="1" type="noConversion"/>
  </si>
  <si>
    <t>哥萨克人</t>
    <phoneticPr fontId="1" type="noConversion"/>
  </si>
  <si>
    <t>土尔扈特人</t>
    <phoneticPr fontId="1" type="noConversion"/>
  </si>
  <si>
    <t>喀尔喀人</t>
  </si>
  <si>
    <t>喀尔喀人</t>
    <phoneticPr fontId="1" type="noConversion"/>
  </si>
  <si>
    <t>准噶尔人</t>
  </si>
  <si>
    <t>和硕特人</t>
  </si>
  <si>
    <t>吐谷浑人</t>
  </si>
  <si>
    <t>帖木儿人</t>
  </si>
  <si>
    <t>察合台人</t>
  </si>
  <si>
    <t>东察合台人</t>
  </si>
  <si>
    <t>叶尔羌人</t>
  </si>
  <si>
    <t>吐鲁番人</t>
  </si>
  <si>
    <t>喀喇人</t>
  </si>
  <si>
    <t>高丽人，朝鲜人，韩人</t>
  </si>
  <si>
    <t>南朝鲜人，韩人，南韩人</t>
  </si>
  <si>
    <t>老挝人，寮人</t>
  </si>
  <si>
    <t>老挝，寮人</t>
  </si>
  <si>
    <t>苏禄人</t>
  </si>
  <si>
    <t>吕宋人</t>
  </si>
  <si>
    <t>暹罗人</t>
  </si>
  <si>
    <t>琉球人</t>
  </si>
  <si>
    <t>夏威夷人</t>
  </si>
  <si>
    <t>多米尼克人</t>
  </si>
  <si>
    <t>巴比伦人</t>
  </si>
  <si>
    <t>汪达尔人</t>
  </si>
  <si>
    <t>哥特人</t>
  </si>
  <si>
    <t>迦太基人</t>
  </si>
  <si>
    <t>腓尼基人</t>
  </si>
  <si>
    <t>苏美尔人</t>
  </si>
  <si>
    <t>马西纳人</t>
  </si>
  <si>
    <t>阿克苏姆人</t>
  </si>
  <si>
    <t>内志人</t>
  </si>
  <si>
    <t>汉志人</t>
  </si>
  <si>
    <t>恩哥约人</t>
  </si>
  <si>
    <t>康居人</t>
  </si>
  <si>
    <t>摩揭陀人</t>
  </si>
  <si>
    <t>吐火罗人</t>
  </si>
  <si>
    <t>龟兹人</t>
  </si>
  <si>
    <t>卡尔梅克人</t>
  </si>
  <si>
    <t>马扎尔人</t>
  </si>
  <si>
    <t>西辽人</t>
  </si>
  <si>
    <t>乃蛮人</t>
  </si>
  <si>
    <t>克普恰克汗人，金帐汗人，钦察人</t>
    <phoneticPr fontId="1" type="noConversion"/>
  </si>
  <si>
    <t>三佛齐人，室利佛逝人</t>
    <phoneticPr fontId="1" type="noConversion"/>
  </si>
  <si>
    <t>柔佛人，柔佛苏丹人</t>
    <phoneticPr fontId="1" type="noConversion"/>
  </si>
  <si>
    <t>满剌加人，马六甲人</t>
    <phoneticPr fontId="1" type="noConversion"/>
  </si>
  <si>
    <t>孟加拉人，榜葛剌人</t>
    <phoneticPr fontId="1" type="noConversion"/>
  </si>
  <si>
    <t>斯里兰卡人，锡兰人</t>
    <phoneticPr fontId="1" type="noConversion"/>
  </si>
  <si>
    <t>马尔代夫人，马尔地夫人</t>
    <phoneticPr fontId="1" type="noConversion"/>
  </si>
  <si>
    <t>马来人，马来西亚人</t>
    <phoneticPr fontId="1" type="noConversion"/>
  </si>
  <si>
    <t>萨珊人</t>
    <phoneticPr fontId="1" type="noConversion"/>
  </si>
  <si>
    <t>新西兰人，纽西兰人</t>
    <phoneticPr fontId="1" type="noConversion"/>
  </si>
  <si>
    <t>密克罗尼西亚人</t>
    <phoneticPr fontId="1" type="noConversion"/>
  </si>
  <si>
    <t>基里巴斯人</t>
    <phoneticPr fontId="1" type="noConversion"/>
  </si>
  <si>
    <t>高句丽人，高丽人</t>
    <phoneticPr fontId="1" type="noConversion"/>
  </si>
  <si>
    <t>扶余人，夫余人</t>
    <phoneticPr fontId="1" type="noConversion"/>
  </si>
  <si>
    <t>赫梯人</t>
    <phoneticPr fontId="1" type="noConversion"/>
  </si>
  <si>
    <t>阿拉伯人，大食人</t>
  </si>
  <si>
    <t>阿兹特克人</t>
  </si>
  <si>
    <t>桑海人</t>
  </si>
  <si>
    <t>拜占庭人</t>
  </si>
  <si>
    <t>笈多人</t>
  </si>
  <si>
    <t>莫卧儿人</t>
  </si>
  <si>
    <t>印加人</t>
  </si>
  <si>
    <t>塞琉古人</t>
  </si>
  <si>
    <t>孔雀人</t>
  </si>
  <si>
    <t>尼西亚人</t>
  </si>
  <si>
    <t>特拉布宗人</t>
  </si>
  <si>
    <t>拉丁人</t>
  </si>
  <si>
    <t>亚述人</t>
  </si>
  <si>
    <t>马里人，马利人</t>
    <phoneticPr fontId="1" type="noConversion"/>
  </si>
  <si>
    <t>冈比亚人，甘比亚人</t>
    <phoneticPr fontId="1" type="noConversion"/>
  </si>
  <si>
    <t>塞拉利昂人，狮子山人</t>
    <phoneticPr fontId="1" type="noConversion"/>
  </si>
  <si>
    <t>科特迪瓦人，象牙海岸人</t>
    <phoneticPr fontId="1" type="noConversion"/>
  </si>
  <si>
    <t>加纳人，迦纳人</t>
    <phoneticPr fontId="1" type="noConversion"/>
  </si>
  <si>
    <t>布基纳法索人，布吉纳法索人</t>
    <phoneticPr fontId="1" type="noConversion"/>
  </si>
  <si>
    <t>贝宁人，贝南人</t>
    <phoneticPr fontId="1" type="noConversion"/>
  </si>
  <si>
    <t>尼日利亚人，奈及利亚人</t>
    <phoneticPr fontId="1" type="noConversion"/>
  </si>
  <si>
    <t>乍得人，查德人</t>
    <phoneticPr fontId="1" type="noConversion"/>
  </si>
  <si>
    <t>中非人</t>
    <phoneticPr fontId="1" type="noConversion"/>
  </si>
  <si>
    <t>加蓬人，加彭人</t>
    <phoneticPr fontId="1" type="noConversion"/>
  </si>
  <si>
    <t>厄立特里亚人，厄利垂亚人</t>
    <phoneticPr fontId="1" type="noConversion"/>
  </si>
  <si>
    <t>吉布提人，吉布地人</t>
    <phoneticPr fontId="1" type="noConversion"/>
  </si>
  <si>
    <t>埃塞俄比亚人，依索比亚人</t>
    <phoneticPr fontId="1" type="noConversion"/>
  </si>
  <si>
    <t>索马里人，索马利亚人</t>
    <phoneticPr fontId="1" type="noConversion"/>
  </si>
  <si>
    <t>桑给巴尔人，层拔人，昆仑层期人，层摇罗人</t>
    <phoneticPr fontId="1" type="noConversion"/>
  </si>
  <si>
    <t>肯尼亚人，肯亚人</t>
    <phoneticPr fontId="1" type="noConversion"/>
  </si>
  <si>
    <t>卢旺达人，卢安达人</t>
    <phoneticPr fontId="1" type="noConversion"/>
  </si>
  <si>
    <t>布隆迪人，蒲隆地人</t>
    <phoneticPr fontId="1" type="noConversion"/>
  </si>
  <si>
    <t>坦桑尼亚人，坦尚尼亚人</t>
    <phoneticPr fontId="1" type="noConversion"/>
  </si>
  <si>
    <t>塞舌尔人，塞席尔人</t>
    <phoneticPr fontId="1" type="noConversion"/>
  </si>
  <si>
    <t>科摩罗人，葛摩人</t>
    <phoneticPr fontId="1" type="noConversion"/>
  </si>
  <si>
    <t>毛里求斯人，模里西斯人</t>
    <phoneticPr fontId="1" type="noConversion"/>
  </si>
  <si>
    <t>澳大利亚人，澳洲人</t>
    <phoneticPr fontId="1" type="noConversion"/>
  </si>
  <si>
    <t>赞比亚人，尚比亚人</t>
    <phoneticPr fontId="1" type="noConversion"/>
  </si>
  <si>
    <t>马拉维人，马拉威人</t>
    <phoneticPr fontId="1" type="noConversion"/>
  </si>
  <si>
    <t>莫桑比克人，莫三比克人</t>
    <phoneticPr fontId="1" type="noConversion"/>
  </si>
  <si>
    <t>津巴布韦人，辛巴威人</t>
    <phoneticPr fontId="1" type="noConversion"/>
  </si>
  <si>
    <t>博茨瓦纳人，波扎那人</t>
    <phoneticPr fontId="1" type="noConversion"/>
  </si>
  <si>
    <t>莱索托人，赖索托人</t>
    <phoneticPr fontId="1" type="noConversion"/>
  </si>
  <si>
    <t>斯威士兰人，斯瓦士兰人，史瓦济兰人</t>
    <phoneticPr fontId="1" type="noConversion"/>
  </si>
  <si>
    <t>摩加迪沙人，木骨都束人</t>
    <phoneticPr fontId="1" type="noConversion"/>
  </si>
  <si>
    <t>蒙巴萨人，慢八撒人</t>
    <phoneticPr fontId="1" type="noConversion"/>
  </si>
  <si>
    <t>萨丁人</t>
    <phoneticPr fontId="1" type="noConversion"/>
  </si>
  <si>
    <t>热那亚人</t>
    <phoneticPr fontId="1" type="noConversion"/>
  </si>
  <si>
    <t>库尔德人，库尔德斯坦人</t>
    <phoneticPr fontId="1" type="noConversion"/>
  </si>
  <si>
    <t>大宛人，费尔干纳人</t>
    <phoneticPr fontId="1" type="noConversion"/>
  </si>
  <si>
    <t>巴克特里亚人，大夏人</t>
    <phoneticPr fontId="1" type="noConversion"/>
  </si>
  <si>
    <t>于阗人，于田人</t>
    <phoneticPr fontId="1" type="noConversion"/>
  </si>
  <si>
    <t>拔汗那人，钹汗人，破洛那人</t>
    <phoneticPr fontId="1" type="noConversion"/>
  </si>
  <si>
    <t>也门人，叶门人</t>
    <phoneticPr fontId="1" type="noConversion"/>
  </si>
  <si>
    <t>教皇国人</t>
    <phoneticPr fontId="1" type="noConversion"/>
  </si>
  <si>
    <t>回鹘人，十姓回鹘人</t>
    <phoneticPr fontId="1" type="noConversion"/>
  </si>
  <si>
    <t>伊尔人，伊儿人，波斯人</t>
    <phoneticPr fontId="1" type="noConversion"/>
  </si>
  <si>
    <t>伊庇鲁斯人，伊庇鲁斯人</t>
    <phoneticPr fontId="1" type="noConversion"/>
  </si>
  <si>
    <t>塞萨洛尼基人</t>
    <phoneticPr fontId="1" type="noConversion"/>
  </si>
  <si>
    <t>阿卡亚人</t>
    <phoneticPr fontId="1" type="noConversion"/>
  </si>
  <si>
    <t>阿拉贡人</t>
  </si>
  <si>
    <t>那不勒斯人</t>
  </si>
  <si>
    <t>西西里人</t>
  </si>
  <si>
    <t>两西西里人</t>
  </si>
  <si>
    <t>纳瓦拉人</t>
  </si>
  <si>
    <t>潘普洛纳人</t>
  </si>
  <si>
    <t>莱昂人</t>
  </si>
  <si>
    <t>阿斯图里亚斯人</t>
  </si>
  <si>
    <t>尼日尔人，尼日人</t>
    <phoneticPr fontId="1" type="noConversion"/>
  </si>
  <si>
    <t>布匿人，迦太基人</t>
    <phoneticPr fontId="1" type="noConversion"/>
  </si>
  <si>
    <t>turantcanol</t>
  </si>
  <si>
    <t>caucasutcanol</t>
  </si>
  <si>
    <t>polynetcanol</t>
  </si>
  <si>
    <t>goreatcanol</t>
  </si>
  <si>
    <t>inglantcanol</t>
  </si>
  <si>
    <t>italitcanol</t>
  </si>
  <si>
    <t>flansetcanol</t>
  </si>
  <si>
    <t>flancetcanol</t>
  </si>
  <si>
    <t>esbanitcanol</t>
  </si>
  <si>
    <t>portugatcanol</t>
  </si>
  <si>
    <t>zhoungutcanol</t>
  </si>
  <si>
    <t>bu-goreatcanol</t>
  </si>
  <si>
    <t>sud-goreatcanol</t>
  </si>
  <si>
    <t>joseontcanol</t>
  </si>
  <si>
    <t>baequ'ietcanol</t>
  </si>
  <si>
    <t>sillotcanol</t>
  </si>
  <si>
    <t>hunutcanol</t>
  </si>
  <si>
    <t>jabontcanol</t>
  </si>
  <si>
    <t>deuchetcanol</t>
  </si>
  <si>
    <t>prustcanol</t>
  </si>
  <si>
    <t>siebitcanol</t>
  </si>
  <si>
    <t>etedatcanol</t>
  </si>
  <si>
    <t>americatcanol</t>
  </si>
  <si>
    <t>canadatcanol</t>
  </si>
  <si>
    <t>newfoundlantcanol</t>
  </si>
  <si>
    <t>mexicotcanol</t>
  </si>
  <si>
    <t>mengolitcanol</t>
  </si>
  <si>
    <t>swedentcanol</t>
  </si>
  <si>
    <t>finlantcanol</t>
  </si>
  <si>
    <t>swaitcanol</t>
  </si>
  <si>
    <t>hollantcanol</t>
  </si>
  <si>
    <t>holantcanol</t>
  </si>
  <si>
    <t>nethelantcanol</t>
  </si>
  <si>
    <t>gilsetcanol</t>
  </si>
  <si>
    <t>hellathatcanol</t>
  </si>
  <si>
    <t>norweaetcanol</t>
  </si>
  <si>
    <t>austritcanol</t>
  </si>
  <si>
    <t>polostcanol</t>
  </si>
  <si>
    <t>rustcanol</t>
  </si>
  <si>
    <t>moscowtcanol</t>
  </si>
  <si>
    <t>cievan rustcanol</t>
  </si>
  <si>
    <t>iraqu'etcanol</t>
  </si>
  <si>
    <t>belarustcanol</t>
  </si>
  <si>
    <t>luxembortcanol</t>
  </si>
  <si>
    <t>turcitcanol</t>
  </si>
  <si>
    <t>eustomanitcanol</t>
  </si>
  <si>
    <t>indutcanol</t>
  </si>
  <si>
    <t>hindutcanol</t>
  </si>
  <si>
    <t>hinditcanol</t>
  </si>
  <si>
    <t>slovenscotcanol</t>
  </si>
  <si>
    <t>indonisitcanol</t>
  </si>
  <si>
    <t>hvitlamtcanol</t>
  </si>
  <si>
    <t>hvitnamtcanol</t>
  </si>
  <si>
    <t>nam'hvitcanol</t>
  </si>
  <si>
    <t>pathetaitcanol</t>
  </si>
  <si>
    <t>mountaitcanol</t>
  </si>
  <si>
    <t>tailanditcanol</t>
  </si>
  <si>
    <t>blirtontcanol</t>
  </si>
  <si>
    <t>estitcanol</t>
  </si>
  <si>
    <t>laitvitcanol</t>
  </si>
  <si>
    <t>lietuvatcanol</t>
  </si>
  <si>
    <t>ucrainstcanol</t>
  </si>
  <si>
    <t>moldavatcanol</t>
  </si>
  <si>
    <t>chestcanol</t>
  </si>
  <si>
    <t>masabalu-niblatcanol</t>
  </si>
  <si>
    <t>serbitcanol</t>
  </si>
  <si>
    <t>croatcanol</t>
  </si>
  <si>
    <t>slovennitcanol</t>
  </si>
  <si>
    <t>bos'herzetcanol</t>
  </si>
  <si>
    <t>mequ'edonitcanol</t>
  </si>
  <si>
    <t>cosovotcanol</t>
  </si>
  <si>
    <t>bugaritcanol</t>
  </si>
  <si>
    <t>halbanitcanol</t>
  </si>
  <si>
    <t>islantcanol</t>
  </si>
  <si>
    <t>pathelavetcanol</t>
  </si>
  <si>
    <t>belgentcanol</t>
  </si>
  <si>
    <t>dinamarcatcanol</t>
  </si>
  <si>
    <t>andoratcanol</t>
  </si>
  <si>
    <t>monacotcanol</t>
  </si>
  <si>
    <t>vaticantcanol</t>
  </si>
  <si>
    <t>liechtensteintcanol</t>
  </si>
  <si>
    <t>hongaritcanol</t>
  </si>
  <si>
    <t>rumanitcanol</t>
  </si>
  <si>
    <t>jugoslavitcanol</t>
  </si>
  <si>
    <t>maltatcanol</t>
  </si>
  <si>
    <t>irlantcanol</t>
  </si>
  <si>
    <t>scotlantcanol</t>
  </si>
  <si>
    <t>ueletcanol</t>
  </si>
  <si>
    <t>georgitcanol</t>
  </si>
  <si>
    <t>armenitcanol</t>
  </si>
  <si>
    <t>azerbaijantcanol</t>
  </si>
  <si>
    <t>qu'iprotcanol</t>
  </si>
  <si>
    <t>livontcanol</t>
  </si>
  <si>
    <t>syritcanol</t>
  </si>
  <si>
    <t>israilitcanol</t>
  </si>
  <si>
    <t>palestinatcanol</t>
  </si>
  <si>
    <t>saudi-arabitcanol</t>
  </si>
  <si>
    <t>arabitcanol</t>
  </si>
  <si>
    <t>cuweittcanol</t>
  </si>
  <si>
    <t>bahraintcanol</t>
  </si>
  <si>
    <t>qu'atartcanol</t>
  </si>
  <si>
    <t>emirat-arabitcanol</t>
  </si>
  <si>
    <t>omantcanol</t>
  </si>
  <si>
    <t>irantcanol</t>
  </si>
  <si>
    <t>perstcanol</t>
  </si>
  <si>
    <t>cazacitcanol</t>
  </si>
  <si>
    <t>turqu'menitcanol</t>
  </si>
  <si>
    <t>uzbequ'itcanol</t>
  </si>
  <si>
    <t>cirgizitcanol</t>
  </si>
  <si>
    <t>tajicitcanol</t>
  </si>
  <si>
    <t>afganitcanol</t>
  </si>
  <si>
    <t>pacistcanol</t>
  </si>
  <si>
    <t>nepalatcanol</t>
  </si>
  <si>
    <t>crimeatcanol</t>
  </si>
  <si>
    <t>cashmirtcanol</t>
  </si>
  <si>
    <t>norgaytcanol</t>
  </si>
  <si>
    <t>qu'oqontcanol</t>
  </si>
  <si>
    <t>x'onligitcanol</t>
  </si>
  <si>
    <t>x'orasimotcanol</t>
  </si>
  <si>
    <t>cushanitcanol</t>
  </si>
  <si>
    <t>arsacestcanol</t>
  </si>
  <si>
    <t>buch'aratcanol</t>
  </si>
  <si>
    <t>oiradetcanol</t>
  </si>
  <si>
    <t>bodtcanol</t>
  </si>
  <si>
    <t>cozacitcanol</t>
  </si>
  <si>
    <t>tonhuedtcanol</t>
  </si>
  <si>
    <t>c'halc'hatcanol</t>
  </si>
  <si>
    <t>ch'alch'atcanol</t>
  </si>
  <si>
    <t>dzungartcanol</t>
  </si>
  <si>
    <t>joshutcanol</t>
  </si>
  <si>
    <t>turlvanatcanol</t>
  </si>
  <si>
    <t>laostcanol</t>
  </si>
  <si>
    <t>sihirtcanol</t>
  </si>
  <si>
    <t>timuriditcanol</t>
  </si>
  <si>
    <t>cepchacetcanol</t>
  </si>
  <si>
    <t>javatcanol</t>
  </si>
  <si>
    <t>conjutcanol</t>
  </si>
  <si>
    <t>samboyatcanol</t>
  </si>
  <si>
    <t>johortcanol</t>
  </si>
  <si>
    <t>saltanah-sulutcanol</t>
  </si>
  <si>
    <t>luzontcanol</t>
  </si>
  <si>
    <t>siccimtcanol</t>
  </si>
  <si>
    <t>butantcanol</t>
  </si>
  <si>
    <t>malassatcanol</t>
  </si>
  <si>
    <t>bangladeshitcanol</t>
  </si>
  <si>
    <t>srilancatcanol</t>
  </si>
  <si>
    <t>maldivetcanol</t>
  </si>
  <si>
    <t>myanmartcanol</t>
  </si>
  <si>
    <t>siemitcanol</t>
  </si>
  <si>
    <t>camboditcanol</t>
  </si>
  <si>
    <t>malayzitcanol</t>
  </si>
  <si>
    <t>sassanditcanol</t>
  </si>
  <si>
    <t>bruneitcanol</t>
  </si>
  <si>
    <t>filipinetcanol</t>
  </si>
  <si>
    <t>aduist-timortcanol</t>
  </si>
  <si>
    <t>papua-nouval-
gvineatcanol</t>
  </si>
  <si>
    <t>nouval-zelantcanol</t>
  </si>
  <si>
    <t>palautcanol</t>
  </si>
  <si>
    <t>micronezitcanol</t>
  </si>
  <si>
    <t>rjuqu'jutcanol</t>
  </si>
  <si>
    <t>hawaiitcanol</t>
  </si>
  <si>
    <t>salomontcanol</t>
  </si>
  <si>
    <t>varuatutcanol</t>
  </si>
  <si>
    <t>tuvalutcanol</t>
  </si>
  <si>
    <t>naurutcanol</t>
  </si>
  <si>
    <t>qu'iribatcanol</t>
  </si>
  <si>
    <t>marshalotcanol</t>
  </si>
  <si>
    <t>fijitcanol</t>
  </si>
  <si>
    <t>samoyatcanol</t>
  </si>
  <si>
    <t>niuetcanol</t>
  </si>
  <si>
    <t>tongatcanol</t>
  </si>
  <si>
    <t>bagamatcanol</t>
  </si>
  <si>
    <t>cubatcanol</t>
  </si>
  <si>
    <t>jamaiqu'atcanol</t>
  </si>
  <si>
    <t>haititcanol</t>
  </si>
  <si>
    <t>dominicatcanol</t>
  </si>
  <si>
    <t>guatemalatcanol</t>
  </si>
  <si>
    <t>belizetcanol</t>
  </si>
  <si>
    <t>honduratcanol</t>
  </si>
  <si>
    <t>salvadotcanol</t>
  </si>
  <si>
    <t>costaricatcanol</t>
  </si>
  <si>
    <t>panamatcanol</t>
  </si>
  <si>
    <t>holand-antilliestcanol</t>
  </si>
  <si>
    <t>antigua en barbuditcanol</t>
  </si>
  <si>
    <t>sacli-lucitcanol</t>
  </si>
  <si>
    <t>sacli-vincent-
grenadinentcanol</t>
  </si>
  <si>
    <t>colombitcanol</t>
  </si>
  <si>
    <t>venzuelatcanol</t>
  </si>
  <si>
    <t>coguryotcanol</t>
  </si>
  <si>
    <t>buyotcanol</t>
  </si>
  <si>
    <t>eguadotcanol</t>
  </si>
  <si>
    <t>perutcanol</t>
  </si>
  <si>
    <t>chilitcanol</t>
  </si>
  <si>
    <t>bolivitcanol</t>
  </si>
  <si>
    <t>argentinatcanol</t>
  </si>
  <si>
    <t>paraguaytcanol</t>
  </si>
  <si>
    <t>uruguaytcanol</t>
  </si>
  <si>
    <t>guianatcanol</t>
  </si>
  <si>
    <t>surinamitcanol</t>
  </si>
  <si>
    <t>flanse-guianatcanol</t>
  </si>
  <si>
    <t>barbadotcanol</t>
  </si>
  <si>
    <t>marocotcanol</t>
  </si>
  <si>
    <t>sahara-arabitcanol</t>
  </si>
  <si>
    <t>algeritcanol</t>
  </si>
  <si>
    <t>tunesitcanol</t>
  </si>
  <si>
    <t>egiptutcanol</t>
  </si>
  <si>
    <t>babylontcanol</t>
  </si>
  <si>
    <t>hittitcanol</t>
  </si>
  <si>
    <t>trinide-tobagotcanol</t>
  </si>
  <si>
    <t>aztecitcanol</t>
  </si>
  <si>
    <t>mauritanitcanol</t>
  </si>
  <si>
    <t>malitcanol</t>
  </si>
  <si>
    <t>verdetcanol</t>
  </si>
  <si>
    <t>vandaletcanol</t>
  </si>
  <si>
    <t>gothetcanol</t>
  </si>
  <si>
    <t>senegatcanol</t>
  </si>
  <si>
    <t>gambitcanol</t>
  </si>
  <si>
    <t>gvinea-bisautcanol</t>
  </si>
  <si>
    <t>gvineatcanol</t>
  </si>
  <si>
    <t>siere-leonetcanol</t>
  </si>
  <si>
    <t>liberitcanol</t>
  </si>
  <si>
    <t>costare-efoyatcanol</t>
  </si>
  <si>
    <t>côte-d'ivoiretcanol</t>
  </si>
  <si>
    <t>gh'anatcanol</t>
  </si>
  <si>
    <t>burcina-fasotcanol</t>
  </si>
  <si>
    <t>togutcanol</t>
  </si>
  <si>
    <t>benintcanol</t>
  </si>
  <si>
    <t>nigeritcanol</t>
  </si>
  <si>
    <t>t'zadetcanol</t>
  </si>
  <si>
    <t>camerontcanol</t>
  </si>
  <si>
    <t>africa-centritcanol</t>
  </si>
  <si>
    <t>equ'atore-gvineatcanol</t>
  </si>
  <si>
    <t>sao-tome-principetcanol</t>
  </si>
  <si>
    <t>gabontcanol</t>
  </si>
  <si>
    <t>congotcanol</t>
  </si>
  <si>
    <t>zairotcanol</t>
  </si>
  <si>
    <t>sudantcanol</t>
  </si>
  <si>
    <t>sud-sudantcanol</t>
  </si>
  <si>
    <t>eriteyatcanol</t>
  </si>
  <si>
    <t>d'jibutitcanol</t>
  </si>
  <si>
    <t>ethiopitcanol</t>
  </si>
  <si>
    <t>abysinitcanol</t>
  </si>
  <si>
    <t>somalitcanol</t>
  </si>
  <si>
    <t>song'haitcanol</t>
  </si>
  <si>
    <t>zanzibartcanol</t>
  </si>
  <si>
    <t>ceniatcanol</t>
  </si>
  <si>
    <t>cenyatcanol</t>
  </si>
  <si>
    <t>ruandatcanol</t>
  </si>
  <si>
    <t>burunditcanol</t>
  </si>
  <si>
    <t>tanzanitcanol</t>
  </si>
  <si>
    <t>seych'elletcanol</t>
  </si>
  <si>
    <t>comorotcanol</t>
  </si>
  <si>
    <t>mauricitcanol</t>
  </si>
  <si>
    <t>australitcanol</t>
  </si>
  <si>
    <t>madagascartcanol</t>
  </si>
  <si>
    <t>angolatcanol</t>
  </si>
  <si>
    <t>zambitcanol</t>
  </si>
  <si>
    <t>malavitcanol</t>
  </si>
  <si>
    <t>mosambiqu'etcanol</t>
  </si>
  <si>
    <t>zimbabuetcanol</t>
  </si>
  <si>
    <t>namibitcanol</t>
  </si>
  <si>
    <t>botswanatcanol</t>
  </si>
  <si>
    <t>sud-africatcanol</t>
  </si>
  <si>
    <t>lesotcanol</t>
  </si>
  <si>
    <t>suazilantcanol</t>
  </si>
  <si>
    <t>qu'art'hadashtcanol</t>
  </si>
  <si>
    <t>nubitcanol</t>
  </si>
  <si>
    <t>foenicitcanol</t>
  </si>
  <si>
    <t>gallotcanol</t>
  </si>
  <si>
    <t>sumertcanol</t>
  </si>
  <si>
    <t>masinatcanol</t>
  </si>
  <si>
    <t>byzantinetcanol</t>
  </si>
  <si>
    <t>guptatcanol</t>
  </si>
  <si>
    <t>mug'halitcanol</t>
  </si>
  <si>
    <t>axumitcanol</t>
  </si>
  <si>
    <t>mogadishutcanol</t>
  </si>
  <si>
    <t>mombasatcanol</t>
  </si>
  <si>
    <t>incatcanol</t>
  </si>
  <si>
    <t>nejdetcanol</t>
  </si>
  <si>
    <t>hejazitcanol</t>
  </si>
  <si>
    <t>engoyotcanol</t>
  </si>
  <si>
    <t>basutolantcanol</t>
  </si>
  <si>
    <t>genovatcanol</t>
  </si>
  <si>
    <t>nyasalantcanol</t>
  </si>
  <si>
    <t>rh'odesitcanol</t>
  </si>
  <si>
    <t>bechuanalantcanol</t>
  </si>
  <si>
    <t>sardegnatcanol</t>
  </si>
  <si>
    <t>curditcanol</t>
  </si>
  <si>
    <t>brazitcanol</t>
  </si>
  <si>
    <t>libitcanol</t>
  </si>
  <si>
    <t>singaportcanol</t>
  </si>
  <si>
    <t>nicaraguatcanol</t>
  </si>
  <si>
    <t>san-marinotcanol</t>
  </si>
  <si>
    <t>ferghanatcanol</t>
  </si>
  <si>
    <t>bactritcanol</t>
  </si>
  <si>
    <t>sogdianatcanol</t>
  </si>
  <si>
    <t>zeleucostcanol</t>
  </si>
  <si>
    <t>magadhatcanol</t>
  </si>
  <si>
    <t>mauryatcanol</t>
  </si>
  <si>
    <t>custanatcanol</t>
  </si>
  <si>
    <t>toc'haroitcanol</t>
  </si>
  <si>
    <t>cusinatcanol</t>
  </si>
  <si>
    <t>bragn'ctcanol</t>
  </si>
  <si>
    <t>ch'almgudtcanol</t>
  </si>
  <si>
    <t>burmatcanol</t>
  </si>
  <si>
    <t>aljamentcanol</t>
  </si>
  <si>
    <t>margyatcanol</t>
  </si>
  <si>
    <t>papesitcanol</t>
  </si>
  <si>
    <t>chagataitcanol</t>
  </si>
  <si>
    <t>aduist-chagataitcanol</t>
  </si>
  <si>
    <t>yarqu'antcanol</t>
  </si>
  <si>
    <t>turpantcanol</t>
  </si>
  <si>
    <t>osten-leutcanol</t>
  </si>
  <si>
    <t>qu'aratcanol</t>
  </si>
  <si>
    <t>on-uygurtcanol</t>
  </si>
  <si>
    <t>naimantcanol</t>
  </si>
  <si>
    <t>ilistcanol</t>
  </si>
  <si>
    <t>nicaeatcanol</t>
  </si>
  <si>
    <t>trebizontcanol</t>
  </si>
  <si>
    <t>epirutcanol</t>
  </si>
  <si>
    <t>latinotcanol</t>
  </si>
  <si>
    <t>thessalonicitcanol</t>
  </si>
  <si>
    <t>achaeatcanol</t>
  </si>
  <si>
    <t>athenitcanol</t>
  </si>
  <si>
    <t>aragontcanol</t>
  </si>
  <si>
    <t>napolitcanol</t>
  </si>
  <si>
    <t>sicilitcanol</t>
  </si>
  <si>
    <t>dus-sicilitcanol</t>
  </si>
  <si>
    <t>nafarotcanol</t>
  </si>
  <si>
    <t>pamplonatcanol</t>
  </si>
  <si>
    <t>leonetcanol</t>
  </si>
  <si>
    <t>asturitcanol</t>
  </si>
  <si>
    <t>castillatcanol</t>
  </si>
  <si>
    <t>nigertcanol</t>
  </si>
  <si>
    <t>srivijayatcanol</t>
  </si>
  <si>
    <t>assyritcanol</t>
  </si>
  <si>
    <t>punicitcanol</t>
  </si>
  <si>
    <t>图兰人的</t>
  </si>
  <si>
    <t>高加索人的</t>
  </si>
  <si>
    <t>波利尼西亚人的</t>
  </si>
  <si>
    <t>高丽人的，朝鲜人的，韩人的</t>
  </si>
  <si>
    <t>英格兰人的</t>
  </si>
  <si>
    <t>意大利人的，义大利人的</t>
  </si>
  <si>
    <t>法兰克人的</t>
  </si>
  <si>
    <t>西班牙人的，日斯巴尼亚人的</t>
  </si>
  <si>
    <t>葡萄牙人的</t>
  </si>
  <si>
    <t>北朝鲜人的，朝鲜人的，北韩人的</t>
  </si>
  <si>
    <t>南朝鲜人的，韩人的，南韩人的</t>
  </si>
  <si>
    <t>朝鲜人的</t>
  </si>
  <si>
    <t>百济人的</t>
  </si>
  <si>
    <t>新罗人的</t>
  </si>
  <si>
    <t>匈奴人的</t>
  </si>
  <si>
    <t>日本人的</t>
  </si>
  <si>
    <t>普鲁士人的</t>
  </si>
  <si>
    <t>鲜卑人的</t>
  </si>
  <si>
    <t>加拿大人的</t>
  </si>
  <si>
    <t>纽芬兰人的</t>
  </si>
  <si>
    <t>墨西哥人的</t>
  </si>
  <si>
    <t>蒙古人的</t>
  </si>
  <si>
    <t>瑞典人的</t>
  </si>
  <si>
    <t>芬兰人的</t>
  </si>
  <si>
    <t>瑞士人的</t>
  </si>
  <si>
    <t>荷兰人的</t>
  </si>
  <si>
    <t>尼德兰人的</t>
  </si>
  <si>
    <t>希腊人的</t>
  </si>
  <si>
    <t>古希腊人的；希腊人的</t>
  </si>
  <si>
    <t>挪威人的</t>
  </si>
  <si>
    <t>奥地利人的</t>
  </si>
  <si>
    <t>波兰人的</t>
  </si>
  <si>
    <t>俄罗斯人的</t>
  </si>
  <si>
    <t>莫斯科人的</t>
  </si>
  <si>
    <t>基辅罗斯人的</t>
  </si>
  <si>
    <t>伊拉克人的</t>
  </si>
  <si>
    <t>白俄罗斯人的</t>
  </si>
  <si>
    <t>卢森堡人的</t>
  </si>
  <si>
    <t>土耳其人的</t>
  </si>
  <si>
    <t>奥斯曼人的</t>
  </si>
  <si>
    <t>印度人的</t>
  </si>
  <si>
    <t>斯洛伐克人的</t>
  </si>
  <si>
    <t>印度尼西亚人的</t>
  </si>
  <si>
    <t>越南人的，安南人的</t>
  </si>
  <si>
    <t>爱沙尼亚人的</t>
  </si>
  <si>
    <t>拉脱维亚人的</t>
  </si>
  <si>
    <t>立陶宛人的</t>
  </si>
  <si>
    <t>乌克兰人的</t>
  </si>
  <si>
    <t>摩尔多瓦人的，摩尔达维亚人的</t>
  </si>
  <si>
    <t>捷克人的</t>
  </si>
  <si>
    <t>黑山人的，门的内哥罗人的</t>
  </si>
  <si>
    <t>塞尔维亚人的</t>
  </si>
  <si>
    <t>克罗地亚人的</t>
  </si>
  <si>
    <t>斯洛文尼亚人的</t>
  </si>
  <si>
    <t>波黑人的，波斯尼亚和黑塞哥维那人的，波赫人的</t>
  </si>
  <si>
    <t>马其顿人的</t>
  </si>
  <si>
    <t>科索沃人的</t>
  </si>
  <si>
    <t>保加利亚人的</t>
  </si>
  <si>
    <t>阿尔巴尼亚人的</t>
  </si>
  <si>
    <t>冰岛人的</t>
  </si>
  <si>
    <t>老挝人的，寮人的</t>
  </si>
  <si>
    <t>比利时人的</t>
  </si>
  <si>
    <t>丹麦人的</t>
  </si>
  <si>
    <t>安道尔人的</t>
  </si>
  <si>
    <t>摩纳哥人的</t>
  </si>
  <si>
    <t>梵蒂冈人的</t>
  </si>
  <si>
    <t>列支敦士登人的，列支敦斯登人的</t>
  </si>
  <si>
    <t>匈牙利人的</t>
  </si>
  <si>
    <t>罗马尼亚人的</t>
  </si>
  <si>
    <t>南斯拉夫人的</t>
  </si>
  <si>
    <t>马耳他人的</t>
  </si>
  <si>
    <t>爱尔兰人的</t>
  </si>
  <si>
    <t>苏格兰人的</t>
  </si>
  <si>
    <t>威尔士人的</t>
  </si>
  <si>
    <t>格鲁吉亚人的，乔治亚人的</t>
  </si>
  <si>
    <t>亚美尼亚人的</t>
  </si>
  <si>
    <t>阿塞拜疆人的，亚塞拜然人的</t>
  </si>
  <si>
    <t>塞浦路斯人的，赛普勒斯人的</t>
  </si>
  <si>
    <t>黎巴嫩人的</t>
  </si>
  <si>
    <t>叙利亚人的</t>
  </si>
  <si>
    <t>以色列人的</t>
  </si>
  <si>
    <t>巴勒斯坦人的</t>
  </si>
  <si>
    <t>沙特人的，沙特阿拉伯人的，沙乌地阿拉伯人的</t>
  </si>
  <si>
    <t>阿拉伯人的，大食人的</t>
  </si>
  <si>
    <t>科威特人的</t>
  </si>
  <si>
    <t>巴林人的</t>
  </si>
  <si>
    <t>卡塔尔人的，卡达人的</t>
  </si>
  <si>
    <t>阿联酋人的（AAU，UAE）</t>
  </si>
  <si>
    <t>阿曼人的</t>
  </si>
  <si>
    <t>伊朗人的</t>
  </si>
  <si>
    <t>波斯人的</t>
  </si>
  <si>
    <t>哈萨克人的，哈萨克斯坦人的</t>
  </si>
  <si>
    <t>土库曼人的，土库曼斯坦人的</t>
  </si>
  <si>
    <t>乌兹别克人的，乌兹别克斯坦人的</t>
  </si>
  <si>
    <t>吉尔吉斯人的，吉尔吉斯斯坦人的</t>
  </si>
  <si>
    <t>塔吉克人的，塔吉克斯坦人的</t>
  </si>
  <si>
    <t>阿富汗人的</t>
  </si>
  <si>
    <t>巴基斯坦人的</t>
  </si>
  <si>
    <t>尼泊尔人的</t>
  </si>
  <si>
    <t>克里米亚人的</t>
  </si>
  <si>
    <t>喀什米尔人的</t>
  </si>
  <si>
    <t>诺盖人的</t>
  </si>
  <si>
    <t>浩罕人的</t>
  </si>
  <si>
    <t>花剌子模人的</t>
  </si>
  <si>
    <t>贵霜人的</t>
  </si>
  <si>
    <t>安息人的</t>
  </si>
  <si>
    <t>布哈拉人的</t>
  </si>
  <si>
    <t>瓦剌人的，卫拉特人的</t>
  </si>
  <si>
    <t>吐蕃人的</t>
  </si>
  <si>
    <t>哥萨克人的</t>
  </si>
  <si>
    <t>土尔扈特人的</t>
  </si>
  <si>
    <t>喀尔喀人的</t>
  </si>
  <si>
    <t>准噶尔人的</t>
  </si>
  <si>
    <t>和硕特人的</t>
  </si>
  <si>
    <t>吐谷浑人的</t>
  </si>
  <si>
    <t>老挝，寮人的</t>
  </si>
  <si>
    <t>铁勒，丁零人的</t>
  </si>
  <si>
    <t>帖木儿人的</t>
  </si>
  <si>
    <t>克普恰克汗人的，金帐汗人的，钦察人的</t>
  </si>
  <si>
    <t>爪哇人的</t>
  </si>
  <si>
    <t>坎巨提人的</t>
  </si>
  <si>
    <t>三佛齐人的，室利佛逝人的</t>
  </si>
  <si>
    <t>柔佛人的，柔佛苏丹人的</t>
  </si>
  <si>
    <t>苏禄人的</t>
  </si>
  <si>
    <t>吕宋人的</t>
  </si>
  <si>
    <t>锡金人的</t>
  </si>
  <si>
    <t>不丹人的</t>
  </si>
  <si>
    <t>满剌加人的，马六甲人的</t>
  </si>
  <si>
    <t>孟加拉人的，榜葛剌人的</t>
  </si>
  <si>
    <t>斯里兰卡人的，锡兰人的</t>
  </si>
  <si>
    <t>马尔代夫人的，马尔地夫人的</t>
  </si>
  <si>
    <t>缅甸人的</t>
  </si>
  <si>
    <t>暹罗人的</t>
  </si>
  <si>
    <t>柬埔寨人的</t>
  </si>
  <si>
    <t>马来人的，马来西亚人的</t>
  </si>
  <si>
    <t>萨珊人的</t>
  </si>
  <si>
    <t>文莱人的</t>
  </si>
  <si>
    <t>菲律宾人的</t>
  </si>
  <si>
    <t>东帝汶人的</t>
  </si>
  <si>
    <t>巴布亚新几内亚人的</t>
  </si>
  <si>
    <t>新西兰人的，纽西兰人的</t>
  </si>
  <si>
    <t>帕劳人的</t>
  </si>
  <si>
    <t>密克罗尼西亚人的</t>
  </si>
  <si>
    <t>琉球人的</t>
  </si>
  <si>
    <t>夏威夷人的</t>
  </si>
  <si>
    <t>所罗门群岛人的</t>
  </si>
  <si>
    <t>瓦努阿图人的</t>
  </si>
  <si>
    <t>图瓦卢人的</t>
  </si>
  <si>
    <t>瑙鲁人的</t>
  </si>
  <si>
    <t>基里巴斯人的</t>
  </si>
  <si>
    <t>马绍尔群岛人的</t>
  </si>
  <si>
    <t>斐济人的</t>
  </si>
  <si>
    <t>萨摩亚人的</t>
  </si>
  <si>
    <t>纽埃人的</t>
  </si>
  <si>
    <t>汤加人的</t>
  </si>
  <si>
    <t>巴哈马人的</t>
  </si>
  <si>
    <t>古巴人的</t>
  </si>
  <si>
    <t>牙买加人的</t>
  </si>
  <si>
    <t>海地人的</t>
  </si>
  <si>
    <t>多米尼加人的</t>
  </si>
  <si>
    <t>危地马拉人的</t>
  </si>
  <si>
    <t>伯利兹人的</t>
  </si>
  <si>
    <t>洪都拉斯人的</t>
  </si>
  <si>
    <t>萨瓦尔多人的</t>
  </si>
  <si>
    <t>哥斯达黎加人的</t>
  </si>
  <si>
    <t>巴拿马人的</t>
  </si>
  <si>
    <t>荷属安的列斯人的</t>
  </si>
  <si>
    <t>安提瓜和巴布达人的</t>
  </si>
  <si>
    <t>多米尼克人的</t>
  </si>
  <si>
    <t>圣卢西亚人的</t>
  </si>
  <si>
    <t>圣文森特和格林纳丁斯人的</t>
  </si>
  <si>
    <t>哥伦比亚人的</t>
  </si>
  <si>
    <t>委内瑞拉人的</t>
  </si>
  <si>
    <t>高句丽人的，高丽人的</t>
  </si>
  <si>
    <t>扶余人的，夫余人的</t>
  </si>
  <si>
    <t>厄瓜多尔人的</t>
  </si>
  <si>
    <t>秘鲁人的</t>
  </si>
  <si>
    <t>智利人的</t>
  </si>
  <si>
    <t>玻利维亚人的</t>
  </si>
  <si>
    <t>阿根廷人的</t>
  </si>
  <si>
    <t>巴拉圭人的</t>
  </si>
  <si>
    <t>乌拉圭人的</t>
  </si>
  <si>
    <t>圭亚那人的</t>
  </si>
  <si>
    <t>苏里南人的</t>
  </si>
  <si>
    <t>法属圭亚那人的</t>
  </si>
  <si>
    <t>巴巴多斯人的</t>
  </si>
  <si>
    <t>摩洛哥人的</t>
  </si>
  <si>
    <t>西撒哈拉人的</t>
  </si>
  <si>
    <t>阿尔及利亚人的</t>
  </si>
  <si>
    <t>突尼斯人的</t>
  </si>
  <si>
    <t>埃及人的</t>
  </si>
  <si>
    <t>巴比伦人的</t>
  </si>
  <si>
    <t>赫梯人的</t>
  </si>
  <si>
    <t>特立尼达和多巴哥人的</t>
  </si>
  <si>
    <t>阿兹特克人的</t>
  </si>
  <si>
    <t>毛里塔尼亚人的</t>
  </si>
  <si>
    <t>马里人的，马利人的</t>
  </si>
  <si>
    <t>佛得角人的</t>
  </si>
  <si>
    <t>汪达尔人的</t>
  </si>
  <si>
    <t>哥特人的</t>
  </si>
  <si>
    <t>塞内加尔人的</t>
  </si>
  <si>
    <t>冈比亚人的，甘比亚人的</t>
  </si>
  <si>
    <t>几内亚比绍人的</t>
  </si>
  <si>
    <t>几内亚人的</t>
  </si>
  <si>
    <t>塞拉利昂人的，狮子山人的</t>
  </si>
  <si>
    <t>利比里亚人的</t>
  </si>
  <si>
    <t>科特迪瓦人的，象牙海岸人的</t>
  </si>
  <si>
    <t>加纳人的，迦纳人的</t>
  </si>
  <si>
    <t>布基纳法索人的，布吉纳法索人的</t>
  </si>
  <si>
    <t>多哥人的</t>
  </si>
  <si>
    <t>贝宁人的，贝南人的</t>
  </si>
  <si>
    <t>尼日利亚人的，奈及利亚人的</t>
  </si>
  <si>
    <t>乍得人的，查德人的</t>
  </si>
  <si>
    <t>喀麦隆人的</t>
  </si>
  <si>
    <t>中非人的</t>
  </si>
  <si>
    <t>赤道几内亚人的</t>
  </si>
  <si>
    <t>圣多马和普林西比人的</t>
  </si>
  <si>
    <t>加蓬人的，加彭人的</t>
  </si>
  <si>
    <t>刚果人的</t>
  </si>
  <si>
    <t>扎伊尔人的</t>
  </si>
  <si>
    <t>苏丹人的</t>
  </si>
  <si>
    <t>南苏丹人的</t>
  </si>
  <si>
    <t>厄立特里亚人的，厄利垂亚人的</t>
  </si>
  <si>
    <t>吉布提人的，吉布地人的</t>
  </si>
  <si>
    <t>埃塞俄比亚人的，依索比亚人的</t>
  </si>
  <si>
    <t>阿比西尼亚人的</t>
  </si>
  <si>
    <t>索马里人的，索马利亚人的</t>
  </si>
  <si>
    <t>桑海人的</t>
  </si>
  <si>
    <t>桑给巴尔人的，层拔人的，昆仑层期人的，层摇罗人的</t>
  </si>
  <si>
    <t>肯尼亚人的，肯亚人的</t>
  </si>
  <si>
    <t>卢旺达人的，卢安达人的</t>
  </si>
  <si>
    <t>布隆迪人的，蒲隆地人的</t>
  </si>
  <si>
    <t>坦桑尼亚人的，坦尚尼亚人的</t>
  </si>
  <si>
    <t>塞舌尔人的，塞席尔人的</t>
  </si>
  <si>
    <t>科摩罗人的，葛摩人的</t>
  </si>
  <si>
    <t>毛里求斯人的，模里西斯人的</t>
  </si>
  <si>
    <t>澳大利亚人的，澳洲人的</t>
  </si>
  <si>
    <t>马达加斯加人的</t>
  </si>
  <si>
    <t>安哥拉人的</t>
  </si>
  <si>
    <t>赞比亚人的，尚比亚人的</t>
  </si>
  <si>
    <t>马拉维人的，马拉威人的</t>
  </si>
  <si>
    <t>莫桑比克人的，莫三比克人的</t>
  </si>
  <si>
    <t>津巴布韦人的，辛巴威人的</t>
  </si>
  <si>
    <t>纳米比亚人的</t>
  </si>
  <si>
    <t>博茨瓦纳人的，波扎那人的</t>
  </si>
  <si>
    <t>南非人的</t>
  </si>
  <si>
    <t>莱索托人的，赖索托人的</t>
  </si>
  <si>
    <t>斯威士兰人的，斯瓦士兰人的，史瓦济兰人的</t>
  </si>
  <si>
    <t>迦太基人的</t>
  </si>
  <si>
    <t>努比亚人的</t>
  </si>
  <si>
    <t>腓尼基人的</t>
  </si>
  <si>
    <t>古高卢人的</t>
  </si>
  <si>
    <t>苏美尔人的</t>
  </si>
  <si>
    <t>马西纳人的</t>
  </si>
  <si>
    <t>拜占庭人的</t>
  </si>
  <si>
    <t>笈多人的</t>
  </si>
  <si>
    <t>莫卧儿人的</t>
  </si>
  <si>
    <t>阿克苏姆人的</t>
  </si>
  <si>
    <t>摩加迪沙人的，木骨都束人的</t>
  </si>
  <si>
    <t>蒙巴萨人的，慢八撒人的</t>
  </si>
  <si>
    <t>印加人的</t>
  </si>
  <si>
    <t>内志人的</t>
  </si>
  <si>
    <t>汉志人的</t>
  </si>
  <si>
    <t>恩哥约人的</t>
  </si>
  <si>
    <t>巴苏陀兰人的</t>
  </si>
  <si>
    <t>热那亚人的</t>
  </si>
  <si>
    <t>尼亚萨兰人的</t>
  </si>
  <si>
    <t>罗德西亚人的</t>
  </si>
  <si>
    <t>贝专纳人的</t>
  </si>
  <si>
    <t>萨丁人的</t>
  </si>
  <si>
    <t>库尔德人的，库尔德斯坦人的</t>
  </si>
  <si>
    <t>巴西人的</t>
  </si>
  <si>
    <t>利比亚人的</t>
  </si>
  <si>
    <t>新加坡人的</t>
  </si>
  <si>
    <t>尼加拉瓜人的</t>
  </si>
  <si>
    <t>圣马力诺人的</t>
  </si>
  <si>
    <t>大宛人的，费尔干纳人的</t>
  </si>
  <si>
    <t>巴克特里亚人的，大夏人的</t>
  </si>
  <si>
    <t>康居人的</t>
  </si>
  <si>
    <t>塞琉古人的</t>
  </si>
  <si>
    <t>摩揭陀人的</t>
  </si>
  <si>
    <t>孔雀人的</t>
  </si>
  <si>
    <t>于阗人的，于田人的</t>
  </si>
  <si>
    <t>吐火罗人的</t>
  </si>
  <si>
    <t>龟兹人的</t>
  </si>
  <si>
    <t>拔汗那人的，钹汗人的，破洛那人的</t>
  </si>
  <si>
    <t>卡尔梅克人的</t>
  </si>
  <si>
    <t>也门人的，叶门人的</t>
  </si>
  <si>
    <t>马扎尔人的</t>
  </si>
  <si>
    <t>教皇国人的</t>
  </si>
  <si>
    <t>察合台人的</t>
  </si>
  <si>
    <t>东察合台人的</t>
  </si>
  <si>
    <t>叶尔羌人的</t>
  </si>
  <si>
    <t>吐鲁番人的</t>
  </si>
  <si>
    <t>西辽人的</t>
  </si>
  <si>
    <t>喀喇人的</t>
  </si>
  <si>
    <t>回鹘人的，十姓回鹘人的</t>
  </si>
  <si>
    <t>乃蛮人的</t>
  </si>
  <si>
    <t>伊尔人的，伊儿人的，波斯人的</t>
  </si>
  <si>
    <t>尼西亚人的</t>
  </si>
  <si>
    <t>特拉布宗人的</t>
  </si>
  <si>
    <t>伊庇鲁斯人的，伊庇鲁斯人的</t>
  </si>
  <si>
    <t>拉丁人的</t>
  </si>
  <si>
    <t>塞萨洛尼基人的</t>
  </si>
  <si>
    <t>阿卡亚人的</t>
  </si>
  <si>
    <t>雅典公人的</t>
  </si>
  <si>
    <t>阿拉贡人的</t>
  </si>
  <si>
    <t>那不勒斯人的</t>
  </si>
  <si>
    <t>西西里人的</t>
  </si>
  <si>
    <t>两西西里人的</t>
  </si>
  <si>
    <t>纳瓦拉人的</t>
  </si>
  <si>
    <t>潘普洛纳人的</t>
  </si>
  <si>
    <t>莱昂人的</t>
  </si>
  <si>
    <t>阿斯图里亚斯人的</t>
  </si>
  <si>
    <t>尼日尔人的，尼日人的</t>
  </si>
  <si>
    <t>亚述人的</t>
  </si>
  <si>
    <t>布匿人的，迦太基人的</t>
  </si>
  <si>
    <t>泰国人的，暹罗人的</t>
  </si>
  <si>
    <t>泰国人的，暹罗人的</t>
    <phoneticPr fontId="1" type="noConversion"/>
  </si>
  <si>
    <t>英国人的，大不列颠人的</t>
  </si>
  <si>
    <t>英国人的，大不列颠人的</t>
    <phoneticPr fontId="1" type="noConversion"/>
  </si>
  <si>
    <t>中国人的</t>
  </si>
  <si>
    <t>中国人的</t>
    <phoneticPr fontId="1" type="noConversion"/>
  </si>
  <si>
    <t>雅典人</t>
    <phoneticPr fontId="1" type="noConversion"/>
  </si>
  <si>
    <t>法国人的，法兰西人的</t>
  </si>
  <si>
    <t>法国人的，法兰西人的</t>
    <phoneticPr fontId="1" type="noConversion"/>
  </si>
  <si>
    <t>德国人的，德意志人的</t>
  </si>
  <si>
    <t>德国人的，德意志人的</t>
    <phoneticPr fontId="1" type="noConversion"/>
  </si>
  <si>
    <t>美国人的，美利坚人的，米国人的</t>
  </si>
  <si>
    <t>美国人的，美利坚人的，米国人的</t>
    <phoneticPr fontId="1" type="noConversion"/>
  </si>
  <si>
    <t>美国人的，美利坚人的，米国人的；美洲人的</t>
  </si>
  <si>
    <t>美国人的，美利坚人的，米国人的；美洲人的</t>
    <phoneticPr fontId="1" type="noConversion"/>
  </si>
  <si>
    <t>卡斯蒂利亚人的，卡斯提亚人的</t>
  </si>
  <si>
    <t>卡斯蒂利亚人的，卡斯提亚人的</t>
    <phoneticPr fontId="1" type="noConversion"/>
  </si>
  <si>
    <t>卡斯蒂利亚人，卡斯提亚人</t>
    <phoneticPr fontId="1" type="noConversion"/>
  </si>
  <si>
    <t>inglieness</t>
  </si>
  <si>
    <t>italieness</t>
  </si>
  <si>
    <t>flansieness</t>
  </si>
  <si>
    <t>flancieness</t>
  </si>
  <si>
    <t>esbanieness</t>
  </si>
  <si>
    <t>portugieness</t>
  </si>
  <si>
    <t>zogieness</t>
  </si>
  <si>
    <t>bu-gorieness</t>
  </si>
  <si>
    <t>sud-gorieness</t>
  </si>
  <si>
    <t>josieness</t>
  </si>
  <si>
    <t>baequ'ieness</t>
  </si>
  <si>
    <t>sillieness</t>
  </si>
  <si>
    <t>hunieness</t>
  </si>
  <si>
    <t>jabieness</t>
  </si>
  <si>
    <t>dechemanieness</t>
  </si>
  <si>
    <t>prussieness</t>
  </si>
  <si>
    <t>siebieness</t>
  </si>
  <si>
    <t>etedieness-uniss</t>
  </si>
  <si>
    <t>americieness</t>
  </si>
  <si>
    <t>canadieness</t>
  </si>
  <si>
    <t>newfoundlandieness</t>
  </si>
  <si>
    <t>menhulieness</t>
  </si>
  <si>
    <t>finlandieness</t>
  </si>
  <si>
    <t>svejcalieness</t>
  </si>
  <si>
    <t>hollandieness</t>
  </si>
  <si>
    <t>holandieness</t>
  </si>
  <si>
    <t>nethelandieness</t>
  </si>
  <si>
    <t>hellathieness</t>
  </si>
  <si>
    <t>nalatadesieness</t>
  </si>
  <si>
    <t>austrieness</t>
  </si>
  <si>
    <t>polonieness</t>
  </si>
  <si>
    <t>rushieness</t>
  </si>
  <si>
    <t>iraqu'ieness</t>
  </si>
  <si>
    <t>belarushieness</t>
  </si>
  <si>
    <t>luxembieness</t>
  </si>
  <si>
    <t>intejcieness</t>
  </si>
  <si>
    <t>ottomanieness</t>
  </si>
  <si>
    <t>indieness</t>
  </si>
  <si>
    <t>hindieness</t>
  </si>
  <si>
    <t>slofacieness</t>
  </si>
  <si>
    <t>indonisieness</t>
  </si>
  <si>
    <t>hvitlancieness</t>
  </si>
  <si>
    <t>pathethnieness</t>
  </si>
  <si>
    <t>blirtieness-uniss</t>
  </si>
  <si>
    <t>estonieness</t>
  </si>
  <si>
    <t>laitvieness</t>
  </si>
  <si>
    <t>litwanieness</t>
  </si>
  <si>
    <t>ucrannieness</t>
  </si>
  <si>
    <t>moldavieness</t>
  </si>
  <si>
    <t>nibra-carnieness</t>
  </si>
  <si>
    <t>serbieness</t>
  </si>
  <si>
    <t>corotieness</t>
  </si>
  <si>
    <t>slovennieness</t>
  </si>
  <si>
    <t>bos'nieness en 
herzegovinieness</t>
  </si>
  <si>
    <t>mequ'edonieness</t>
  </si>
  <si>
    <t>cosovieness</t>
  </si>
  <si>
    <t>bugarieness</t>
  </si>
  <si>
    <t>halbanieness</t>
  </si>
  <si>
    <t>islandieness</t>
  </si>
  <si>
    <t>pathelavieness</t>
  </si>
  <si>
    <t>belgieness</t>
  </si>
  <si>
    <t>dinamarcieness</t>
  </si>
  <si>
    <t>andorieness</t>
  </si>
  <si>
    <t>monacieness</t>
  </si>
  <si>
    <t>vaticieness</t>
  </si>
  <si>
    <t>liechtensteinieness</t>
  </si>
  <si>
    <t>honharieness</t>
  </si>
  <si>
    <t>rumanieness</t>
  </si>
  <si>
    <t>jugoslavieness</t>
  </si>
  <si>
    <t>maltieness</t>
  </si>
  <si>
    <t>irlandieness</t>
  </si>
  <si>
    <t>scotlandieness</t>
  </si>
  <si>
    <t>uelieness</t>
  </si>
  <si>
    <t>georgieness</t>
  </si>
  <si>
    <t>armenieness</t>
  </si>
  <si>
    <t>azerbaijieness</t>
  </si>
  <si>
    <t>qu'ibrieness</t>
  </si>
  <si>
    <t>syrieness</t>
  </si>
  <si>
    <t>palestinieness</t>
  </si>
  <si>
    <t>saudieness-arab</t>
  </si>
  <si>
    <t>arabieness</t>
  </si>
  <si>
    <t>bahrieness</t>
  </si>
  <si>
    <t>qu'atieness</t>
  </si>
  <si>
    <t>omannieness</t>
  </si>
  <si>
    <t>iranieness</t>
  </si>
  <si>
    <t>persieness</t>
  </si>
  <si>
    <t>uzbequ'ieness</t>
  </si>
  <si>
    <t>cirgizieness</t>
  </si>
  <si>
    <t>tajicieness</t>
  </si>
  <si>
    <t>nepalieness</t>
  </si>
  <si>
    <t>crimieness</t>
  </si>
  <si>
    <t>cashmieness</t>
  </si>
  <si>
    <t>norgieness</t>
  </si>
  <si>
    <t>qu'oqonieness</t>
  </si>
  <si>
    <t>x'onligieness</t>
  </si>
  <si>
    <t>x'oranieness</t>
  </si>
  <si>
    <t>cushanieness</t>
  </si>
  <si>
    <t>arsasieness</t>
  </si>
  <si>
    <t>buch'arieness</t>
  </si>
  <si>
    <t>ortieness</t>
  </si>
  <si>
    <t>bodieness</t>
  </si>
  <si>
    <t>cozacieness</t>
  </si>
  <si>
    <t>tongieness</t>
  </si>
  <si>
    <t>c'halc'hieness</t>
  </si>
  <si>
    <t>ch'alch'ieness</t>
  </si>
  <si>
    <t>dzungieness</t>
  </si>
  <si>
    <t>joshoieness</t>
  </si>
  <si>
    <t>turlvanieness</t>
  </si>
  <si>
    <t>laosieness</t>
  </si>
  <si>
    <t>sihirtieness</t>
  </si>
  <si>
    <t>timuridieness</t>
  </si>
  <si>
    <t>cepchacieness</t>
  </si>
  <si>
    <t>javieness</t>
  </si>
  <si>
    <t>conjutieness</t>
  </si>
  <si>
    <t>johieness</t>
  </si>
  <si>
    <t>saltanieness sulieness</t>
  </si>
  <si>
    <t>luzonieness</t>
  </si>
  <si>
    <t>butanieness</t>
  </si>
  <si>
    <t>bangladeshieness</t>
  </si>
  <si>
    <t>srilancieness</t>
  </si>
  <si>
    <t>maldivieness</t>
  </si>
  <si>
    <t>siemieness</t>
  </si>
  <si>
    <t>cambodieness</t>
  </si>
  <si>
    <t>malayzieness</t>
  </si>
  <si>
    <t>sassandieness</t>
  </si>
  <si>
    <t>filipinieness</t>
  </si>
  <si>
    <t>aduist-timieness</t>
  </si>
  <si>
    <t>papuasieness-nouval-
gvinieness</t>
  </si>
  <si>
    <t>nouval-zelandieness</t>
  </si>
  <si>
    <t>micronezieness-uniss</t>
  </si>
  <si>
    <t>hawaiieness</t>
  </si>
  <si>
    <t>salomonieness</t>
  </si>
  <si>
    <t>varuatieness</t>
  </si>
  <si>
    <t>tuvalieness</t>
  </si>
  <si>
    <t>naurieness</t>
  </si>
  <si>
    <t>qu'iribatieness</t>
  </si>
  <si>
    <t>fijieness</t>
  </si>
  <si>
    <t>nieness</t>
  </si>
  <si>
    <t>bagamieness</t>
  </si>
  <si>
    <t>cubieness</t>
  </si>
  <si>
    <t>jamaiqu'ieness</t>
  </si>
  <si>
    <t>haitieness</t>
  </si>
  <si>
    <t>dominicieness</t>
  </si>
  <si>
    <t>guatemalieness</t>
  </si>
  <si>
    <t>belizieness</t>
  </si>
  <si>
    <t>hondurieness</t>
  </si>
  <si>
    <t>salvadieness</t>
  </si>
  <si>
    <t>costaricieness</t>
  </si>
  <si>
    <t>panamieness</t>
  </si>
  <si>
    <t>holand-antillieness</t>
  </si>
  <si>
    <t>sacli-lucieness</t>
  </si>
  <si>
    <t>colombieness</t>
  </si>
  <si>
    <t>venzuelieness</t>
  </si>
  <si>
    <t>eguadieness</t>
  </si>
  <si>
    <t>perieness</t>
  </si>
  <si>
    <t>chilieness</t>
  </si>
  <si>
    <t>bolivieness</t>
  </si>
  <si>
    <t>argentinieness</t>
  </si>
  <si>
    <t>paragwieness</t>
  </si>
  <si>
    <t>uruguieness</t>
  </si>
  <si>
    <t>urugwieness</t>
  </si>
  <si>
    <t>guienessnieness</t>
  </si>
  <si>
    <t>surinamieness</t>
  </si>
  <si>
    <t>flanse-guienessnieness</t>
  </si>
  <si>
    <t>barbadieness</t>
  </si>
  <si>
    <t>marocieness</t>
  </si>
  <si>
    <t>saharieness-arab</t>
  </si>
  <si>
    <t>algerieness</t>
  </si>
  <si>
    <t>tunesieness</t>
  </si>
  <si>
    <t>egiptieness</t>
  </si>
  <si>
    <t>babylieness</t>
  </si>
  <si>
    <t>hittieness</t>
  </si>
  <si>
    <t>aztecieness</t>
  </si>
  <si>
    <t>mauritanieness</t>
  </si>
  <si>
    <t>malieness</t>
  </si>
  <si>
    <t>verdieness</t>
  </si>
  <si>
    <t>vandalieness</t>
  </si>
  <si>
    <t>gothieness</t>
  </si>
  <si>
    <t>senegieness</t>
  </si>
  <si>
    <t>gambieness</t>
  </si>
  <si>
    <t>gvinieness-bisieness</t>
  </si>
  <si>
    <t>gvinieness</t>
  </si>
  <si>
    <t>sierieness-leonieness</t>
  </si>
  <si>
    <t>liberieness</t>
  </si>
  <si>
    <t>gh'anieness</t>
  </si>
  <si>
    <t>togieness</t>
  </si>
  <si>
    <t>benieness</t>
  </si>
  <si>
    <t>nigerieness</t>
  </si>
  <si>
    <t>t'zadieness</t>
  </si>
  <si>
    <t>africieness-centrieness</t>
  </si>
  <si>
    <t>equ'atore-gvinieness</t>
  </si>
  <si>
    <t>congieness</t>
  </si>
  <si>
    <t>zairieness</t>
  </si>
  <si>
    <t>sudieness</t>
  </si>
  <si>
    <t>sud-sudieness</t>
  </si>
  <si>
    <t>d'jibutieness</t>
  </si>
  <si>
    <t>ethiopieness</t>
  </si>
  <si>
    <t>abysinieness</t>
  </si>
  <si>
    <t>somalieness</t>
  </si>
  <si>
    <t>song'haieness</t>
  </si>
  <si>
    <t>zanzibieness</t>
  </si>
  <si>
    <t>cenieness</t>
  </si>
  <si>
    <t>ruandieness</t>
  </si>
  <si>
    <t>burundieness</t>
  </si>
  <si>
    <t>tanzanieness</t>
  </si>
  <si>
    <t>seych'ellieness</t>
  </si>
  <si>
    <t>comorieness</t>
  </si>
  <si>
    <t>mauricieness</t>
  </si>
  <si>
    <t>australieness</t>
  </si>
  <si>
    <t>madagascieness</t>
  </si>
  <si>
    <t>angolieness</t>
  </si>
  <si>
    <t>zambieness</t>
  </si>
  <si>
    <t>malawieness</t>
  </si>
  <si>
    <t>mosambiqu'ieness</t>
  </si>
  <si>
    <t>zimbabieness</t>
  </si>
  <si>
    <t>namibieness</t>
  </si>
  <si>
    <t>botswanieness</t>
  </si>
  <si>
    <t>sud-africieness</t>
  </si>
  <si>
    <t>lesotieness</t>
  </si>
  <si>
    <t>suazilandieness</t>
  </si>
  <si>
    <t>qu'art'hadashtieness</t>
  </si>
  <si>
    <t>nubieness</t>
  </si>
  <si>
    <t>foenicieness</t>
  </si>
  <si>
    <t>gallieness</t>
  </si>
  <si>
    <t>sumieness</t>
  </si>
  <si>
    <t>masinieness</t>
  </si>
  <si>
    <t>byzantinieness</t>
  </si>
  <si>
    <t>guptieness</t>
  </si>
  <si>
    <t>mug'halieness</t>
  </si>
  <si>
    <t>axumieness</t>
  </si>
  <si>
    <t>mogadishieness</t>
  </si>
  <si>
    <t>mombasieness</t>
  </si>
  <si>
    <t>incieness</t>
  </si>
  <si>
    <t>nejdieness</t>
  </si>
  <si>
    <t>hejazieness</t>
  </si>
  <si>
    <t>basutolandieness</t>
  </si>
  <si>
    <t>genovieness</t>
  </si>
  <si>
    <t>rh'odesieness</t>
  </si>
  <si>
    <t>bechuanalandieness</t>
  </si>
  <si>
    <t>sardegnieness</t>
  </si>
  <si>
    <t>brazieness</t>
  </si>
  <si>
    <t>libieness</t>
  </si>
  <si>
    <t>singaporieness</t>
  </si>
  <si>
    <t>nicaragieness</t>
  </si>
  <si>
    <t>tailandieness</t>
  </si>
  <si>
    <t>san-marinieness</t>
  </si>
  <si>
    <t>ferghanieness</t>
  </si>
  <si>
    <t>bactrieness</t>
  </si>
  <si>
    <t>zeleucieness</t>
  </si>
  <si>
    <t>magadhieness</t>
  </si>
  <si>
    <t>custanieness</t>
  </si>
  <si>
    <t>toc'haroieness</t>
  </si>
  <si>
    <t>cusinieness</t>
  </si>
  <si>
    <t>bragnieness</t>
  </si>
  <si>
    <t>ch'almgudieness</t>
  </si>
  <si>
    <t>burmieness</t>
  </si>
  <si>
    <t>aljamenieness</t>
  </si>
  <si>
    <t>papesieness</t>
  </si>
  <si>
    <t>chagataieness</t>
  </si>
  <si>
    <t>chagataieness-ulus</t>
  </si>
  <si>
    <t>aduist-chagataieness</t>
  </si>
  <si>
    <t>qu'arieness</t>
  </si>
  <si>
    <t>on-uygurieness</t>
  </si>
  <si>
    <t>jochieness-ulus</t>
  </si>
  <si>
    <t>ilieness-ulus</t>
  </si>
  <si>
    <t>nicaieness</t>
  </si>
  <si>
    <t>trebizondieness</t>
  </si>
  <si>
    <t>epirieness</t>
  </si>
  <si>
    <t>latinieness</t>
  </si>
  <si>
    <t>thessalonicieness</t>
  </si>
  <si>
    <t>achaieness</t>
  </si>
  <si>
    <t>athenieness</t>
  </si>
  <si>
    <t>aragonieness</t>
  </si>
  <si>
    <t>napolieness</t>
  </si>
  <si>
    <t>sicilieness</t>
  </si>
  <si>
    <t>dus-sicilieness</t>
  </si>
  <si>
    <t>nafarieness</t>
  </si>
  <si>
    <t>pamplonieness</t>
  </si>
  <si>
    <t>leonieness</t>
  </si>
  <si>
    <t>asturieness</t>
  </si>
  <si>
    <t>castillieness</t>
  </si>
  <si>
    <t>gorieness</t>
  </si>
  <si>
    <t>assyrieness</t>
  </si>
  <si>
    <t>punicieness</t>
  </si>
  <si>
    <t>mexiceyan</t>
  </si>
  <si>
    <t>sweciyan</t>
  </si>
  <si>
    <t>gilyan</t>
  </si>
  <si>
    <t>moscovyan</t>
  </si>
  <si>
    <t>cechiyan</t>
  </si>
  <si>
    <t>livonyan</t>
  </si>
  <si>
    <t>israilyan</t>
  </si>
  <si>
    <t>cuwaityan</t>
  </si>
  <si>
    <t>cazacstanyan</t>
  </si>
  <si>
    <t>turqu'menistanyan</t>
  </si>
  <si>
    <t>pacistanyan</t>
  </si>
  <si>
    <t>samboyan</t>
  </si>
  <si>
    <t>siccimyan</t>
  </si>
  <si>
    <t>malasyan</t>
  </si>
  <si>
    <t>myannmieness</t>
  </si>
  <si>
    <t>bruneyan</t>
  </si>
  <si>
    <t>palauyan</t>
  </si>
  <si>
    <t>rjuqu'juyan</t>
  </si>
  <si>
    <t>marshaloyan</t>
  </si>
  <si>
    <t>samoyan</t>
  </si>
  <si>
    <t>coguryan</t>
  </si>
  <si>
    <t>buyan</t>
  </si>
  <si>
    <t>costare-efoyan</t>
  </si>
  <si>
    <t>cameronyan</t>
  </si>
  <si>
    <t>gabonyan</t>
  </si>
  <si>
    <t>eriteyan</t>
  </si>
  <si>
    <t>cenyan</t>
  </si>
  <si>
    <t>engoyan</t>
  </si>
  <si>
    <t>nyansalandieness</t>
  </si>
  <si>
    <t>curdistanyan</t>
  </si>
  <si>
    <t>mauryan</t>
  </si>
  <si>
    <t>margyan</t>
  </si>
  <si>
    <t>yanrqu'andieness</t>
  </si>
  <si>
    <t>turpanyan</t>
  </si>
  <si>
    <t>osten-leuyan</t>
  </si>
  <si>
    <t>naimanyan</t>
  </si>
  <si>
    <t>naimanyan-ulus</t>
  </si>
  <si>
    <t>huleguyan-ulus</t>
  </si>
  <si>
    <t>srivijayan</t>
  </si>
  <si>
    <t>mayan</t>
  </si>
  <si>
    <t>ciev-rushieness</t>
    <phoneticPr fontId="1" type="noConversion"/>
  </si>
  <si>
    <t>amiratieness-arab-
uniss</t>
    <phoneticPr fontId="1" type="noConversion"/>
  </si>
  <si>
    <t>afganistanyan</t>
    <phoneticPr fontId="1" type="noConversion"/>
  </si>
  <si>
    <t>sogdieness</t>
    <phoneticPr fontId="1" type="noConversion"/>
  </si>
  <si>
    <t>ilieness-baliqu'</t>
    <phoneticPr fontId="1" type="noConversion"/>
  </si>
  <si>
    <t>beshieness-baliqu'</t>
    <phoneticPr fontId="1" type="noConversion"/>
  </si>
  <si>
    <t>antigieness en 
barbudieness</t>
    <phoneticPr fontId="1" type="noConversion"/>
  </si>
  <si>
    <t>sacli-vincentieness en la grenadinieness</t>
    <phoneticPr fontId="1" type="noConversion"/>
  </si>
  <si>
    <t>trinidia-en-tobagieness</t>
    <phoneticPr fontId="1" type="noConversion"/>
  </si>
  <si>
    <t>奴隶海岸人</t>
    <phoneticPr fontId="1" type="noConversion"/>
  </si>
  <si>
    <t>黄金海岸人</t>
    <phoneticPr fontId="1" type="noConversion"/>
  </si>
  <si>
    <t>burcina-fasieness</t>
    <phoneticPr fontId="1" type="noConversion"/>
  </si>
  <si>
    <t>sao-tomia-en-principieness</t>
    <phoneticPr fontId="1" type="noConversion"/>
  </si>
  <si>
    <t>亦力把里人</t>
    <phoneticPr fontId="1" type="noConversion"/>
  </si>
  <si>
    <t>别失八里人</t>
    <phoneticPr fontId="1" type="noConversion"/>
  </si>
  <si>
    <t>金帐人，钦察人</t>
    <phoneticPr fontId="1" type="noConversion"/>
  </si>
  <si>
    <t>玛雅人</t>
    <phoneticPr fontId="1" type="noConversion"/>
  </si>
  <si>
    <t>inglienessanol</t>
  </si>
  <si>
    <t>italienessanol</t>
  </si>
  <si>
    <t>flansienessanol</t>
  </si>
  <si>
    <t>flancienessanol</t>
  </si>
  <si>
    <t>esbanienessanol</t>
  </si>
  <si>
    <t>portugienessanol</t>
  </si>
  <si>
    <t>zogienessanol</t>
  </si>
  <si>
    <t>bu-gorienessanol</t>
  </si>
  <si>
    <t>sud-gorienessanol</t>
  </si>
  <si>
    <t>josienessanol</t>
  </si>
  <si>
    <t>baequ'ienessanol</t>
  </si>
  <si>
    <t>sillienessanol</t>
  </si>
  <si>
    <t>hunienessanol</t>
  </si>
  <si>
    <t>jabienessanol</t>
  </si>
  <si>
    <t>dechemanienessanol</t>
  </si>
  <si>
    <t>prussienessanol</t>
  </si>
  <si>
    <t>siebienessanol</t>
  </si>
  <si>
    <t>etedienessanol-uniss</t>
  </si>
  <si>
    <t>americienessanol</t>
  </si>
  <si>
    <t>canadienessanol</t>
  </si>
  <si>
    <t>newfoundlandienessanol</t>
  </si>
  <si>
    <t>menhulienessanol</t>
  </si>
  <si>
    <t>finlandienessanol</t>
  </si>
  <si>
    <t>svejcalienessanol</t>
  </si>
  <si>
    <t>hollandienessanol</t>
  </si>
  <si>
    <t>holandienessanol</t>
  </si>
  <si>
    <t>nethelandienessanol</t>
  </si>
  <si>
    <t>hellathienessanol</t>
  </si>
  <si>
    <t>nalatadesienessanol</t>
  </si>
  <si>
    <t>austrienessanol</t>
  </si>
  <si>
    <t>polonienessanol</t>
  </si>
  <si>
    <t>rushienessanol</t>
  </si>
  <si>
    <t>ciev-rushienessanol</t>
  </si>
  <si>
    <t>iraqu'ienessanol</t>
  </si>
  <si>
    <t>belarushienessanol</t>
  </si>
  <si>
    <t>luxembienessanol</t>
  </si>
  <si>
    <t>intejcienessanol</t>
  </si>
  <si>
    <t>ottomanienessanol</t>
  </si>
  <si>
    <t>indienessanol</t>
  </si>
  <si>
    <t>hindienessanol</t>
  </si>
  <si>
    <t>slofacienessanol</t>
  </si>
  <si>
    <t>indonisienessanol</t>
  </si>
  <si>
    <t>hvitlancienessanol</t>
  </si>
  <si>
    <t>pathethnienessanol</t>
  </si>
  <si>
    <t>blirtienessanol-uniss</t>
  </si>
  <si>
    <t>estonienessanol</t>
  </si>
  <si>
    <t>laitvienessanol</t>
  </si>
  <si>
    <t>litwanienessanol</t>
  </si>
  <si>
    <t>ucrannienessanol</t>
  </si>
  <si>
    <t>moldavienessanol</t>
  </si>
  <si>
    <t>nibra-carnienessanol</t>
  </si>
  <si>
    <t>serbienessanol</t>
  </si>
  <si>
    <t>corotienessanol</t>
  </si>
  <si>
    <t>slovennienessanol</t>
  </si>
  <si>
    <t>bos'nienessanol en 
herzegovinienessanol</t>
  </si>
  <si>
    <t>mequ'edonienessanol</t>
  </si>
  <si>
    <t>cosovienessanol</t>
  </si>
  <si>
    <t>bugarienessanol</t>
  </si>
  <si>
    <t>halbanienessanol</t>
  </si>
  <si>
    <t>islandienessanol</t>
  </si>
  <si>
    <t>pathelavienessanol</t>
  </si>
  <si>
    <t>belgienessanol</t>
  </si>
  <si>
    <t>dinamarcienessanol</t>
  </si>
  <si>
    <t>andorienessanol</t>
  </si>
  <si>
    <t>monacienessanol</t>
  </si>
  <si>
    <t>vaticienessanol</t>
  </si>
  <si>
    <t>liechtensteinienessanol</t>
  </si>
  <si>
    <t>honharienessanol</t>
  </si>
  <si>
    <t>rumanienessanol</t>
  </si>
  <si>
    <t>jugoslavienessanol</t>
  </si>
  <si>
    <t>maltienessanol</t>
  </si>
  <si>
    <t>irlandienessanol</t>
  </si>
  <si>
    <t>scotlandienessanol</t>
  </si>
  <si>
    <t>uelienessanol</t>
  </si>
  <si>
    <t>georgienessanol</t>
  </si>
  <si>
    <t>armenienessanol</t>
  </si>
  <si>
    <t>azerbaijienessanol</t>
  </si>
  <si>
    <t>qu'ibrienessanol</t>
  </si>
  <si>
    <t>syrienessanol</t>
  </si>
  <si>
    <t>palestinienessanol</t>
  </si>
  <si>
    <t>saudienessanol-arab</t>
  </si>
  <si>
    <t>arabienessanol</t>
  </si>
  <si>
    <t>bahrienessanol</t>
  </si>
  <si>
    <t>qu'atienessanol</t>
  </si>
  <si>
    <t>amiratienessanol-arab-
uniss</t>
  </si>
  <si>
    <t>omannienessanol</t>
  </si>
  <si>
    <t>iranienessanol</t>
  </si>
  <si>
    <t>persienessanol</t>
  </si>
  <si>
    <t>uzbequ'ienessanol</t>
  </si>
  <si>
    <t>cirgizienessanol</t>
  </si>
  <si>
    <t>tajicienessanol</t>
  </si>
  <si>
    <t>nepalienessanol</t>
  </si>
  <si>
    <t>crimienessanol</t>
  </si>
  <si>
    <t>cashmienessanol</t>
  </si>
  <si>
    <t>norgienessanol</t>
  </si>
  <si>
    <t>qu'oqonienessanol</t>
  </si>
  <si>
    <t>x'onligienessanol</t>
  </si>
  <si>
    <t>x'oranienessanol</t>
  </si>
  <si>
    <t>cushanienessanol</t>
  </si>
  <si>
    <t>arsasienessanol</t>
  </si>
  <si>
    <t>buch'arienessanol</t>
  </si>
  <si>
    <t>ortienessanol</t>
  </si>
  <si>
    <t>bodienessanol</t>
  </si>
  <si>
    <t>cozacienessanol</t>
  </si>
  <si>
    <t>tongienessanol</t>
  </si>
  <si>
    <t>c'halc'hienessanol</t>
  </si>
  <si>
    <t>ch'alch'ienessanol</t>
  </si>
  <si>
    <t>dzungienessanol</t>
  </si>
  <si>
    <t>joshoienessanol</t>
  </si>
  <si>
    <t>turlvanienessanol</t>
  </si>
  <si>
    <t>laosienessanol</t>
  </si>
  <si>
    <t>sihirtienessanol</t>
  </si>
  <si>
    <t>timuridienessanol</t>
  </si>
  <si>
    <t>cepchacienessanol</t>
  </si>
  <si>
    <t>javienessanol</t>
  </si>
  <si>
    <t>conjutienessanol</t>
  </si>
  <si>
    <t>johienessanol</t>
  </si>
  <si>
    <t>saltanienessanol sulienessanol</t>
  </si>
  <si>
    <t>luzonienessanol</t>
  </si>
  <si>
    <t>butanienessanol</t>
  </si>
  <si>
    <t>bangladeshienessanol</t>
  </si>
  <si>
    <t>srilancienessanol</t>
  </si>
  <si>
    <t>maldivienessanol</t>
  </si>
  <si>
    <t>siemienessanol</t>
  </si>
  <si>
    <t>cambodienessanol</t>
  </si>
  <si>
    <t>malayzienessanol</t>
  </si>
  <si>
    <t>sassandienessanol</t>
  </si>
  <si>
    <t>filipinienessanol</t>
  </si>
  <si>
    <t>aduist-timienessanol</t>
  </si>
  <si>
    <t>papuasienessanol-nouval-
gvinienessanol</t>
  </si>
  <si>
    <t>nouval-zelandienessanol</t>
  </si>
  <si>
    <t>micronezienessanol-uniss</t>
  </si>
  <si>
    <t>hawaiienessanol</t>
  </si>
  <si>
    <t>salomonienessanol</t>
  </si>
  <si>
    <t>varuatienessanol</t>
  </si>
  <si>
    <t>tuvalienessanol</t>
  </si>
  <si>
    <t>naurienessanol</t>
  </si>
  <si>
    <t>qu'iribatienessanol</t>
  </si>
  <si>
    <t>fijienessanol</t>
  </si>
  <si>
    <t>nienessanol</t>
  </si>
  <si>
    <t>bagamienessanol</t>
  </si>
  <si>
    <t>cubienessanol</t>
  </si>
  <si>
    <t>jamaiqu'ienessanol</t>
  </si>
  <si>
    <t>haitienessanol</t>
  </si>
  <si>
    <t>dominicienessanol</t>
  </si>
  <si>
    <t>guatemalienessanol</t>
  </si>
  <si>
    <t>belizienessanol</t>
  </si>
  <si>
    <t>hondurienessanol</t>
  </si>
  <si>
    <t>salvadienessanol</t>
  </si>
  <si>
    <t>costaricienessanol</t>
  </si>
  <si>
    <t>panamienessanol</t>
  </si>
  <si>
    <t>holand-antillienessanol</t>
  </si>
  <si>
    <t>antigienessanol en 
barbudienessanol</t>
  </si>
  <si>
    <t>sacli-lucienessanol</t>
  </si>
  <si>
    <t>sacli-vincentienessanol en la grenadinienessanol</t>
  </si>
  <si>
    <t>colombienessanol</t>
  </si>
  <si>
    <t>venzuelienessanol</t>
  </si>
  <si>
    <t>eguadienessanol</t>
  </si>
  <si>
    <t>perienessanol</t>
  </si>
  <si>
    <t>chilienessanol</t>
  </si>
  <si>
    <t>bolivienessanol</t>
  </si>
  <si>
    <t>argentinienessanol</t>
  </si>
  <si>
    <t>paragwienessanol</t>
  </si>
  <si>
    <t>uruguienessanol</t>
  </si>
  <si>
    <t>urugwienessanol</t>
  </si>
  <si>
    <t>guienessanolnienessanol</t>
  </si>
  <si>
    <t>surinamienessanol</t>
  </si>
  <si>
    <t>flanse-guienessanolnienessanol</t>
  </si>
  <si>
    <t>barbadienessanol</t>
  </si>
  <si>
    <t>marocienessanol</t>
  </si>
  <si>
    <t>saharienessanol-arab</t>
  </si>
  <si>
    <t>algerienessanol</t>
  </si>
  <si>
    <t>tunesienessanol</t>
  </si>
  <si>
    <t>egiptienessanol</t>
  </si>
  <si>
    <t>babylienessanol</t>
  </si>
  <si>
    <t>hittienessanol</t>
  </si>
  <si>
    <t>trinidia-en-tobagienessanol</t>
  </si>
  <si>
    <t>aztecienessanol</t>
  </si>
  <si>
    <t>mauritanienessanol</t>
  </si>
  <si>
    <t>malienessanol</t>
  </si>
  <si>
    <t>verdienessanol</t>
  </si>
  <si>
    <t>vandalienessanol</t>
  </si>
  <si>
    <t>gothienessanol</t>
  </si>
  <si>
    <t>senegienessanol</t>
  </si>
  <si>
    <t>gambienessanol</t>
  </si>
  <si>
    <t>gvinienessanol-bisienessanol</t>
  </si>
  <si>
    <t>gvinienessanol</t>
  </si>
  <si>
    <t>sierienessanol-leonienessanol</t>
  </si>
  <si>
    <t>liberienessanol</t>
  </si>
  <si>
    <t>gh'anienessanol</t>
  </si>
  <si>
    <t>burcina-fasienessanol</t>
  </si>
  <si>
    <t>togienessanol</t>
  </si>
  <si>
    <t>benienessanol</t>
  </si>
  <si>
    <t>nigerienessanol</t>
  </si>
  <si>
    <t>t'zadienessanol</t>
  </si>
  <si>
    <t>equ'atore-gvinienessanol</t>
  </si>
  <si>
    <t>sao-tomia-en-principienessanol</t>
  </si>
  <si>
    <t>congienessanol</t>
  </si>
  <si>
    <t>zairienessanol</t>
  </si>
  <si>
    <t>sudienessanol</t>
  </si>
  <si>
    <t>sud-sudienessanol</t>
  </si>
  <si>
    <t>d'jibutienessanol</t>
  </si>
  <si>
    <t>ethiopienessanol</t>
  </si>
  <si>
    <t>somalienessanol</t>
  </si>
  <si>
    <t>song'haienessanol</t>
  </si>
  <si>
    <t>zanzibienessanol</t>
  </si>
  <si>
    <t>cenienessanol</t>
  </si>
  <si>
    <t>ruandienessanol</t>
  </si>
  <si>
    <t>burundienessanol</t>
  </si>
  <si>
    <t>tanzanienessanol</t>
  </si>
  <si>
    <t>seych'ellienessanol</t>
  </si>
  <si>
    <t>comorienessanol</t>
  </si>
  <si>
    <t>mauricienessanol</t>
  </si>
  <si>
    <t>australienessanol</t>
  </si>
  <si>
    <t>madagascienessanol</t>
  </si>
  <si>
    <t>angolienessanol</t>
  </si>
  <si>
    <t>zambienessanol</t>
  </si>
  <si>
    <t>malawienessanol</t>
  </si>
  <si>
    <t>mosambiqu'ienessanol</t>
  </si>
  <si>
    <t>zimbabienessanol</t>
  </si>
  <si>
    <t>namibienessanol</t>
  </si>
  <si>
    <t>botswanienessanol</t>
  </si>
  <si>
    <t>sud-africienessanol</t>
  </si>
  <si>
    <t>lesotienessanol</t>
  </si>
  <si>
    <t>suazilandienessanol</t>
  </si>
  <si>
    <t>qu'art'hadashtienessanol</t>
  </si>
  <si>
    <t>nubienessanol</t>
  </si>
  <si>
    <t>foenicienessanol</t>
  </si>
  <si>
    <t>gallienessanol</t>
  </si>
  <si>
    <t>sumienessanol</t>
  </si>
  <si>
    <t>masinienessanol</t>
  </si>
  <si>
    <t>byzantinienessanol</t>
  </si>
  <si>
    <t>guptienessanol</t>
  </si>
  <si>
    <t>mug'halienessanol</t>
  </si>
  <si>
    <t>axumienessanol</t>
  </si>
  <si>
    <t>mogadishienessanol</t>
  </si>
  <si>
    <t>mombasienessanol</t>
  </si>
  <si>
    <t>incienessanol</t>
  </si>
  <si>
    <t>nejdienessanol</t>
  </si>
  <si>
    <t>hejazienessanol</t>
  </si>
  <si>
    <t>basutolandienessanol</t>
  </si>
  <si>
    <t>genovienessanol</t>
  </si>
  <si>
    <t>rh'odesienessanol</t>
  </si>
  <si>
    <t>bechuanalandienessanol</t>
  </si>
  <si>
    <t>sardegnienessanol</t>
  </si>
  <si>
    <t>brazienessanol</t>
  </si>
  <si>
    <t>libienessanol</t>
  </si>
  <si>
    <t>singaporienessanol</t>
  </si>
  <si>
    <t>nicaragienessanol</t>
  </si>
  <si>
    <t>tailandienessanol</t>
  </si>
  <si>
    <t>san-marinienessanol</t>
  </si>
  <si>
    <t>ferghanienessanol</t>
  </si>
  <si>
    <t>bactrienessanol</t>
  </si>
  <si>
    <t>sogdienessanol</t>
  </si>
  <si>
    <t>zeleucienessanol</t>
  </si>
  <si>
    <t>magadhienessanol</t>
  </si>
  <si>
    <t>custanienessanol</t>
  </si>
  <si>
    <t>toc'haroienessanol</t>
  </si>
  <si>
    <t>cusinienessanol</t>
  </si>
  <si>
    <t>bragnienessanol</t>
  </si>
  <si>
    <t>ch'almgudienessanol</t>
  </si>
  <si>
    <t>burmienessanol</t>
  </si>
  <si>
    <t>aljamenienessanol</t>
  </si>
  <si>
    <t>papesienessanol</t>
  </si>
  <si>
    <t>chagataienessanol</t>
  </si>
  <si>
    <t>chagataienessanol-ulus</t>
  </si>
  <si>
    <t>ilienessanol-baliqu'</t>
  </si>
  <si>
    <t>beshienessanol-baliqu'</t>
  </si>
  <si>
    <t>qu'arienessanol</t>
  </si>
  <si>
    <t>on-uygurienessanol</t>
  </si>
  <si>
    <t>jochienessanol-ulus</t>
  </si>
  <si>
    <t>ilienessanol-ulus</t>
  </si>
  <si>
    <t>nicaienessanol</t>
  </si>
  <si>
    <t>trebizondienessanol</t>
  </si>
  <si>
    <t>epirienessanol</t>
  </si>
  <si>
    <t>latinienessanol</t>
  </si>
  <si>
    <t>thessalonicienessanol</t>
  </si>
  <si>
    <t>achaienessanol</t>
  </si>
  <si>
    <t>athenienessanol</t>
  </si>
  <si>
    <t>aragonienessanol</t>
  </si>
  <si>
    <t>napolienessanol</t>
  </si>
  <si>
    <t>sicilienessanol</t>
  </si>
  <si>
    <t>dus-sicilienessanol</t>
  </si>
  <si>
    <t>nafarienessanol</t>
  </si>
  <si>
    <t>pamplonienessanol</t>
  </si>
  <si>
    <t>leonienessanol</t>
  </si>
  <si>
    <t>asturienessanol</t>
  </si>
  <si>
    <t>castillienessanol</t>
  </si>
  <si>
    <t>gorienessanol</t>
  </si>
  <si>
    <t>assyrienessanol</t>
  </si>
  <si>
    <t>punicienessanol</t>
  </si>
  <si>
    <t>mexiceyanol</t>
  </si>
  <si>
    <t>sweciyanol</t>
  </si>
  <si>
    <t>gilyanol</t>
  </si>
  <si>
    <t>moscovyanol</t>
  </si>
  <si>
    <t>cechiyanol</t>
  </si>
  <si>
    <t>livonyanol</t>
  </si>
  <si>
    <t>israilyanol</t>
  </si>
  <si>
    <t>cuwaityanol</t>
  </si>
  <si>
    <t>cazacstanyanol</t>
  </si>
  <si>
    <t>turqu'menistanyanol</t>
  </si>
  <si>
    <t>afganistanyanol</t>
  </si>
  <si>
    <t>pacistanyanol</t>
  </si>
  <si>
    <t>samboyanol</t>
  </si>
  <si>
    <t>siccimyanol</t>
  </si>
  <si>
    <t>malasyanol</t>
  </si>
  <si>
    <t>myanolnmienessanol</t>
  </si>
  <si>
    <t>bruneyanol</t>
  </si>
  <si>
    <t>palauyanol</t>
  </si>
  <si>
    <t>rjuqu'juyanol</t>
  </si>
  <si>
    <t>marshaloyanol</t>
  </si>
  <si>
    <t>samoyanol</t>
  </si>
  <si>
    <t>coguryanol</t>
  </si>
  <si>
    <t>buyanol</t>
  </si>
  <si>
    <t>costare-efoyanol</t>
  </si>
  <si>
    <t>cameronyanol</t>
  </si>
  <si>
    <t>gabonyanol</t>
  </si>
  <si>
    <t>eriteyanol</t>
  </si>
  <si>
    <t>cenyanol</t>
  </si>
  <si>
    <t>engoyanol</t>
  </si>
  <si>
    <t>nyanolsalandienessanol</t>
  </si>
  <si>
    <t>curdistanyanol</t>
  </si>
  <si>
    <t>mauryanol</t>
  </si>
  <si>
    <t>margyanol</t>
  </si>
  <si>
    <t>yanolrqu'andienessanol</t>
  </si>
  <si>
    <t>turpanyanol</t>
  </si>
  <si>
    <t>osten-leuyanol</t>
  </si>
  <si>
    <t>naimanyanol</t>
  </si>
  <si>
    <t>naimanyanol-ulus</t>
  </si>
  <si>
    <t>huleguyanol-ulus</t>
  </si>
  <si>
    <t>srivijayanol</t>
  </si>
  <si>
    <t>mayanol</t>
  </si>
  <si>
    <t>黄金海岸人的</t>
  </si>
  <si>
    <t>奴隶海岸人的</t>
  </si>
  <si>
    <t>亦力把里人的</t>
  </si>
  <si>
    <t>别失八里人的</t>
  </si>
  <si>
    <t>金帐人的，钦察人的</t>
  </si>
  <si>
    <t>雅典人的</t>
  </si>
  <si>
    <t>高丽人的，朝鲜人的，韩国人的</t>
  </si>
  <si>
    <t>玛雅人的</t>
  </si>
  <si>
    <t>3-6</t>
    <phoneticPr fontId="1" type="noConversion"/>
  </si>
  <si>
    <t>nuobuc</t>
    <phoneticPr fontId="1" type="noConversion"/>
  </si>
  <si>
    <t>amsaubeim</t>
    <phoneticPr fontId="1" type="noConversion"/>
  </si>
  <si>
    <t>ansneim</t>
    <phoneticPr fontId="1" type="noConversion"/>
  </si>
  <si>
    <t>amsaubeimanol</t>
    <phoneticPr fontId="1" type="noConversion"/>
  </si>
  <si>
    <t>ansneimanol</t>
    <phoneticPr fontId="1" type="noConversion"/>
  </si>
  <si>
    <t>对祖宗的，向祖宗的</t>
    <phoneticPr fontId="1" type="noConversion"/>
  </si>
  <si>
    <t>对祖先的，向祖先的</t>
    <phoneticPr fontId="1" type="noConversion"/>
  </si>
  <si>
    <t>五服之内的亲戚，近亲</t>
    <phoneticPr fontId="1" type="noConversion"/>
  </si>
  <si>
    <t>perihieim</t>
    <phoneticPr fontId="1" type="noConversion"/>
  </si>
  <si>
    <t>relatifeim</t>
    <phoneticPr fontId="1" type="noConversion"/>
  </si>
  <si>
    <t>stocvaqu'eim</t>
    <phoneticPr fontId="1" type="noConversion"/>
  </si>
  <si>
    <t>vaisareim</t>
    <phoneticPr fontId="1" type="noConversion"/>
  </si>
  <si>
    <t>nuobuceim</t>
    <phoneticPr fontId="1" type="noConversion"/>
  </si>
  <si>
    <t>有关朋友的物事</t>
    <phoneticPr fontId="1" type="noConversion"/>
  </si>
  <si>
    <t>有关祖宗的物事</t>
    <phoneticPr fontId="1" type="noConversion"/>
  </si>
  <si>
    <t>有关祖先的物事</t>
    <phoneticPr fontId="1" type="noConversion"/>
  </si>
  <si>
    <t>有关亲戚的物事</t>
    <phoneticPr fontId="1" type="noConversion"/>
  </si>
  <si>
    <t>有关邻居的物事</t>
    <phoneticPr fontId="1" type="noConversion"/>
  </si>
  <si>
    <t>有关近亲的物事</t>
    <phoneticPr fontId="1" type="noConversion"/>
  </si>
  <si>
    <t>perihieimanol</t>
    <phoneticPr fontId="1" type="noConversion"/>
  </si>
  <si>
    <t>relatifeimanol</t>
    <phoneticPr fontId="1" type="noConversion"/>
  </si>
  <si>
    <t>stocvaqu'eimanol</t>
    <phoneticPr fontId="1" type="noConversion"/>
  </si>
  <si>
    <t>vaisareimanol</t>
    <phoneticPr fontId="1" type="noConversion"/>
  </si>
  <si>
    <t>nuobuceimanol</t>
    <phoneticPr fontId="1" type="noConversion"/>
  </si>
  <si>
    <t>对亲戚的</t>
    <phoneticPr fontId="1" type="noConversion"/>
  </si>
  <si>
    <t>对朋友的</t>
    <phoneticPr fontId="1" type="noConversion"/>
  </si>
  <si>
    <t>对邻居的</t>
    <phoneticPr fontId="1" type="noConversion"/>
  </si>
  <si>
    <t>对近亲的</t>
    <phoneticPr fontId="1" type="noConversion"/>
  </si>
  <si>
    <t>aduist-chagataienessan
ol</t>
    <phoneticPr fontId="1" type="noConversion"/>
  </si>
  <si>
    <t>africa-centrienessanol</t>
    <phoneticPr fontId="1" type="noConversion"/>
  </si>
  <si>
    <t>vidinethe</t>
    <phoneticPr fontId="1" type="noConversion"/>
  </si>
  <si>
    <t>vidinetherin</t>
    <phoneticPr fontId="1" type="noConversion"/>
  </si>
  <si>
    <t>绿化，种植花草树木</t>
    <phoneticPr fontId="1" type="noConversion"/>
  </si>
  <si>
    <t>环境</t>
    <phoneticPr fontId="1" type="noConversion"/>
  </si>
  <si>
    <t>vidinethenol</t>
    <phoneticPr fontId="1" type="noConversion"/>
  </si>
  <si>
    <t>vidinetheim</t>
    <phoneticPr fontId="1" type="noConversion"/>
  </si>
  <si>
    <t>绿化（结果或状态）</t>
    <phoneticPr fontId="1" type="noConversion"/>
  </si>
  <si>
    <t>绿化的（结果或状态）</t>
    <phoneticPr fontId="1" type="noConversion"/>
  </si>
  <si>
    <t>绿化，在某个领域加入环保或生态理念</t>
    <phoneticPr fontId="1" type="noConversion"/>
  </si>
  <si>
    <t>vidinetheimethe</t>
    <phoneticPr fontId="1" type="noConversion"/>
  </si>
  <si>
    <t>banbierde</t>
    <phoneticPr fontId="1" type="noConversion"/>
  </si>
  <si>
    <t>hadrode</t>
    <phoneticPr fontId="1" type="noConversion"/>
  </si>
  <si>
    <t>主日，星期天</t>
    <phoneticPr fontId="1" type="noConversion"/>
  </si>
  <si>
    <t>黑色星期五，大促销日，联想到忙碌与疯狂购物</t>
    <phoneticPr fontId="1" type="noConversion"/>
  </si>
  <si>
    <t>azolunde</t>
    <phoneticPr fontId="1" type="noConversion"/>
  </si>
  <si>
    <t>令人忧郁、沮丧的星期一，是工作、学习周的开始</t>
    <phoneticPr fontId="1" type="noConversion"/>
  </si>
  <si>
    <t>耶稣受难日</t>
    <phoneticPr fontId="1" type="noConversion"/>
  </si>
  <si>
    <t>gutbierde</t>
    <phoneticPr fontId="1" type="noConversion"/>
  </si>
  <si>
    <t>节日</t>
    <phoneticPr fontId="1" type="noConversion"/>
  </si>
  <si>
    <t>apohisabade</t>
    <phoneticPr fontId="1" type="noConversion"/>
  </si>
  <si>
    <t>圣周六，复活节前夕</t>
    <phoneticPr fontId="1" type="noConversion"/>
  </si>
  <si>
    <t>apohysabade</t>
    <phoneticPr fontId="1" type="noConversion"/>
  </si>
  <si>
    <t>pesca</t>
    <phoneticPr fontId="1" type="noConversion"/>
  </si>
  <si>
    <t>复活节</t>
    <phoneticPr fontId="1" type="noConversion"/>
  </si>
  <si>
    <t>tronpesca</t>
    <phoneticPr fontId="1" type="noConversion"/>
  </si>
  <si>
    <t>vigacynoctus</t>
    <phoneticPr fontId="1" type="noConversion"/>
  </si>
  <si>
    <t>eurasia</t>
    <phoneticPr fontId="1" type="noConversion"/>
  </si>
  <si>
    <t>亚欧大陆</t>
    <phoneticPr fontId="1" type="noConversion"/>
  </si>
  <si>
    <t>supercontinent</t>
    <phoneticPr fontId="1" type="noConversion"/>
  </si>
  <si>
    <t>pangea</t>
    <phoneticPr fontId="1" type="noConversion"/>
  </si>
  <si>
    <t>gondwana</t>
    <phoneticPr fontId="1" type="noConversion"/>
  </si>
  <si>
    <t>laurasia</t>
    <phoneticPr fontId="1" type="noConversion"/>
  </si>
  <si>
    <t>rodinia</t>
    <phoneticPr fontId="1" type="noConversion"/>
  </si>
  <si>
    <t>nuna</t>
    <phoneticPr fontId="1" type="noConversion"/>
  </si>
  <si>
    <t>cenorland</t>
    <phoneticPr fontId="1" type="noConversion"/>
  </si>
  <si>
    <t>nouvalmond</t>
    <phoneticPr fontId="1" type="noConversion"/>
  </si>
  <si>
    <t>abysinitca</t>
    <phoneticPr fontId="1" type="noConversion"/>
  </si>
  <si>
    <t>abysinienessanol</t>
    <phoneticPr fontId="1" type="noConversion"/>
  </si>
  <si>
    <t>shabimond</t>
    <phoneticPr fontId="1" type="noConversion"/>
  </si>
  <si>
    <t>nonnaisen de sudturbir</t>
    <phoneticPr fontId="1" type="noConversion"/>
  </si>
  <si>
    <t>1-0-1-4</t>
    <phoneticPr fontId="1" type="noConversion"/>
  </si>
  <si>
    <t>超大陆，地球上所有大陆连在一块</t>
    <phoneticPr fontId="1" type="noConversion"/>
  </si>
  <si>
    <t>盘古大陆</t>
    <phoneticPr fontId="1" type="noConversion"/>
  </si>
  <si>
    <t>冈瓦纳大陆</t>
    <phoneticPr fontId="1" type="noConversion"/>
  </si>
  <si>
    <t>劳亚大陆</t>
    <phoneticPr fontId="1" type="noConversion"/>
  </si>
  <si>
    <t>罗迪尼亚大陆</t>
    <phoneticPr fontId="1" type="noConversion"/>
  </si>
  <si>
    <t>哥伦比亚大陆</t>
    <phoneticPr fontId="1" type="noConversion"/>
  </si>
  <si>
    <t>凯诺兰大陆</t>
    <phoneticPr fontId="1" type="noConversion"/>
  </si>
  <si>
    <t>旧大陆，指欧亚已知部分的大陆</t>
    <phoneticPr fontId="1" type="noConversion"/>
  </si>
  <si>
    <t>新大陆，特指美洲大陆（新发现的大陆）</t>
    <phoneticPr fontId="1" type="noConversion"/>
  </si>
  <si>
    <t>南方未知大陆，指澳洲</t>
    <phoneticPr fontId="1" type="noConversion"/>
  </si>
  <si>
    <t>domidenfreilach</t>
    <phoneticPr fontId="1" type="noConversion"/>
  </si>
  <si>
    <t>biredenoctusjac</t>
    <phoneticPr fontId="1" type="noConversion"/>
  </si>
  <si>
    <t>câgar-ano-finis</t>
    <phoneticPr fontId="1" type="noConversion"/>
  </si>
  <si>
    <t>1-1-4</t>
    <phoneticPr fontId="1" type="noConversion"/>
  </si>
  <si>
    <t>lundesentirin</t>
    <phoneticPr fontId="1" type="noConversion"/>
  </si>
  <si>
    <t>lunderenent</t>
    <phoneticPr fontId="1" type="noConversion"/>
  </si>
  <si>
    <t>形容周一那种万事不顺，萎靡不振的状态</t>
    <phoneticPr fontId="1" type="noConversion"/>
  </si>
  <si>
    <t>特指周一早晨不想起床，不想上班的低落情绪</t>
    <phoneticPr fontId="1" type="noConversion"/>
  </si>
  <si>
    <t>周末加班</t>
    <phoneticPr fontId="1" type="noConversion"/>
  </si>
  <si>
    <t>特指周日晚上因即将到来的周一工作、学习感到焦虑</t>
    <phoneticPr fontId="1" type="noConversion"/>
  </si>
  <si>
    <t>finisgreosâetder</t>
    <phoneticPr fontId="1" type="noConversion"/>
  </si>
  <si>
    <t>指平时久坐办公室，只在周末高强度运动、做家务的人</t>
    <phoneticPr fontId="1" type="noConversion"/>
  </si>
  <si>
    <t>domidecondûlander</t>
    <phoneticPr fontId="1" type="noConversion"/>
  </si>
  <si>
    <t>形容车开的很慢，优哉游哉的司机，像周日出门兜风一样</t>
    <phoneticPr fontId="1" type="noConversion"/>
  </si>
  <si>
    <t>supersabade</t>
    <phoneticPr fontId="1" type="noConversion"/>
  </si>
  <si>
    <t>superdomide</t>
    <phoneticPr fontId="1" type="noConversion"/>
  </si>
  <si>
    <t>超级星期六，商场促销或开展体育赛事的日子</t>
    <phoneticPr fontId="1" type="noConversion"/>
  </si>
  <si>
    <t>超级星期天，商场促销或开展体育赛事的日子</t>
    <phoneticPr fontId="1" type="noConversion"/>
  </si>
  <si>
    <t>pescadomide</t>
    <phoneticPr fontId="1" type="noConversion"/>
  </si>
  <si>
    <t>câgar-ano-finisder</t>
    <phoneticPr fontId="1" type="noConversion"/>
  </si>
  <si>
    <t>原指周五晚上的橄榄球比赛，引申指周五晚上的大聚会</t>
    <phoneticPr fontId="1" type="noConversion"/>
  </si>
  <si>
    <t>周末加班的人</t>
    <phoneticPr fontId="1" type="noConversion"/>
  </si>
  <si>
    <t>corin</t>
    <phoneticPr fontId="1" type="noConversion"/>
  </si>
  <si>
    <t>corina</t>
    <phoneticPr fontId="1" type="noConversion"/>
  </si>
  <si>
    <t>imberetrix</t>
    <phoneticPr fontId="1" type="noConversion"/>
  </si>
  <si>
    <t>imbers</t>
    <phoneticPr fontId="1" type="noConversion"/>
  </si>
  <si>
    <t>imberetrisa</t>
    <phoneticPr fontId="1" type="noConversion"/>
  </si>
  <si>
    <t>imbersa</t>
    <phoneticPr fontId="1" type="noConversion"/>
  </si>
  <si>
    <t>wongj</t>
    <phoneticPr fontId="1" type="noConversion"/>
  </si>
  <si>
    <t>wongja</t>
    <phoneticPr fontId="1" type="noConversion"/>
  </si>
  <si>
    <t>prinz</t>
    <phoneticPr fontId="1" type="noConversion"/>
  </si>
  <si>
    <t>prinza</t>
    <phoneticPr fontId="1" type="noConversion"/>
  </si>
  <si>
    <t>qu'itz</t>
    <phoneticPr fontId="1" type="noConversion"/>
  </si>
  <si>
    <t>chonzec</t>
    <phoneticPr fontId="1" type="noConversion"/>
  </si>
  <si>
    <t>marqu'iz</t>
    <phoneticPr fontId="1" type="noConversion"/>
  </si>
  <si>
    <t>maariliqu'iz</t>
    <phoneticPr fontId="1" type="noConversion"/>
  </si>
  <si>
    <t>liceanzal</t>
    <phoneticPr fontId="1" type="noConversion"/>
  </si>
  <si>
    <t>vicont</t>
    <phoneticPr fontId="1" type="noConversion"/>
  </si>
  <si>
    <t>barun</t>
    <phoneticPr fontId="1" type="noConversion"/>
  </si>
  <si>
    <t>balirun</t>
    <phoneticPr fontId="1" type="noConversion"/>
  </si>
  <si>
    <t>sery</t>
    <phoneticPr fontId="1" type="noConversion"/>
  </si>
  <si>
    <t>utlafomesci</t>
    <phoneticPr fontId="1" type="noConversion"/>
  </si>
  <si>
    <t>prarânesci</t>
    <phoneticPr fontId="1" type="noConversion"/>
  </si>
  <si>
    <t>lortin</t>
    <phoneticPr fontId="1" type="noConversion"/>
  </si>
  <si>
    <t>c'han</t>
    <phoneticPr fontId="1" type="noConversion"/>
  </si>
  <si>
    <t>qu'ohan</t>
    <phoneticPr fontId="1" type="noConversion"/>
  </si>
  <si>
    <t>qu'odun</t>
    <phoneticPr fontId="1" type="noConversion"/>
  </si>
  <si>
    <t>chefis</t>
    <phoneticPr fontId="1" type="noConversion"/>
  </si>
  <si>
    <t>syd</t>
    <phoneticPr fontId="1" type="noConversion"/>
  </si>
  <si>
    <t>La Syd</t>
    <phoneticPr fontId="1" type="noConversion"/>
  </si>
  <si>
    <t>sultan</t>
    <phoneticPr fontId="1" type="noConversion"/>
  </si>
  <si>
    <t>shah</t>
    <phoneticPr fontId="1" type="noConversion"/>
  </si>
  <si>
    <t>faraon</t>
    <phoneticPr fontId="1" type="noConversion"/>
  </si>
  <si>
    <t>papes'</t>
    <phoneticPr fontId="1" type="noConversion"/>
  </si>
  <si>
    <t>êchof</t>
    <phoneticPr fontId="1" type="noConversion"/>
  </si>
  <si>
    <t>archêchof</t>
    <phoneticPr fontId="1" type="noConversion"/>
  </si>
  <si>
    <t>cevorside</t>
    <phoneticPr fontId="1" type="noConversion"/>
  </si>
  <si>
    <t>president</t>
    <phoneticPr fontId="1" type="noConversion"/>
  </si>
  <si>
    <t>premier</t>
    <phoneticPr fontId="1" type="noConversion"/>
  </si>
  <si>
    <t>almage</t>
    <phoneticPr fontId="1" type="noConversion"/>
  </si>
  <si>
    <t>emire</t>
    <phoneticPr fontId="1" type="noConversion"/>
  </si>
  <si>
    <t>onju</t>
    <phoneticPr fontId="1" type="noConversion"/>
  </si>
  <si>
    <t>csiaze</t>
    <phoneticPr fontId="1" type="noConversion"/>
  </si>
  <si>
    <t>cubin</t>
    <phoneticPr fontId="1" type="noConversion"/>
  </si>
  <si>
    <t>fujin</t>
    <phoneticPr fontId="1" type="noConversion"/>
  </si>
  <si>
    <t>slinto</t>
    <phoneticPr fontId="1" type="noConversion"/>
  </si>
  <si>
    <t>consoh</t>
    <phoneticPr fontId="1" type="noConversion"/>
  </si>
  <si>
    <t>cuoseadech</t>
    <phoneticPr fontId="1" type="noConversion"/>
  </si>
  <si>
    <t>semenrech</t>
    <phoneticPr fontId="1" type="noConversion"/>
  </si>
  <si>
    <t>premetrix</t>
    <phoneticPr fontId="1" type="noConversion"/>
  </si>
  <si>
    <t>bah'utrix</t>
    <phoneticPr fontId="1" type="noConversion"/>
  </si>
  <si>
    <t>bocivimeto</t>
    <phoneticPr fontId="1" type="noConversion"/>
  </si>
  <si>
    <t>fuhrer</t>
    <phoneticPr fontId="1" type="noConversion"/>
  </si>
  <si>
    <t>nebuyis</t>
    <phoneticPr fontId="1" type="noConversion"/>
  </si>
  <si>
    <t>pneretor</t>
    <phoneticPr fontId="1" type="noConversion"/>
  </si>
  <si>
    <t>dalâ-lama</t>
    <phoneticPr fontId="1" type="noConversion"/>
  </si>
  <si>
    <t>panch'in-ierodni</t>
    <phoneticPr fontId="1" type="noConversion"/>
  </si>
  <si>
    <t>sdepa</t>
    <phoneticPr fontId="1" type="noConversion"/>
  </si>
  <si>
    <t>chaunqu'ia-hutugtus</t>
    <phoneticPr fontId="1" type="noConversion"/>
  </si>
  <si>
    <t>niscialuta</t>
    <phoneticPr fontId="1" type="noConversion"/>
  </si>
  <si>
    <t>imbesciuta</t>
    <phoneticPr fontId="1" type="noConversion"/>
  </si>
  <si>
    <t>avoinbesciuta</t>
    <phoneticPr fontId="1" type="noConversion"/>
  </si>
  <si>
    <t>imbesciut</t>
    <phoneticPr fontId="1" type="noConversion"/>
  </si>
  <si>
    <t>avoinbesciut</t>
    <phoneticPr fontId="1" type="noConversion"/>
  </si>
  <si>
    <t>niscialut</t>
    <phoneticPr fontId="1" type="noConversion"/>
  </si>
  <si>
    <t>calif</t>
    <phoneticPr fontId="1" type="noConversion"/>
  </si>
  <si>
    <t>caesar</t>
    <phoneticPr fontId="1" type="noConversion"/>
  </si>
  <si>
    <t>augustus</t>
    <phoneticPr fontId="1" type="noConversion"/>
  </si>
  <si>
    <t>wonaitoc</t>
    <phoneticPr fontId="1" type="noConversion"/>
  </si>
  <si>
    <t>prinzaitoc</t>
    <phoneticPr fontId="1" type="noConversion"/>
  </si>
  <si>
    <t>wonaitoca</t>
    <phoneticPr fontId="1" type="noConversion"/>
  </si>
  <si>
    <t>prinzaitoca</t>
    <phoneticPr fontId="1" type="noConversion"/>
  </si>
  <si>
    <t>maha-rajah</t>
    <phoneticPr fontId="1" type="noConversion"/>
  </si>
  <si>
    <t>maha-ranir</t>
    <phoneticPr fontId="1" type="noConversion"/>
  </si>
  <si>
    <t>daegur</t>
    <phoneticPr fontId="1" type="noConversion"/>
  </si>
  <si>
    <t>daeur</t>
    <phoneticPr fontId="1" type="noConversion"/>
  </si>
  <si>
    <t>tenarech</t>
    <phoneticPr fontId="1" type="noConversion"/>
  </si>
  <si>
    <t>tsar</t>
    <phoneticPr fontId="1" type="noConversion"/>
  </si>
  <si>
    <t>shar</t>
    <phoneticPr fontId="1" type="noConversion"/>
  </si>
  <si>
    <t>guhublica</t>
    <phoneticPr fontId="1" type="noConversion"/>
  </si>
  <si>
    <t>deoublica</t>
    <phoneticPr fontId="1" type="noConversion"/>
  </si>
  <si>
    <t>deoblica</t>
    <phoneticPr fontId="1" type="noConversion"/>
  </si>
  <si>
    <t>uniss</t>
    <phoneticPr fontId="1" type="noConversion"/>
  </si>
  <si>
    <t>stalant</t>
    <phoneticPr fontId="1" type="noConversion"/>
  </si>
  <si>
    <t>drany</t>
    <phoneticPr fontId="1" type="noConversion"/>
  </si>
  <si>
    <t>nacion</t>
    <phoneticPr fontId="1" type="noConversion"/>
  </si>
  <si>
    <t>starisca</t>
    <phoneticPr fontId="1" type="noConversion"/>
  </si>
  <si>
    <t>d'rice</t>
    <phoneticPr fontId="1" type="noConversion"/>
  </si>
  <si>
    <t>dynastija</t>
    <phoneticPr fontId="1" type="noConversion"/>
  </si>
  <si>
    <t>confebundca</t>
    <phoneticPr fontId="1" type="noConversion"/>
  </si>
  <si>
    <t>meremca</t>
    <phoneticPr fontId="1" type="noConversion"/>
  </si>
  <si>
    <t>de chonzec drany</t>
    <phoneticPr fontId="1" type="noConversion"/>
  </si>
  <si>
    <t>de chonzec feulorin</t>
    <phoneticPr fontId="1" type="noConversion"/>
  </si>
  <si>
    <t>de chonzec turbir</t>
    <phoneticPr fontId="1" type="noConversion"/>
  </si>
  <si>
    <t>de chonzec mantaon</t>
    <phoneticPr fontId="1" type="noConversion"/>
  </si>
  <si>
    <t>feulorin</t>
    <phoneticPr fontId="1" type="noConversion"/>
  </si>
  <si>
    <t>teocrosi</t>
    <phoneticPr fontId="1" type="noConversion"/>
  </si>
  <si>
    <t>de marqu'iz drany</t>
    <phoneticPr fontId="1" type="noConversion"/>
  </si>
  <si>
    <t>de marqu'iz feulorin</t>
    <phoneticPr fontId="1" type="noConversion"/>
  </si>
  <si>
    <t>de marqu'iz turbir</t>
    <phoneticPr fontId="1" type="noConversion"/>
  </si>
  <si>
    <t>de marqu'iz mantaon</t>
    <phoneticPr fontId="1" type="noConversion"/>
  </si>
  <si>
    <t>de liceanzal drany</t>
    <phoneticPr fontId="1" type="noConversion"/>
  </si>
  <si>
    <t>de liceanzal feulorin</t>
    <phoneticPr fontId="1" type="noConversion"/>
  </si>
  <si>
    <t>de liceanzal turbir</t>
    <phoneticPr fontId="1" type="noConversion"/>
  </si>
  <si>
    <t>de liceanzal mantaon</t>
    <phoneticPr fontId="1" type="noConversion"/>
  </si>
  <si>
    <t>de vicont drany</t>
    <phoneticPr fontId="1" type="noConversion"/>
  </si>
  <si>
    <t>de vicont feulorin</t>
    <phoneticPr fontId="1" type="noConversion"/>
  </si>
  <si>
    <t>de vicont turbir</t>
    <phoneticPr fontId="1" type="noConversion"/>
  </si>
  <si>
    <t>de vicont mantaon</t>
    <phoneticPr fontId="1" type="noConversion"/>
  </si>
  <si>
    <t>de barun drany</t>
    <phoneticPr fontId="1" type="noConversion"/>
  </si>
  <si>
    <t>de barun feulorin</t>
    <phoneticPr fontId="1" type="noConversion"/>
  </si>
  <si>
    <t>de barun turbir</t>
    <phoneticPr fontId="1" type="noConversion"/>
  </si>
  <si>
    <t>de barun mantaon</t>
    <phoneticPr fontId="1" type="noConversion"/>
  </si>
  <si>
    <t>vreniscrât</t>
    <phoneticPr fontId="1" type="noConversion"/>
  </si>
  <si>
    <t>sohlôd</t>
    <phoneticPr fontId="1" type="noConversion"/>
  </si>
  <si>
    <t>berenlant</t>
    <phoneticPr fontId="1" type="noConversion"/>
  </si>
  <si>
    <t>c'hanata</t>
    <phoneticPr fontId="1" type="noConversion"/>
  </si>
  <si>
    <t>halifun</t>
    <phoneticPr fontId="1" type="noConversion"/>
  </si>
  <si>
    <t>califun</t>
    <phoneticPr fontId="1" type="noConversion"/>
  </si>
  <si>
    <t>acsadrany</t>
    <phoneticPr fontId="1" type="noConversion"/>
  </si>
  <si>
    <t>aljadrany</t>
    <phoneticPr fontId="1" type="noConversion"/>
  </si>
  <si>
    <t>vermondoj</t>
    <phoneticPr fontId="1" type="noConversion"/>
  </si>
  <si>
    <t>qu'ibulos</t>
    <phoneticPr fontId="1" type="noConversion"/>
  </si>
  <si>
    <t>pecu</t>
    <phoneticPr fontId="1" type="noConversion"/>
  </si>
  <si>
    <t>unica</t>
    <phoneticPr fontId="1" type="noConversion"/>
  </si>
  <si>
    <t>marnco</t>
    <phoneticPr fontId="1" type="noConversion"/>
  </si>
  <si>
    <t>constitucion marnco</t>
    <phoneticPr fontId="1" type="noConversion"/>
  </si>
  <si>
    <t>constitucion</t>
    <phoneticPr fontId="1" type="noConversion"/>
  </si>
  <si>
    <t>asech'ou</t>
    <phoneticPr fontId="1" type="noConversion"/>
  </si>
  <si>
    <t>vassol</t>
    <phoneticPr fontId="1" type="noConversion"/>
  </si>
  <si>
    <t>feulorin stalant</t>
    <phoneticPr fontId="1" type="noConversion"/>
  </si>
  <si>
    <t>feulorin balnizam</t>
    <phoneticPr fontId="1" type="noConversion"/>
  </si>
  <si>
    <t>thralorber balnizam</t>
    <phoneticPr fontId="1" type="noConversion"/>
  </si>
  <si>
    <t>surfazare</t>
    <phoneticPr fontId="1" type="noConversion"/>
  </si>
  <si>
    <t>medlich</t>
    <phoneticPr fontId="1" type="noConversion"/>
  </si>
  <si>
    <t>qu'intact</t>
    <phoneticPr fontId="1" type="noConversion"/>
  </si>
  <si>
    <t>traun</t>
    <phoneticPr fontId="1" type="noConversion"/>
  </si>
  <si>
    <t>gaum</t>
    <phoneticPr fontId="1" type="noConversion"/>
  </si>
  <si>
    <t>caunt</t>
    <phoneticPr fontId="1" type="noConversion"/>
  </si>
  <si>
    <t>rodz</t>
    <phoneticPr fontId="1" type="noConversion"/>
  </si>
  <si>
    <t>qu'auc</t>
    <phoneticPr fontId="1" type="noConversion"/>
  </si>
  <si>
    <t>centrenal de podenca</t>
    <phoneticPr fontId="1" type="noConversion"/>
  </si>
  <si>
    <t>siatha</t>
    <phoneticPr fontId="1" type="noConversion"/>
  </si>
  <si>
    <t>tosobuyol</t>
    <phoneticPr fontId="1" type="noConversion"/>
  </si>
  <si>
    <t>lesnai</t>
    <phoneticPr fontId="1" type="noConversion"/>
  </si>
  <si>
    <t>hlita</t>
    <phoneticPr fontId="1" type="noConversion"/>
  </si>
  <si>
    <t>m'lig</t>
    <phoneticPr fontId="1" type="noConversion"/>
  </si>
  <si>
    <t>mig</t>
    <phoneticPr fontId="1" type="noConversion"/>
  </si>
  <si>
    <t>banner</t>
    <phoneticPr fontId="1" type="noConversion"/>
  </si>
  <si>
    <t>sum</t>
    <phoneticPr fontId="1" type="noConversion"/>
  </si>
  <si>
    <t>mufucansospecan</t>
    <phoneticPr fontId="1" type="noConversion"/>
  </si>
  <si>
    <t>prefectus</t>
    <phoneticPr fontId="1" type="noConversion"/>
  </si>
  <si>
    <t>bag</t>
    <phoneticPr fontId="1" type="noConversion"/>
  </si>
  <si>
    <t>naebue</t>
    <phoneticPr fontId="1" type="noConversion"/>
  </si>
  <si>
    <t>yap</t>
    <phoneticPr fontId="1" type="noConversion"/>
  </si>
  <si>
    <t>gwoun</t>
    <phoneticPr fontId="1" type="noConversion"/>
  </si>
  <si>
    <t>hinsus</t>
    <phoneticPr fontId="1" type="noConversion"/>
  </si>
  <si>
    <t>laut</t>
    <phoneticPr fontId="1" type="noConversion"/>
  </si>
  <si>
    <t>cjenom</t>
    <phoneticPr fontId="1" type="noConversion"/>
  </si>
  <si>
    <t>specialotocjenom</t>
    <phoneticPr fontId="1" type="noConversion"/>
  </si>
  <si>
    <t>otocjenom</t>
    <phoneticPr fontId="1" type="noConversion"/>
  </si>
  <si>
    <t>thao</t>
    <phoneticPr fontId="1" type="noConversion"/>
  </si>
  <si>
    <t>qithin</t>
    <phoneticPr fontId="1" type="noConversion"/>
  </si>
  <si>
    <t>citor</t>
    <phoneticPr fontId="1" type="noConversion"/>
  </si>
  <si>
    <t>maqu'unch</t>
    <phoneticPr fontId="1" type="noConversion"/>
  </si>
  <si>
    <t>atamborun</t>
    <phoneticPr fontId="1" type="noConversion"/>
  </si>
  <si>
    <t>otozon</t>
    <phoneticPr fontId="1" type="noConversion"/>
  </si>
  <si>
    <t>tisvaj</t>
    <phoneticPr fontId="1" type="noConversion"/>
  </si>
  <si>
    <t>otorodz</t>
    <phoneticPr fontId="1" type="noConversion"/>
  </si>
  <si>
    <t>aminitranis</t>
    <phoneticPr fontId="1" type="noConversion"/>
  </si>
  <si>
    <t>special de aminitranis</t>
    <phoneticPr fontId="1" type="noConversion"/>
  </si>
  <si>
    <t>specialaminitranis</t>
    <phoneticPr fontId="1" type="noConversion"/>
  </si>
  <si>
    <t>achimtedeh</t>
    <phoneticPr fontId="1" type="noConversion"/>
  </si>
  <si>
    <t>ototurbir</t>
    <phoneticPr fontId="1" type="noConversion"/>
  </si>
  <si>
    <t>fenplave</t>
    <phoneticPr fontId="1" type="noConversion"/>
  </si>
  <si>
    <t>venplave</t>
    <phoneticPr fontId="1" type="noConversion"/>
  </si>
  <si>
    <t>stat</t>
    <phoneticPr fontId="1" type="noConversion"/>
  </si>
  <si>
    <t>shajer</t>
    <phoneticPr fontId="1" type="noConversion"/>
  </si>
  <si>
    <t>pradesh</t>
    <phoneticPr fontId="1" type="noConversion"/>
  </si>
  <si>
    <t>basgoyuhmir</t>
    <phoneticPr fontId="1" type="noConversion"/>
  </si>
  <si>
    <t>avtonomnaya</t>
    <phoneticPr fontId="1" type="noConversion"/>
  </si>
  <si>
    <t>basgoyuhmir guhublica</t>
    <phoneticPr fontId="1" type="noConversion"/>
  </si>
  <si>
    <t>avtonomnaya guhublica</t>
    <phoneticPr fontId="1" type="noConversion"/>
  </si>
  <si>
    <t>cantujo</t>
    <phoneticPr fontId="1" type="noConversion"/>
  </si>
  <si>
    <t>muconi</t>
    <phoneticPr fontId="1" type="noConversion"/>
  </si>
  <si>
    <t>tetôjaste</t>
    <phoneticPr fontId="1" type="noConversion"/>
  </si>
  <si>
    <t>shetom</t>
    <phoneticPr fontId="1" type="noConversion"/>
  </si>
  <si>
    <t>cantom</t>
    <phoneticPr fontId="1" type="noConversion"/>
  </si>
  <si>
    <t>candoun</t>
    <phoneticPr fontId="1" type="noConversion"/>
  </si>
  <si>
    <t>cangiua</t>
    <phoneticPr fontId="1" type="noConversion"/>
  </si>
  <si>
    <t>canminis</t>
    <phoneticPr fontId="1" type="noConversion"/>
  </si>
  <si>
    <t>misampo</t>
    <phoneticPr fontId="1" type="noConversion"/>
  </si>
  <si>
    <t>misampo rodz</t>
    <phoneticPr fontId="1" type="noConversion"/>
  </si>
  <si>
    <t>dosampo</t>
    <phoneticPr fontId="1" type="noConversion"/>
  </si>
  <si>
    <t>rêsc</t>
    <phoneticPr fontId="1" type="noConversion"/>
  </si>
  <si>
    <t>vais</t>
    <phoneticPr fontId="1" type="noConversion"/>
  </si>
  <si>
    <t>pend</t>
    <phoneticPr fontId="1" type="noConversion"/>
  </si>
  <si>
    <t>yond</t>
    <phoneticPr fontId="1" type="noConversion"/>
  </si>
  <si>
    <t>bonsh</t>
    <phoneticPr fontId="1" type="noConversion"/>
  </si>
  <si>
    <t>so</t>
    <phoneticPr fontId="1" type="noConversion"/>
  </si>
  <si>
    <t>ch'ar</t>
    <phoneticPr fontId="1" type="noConversion"/>
  </si>
  <si>
    <t>perc</t>
    <phoneticPr fontId="1" type="noConversion"/>
  </si>
  <si>
    <t>desun</t>
    <phoneticPr fontId="1" type="noConversion"/>
  </si>
  <si>
    <t>tholda</t>
    <phoneticPr fontId="1" type="noConversion"/>
  </si>
  <si>
    <t>mintran</t>
    <phoneticPr fontId="1" type="noConversion"/>
  </si>
  <si>
    <t>papnac</t>
    <phoneticPr fontId="1" type="noConversion"/>
  </si>
  <si>
    <t>min</t>
    <phoneticPr fontId="1" type="noConversion"/>
  </si>
  <si>
    <t>gunlb</t>
    <phoneticPr fontId="1" type="noConversion"/>
  </si>
  <si>
    <t>nens</t>
    <phoneticPr fontId="1" type="noConversion"/>
  </si>
  <si>
    <t>caint</t>
    <phoneticPr fontId="1" type="noConversion"/>
  </si>
  <si>
    <t>clove</t>
    <phoneticPr fontId="1" type="noConversion"/>
  </si>
  <si>
    <t>paeun</t>
    <phoneticPr fontId="1" type="noConversion"/>
  </si>
  <si>
    <t>vil</t>
    <phoneticPr fontId="1" type="noConversion"/>
  </si>
  <si>
    <t>tanx</t>
    <phoneticPr fontId="1" type="noConversion"/>
  </si>
  <si>
    <t>prichanyregion</t>
    <phoneticPr fontId="1" type="noConversion"/>
  </si>
  <si>
    <t>gouvenorterry</t>
    <phoneticPr fontId="1" type="noConversion"/>
  </si>
  <si>
    <t>ojumintus</t>
    <phoneticPr fontId="1" type="noConversion"/>
  </si>
  <si>
    <t>otom'lig</t>
    <phoneticPr fontId="1" type="noConversion"/>
  </si>
  <si>
    <t>otomig</t>
    <phoneticPr fontId="1" type="noConversion"/>
  </si>
  <si>
    <t>undesnisumo</t>
    <phoneticPr fontId="1" type="noConversion"/>
  </si>
  <si>
    <t>et'nisum</t>
    <phoneticPr fontId="1" type="noConversion"/>
  </si>
  <si>
    <t>avtmicot</t>
    <phoneticPr fontId="1" type="noConversion"/>
  </si>
  <si>
    <t>otobanner</t>
    <phoneticPr fontId="1" type="noConversion"/>
  </si>
  <si>
    <t>sumtaos</t>
    <phoneticPr fontId="1" type="noConversion"/>
  </si>
  <si>
    <t>bona</t>
    <phoneticPr fontId="1" type="noConversion"/>
  </si>
  <si>
    <t>moun</t>
    <phoneticPr fontId="1" type="noConversion"/>
  </si>
  <si>
    <t>caudam</t>
    <phoneticPr fontId="1" type="noConversion"/>
  </si>
  <si>
    <t>duelesa</t>
    <phoneticPr fontId="1" type="noConversion"/>
  </si>
  <si>
    <t>troshis</t>
    <phoneticPr fontId="1" type="noConversion"/>
  </si>
  <si>
    <t>seomjed</t>
    <phoneticPr fontId="1" type="noConversion"/>
  </si>
  <si>
    <t>bêrontô</t>
    <phoneticPr fontId="1" type="noConversion"/>
  </si>
  <si>
    <t>metlan</t>
    <phoneticPr fontId="1" type="noConversion"/>
  </si>
  <si>
    <t>lâoturbir</t>
    <phoneticPr fontId="1" type="noConversion"/>
  </si>
  <si>
    <t>lâomer</t>
    <phoneticPr fontId="1" type="noConversion"/>
  </si>
  <si>
    <t>lâocihimmel</t>
    <phoneticPr fontId="1" type="noConversion"/>
  </si>
  <si>
    <t>lâocihimmer</t>
    <phoneticPr fontId="1" type="noConversion"/>
  </si>
  <si>
    <t>provincae</t>
    <phoneticPr fontId="1" type="noConversion"/>
  </si>
  <si>
    <t>dugoterry</t>
    <phoneticPr fontId="1" type="noConversion"/>
  </si>
  <si>
    <t>et'nibalnt</t>
    <phoneticPr fontId="1" type="noConversion"/>
  </si>
  <si>
    <t>yacontâ</t>
    <phoneticPr fontId="1" type="noConversion"/>
  </si>
  <si>
    <t>otocaunt</t>
    <phoneticPr fontId="1" type="noConversion"/>
  </si>
  <si>
    <t>blashic</t>
    <phoneticPr fontId="1" type="noConversion"/>
  </si>
  <si>
    <t>dosamchic</t>
    <phoneticPr fontId="1" type="noConversion"/>
  </si>
  <si>
    <t>specialchic</t>
    <phoneticPr fontId="1" type="noConversion"/>
  </si>
  <si>
    <t>upco</t>
    <phoneticPr fontId="1" type="noConversion"/>
  </si>
  <si>
    <t>cofo</t>
    <phoneticPr fontId="1" type="noConversion"/>
  </si>
  <si>
    <t>sago</t>
    <phoneticPr fontId="1" type="noConversion"/>
  </si>
  <si>
    <t>avto</t>
    <phoneticPr fontId="1" type="noConversion"/>
  </si>
  <si>
    <t>deserto</t>
    <phoneticPr fontId="1" type="noConversion"/>
  </si>
  <si>
    <t>6</t>
  </si>
  <si>
    <t>1,2-1</t>
    <phoneticPr fontId="1" type="noConversion"/>
  </si>
  <si>
    <t>0-4-1</t>
    <phoneticPr fontId="1" type="noConversion"/>
  </si>
  <si>
    <t>0-4-5</t>
    <phoneticPr fontId="1" type="noConversion"/>
  </si>
  <si>
    <t>0-4-4</t>
    <phoneticPr fontId="1" type="noConversion"/>
  </si>
  <si>
    <t>0-1-1</t>
    <phoneticPr fontId="1" type="noConversion"/>
  </si>
  <si>
    <t>0-1-5</t>
    <phoneticPr fontId="1" type="noConversion"/>
  </si>
  <si>
    <t>0-1-4</t>
    <phoneticPr fontId="1" type="noConversion"/>
  </si>
  <si>
    <t>0-5-1</t>
    <phoneticPr fontId="1" type="noConversion"/>
  </si>
  <si>
    <t>0-5-5</t>
    <phoneticPr fontId="1" type="noConversion"/>
  </si>
  <si>
    <t>0-5-4</t>
    <phoneticPr fontId="1" type="noConversion"/>
  </si>
  <si>
    <t>5-4</t>
    <phoneticPr fontId="1" type="noConversion"/>
  </si>
  <si>
    <t>dumarishalterry</t>
    <phoneticPr fontId="1" type="noConversion"/>
  </si>
  <si>
    <t>国王（男性）</t>
    <phoneticPr fontId="1" type="noConversion"/>
  </si>
  <si>
    <t>王后；女王</t>
    <phoneticPr fontId="1" type="noConversion"/>
  </si>
  <si>
    <t>皇后；女皇</t>
    <phoneticPr fontId="1" type="noConversion"/>
  </si>
  <si>
    <t>皇帝；女皇之夫</t>
    <phoneticPr fontId="1" type="noConversion"/>
  </si>
  <si>
    <t>王子；亲王</t>
    <phoneticPr fontId="1" type="noConversion"/>
  </si>
  <si>
    <t>公主；女亲王</t>
    <phoneticPr fontId="1" type="noConversion"/>
  </si>
  <si>
    <t>王子，亲王（未封爵）</t>
    <phoneticPr fontId="1" type="noConversion"/>
  </si>
  <si>
    <t>公主，女亲王（未封爵）</t>
    <phoneticPr fontId="1" type="noConversion"/>
  </si>
  <si>
    <t>居次，匈奴的公主</t>
    <phoneticPr fontId="1" type="noConversion"/>
  </si>
  <si>
    <t>公爵</t>
    <phoneticPr fontId="1" type="noConversion"/>
  </si>
  <si>
    <t>伯爵</t>
    <phoneticPr fontId="1" type="noConversion"/>
  </si>
  <si>
    <t>侯爵</t>
    <phoneticPr fontId="1" type="noConversion"/>
  </si>
  <si>
    <t>子爵</t>
    <phoneticPr fontId="1" type="noConversion"/>
  </si>
  <si>
    <t>男爵</t>
    <phoneticPr fontId="1" type="noConversion"/>
  </si>
  <si>
    <t>关内侯，指没有封地采邑的侯爵</t>
    <phoneticPr fontId="1" type="noConversion"/>
  </si>
  <si>
    <t>准男爵</t>
    <phoneticPr fontId="1" type="noConversion"/>
  </si>
  <si>
    <t>爵士</t>
    <phoneticPr fontId="1" type="noConversion"/>
  </si>
  <si>
    <t>lâo-</t>
    <phoneticPr fontId="1" type="noConversion"/>
  </si>
  <si>
    <t>avto-</t>
    <phoneticPr fontId="1" type="noConversion"/>
  </si>
  <si>
    <t>inr</t>
    <phoneticPr fontId="1" type="noConversion"/>
  </si>
  <si>
    <t>ede</t>
    <phoneticPr fontId="1" type="noConversion"/>
  </si>
  <si>
    <t>le</t>
    <phoneticPr fontId="1" type="noConversion"/>
  </si>
  <si>
    <t>hlu</t>
    <phoneticPr fontId="1" type="noConversion"/>
  </si>
  <si>
    <t>aulm</t>
    <phoneticPr fontId="1" type="noConversion"/>
  </si>
  <si>
    <t>nom</t>
    <phoneticPr fontId="1" type="noConversion"/>
  </si>
  <si>
    <t>abeij</t>
    <phoneticPr fontId="1" type="noConversion"/>
  </si>
  <si>
    <t>shir</t>
    <phoneticPr fontId="1" type="noConversion"/>
  </si>
  <si>
    <t>patra</t>
    <phoneticPr fontId="1" type="noConversion"/>
  </si>
  <si>
    <t>tha</t>
    <phoneticPr fontId="1" type="noConversion"/>
  </si>
  <si>
    <t>alias</t>
    <phoneticPr fontId="1" type="noConversion"/>
  </si>
  <si>
    <t>ehononom</t>
    <phoneticPr fontId="1" type="noConversion"/>
  </si>
  <si>
    <t>fecnom</t>
    <phoneticPr fontId="1" type="noConversion"/>
  </si>
  <si>
    <t>siplaznom</t>
    <phoneticPr fontId="1" type="noConversion"/>
  </si>
  <si>
    <t>poshiernom</t>
    <phoneticPr fontId="1" type="noConversion"/>
  </si>
  <si>
    <t>swentelinom</t>
    <phoneticPr fontId="1" type="noConversion"/>
  </si>
  <si>
    <t>naldenom</t>
    <phoneticPr fontId="1" type="noConversion"/>
  </si>
  <si>
    <t>ehonovifiqu'e</t>
    <phoneticPr fontId="1" type="noConversion"/>
  </si>
  <si>
    <t>jomirat</t>
    <phoneticPr fontId="1" type="noConversion"/>
  </si>
  <si>
    <t>desprecavifiqu'e</t>
    <phoneticPr fontId="1" type="noConversion"/>
  </si>
  <si>
    <t>vifiqu'e</t>
    <phoneticPr fontId="1" type="noConversion"/>
  </si>
  <si>
    <t>aomara</t>
    <phoneticPr fontId="1" type="noConversion"/>
  </si>
  <si>
    <t>civilzaon</t>
    <phoneticPr fontId="1" type="noConversion"/>
  </si>
  <si>
    <t>et'niqu'e</t>
    <phoneticPr fontId="1" type="noConversion"/>
  </si>
  <si>
    <t>ingual</t>
    <phoneticPr fontId="1" type="noConversion"/>
  </si>
  <si>
    <t>jagraf</t>
    <phoneticPr fontId="1" type="noConversion"/>
  </si>
  <si>
    <t>preshcigs</t>
    <phoneticPr fontId="1" type="noConversion"/>
  </si>
  <si>
    <t>mantaon</t>
    <phoneticPr fontId="1" type="noConversion"/>
  </si>
  <si>
    <t>platsia</t>
    <phoneticPr fontId="1" type="noConversion"/>
  </si>
  <si>
    <t>de temza zon</t>
    <phoneticPr fontId="1" type="noConversion"/>
  </si>
  <si>
    <t>agibt</t>
    <phoneticPr fontId="1" type="noConversion"/>
  </si>
  <si>
    <t>internacion</t>
    <phoneticPr fontId="1" type="noConversion"/>
  </si>
  <si>
    <t>internacional</t>
    <phoneticPr fontId="1" type="noConversion"/>
  </si>
  <si>
    <t>internationale</t>
    <phoneticPr fontId="1" type="noConversion"/>
  </si>
  <si>
    <t>riqu'a</t>
    <phoneticPr fontId="1" type="noConversion"/>
  </si>
  <si>
    <t>zon</t>
    <phoneticPr fontId="1" type="noConversion"/>
  </si>
  <si>
    <t>pruent</t>
    <phoneticPr fontId="1" type="noConversion"/>
  </si>
  <si>
    <t>mantoj</t>
    <phoneticPr fontId="1" type="noConversion"/>
  </si>
  <si>
    <t>lerzoe</t>
    <phoneticPr fontId="1" type="noConversion"/>
  </si>
  <si>
    <t>soatel</t>
    <phoneticPr fontId="1" type="noConversion"/>
  </si>
  <si>
    <t>bloc</t>
    <phoneticPr fontId="1" type="noConversion"/>
  </si>
  <si>
    <t>scet</t>
    <phoneticPr fontId="1" type="noConversion"/>
  </si>
  <si>
    <t>weracnag</t>
    <phoneticPr fontId="1" type="noConversion"/>
  </si>
  <si>
    <t>mozciat</t>
    <phoneticPr fontId="1" type="noConversion"/>
  </si>
  <si>
    <t>rethon</t>
    <phoneticPr fontId="1" type="noConversion"/>
  </si>
  <si>
    <t>pruziass</t>
    <phoneticPr fontId="1" type="noConversion"/>
  </si>
  <si>
    <t>asiyatec</t>
    <phoneticPr fontId="1" type="noConversion"/>
  </si>
  <si>
    <t>resultir</t>
    <phoneticPr fontId="1" type="noConversion"/>
  </si>
  <si>
    <t>necitomis</t>
    <phoneticPr fontId="1" type="noConversion"/>
  </si>
  <si>
    <t>gavrert</t>
    <phoneticPr fontId="1" type="noConversion"/>
  </si>
  <si>
    <t>lesa</t>
    <phoneticPr fontId="1" type="noConversion"/>
  </si>
  <si>
    <t>lugo</t>
    <phoneticPr fontId="1" type="noConversion"/>
  </si>
  <si>
    <t>bodimos</t>
    <phoneticPr fontId="1" type="noConversion"/>
  </si>
  <si>
    <t>tovemchat</t>
    <phoneticPr fontId="1" type="noConversion"/>
  </si>
  <si>
    <t>neches</t>
    <phoneticPr fontId="1" type="noConversion"/>
  </si>
  <si>
    <t>lôjic</t>
    <phoneticPr fontId="1" type="noConversion"/>
  </si>
  <si>
    <t>coment</t>
    <phoneticPr fontId="1" type="noConversion"/>
  </si>
  <si>
    <t>ocnam</t>
    <phoneticPr fontId="1" type="noConversion"/>
  </si>
  <si>
    <t>viecinu</t>
    <phoneticPr fontId="1" type="noConversion"/>
  </si>
  <si>
    <t>shapvosas</t>
    <phoneticPr fontId="1" type="noConversion"/>
  </si>
  <si>
    <t>motonizoc</t>
    <phoneticPr fontId="1" type="noConversion"/>
  </si>
  <si>
    <t>zaluce</t>
    <phoneticPr fontId="1" type="noConversion"/>
  </si>
  <si>
    <t>spemra</t>
    <phoneticPr fontId="1" type="noConversion"/>
  </si>
  <si>
    <t>alzamdef</t>
    <phoneticPr fontId="1" type="noConversion"/>
  </si>
  <si>
    <t>ithos</t>
    <phoneticPr fontId="1" type="noConversion"/>
  </si>
  <si>
    <t>dujir</t>
    <phoneticPr fontId="1" type="noConversion"/>
  </si>
  <si>
    <t>muchta</t>
    <phoneticPr fontId="1" type="noConversion"/>
  </si>
  <si>
    <t>charamno</t>
    <phoneticPr fontId="1" type="noConversion"/>
  </si>
  <si>
    <t>natrun</t>
    <phoneticPr fontId="1" type="noConversion"/>
  </si>
  <si>
    <t>menbunc</t>
    <phoneticPr fontId="1" type="noConversion"/>
  </si>
  <si>
    <t>pamcer</t>
    <phoneticPr fontId="1" type="noConversion"/>
  </si>
  <si>
    <t>eufatag</t>
    <phoneticPr fontId="1" type="noConversion"/>
  </si>
  <si>
    <t>denatol</t>
    <phoneticPr fontId="1" type="noConversion"/>
  </si>
  <si>
    <t>resutm</t>
    <phoneticPr fontId="1" type="noConversion"/>
  </si>
  <si>
    <t>postatum</t>
    <phoneticPr fontId="1" type="noConversion"/>
  </si>
  <si>
    <t>mocuctan</t>
    <phoneticPr fontId="1" type="noConversion"/>
  </si>
  <si>
    <t>hjumanithy</t>
    <phoneticPr fontId="1" type="noConversion"/>
  </si>
  <si>
    <t>brobevin</t>
    <phoneticPr fontId="1" type="noConversion"/>
  </si>
  <si>
    <t>tronsaul</t>
    <phoneticPr fontId="1" type="noConversion"/>
  </si>
  <si>
    <t>aricema</t>
    <phoneticPr fontId="1" type="noConversion"/>
  </si>
  <si>
    <t>hafitiom</t>
    <phoneticPr fontId="1" type="noConversion"/>
  </si>
  <si>
    <t>negeomal</t>
    <phoneticPr fontId="1" type="noConversion"/>
  </si>
  <si>
    <t>zaracatur</t>
    <phoneticPr fontId="1" type="noConversion"/>
  </si>
  <si>
    <t>encuisna</t>
    <phoneticPr fontId="1" type="noConversion"/>
  </si>
  <si>
    <t>ganceto</t>
    <phoneticPr fontId="1" type="noConversion"/>
  </si>
  <si>
    <t>cointacseum</t>
    <phoneticPr fontId="1" type="noConversion"/>
  </si>
  <si>
    <t>forteleris</t>
    <phoneticPr fontId="1" type="noConversion"/>
  </si>
  <si>
    <t>dicitory</t>
    <phoneticPr fontId="1" type="noConversion"/>
  </si>
  <si>
    <t>tonnage</t>
    <phoneticPr fontId="1" type="noConversion"/>
  </si>
  <si>
    <t>jasnt</t>
    <phoneticPr fontId="1" type="noConversion"/>
  </si>
  <si>
    <t>tevarehâ</t>
    <phoneticPr fontId="1" type="noConversion"/>
  </si>
  <si>
    <t>rajice</t>
    <phoneticPr fontId="1" type="noConversion"/>
  </si>
  <si>
    <t>wimenie</t>
    <phoneticPr fontId="1" type="noConversion"/>
  </si>
  <si>
    <t>acereditis</t>
    <phoneticPr fontId="1" type="noConversion"/>
  </si>
  <si>
    <t>nauson</t>
    <phoneticPr fontId="1" type="noConversion"/>
  </si>
  <si>
    <t>talant</t>
    <phoneticPr fontId="1" type="noConversion"/>
  </si>
  <si>
    <t>natec</t>
    <phoneticPr fontId="1" type="noConversion"/>
  </si>
  <si>
    <t>annimo</t>
    <phoneticPr fontId="1" type="noConversion"/>
  </si>
  <si>
    <t>stamc</t>
    <phoneticPr fontId="1" type="noConversion"/>
  </si>
  <si>
    <t>emocion</t>
    <phoneticPr fontId="1" type="noConversion"/>
  </si>
  <si>
    <t>tempera</t>
    <phoneticPr fontId="1" type="noConversion"/>
  </si>
  <si>
    <t>spiritus</t>
    <phoneticPr fontId="1" type="noConversion"/>
  </si>
  <si>
    <t>tôn</t>
    <phoneticPr fontId="1" type="noConversion"/>
  </si>
  <si>
    <t>sels</t>
    <phoneticPr fontId="1" type="noConversion"/>
  </si>
  <si>
    <t>safvihen</t>
    <phoneticPr fontId="1" type="noConversion"/>
  </si>
  <si>
    <t>sofvihen</t>
    <phoneticPr fontId="1" type="noConversion"/>
  </si>
  <si>
    <t>sofihen</t>
    <phoneticPr fontId="1" type="noConversion"/>
  </si>
  <si>
    <t>celon</t>
    <phoneticPr fontId="1" type="noConversion"/>
  </si>
  <si>
    <t>sagâr</t>
    <phoneticPr fontId="1" type="noConversion"/>
  </si>
  <si>
    <t>munten</t>
    <phoneticPr fontId="1" type="noConversion"/>
  </si>
  <si>
    <t>tecnot'he</t>
    <phoneticPr fontId="1" type="noConversion"/>
  </si>
  <si>
    <t>risin</t>
    <phoneticPr fontId="1" type="noConversion"/>
  </si>
  <si>
    <t>erenent</t>
    <phoneticPr fontId="1" type="noConversion"/>
  </si>
  <si>
    <t>tithanf</t>
    <phoneticPr fontId="1" type="noConversion"/>
  </si>
  <si>
    <t>ducrit</t>
    <phoneticPr fontId="1" type="noConversion"/>
  </si>
  <si>
    <t>cemsecion</t>
    <phoneticPr fontId="1" type="noConversion"/>
  </si>
  <si>
    <t>big'nictur</t>
    <phoneticPr fontId="1" type="noConversion"/>
  </si>
  <si>
    <t>vogunpise</t>
    <phoneticPr fontId="1" type="noConversion"/>
  </si>
  <si>
    <t>loigt</t>
    <phoneticPr fontId="1" type="noConversion"/>
  </si>
  <si>
    <t>cuanis</t>
    <phoneticPr fontId="1" type="noConversion"/>
  </si>
  <si>
    <t>rethea</t>
    <phoneticPr fontId="1" type="noConversion"/>
  </si>
  <si>
    <t>vicira</t>
    <phoneticPr fontId="1" type="noConversion"/>
  </si>
  <si>
    <t>reschertium</t>
    <phoneticPr fontId="1" type="noConversion"/>
  </si>
  <si>
    <t>therz</t>
    <phoneticPr fontId="1" type="noConversion"/>
  </si>
  <si>
    <t>axiom</t>
    <phoneticPr fontId="1" type="noConversion"/>
  </si>
  <si>
    <t>iden</t>
    <phoneticPr fontId="1" type="noConversion"/>
  </si>
  <si>
    <t>pecet</t>
    <phoneticPr fontId="1" type="noConversion"/>
  </si>
  <si>
    <t>ahecus</t>
    <phoneticPr fontId="1" type="noConversion"/>
  </si>
  <si>
    <t>bovenne</t>
    <phoneticPr fontId="1" type="noConversion"/>
  </si>
  <si>
    <t>efeiuca</t>
    <phoneticPr fontId="1" type="noConversion"/>
  </si>
  <si>
    <t>ferlianna</t>
    <phoneticPr fontId="1" type="noConversion"/>
  </si>
  <si>
    <t>efectiv</t>
    <phoneticPr fontId="1" type="noConversion"/>
  </si>
  <si>
    <t>ticare</t>
    <phoneticPr fontId="1" type="noConversion"/>
  </si>
  <si>
    <t>havdrar</t>
    <phoneticPr fontId="1" type="noConversion"/>
  </si>
  <si>
    <t>douvusar</t>
    <phoneticPr fontId="1" type="noConversion"/>
  </si>
  <si>
    <t>simbolez</t>
    <phoneticPr fontId="1" type="noConversion"/>
  </si>
  <si>
    <t>sebpowy</t>
    <phoneticPr fontId="1" type="noConversion"/>
  </si>
  <si>
    <t>saratan</t>
    <phoneticPr fontId="1" type="noConversion"/>
  </si>
  <si>
    <t>menteu</t>
    <phoneticPr fontId="1" type="noConversion"/>
  </si>
  <si>
    <t>pefech</t>
    <phoneticPr fontId="1" type="noConversion"/>
  </si>
  <si>
    <t>ete</t>
    <phoneticPr fontId="1" type="noConversion"/>
  </si>
  <si>
    <t>berdeur</t>
    <phoneticPr fontId="1" type="noConversion"/>
  </si>
  <si>
    <t>balnizam</t>
    <phoneticPr fontId="1" type="noConversion"/>
  </si>
  <si>
    <t>pruntent</t>
    <phoneticPr fontId="1" type="noConversion"/>
  </si>
  <si>
    <t>costammianc</t>
    <phoneticPr fontId="1" type="noConversion"/>
  </si>
  <si>
    <t>polisium</t>
    <phoneticPr fontId="1" type="noConversion"/>
  </si>
  <si>
    <t>poli</t>
    <phoneticPr fontId="1" type="noConversion"/>
  </si>
  <si>
    <t>az'rwaus</t>
    <phoneticPr fontId="1" type="noConversion"/>
  </si>
  <si>
    <t>hinbace</t>
    <phoneticPr fontId="1" type="noConversion"/>
  </si>
  <si>
    <t>tsaranis</t>
    <phoneticPr fontId="1" type="noConversion"/>
  </si>
  <si>
    <t>andân</t>
    <phoneticPr fontId="1" type="noConversion"/>
  </si>
  <si>
    <t>mod</t>
    <phoneticPr fontId="1" type="noConversion"/>
  </si>
  <si>
    <t>ganscecion</t>
    <phoneticPr fontId="1" type="noConversion"/>
  </si>
  <si>
    <t>tarcavuty</t>
    <phoneticPr fontId="1" type="noConversion"/>
  </si>
  <si>
    <t>pumzetony</t>
    <phoneticPr fontId="1" type="noConversion"/>
  </si>
  <si>
    <t>murazum</t>
    <phoneticPr fontId="1" type="noConversion"/>
  </si>
  <si>
    <t>sertâfio</t>
    <phoneticPr fontId="1" type="noConversion"/>
  </si>
  <si>
    <t>tacist</t>
    <phoneticPr fontId="1" type="noConversion"/>
  </si>
  <si>
    <t>comje</t>
    <phoneticPr fontId="1" type="noConversion"/>
  </si>
  <si>
    <t>damutam</t>
    <phoneticPr fontId="1" type="noConversion"/>
  </si>
  <si>
    <t>asetont</t>
    <phoneticPr fontId="1" type="noConversion"/>
  </si>
  <si>
    <t>oticman</t>
    <phoneticPr fontId="1" type="noConversion"/>
  </si>
  <si>
    <t>mannesca</t>
    <phoneticPr fontId="1" type="noConversion"/>
  </si>
  <si>
    <t>robot</t>
    <phoneticPr fontId="1" type="noConversion"/>
  </si>
  <si>
    <t>audio</t>
    <phoneticPr fontId="1" type="noConversion"/>
  </si>
  <si>
    <t>sirimonia</t>
    <phoneticPr fontId="1" type="noConversion"/>
  </si>
  <si>
    <t>testuca</t>
    <phoneticPr fontId="1" type="noConversion"/>
  </si>
  <si>
    <t>fidio</t>
    <phoneticPr fontId="1" type="noConversion"/>
  </si>
  <si>
    <t>eliu</t>
    <phoneticPr fontId="1" type="noConversion"/>
  </si>
  <si>
    <t>diclo</t>
    <phoneticPr fontId="1" type="noConversion"/>
  </si>
  <si>
    <t>soviet</t>
    <phoneticPr fontId="1" type="noConversion"/>
  </si>
  <si>
    <t>enerus</t>
    <phoneticPr fontId="1" type="noConversion"/>
  </si>
  <si>
    <t>ovanet</t>
    <phoneticPr fontId="1" type="noConversion"/>
  </si>
  <si>
    <t>corparasht</t>
    <phoneticPr fontId="1" type="noConversion"/>
  </si>
  <si>
    <t>taigean</t>
    <phoneticPr fontId="1" type="noConversion"/>
  </si>
  <si>
    <t>cumpania</t>
    <phoneticPr fontId="1" type="noConversion"/>
  </si>
  <si>
    <t>manie</t>
    <phoneticPr fontId="1" type="noConversion"/>
  </si>
  <si>
    <t>tape</t>
    <phoneticPr fontId="1" type="noConversion"/>
  </si>
  <si>
    <t>dao</t>
    <phoneticPr fontId="1" type="noConversion"/>
  </si>
  <si>
    <t>vetijs</t>
    <phoneticPr fontId="1" type="noConversion"/>
  </si>
  <si>
    <t>dizcart</t>
    <phoneticPr fontId="1" type="noConversion"/>
  </si>
  <si>
    <t>secleba</t>
    <phoneticPr fontId="1" type="noConversion"/>
  </si>
  <si>
    <t>cavata</t>
    <phoneticPr fontId="1" type="noConversion"/>
  </si>
  <si>
    <t>rancan</t>
    <phoneticPr fontId="1" type="noConversion"/>
  </si>
  <si>
    <t>stova</t>
    <phoneticPr fontId="1" type="noConversion"/>
  </si>
  <si>
    <t>gocter</t>
    <phoneticPr fontId="1" type="noConversion"/>
  </si>
  <si>
    <t>daqiqu'orineim</t>
    <phoneticPr fontId="1" type="noConversion"/>
  </si>
  <si>
    <t>tangoscard</t>
    <phoneticPr fontId="1" type="noConversion"/>
  </si>
  <si>
    <t>destajnt</t>
    <phoneticPr fontId="1" type="noConversion"/>
  </si>
  <si>
    <t>fascorzle</t>
    <phoneticPr fontId="1" type="noConversion"/>
  </si>
  <si>
    <t>militieria</t>
    <phoneticPr fontId="1" type="noConversion"/>
  </si>
  <si>
    <t>cemondis</t>
    <phoneticPr fontId="1" type="noConversion"/>
  </si>
  <si>
    <t>iteleabo</t>
    <phoneticPr fontId="1" type="noConversion"/>
  </si>
  <si>
    <t>scancot</t>
    <phoneticPr fontId="1" type="noConversion"/>
  </si>
  <si>
    <t>jalindon</t>
    <phoneticPr fontId="1" type="noConversion"/>
  </si>
  <si>
    <t>canot</t>
    <phoneticPr fontId="1" type="noConversion"/>
  </si>
  <si>
    <t>gajas</t>
    <phoneticPr fontId="1" type="noConversion"/>
  </si>
  <si>
    <t>corodha</t>
    <phoneticPr fontId="1" type="noConversion"/>
  </si>
  <si>
    <t>indfic</t>
    <phoneticPr fontId="1" type="noConversion"/>
  </si>
  <si>
    <t>finda</t>
    <phoneticPr fontId="1" type="noConversion"/>
  </si>
  <si>
    <t>indis</t>
    <phoneticPr fontId="1" type="noConversion"/>
  </si>
  <si>
    <t>centre</t>
    <phoneticPr fontId="1" type="noConversion"/>
  </si>
  <si>
    <t>mugio</t>
    <phoneticPr fontId="1" type="noConversion"/>
  </si>
  <si>
    <t>focusotas</t>
    <phoneticPr fontId="1" type="noConversion"/>
  </si>
  <si>
    <t>fecno</t>
    <phoneticPr fontId="1" type="noConversion"/>
  </si>
  <si>
    <t>pege</t>
    <phoneticPr fontId="1" type="noConversion"/>
  </si>
  <si>
    <t>steme</t>
    <phoneticPr fontId="1" type="noConversion"/>
  </si>
  <si>
    <t>iczamin</t>
    <phoneticPr fontId="1" type="noConversion"/>
  </si>
  <si>
    <t>seaqu'us</t>
    <phoneticPr fontId="1" type="noConversion"/>
  </si>
  <si>
    <t>egetiset</t>
    <phoneticPr fontId="1" type="noConversion"/>
  </si>
  <si>
    <t>umlebob</t>
    <phoneticPr fontId="1" type="noConversion"/>
  </si>
  <si>
    <t>podenca</t>
    <phoneticPr fontId="1" type="noConversion"/>
  </si>
  <si>
    <t>dereta</t>
    <phoneticPr fontId="1" type="noConversion"/>
  </si>
  <si>
    <t>bevo</t>
    <phoneticPr fontId="1" type="noConversion"/>
  </si>
  <si>
    <t>enscal</t>
    <phoneticPr fontId="1" type="noConversion"/>
  </si>
  <si>
    <t>fedeasis</t>
    <phoneticPr fontId="1" type="noConversion"/>
  </si>
  <si>
    <t>medhi</t>
    <phoneticPr fontId="1" type="noConversion"/>
  </si>
  <si>
    <t>vetur</t>
    <phoneticPr fontId="1" type="noConversion"/>
  </si>
  <si>
    <t>santo</t>
    <phoneticPr fontId="1" type="noConversion"/>
  </si>
  <si>
    <t>cadimga</t>
    <phoneticPr fontId="1" type="noConversion"/>
  </si>
  <si>
    <t>isuniar</t>
    <phoneticPr fontId="1" type="noConversion"/>
  </si>
  <si>
    <t>jatsjcis</t>
    <phoneticPr fontId="1" type="noConversion"/>
  </si>
  <si>
    <t>minie</t>
    <phoneticPr fontId="1" type="noConversion"/>
  </si>
  <si>
    <t>qu'alita</t>
    <phoneticPr fontId="1" type="noConversion"/>
  </si>
  <si>
    <t>veczil</t>
    <phoneticPr fontId="1" type="noConversion"/>
  </si>
  <si>
    <t>radio</t>
    <phoneticPr fontId="1" type="noConversion"/>
  </si>
  <si>
    <t>devuss</t>
    <phoneticPr fontId="1" type="noConversion"/>
  </si>
  <si>
    <t>matny</t>
    <phoneticPr fontId="1" type="noConversion"/>
  </si>
  <si>
    <t>cadal</t>
    <phoneticPr fontId="1" type="noConversion"/>
  </si>
  <si>
    <t>scasir</t>
    <phoneticPr fontId="1" type="noConversion"/>
  </si>
  <si>
    <t>agoredo</t>
    <phoneticPr fontId="1" type="noConversion"/>
  </si>
  <si>
    <t>eudamanda</t>
    <phoneticPr fontId="1" type="noConversion"/>
  </si>
  <si>
    <t>ranveguly</t>
    <phoneticPr fontId="1" type="noConversion"/>
  </si>
  <si>
    <t>rêchto</t>
    <phoneticPr fontId="1" type="noConversion"/>
  </si>
  <si>
    <t>udevac</t>
    <phoneticPr fontId="1" type="noConversion"/>
  </si>
  <si>
    <t>ras</t>
    <phoneticPr fontId="1" type="noConversion"/>
  </si>
  <si>
    <t>retfic</t>
    <phoneticPr fontId="1" type="noConversion"/>
  </si>
  <si>
    <t>mogen</t>
    <phoneticPr fontId="1" type="noConversion"/>
  </si>
  <si>
    <t>epeby</t>
    <phoneticPr fontId="1" type="noConversion"/>
  </si>
  <si>
    <t>guvitut</t>
    <phoneticPr fontId="1" type="noConversion"/>
  </si>
  <si>
    <t>hôser</t>
    <phoneticPr fontId="1" type="noConversion"/>
  </si>
  <si>
    <t>muzbecer</t>
    <phoneticPr fontId="1" type="noConversion"/>
  </si>
  <si>
    <t>crig</t>
    <phoneticPr fontId="1" type="noConversion"/>
  </si>
  <si>
    <t>tawabeya</t>
    <phoneticPr fontId="1" type="noConversion"/>
  </si>
  <si>
    <t>beca</t>
    <phoneticPr fontId="1" type="noConversion"/>
  </si>
  <si>
    <t>陛下</t>
    <phoneticPr fontId="1" type="noConversion"/>
  </si>
  <si>
    <t>殿下</t>
    <phoneticPr fontId="1" type="noConversion"/>
  </si>
  <si>
    <t>领主，大人；主人</t>
    <phoneticPr fontId="1" type="noConversion"/>
  </si>
  <si>
    <t>可汗</t>
    <phoneticPr fontId="1" type="noConversion"/>
  </si>
  <si>
    <t>可敦</t>
    <phoneticPr fontId="1" type="noConversion"/>
  </si>
  <si>
    <t>熙德，首领</t>
    <phoneticPr fontId="1" type="noConversion"/>
  </si>
  <si>
    <t>《埃尔熙德》一部西班牙史诗</t>
    <phoneticPr fontId="1" type="noConversion"/>
  </si>
  <si>
    <t>教皇</t>
    <phoneticPr fontId="1" type="noConversion"/>
  </si>
  <si>
    <t>主教</t>
    <phoneticPr fontId="1" type="noConversion"/>
  </si>
  <si>
    <t>大主教，枢机主教，红衣主教</t>
    <phoneticPr fontId="1" type="noConversion"/>
  </si>
  <si>
    <t>主席</t>
    <phoneticPr fontId="1" type="noConversion"/>
  </si>
  <si>
    <t>总统</t>
    <phoneticPr fontId="1" type="noConversion"/>
  </si>
  <si>
    <t>首相，宰相；总理</t>
    <phoneticPr fontId="1" type="noConversion"/>
  </si>
  <si>
    <t>长老</t>
    <phoneticPr fontId="1" type="noConversion"/>
  </si>
  <si>
    <t>埃米尔</t>
    <phoneticPr fontId="1" type="noConversion"/>
  </si>
  <si>
    <t>储君</t>
    <phoneticPr fontId="1" type="noConversion"/>
  </si>
  <si>
    <t>诸侯，大封建领主</t>
    <phoneticPr fontId="1" type="noConversion"/>
  </si>
  <si>
    <t>嫔妃</t>
    <phoneticPr fontId="1" type="noConversion"/>
  </si>
  <si>
    <t>王妃，贵妃</t>
    <phoneticPr fontId="1" type="noConversion"/>
  </si>
  <si>
    <t>驸马，公主之夫</t>
    <phoneticPr fontId="1" type="noConversion"/>
  </si>
  <si>
    <t>皇室</t>
    <phoneticPr fontId="1" type="noConversion"/>
  </si>
  <si>
    <t>王室</t>
    <phoneticPr fontId="1" type="noConversion"/>
  </si>
  <si>
    <t>嫡</t>
    <phoneticPr fontId="1" type="noConversion"/>
  </si>
  <si>
    <t>庶</t>
    <phoneticPr fontId="1" type="noConversion"/>
  </si>
  <si>
    <t>国家元首</t>
    <phoneticPr fontId="1" type="noConversion"/>
  </si>
  <si>
    <t>元首</t>
    <phoneticPr fontId="1" type="noConversion"/>
  </si>
  <si>
    <t>贵族</t>
    <phoneticPr fontId="1" type="noConversion"/>
  </si>
  <si>
    <t>（古罗马）执政官</t>
    <phoneticPr fontId="1" type="noConversion"/>
  </si>
  <si>
    <t>达赖喇嘛</t>
    <phoneticPr fontId="1" type="noConversion"/>
  </si>
  <si>
    <t>班禅额尔德尼</t>
    <phoneticPr fontId="1" type="noConversion"/>
  </si>
  <si>
    <t>第巴，藏王</t>
    <phoneticPr fontId="1" type="noConversion"/>
  </si>
  <si>
    <t>（满洲）福晋，嫔妃</t>
    <phoneticPr fontId="1" type="noConversion"/>
  </si>
  <si>
    <t>章嘉呼图克图</t>
    <phoneticPr fontId="1" type="noConversion"/>
  </si>
  <si>
    <t>王太后</t>
    <phoneticPr fontId="1" type="noConversion"/>
  </si>
  <si>
    <t>皇太后</t>
    <phoneticPr fontId="1" type="noConversion"/>
  </si>
  <si>
    <t>太皇太后</t>
    <phoneticPr fontId="1" type="noConversion"/>
  </si>
  <si>
    <t>太上皇</t>
    <phoneticPr fontId="1" type="noConversion"/>
  </si>
  <si>
    <t>太上太皇帝</t>
    <phoneticPr fontId="1" type="noConversion"/>
  </si>
  <si>
    <t>太上王</t>
    <phoneticPr fontId="1" type="noConversion"/>
  </si>
  <si>
    <t>哈里发</t>
    <phoneticPr fontId="1" type="noConversion"/>
  </si>
  <si>
    <t>凯撒，古罗马皇帝</t>
    <phoneticPr fontId="1" type="noConversion"/>
  </si>
  <si>
    <t>奥古斯都，古罗马副皇帝</t>
    <phoneticPr fontId="1" type="noConversion"/>
  </si>
  <si>
    <t>公孙，国王之孙</t>
    <phoneticPr fontId="1" type="noConversion"/>
  </si>
  <si>
    <t>（女）公孙，国王之孙女</t>
    <phoneticPr fontId="1" type="noConversion"/>
  </si>
  <si>
    <t>王孙，皇帝之孙</t>
    <phoneticPr fontId="1" type="noConversion"/>
  </si>
  <si>
    <t>（女）王孙，皇帝之孙女</t>
    <phoneticPr fontId="1" type="noConversion"/>
  </si>
  <si>
    <t>（印度）土王</t>
    <phoneticPr fontId="1" type="noConversion"/>
  </si>
  <si>
    <t>（印度）女土王；土王之妻</t>
    <phoneticPr fontId="1" type="noConversion"/>
  </si>
  <si>
    <t>单于，匈奴君主</t>
    <phoneticPr fontId="1" type="noConversion"/>
  </si>
  <si>
    <t>天皇，日本君主</t>
    <phoneticPr fontId="1" type="noConversion"/>
  </si>
  <si>
    <t>沙皇</t>
    <phoneticPr fontId="1" type="noConversion"/>
  </si>
  <si>
    <t>法老，古埃及君主</t>
    <phoneticPr fontId="1" type="noConversion"/>
  </si>
  <si>
    <t>沙，沙阿，波斯君主</t>
    <phoneticPr fontId="1" type="noConversion"/>
  </si>
  <si>
    <t>共和国</t>
    <phoneticPr fontId="1" type="noConversion"/>
  </si>
  <si>
    <t>人民民主共和国</t>
    <phoneticPr fontId="1" type="noConversion"/>
  </si>
  <si>
    <t>联邦，联合（王）国，联盟国</t>
    <phoneticPr fontId="1" type="noConversion"/>
  </si>
  <si>
    <t>国家，国；州</t>
    <phoneticPr fontId="1" type="noConversion"/>
  </si>
  <si>
    <t>国，国家</t>
    <phoneticPr fontId="1" type="noConversion"/>
  </si>
  <si>
    <t>国，国家；民族；国籍</t>
    <phoneticPr fontId="1" type="noConversion"/>
  </si>
  <si>
    <t>城邦</t>
    <phoneticPr fontId="1" type="noConversion"/>
  </si>
  <si>
    <t>帝国，以皇帝为最高君主的国家；经济或文化上的支配性实体</t>
    <phoneticPr fontId="1" type="noConversion"/>
  </si>
  <si>
    <t>王朝，朝代</t>
    <phoneticPr fontId="1" type="noConversion"/>
  </si>
  <si>
    <t>邦联，若干个主权国家为了特定目的组成极其松散的国家联盟</t>
    <phoneticPr fontId="1" type="noConversion"/>
  </si>
  <si>
    <t>王国</t>
    <phoneticPr fontId="1" type="noConversion"/>
  </si>
  <si>
    <t>公国，atec.: d.c.d.</t>
    <phoneticPr fontId="1" type="noConversion"/>
  </si>
  <si>
    <t>公爵封地，atec.: d.c.f.</t>
    <phoneticPr fontId="1" type="noConversion"/>
  </si>
  <si>
    <t>公爵封地，atec.: d.c.t.</t>
    <phoneticPr fontId="1" type="noConversion"/>
  </si>
  <si>
    <t>公爵封地，atec.: d.c.m.</t>
    <phoneticPr fontId="1" type="noConversion"/>
  </si>
  <si>
    <t>封建；分封制，封建制；封地，封土裂疆</t>
    <phoneticPr fontId="1" type="noConversion"/>
  </si>
  <si>
    <t>教权政体</t>
    <phoneticPr fontId="1" type="noConversion"/>
  </si>
  <si>
    <t>侯国，atec.: d.m.d.</t>
    <phoneticPr fontId="1" type="noConversion"/>
  </si>
  <si>
    <t>侯爵封地，atec.: d.m.f.</t>
    <phoneticPr fontId="1" type="noConversion"/>
  </si>
  <si>
    <t>侯爵封地，atec.: d.m.t.</t>
    <phoneticPr fontId="1" type="noConversion"/>
  </si>
  <si>
    <t>侯爵封地，atec.: d.m.m.</t>
    <phoneticPr fontId="1" type="noConversion"/>
  </si>
  <si>
    <t>伯国，atec.: d.l.d.</t>
    <phoneticPr fontId="1" type="noConversion"/>
  </si>
  <si>
    <t>伯爵封地，atec.: d.l.f.</t>
    <phoneticPr fontId="1" type="noConversion"/>
  </si>
  <si>
    <t>伯爵封地，atec.: d.l.t.</t>
    <phoneticPr fontId="1" type="noConversion"/>
  </si>
  <si>
    <t>伯爵封地，atec.: d.l.m.</t>
    <phoneticPr fontId="1" type="noConversion"/>
  </si>
  <si>
    <t>子国，atec.: d.v.d.</t>
    <phoneticPr fontId="1" type="noConversion"/>
  </si>
  <si>
    <t>子爵封地，atec.: d.v.f.</t>
    <phoneticPr fontId="1" type="noConversion"/>
  </si>
  <si>
    <t>子爵封地，atec.: d.v.t.</t>
    <phoneticPr fontId="1" type="noConversion"/>
  </si>
  <si>
    <t>子爵封地，atec.: d.v.m.</t>
    <phoneticPr fontId="1" type="noConversion"/>
  </si>
  <si>
    <t>男国，atec.: d.b.d.</t>
    <phoneticPr fontId="1" type="noConversion"/>
  </si>
  <si>
    <t>男爵封地，atec.: d.b.f.</t>
    <phoneticPr fontId="1" type="noConversion"/>
  </si>
  <si>
    <t>男爵封地，atec.: d.b.t.</t>
    <phoneticPr fontId="1" type="noConversion"/>
  </si>
  <si>
    <t>男爵封地，atec.: d.b.m.</t>
    <phoneticPr fontId="1" type="noConversion"/>
  </si>
  <si>
    <t>附属国</t>
    <phoneticPr fontId="1" type="noConversion"/>
  </si>
  <si>
    <t>宗主国</t>
    <phoneticPr fontId="1" type="noConversion"/>
  </si>
  <si>
    <t>仆从国</t>
    <phoneticPr fontId="1" type="noConversion"/>
  </si>
  <si>
    <t>汗国</t>
    <phoneticPr fontId="1" type="noConversion"/>
  </si>
  <si>
    <t>哈里发国</t>
    <phoneticPr fontId="1" type="noConversion"/>
  </si>
  <si>
    <t>sultanata</t>
    <phoneticPr fontId="1" type="noConversion"/>
  </si>
  <si>
    <t>苏丹国</t>
    <phoneticPr fontId="1" type="noConversion"/>
  </si>
  <si>
    <t>轴心国</t>
    <phoneticPr fontId="1" type="noConversion"/>
  </si>
  <si>
    <t>同盟国</t>
    <phoneticPr fontId="1" type="noConversion"/>
  </si>
  <si>
    <t>协约国</t>
    <phoneticPr fontId="1" type="noConversion"/>
  </si>
  <si>
    <t>部落</t>
    <phoneticPr fontId="1" type="noConversion"/>
  </si>
  <si>
    <t>部落，氏族</t>
    <phoneticPr fontId="1" type="noConversion"/>
  </si>
  <si>
    <t>联盟</t>
    <phoneticPr fontId="1" type="noConversion"/>
  </si>
  <si>
    <t>君主</t>
    <phoneticPr fontId="1" type="noConversion"/>
  </si>
  <si>
    <t>立宪君主；君主立宪制</t>
    <phoneticPr fontId="1" type="noConversion"/>
  </si>
  <si>
    <t>宪法</t>
    <phoneticPr fontId="1" type="noConversion"/>
  </si>
  <si>
    <t>聚落</t>
    <phoneticPr fontId="1" type="noConversion"/>
  </si>
  <si>
    <t>藩属国，附属国</t>
    <phoneticPr fontId="1" type="noConversion"/>
  </si>
  <si>
    <t>封建制</t>
    <phoneticPr fontId="1" type="noConversion"/>
  </si>
  <si>
    <t>奴隶制</t>
    <phoneticPr fontId="1" type="noConversion"/>
  </si>
  <si>
    <t>分封制下由分封而形成的属国</t>
    <phoneticPr fontId="1" type="noConversion"/>
  </si>
  <si>
    <t>中央集权</t>
    <phoneticPr fontId="1" type="noConversion"/>
  </si>
  <si>
    <t>城市</t>
    <phoneticPr fontId="1" type="noConversion"/>
  </si>
  <si>
    <t>（行政区划上）省</t>
    <phoneticPr fontId="1" type="noConversion"/>
  </si>
  <si>
    <t>（行政区划上）市</t>
    <phoneticPr fontId="1" type="noConversion"/>
  </si>
  <si>
    <t>（行政区划上）区</t>
    <phoneticPr fontId="1" type="noConversion"/>
  </si>
  <si>
    <t>（行政区划上）乡</t>
    <phoneticPr fontId="1" type="noConversion"/>
  </si>
  <si>
    <t>（行政区划上）县</t>
    <phoneticPr fontId="1" type="noConversion"/>
  </si>
  <si>
    <t>（行政区划上）村</t>
    <phoneticPr fontId="1" type="noConversion"/>
  </si>
  <si>
    <t>（行政区划上）州</t>
    <phoneticPr fontId="1" type="noConversion"/>
  </si>
  <si>
    <t>（行政区划上）郡</t>
    <phoneticPr fontId="1" type="noConversion"/>
  </si>
  <si>
    <t>（行政区划上）专区</t>
    <phoneticPr fontId="1" type="noConversion"/>
  </si>
  <si>
    <t>（行政区划上）林区</t>
    <phoneticPr fontId="1" type="noConversion"/>
  </si>
  <si>
    <t>（行政区划上）属州</t>
    <phoneticPr fontId="1" type="noConversion"/>
  </si>
  <si>
    <t>（行政区划上）盟</t>
    <phoneticPr fontId="1" type="noConversion"/>
  </si>
  <si>
    <t>（行政区划上）旗</t>
    <phoneticPr fontId="1" type="noConversion"/>
  </si>
  <si>
    <t>（行政区划上）苏木</t>
    <phoneticPr fontId="1" type="noConversion"/>
  </si>
  <si>
    <t>（行政区划上）行政督察区</t>
    <phoneticPr fontId="1" type="noConversion"/>
  </si>
  <si>
    <t>（行政区划上）地区</t>
    <phoneticPr fontId="1" type="noConversion"/>
  </si>
  <si>
    <t>（行政区划上）（蒙古）村</t>
    <phoneticPr fontId="1" type="noConversion"/>
  </si>
  <si>
    <t>（行政区划上）里</t>
    <phoneticPr fontId="1" type="noConversion"/>
  </si>
  <si>
    <t>（行政区划上）洞</t>
    <phoneticPr fontId="1" type="noConversion"/>
  </si>
  <si>
    <t>（行政区划上）府</t>
    <phoneticPr fontId="1" type="noConversion"/>
  </si>
  <si>
    <t>（行政区划上）道</t>
    <phoneticPr fontId="1" type="noConversion"/>
  </si>
  <si>
    <t>（行政区划上）路</t>
    <phoneticPr fontId="1" type="noConversion"/>
  </si>
  <si>
    <t>（行政区划上）特别自治道</t>
    <phoneticPr fontId="1" type="noConversion"/>
  </si>
  <si>
    <t>（行政区划上）台</t>
    <phoneticPr fontId="1" type="noConversion"/>
  </si>
  <si>
    <t>（行政区划上）镇</t>
    <phoneticPr fontId="1" type="noConversion"/>
  </si>
  <si>
    <t>方国</t>
    <phoneticPr fontId="1" type="noConversion"/>
  </si>
  <si>
    <t>县城，城镇，乡镇</t>
    <phoneticPr fontId="1" type="noConversion"/>
  </si>
  <si>
    <t>（行政区划上）自治区</t>
    <phoneticPr fontId="1" type="noConversion"/>
  </si>
  <si>
    <t>（行政区划上）邑</t>
    <phoneticPr fontId="1" type="noConversion"/>
  </si>
  <si>
    <t>（行政区划上）自治州</t>
    <phoneticPr fontId="1" type="noConversion"/>
  </si>
  <si>
    <t>行政区</t>
    <phoneticPr fontId="1" type="noConversion"/>
  </si>
  <si>
    <t>（行政区划上）特别行政区</t>
    <phoneticPr fontId="1" type="noConversion"/>
  </si>
  <si>
    <t>行政区划上的飞地</t>
    <phoneticPr fontId="1" type="noConversion"/>
  </si>
  <si>
    <t>（行政区划上）自治领地，自治领</t>
    <phoneticPr fontId="1" type="noConversion"/>
  </si>
  <si>
    <t>（美国）州</t>
    <phoneticPr fontId="1" type="noConversion"/>
  </si>
  <si>
    <t>（英国）郡</t>
    <phoneticPr fontId="1" type="noConversion"/>
  </si>
  <si>
    <t>（印度）邦</t>
    <phoneticPr fontId="1" type="noConversion"/>
  </si>
  <si>
    <t>（苏联）加盟共和国</t>
    <phoneticPr fontId="1" type="noConversion"/>
  </si>
  <si>
    <t>（俄罗斯）自治共和国</t>
    <phoneticPr fontId="1" type="noConversion"/>
  </si>
  <si>
    <t>（明朝）干都司</t>
    <phoneticPr fontId="1" type="noConversion"/>
  </si>
  <si>
    <t>殖民地</t>
    <phoneticPr fontId="1" type="noConversion"/>
  </si>
  <si>
    <t>海外领地</t>
    <phoneticPr fontId="1" type="noConversion"/>
  </si>
  <si>
    <t>首都</t>
    <phoneticPr fontId="1" type="noConversion"/>
  </si>
  <si>
    <t>首府，府治，省城</t>
    <phoneticPr fontId="1" type="noConversion"/>
  </si>
  <si>
    <t>京畿，京畿地区，卫戍地区，首都圈</t>
    <phoneticPr fontId="1" type="noConversion"/>
  </si>
  <si>
    <t>京师，京城，首都</t>
    <phoneticPr fontId="1" type="noConversion"/>
  </si>
  <si>
    <t>京都，京城，首都</t>
    <phoneticPr fontId="1" type="noConversion"/>
  </si>
  <si>
    <t>司隶州，京畿地区设立的州</t>
    <phoneticPr fontId="1" type="noConversion"/>
  </si>
  <si>
    <t>直隶，京畿地区设立的行政区划</t>
    <phoneticPr fontId="1" type="noConversion"/>
  </si>
  <si>
    <t>鄙，国都之外的边远地区、郊野</t>
    <phoneticPr fontId="1" type="noConversion"/>
  </si>
  <si>
    <t>伍，五家为伍的户籍编制，用于征兵与治安管理</t>
    <phoneticPr fontId="1" type="noConversion"/>
  </si>
  <si>
    <t>伍，五人为一伍的士兵单位</t>
    <phoneticPr fontId="1" type="noConversion"/>
  </si>
  <si>
    <t>canrêsc</t>
    <phoneticPr fontId="1" type="noConversion"/>
  </si>
  <si>
    <t>野，国都外的广大地区</t>
    <phoneticPr fontId="1" type="noConversion"/>
  </si>
  <si>
    <t>邻，五家为一邻，基层居民组织单位</t>
    <phoneticPr fontId="1" type="noConversion"/>
  </si>
  <si>
    <t>canyond</t>
    <phoneticPr fontId="1" type="noConversion"/>
  </si>
  <si>
    <t>党，五百家为一党，地方户籍或行政单位</t>
    <phoneticPr fontId="1" type="noConversion"/>
  </si>
  <si>
    <t>酂，县以下的行政单位，一百家或两百家为一酂</t>
    <phoneticPr fontId="1" type="noConversion"/>
  </si>
  <si>
    <t>比，五家为一比，是基本户籍单位</t>
    <phoneticPr fontId="1" type="noConversion"/>
  </si>
  <si>
    <t>族，较大的军事或户籍单位，一百家为一族，军事上有族师（一百家）</t>
    <phoneticPr fontId="1" type="noConversion"/>
  </si>
  <si>
    <t>卒，五伍为两，四两为卒，一卒有一百人</t>
    <phoneticPr fontId="1" type="noConversion"/>
  </si>
  <si>
    <t>闾，五比为闾（即二十五家），基层户籍与行政区划</t>
    <phoneticPr fontId="1" type="noConversion"/>
  </si>
  <si>
    <t>村，原指自然形成的乡村聚居点；后成为一级基层管理单位</t>
    <phoneticPr fontId="1" type="noConversion"/>
  </si>
  <si>
    <t>睑，南诏国特有的行政区划，相当于唐朝的州</t>
    <phoneticPr fontId="1" type="noConversion"/>
  </si>
  <si>
    <t>遂，《周礼》五县为遂</t>
    <phoneticPr fontId="1" type="noConversion"/>
  </si>
  <si>
    <t>团，古代地方行政单位名北宋 ·司马光《资治通鉴·后周世宗显德五年》：诏诸州并乡村，率以百户为团，团置耆长三人（有德望的人）</t>
    <phoneticPr fontId="1" type="noConversion"/>
  </si>
  <si>
    <t>亭，秦汉时治安机构和行政治所，负责治安、邮驿、住宿</t>
    <phoneticPr fontId="1" type="noConversion"/>
  </si>
  <si>
    <t>保，十户为甲，十甲为保</t>
    <phoneticPr fontId="1" type="noConversion"/>
  </si>
  <si>
    <t>庄，指庄园、田庄，是经济实体</t>
    <phoneticPr fontId="1" type="noConversion"/>
  </si>
  <si>
    <t>甲，十户为甲</t>
    <phoneticPr fontId="1" type="noConversion"/>
  </si>
  <si>
    <t>联，古代户口编制的名称，十人为联</t>
    <phoneticPr fontId="1" type="noConversion"/>
  </si>
  <si>
    <t>属，古代行政区划</t>
    <phoneticPr fontId="1" type="noConversion"/>
  </si>
  <si>
    <t>（俄罗斯）边疆区</t>
    <phoneticPr fontId="1" type="noConversion"/>
  </si>
  <si>
    <t>总督府</t>
    <phoneticPr fontId="1" type="noConversion"/>
  </si>
  <si>
    <t>都元帅府</t>
    <phoneticPr fontId="1" type="noConversion"/>
  </si>
  <si>
    <t>自治盟</t>
    <phoneticPr fontId="1" type="noConversion"/>
  </si>
  <si>
    <t>民族苏木</t>
    <phoneticPr fontId="1" type="noConversion"/>
  </si>
  <si>
    <t>自治旗</t>
    <phoneticPr fontId="1" type="noConversion"/>
  </si>
  <si>
    <t>土司</t>
    <phoneticPr fontId="1" type="noConversion"/>
  </si>
  <si>
    <t>（云南）版纳</t>
    <phoneticPr fontId="1" type="noConversion"/>
  </si>
  <si>
    <t>（傣泰等地）勐，本指有城墙的聚落或城邦，傣族政权被整合进一套封建等级体系中，成为二级或三级行政区划</t>
    <phoneticPr fontId="1" type="noConversion"/>
  </si>
  <si>
    <t>街道</t>
    <phoneticPr fontId="1" type="noConversion"/>
  </si>
  <si>
    <t>要塞</t>
    <phoneticPr fontId="1" type="noConversion"/>
  </si>
  <si>
    <t>大都市</t>
    <phoneticPr fontId="1" type="noConversion"/>
  </si>
  <si>
    <t>边疆，边境地带，边陲，国家的边境、边疆地区</t>
    <phoneticPr fontId="1" type="noConversion"/>
  </si>
  <si>
    <t>大陆内部的地区</t>
    <phoneticPr fontId="1" type="noConversion"/>
  </si>
  <si>
    <t>领土</t>
    <phoneticPr fontId="1" type="noConversion"/>
  </si>
  <si>
    <t>领海</t>
    <phoneticPr fontId="1" type="noConversion"/>
  </si>
  <si>
    <t>领空</t>
    <phoneticPr fontId="1" type="noConversion"/>
  </si>
  <si>
    <t>（加拿大）省</t>
    <phoneticPr fontId="1" type="noConversion"/>
  </si>
  <si>
    <t>都护府</t>
    <phoneticPr fontId="1" type="noConversion"/>
  </si>
  <si>
    <t>民族乡</t>
    <phoneticPr fontId="1" type="noConversion"/>
  </si>
  <si>
    <t>自治县</t>
    <phoneticPr fontId="1" type="noConversion"/>
  </si>
  <si>
    <t>自治市</t>
    <phoneticPr fontId="1" type="noConversion"/>
  </si>
  <si>
    <t>直辖市</t>
    <phoneticPr fontId="1" type="noConversion"/>
  </si>
  <si>
    <t>特别市</t>
    <phoneticPr fontId="1" type="noConversion"/>
  </si>
  <si>
    <t>甸服</t>
    <phoneticPr fontId="1" type="noConversion"/>
  </si>
  <si>
    <t>侯服</t>
    <phoneticPr fontId="1" type="noConversion"/>
  </si>
  <si>
    <t>绥服</t>
    <phoneticPr fontId="1" type="noConversion"/>
  </si>
  <si>
    <t>要服</t>
    <phoneticPr fontId="1" type="noConversion"/>
  </si>
  <si>
    <t>荒服</t>
    <phoneticPr fontId="1" type="noConversion"/>
  </si>
  <si>
    <t>自治</t>
    <phoneticPr fontId="1" type="noConversion"/>
  </si>
  <si>
    <t>沙漠，荒漠</t>
    <phoneticPr fontId="1" type="noConversion"/>
  </si>
  <si>
    <t>oto-</t>
    <phoneticPr fontId="1" type="noConversion"/>
  </si>
  <si>
    <t>自治；自动</t>
    <phoneticPr fontId="1" type="noConversion"/>
  </si>
  <si>
    <t>2, 4</t>
    <phoneticPr fontId="1" type="noConversion"/>
  </si>
  <si>
    <t>了，过去时</t>
    <phoneticPr fontId="1" type="noConversion"/>
  </si>
  <si>
    <t>着，进行体</t>
    <phoneticPr fontId="1" type="noConversion"/>
  </si>
  <si>
    <t>已，完成体</t>
    <phoneticPr fontId="1" type="noConversion"/>
  </si>
  <si>
    <t>过，过去完成体</t>
    <phoneticPr fontId="1" type="noConversion"/>
  </si>
  <si>
    <t>将，将来时</t>
    <phoneticPr fontId="1" type="noConversion"/>
  </si>
  <si>
    <t>名字，名称；命名；名字是……，名字叫……</t>
    <phoneticPr fontId="1" type="noConversion"/>
  </si>
  <si>
    <t>姓；……的姓是……</t>
    <phoneticPr fontId="1" type="noConversion"/>
  </si>
  <si>
    <t>氏（父亲的姓为氏）；……属于……氏族</t>
    <phoneticPr fontId="1" type="noConversion"/>
  </si>
  <si>
    <t>字；取字；……的字是……</t>
    <phoneticPr fontId="1" type="noConversion"/>
  </si>
  <si>
    <t>别名；起别名；……的别名是……</t>
    <phoneticPr fontId="1" type="noConversion"/>
  </si>
  <si>
    <t>尊号</t>
    <phoneticPr fontId="1" type="noConversion"/>
  </si>
  <si>
    <t>号；起号；……的号是……</t>
    <phoneticPr fontId="1" type="noConversion"/>
  </si>
  <si>
    <t>徽号</t>
    <phoneticPr fontId="1" type="noConversion"/>
  </si>
  <si>
    <t>绰号，诨名；起绰号，起外号</t>
    <phoneticPr fontId="1" type="noConversion"/>
  </si>
  <si>
    <t>（皇帝的）谥号</t>
    <phoneticPr fontId="1" type="noConversion"/>
  </si>
  <si>
    <t>（皇帝的）庙号</t>
    <phoneticPr fontId="1" type="noConversion"/>
  </si>
  <si>
    <t>昵称，爱称；将……称呼为……</t>
    <phoneticPr fontId="1" type="noConversion"/>
  </si>
  <si>
    <t>敬辞，尊称，敬称</t>
    <phoneticPr fontId="1" type="noConversion"/>
  </si>
  <si>
    <t>贬辞，慢辞，侮称</t>
    <phoneticPr fontId="1" type="noConversion"/>
  </si>
  <si>
    <t>谦辞，谦称</t>
    <phoneticPr fontId="1" type="noConversion"/>
  </si>
  <si>
    <t>称呼；将……称呼为……</t>
    <phoneticPr fontId="1" type="noConversion"/>
  </si>
  <si>
    <t>组织</t>
    <phoneticPr fontId="1" type="noConversion"/>
  </si>
  <si>
    <t>文明</t>
    <phoneticPr fontId="1" type="noConversion"/>
  </si>
  <si>
    <t>民族</t>
    <phoneticPr fontId="1" type="noConversion"/>
  </si>
  <si>
    <t>个体</t>
    <phoneticPr fontId="1" type="noConversion"/>
  </si>
  <si>
    <t>集体</t>
    <phoneticPr fontId="1" type="noConversion"/>
  </si>
  <si>
    <t>种族；物种</t>
    <phoneticPr fontId="1" type="noConversion"/>
  </si>
  <si>
    <t>地点</t>
    <phoneticPr fontId="1" type="noConversion"/>
  </si>
  <si>
    <t>时间；时代，世代</t>
    <phoneticPr fontId="1" type="noConversion"/>
  </si>
  <si>
    <t>时区</t>
    <phoneticPr fontId="1" type="noConversion"/>
  </si>
  <si>
    <t>方面，角度，方向</t>
    <phoneticPr fontId="1" type="noConversion"/>
  </si>
  <si>
    <t>国际，国家间</t>
    <phoneticPr fontId="1" type="noConversion"/>
  </si>
  <si>
    <t>共产国际，英特那雄纳尔</t>
    <phoneticPr fontId="1" type="noConversion"/>
  </si>
  <si>
    <t>范围，领域，域；场域</t>
    <phoneticPr fontId="1" type="noConversion"/>
  </si>
  <si>
    <t>区域，范围</t>
    <phoneticPr fontId="1" type="noConversion"/>
  </si>
  <si>
    <t>空间</t>
    <phoneticPr fontId="1" type="noConversion"/>
  </si>
  <si>
    <t>疆域</t>
    <phoneticPr fontId="1" type="noConversion"/>
  </si>
  <si>
    <t>人民，公民</t>
    <phoneticPr fontId="1" type="noConversion"/>
  </si>
  <si>
    <t>公民，市民，小民</t>
    <phoneticPr fontId="1" type="noConversion"/>
  </si>
  <si>
    <t>街区</t>
    <phoneticPr fontId="1" type="noConversion"/>
  </si>
  <si>
    <t>人物，角色，职位</t>
    <phoneticPr fontId="1" type="noConversion"/>
  </si>
  <si>
    <t>职位，职业</t>
    <phoneticPr fontId="1" type="noConversion"/>
  </si>
  <si>
    <t>原因，缘由，理由</t>
    <phoneticPr fontId="1" type="noConversion"/>
  </si>
  <si>
    <t>原因，结果</t>
    <phoneticPr fontId="1" type="noConversion"/>
  </si>
  <si>
    <t>注释，注解</t>
    <phoneticPr fontId="1" type="noConversion"/>
  </si>
  <si>
    <t>结果</t>
    <phoneticPr fontId="1" type="noConversion"/>
  </si>
  <si>
    <t>后果，不好的结果</t>
    <phoneticPr fontId="1" type="noConversion"/>
  </si>
  <si>
    <t>（事情的）经过，发生的过程</t>
    <phoneticPr fontId="1" type="noConversion"/>
  </si>
  <si>
    <t>语言</t>
    <phoneticPr fontId="1" type="noConversion"/>
  </si>
  <si>
    <t>方言；社会方言；行话，术语</t>
    <phoneticPr fontId="1" type="noConversion"/>
  </si>
  <si>
    <t>文化，道，艺术，门道</t>
    <phoneticPr fontId="1" type="noConversion"/>
  </si>
  <si>
    <t>含义，意思；意义，涵义，内涵</t>
    <phoneticPr fontId="1" type="noConversion"/>
  </si>
  <si>
    <t>诱因</t>
    <phoneticPr fontId="1" type="noConversion"/>
  </si>
  <si>
    <t>逻辑，逻辑学</t>
    <phoneticPr fontId="1" type="noConversion"/>
  </si>
  <si>
    <t>评论</t>
    <phoneticPr fontId="1" type="noConversion"/>
  </si>
  <si>
    <t>评点，评价</t>
    <phoneticPr fontId="1" type="noConversion"/>
  </si>
  <si>
    <t>反应；（化学）反应</t>
    <phoneticPr fontId="1" type="noConversion"/>
  </si>
  <si>
    <t>意识，灵魂</t>
    <phoneticPr fontId="1" type="noConversion"/>
  </si>
  <si>
    <t>可能性</t>
    <phoneticPr fontId="1" type="noConversion"/>
  </si>
  <si>
    <t>行为，表现</t>
    <phoneticPr fontId="1" type="noConversion"/>
  </si>
  <si>
    <t>阴谋，谋划</t>
    <phoneticPr fontId="1" type="noConversion"/>
  </si>
  <si>
    <t>意图，目的</t>
    <phoneticPr fontId="1" type="noConversion"/>
  </si>
  <si>
    <t>风气，社会风气，民风</t>
    <phoneticPr fontId="1" type="noConversion"/>
  </si>
  <si>
    <t>主义，思潮</t>
    <phoneticPr fontId="1" type="noConversion"/>
  </si>
  <si>
    <t>志向，志趣，梦想</t>
    <phoneticPr fontId="1" type="noConversion"/>
  </si>
  <si>
    <t>兴趣，爱好</t>
    <phoneticPr fontId="1" type="noConversion"/>
  </si>
  <si>
    <t>性质，性状，特性</t>
    <phoneticPr fontId="1" type="noConversion"/>
  </si>
  <si>
    <t>用途，用处</t>
    <phoneticPr fontId="1" type="noConversion"/>
  </si>
  <si>
    <t>赞扬，赞美，赞许</t>
    <phoneticPr fontId="1" type="noConversion"/>
  </si>
  <si>
    <t>优点；优势</t>
    <phoneticPr fontId="1" type="noConversion"/>
  </si>
  <si>
    <t>缺点；劣势</t>
    <phoneticPr fontId="1" type="noConversion"/>
  </si>
  <si>
    <t>方位（角度），物体间的相对方向</t>
    <phoneticPr fontId="1" type="noConversion"/>
  </si>
  <si>
    <t>位置</t>
    <phoneticPr fontId="1" type="noConversion"/>
  </si>
  <si>
    <t>人类，人</t>
    <phoneticPr fontId="1" type="noConversion"/>
  </si>
  <si>
    <t>人口</t>
    <phoneticPr fontId="1" type="noConversion"/>
  </si>
  <si>
    <t>工业；产业</t>
    <phoneticPr fontId="1" type="noConversion"/>
  </si>
  <si>
    <t>农业</t>
    <phoneticPr fontId="1" type="noConversion"/>
  </si>
  <si>
    <t>手工业</t>
    <phoneticPr fontId="1" type="noConversion"/>
  </si>
  <si>
    <t>工商业；商业</t>
    <phoneticPr fontId="1" type="noConversion"/>
  </si>
  <si>
    <t>交通，道路安全</t>
    <phoneticPr fontId="1" type="noConversion"/>
  </si>
  <si>
    <t>建设，建造</t>
    <phoneticPr fontId="1" type="noConversion"/>
  </si>
  <si>
    <t>联系，对接</t>
    <phoneticPr fontId="1" type="noConversion"/>
  </si>
  <si>
    <t>不同</t>
    <phoneticPr fontId="1" type="noConversion"/>
  </si>
  <si>
    <t>数字，数码，电子</t>
    <phoneticPr fontId="1" type="noConversion"/>
  </si>
  <si>
    <t>吨位</t>
    <phoneticPr fontId="1" type="noConversion"/>
  </si>
  <si>
    <t>常量</t>
    <phoneticPr fontId="1" type="noConversion"/>
  </si>
  <si>
    <t>变量</t>
    <phoneticPr fontId="1" type="noConversion"/>
  </si>
  <si>
    <t>变化</t>
    <phoneticPr fontId="1" type="noConversion"/>
  </si>
  <si>
    <t>（银行里面的）信用，个人信用</t>
    <phoneticPr fontId="1" type="noConversion"/>
  </si>
  <si>
    <t>性格</t>
    <phoneticPr fontId="1" type="noConversion"/>
  </si>
  <si>
    <t>才情，知性，才干，有才</t>
    <phoneticPr fontId="1" type="noConversion"/>
  </si>
  <si>
    <t>品德，道德，德行</t>
    <phoneticPr fontId="1" type="noConversion"/>
  </si>
  <si>
    <t>心理</t>
    <phoneticPr fontId="1" type="noConversion"/>
  </si>
  <si>
    <t>情绪</t>
    <phoneticPr fontId="1" type="noConversion"/>
  </si>
  <si>
    <t>情绪；不好的情绪</t>
    <phoneticPr fontId="1" type="noConversion"/>
  </si>
  <si>
    <t>脾气</t>
    <phoneticPr fontId="1" type="noConversion"/>
  </si>
  <si>
    <t>精神</t>
    <phoneticPr fontId="1" type="noConversion"/>
  </si>
  <si>
    <t>思想，思维</t>
    <phoneticPr fontId="1" type="noConversion"/>
  </si>
  <si>
    <t>灵魂，内在，心地</t>
    <phoneticPr fontId="1" type="noConversion"/>
  </si>
  <si>
    <t>智慧，明智；知识</t>
    <phoneticPr fontId="1" type="noConversion"/>
  </si>
  <si>
    <t>理论，道理</t>
    <phoneticPr fontId="1" type="noConversion"/>
  </si>
  <si>
    <t>认识，认知</t>
    <phoneticPr fontId="1" type="noConversion"/>
  </si>
  <si>
    <t>信息，讯息，消息</t>
    <phoneticPr fontId="1" type="noConversion"/>
  </si>
  <si>
    <t>技术，科技，技能，技巧</t>
    <phoneticPr fontId="1" type="noConversion"/>
  </si>
  <si>
    <t>创新</t>
    <phoneticPr fontId="1" type="noConversion"/>
  </si>
  <si>
    <t>情况，情形</t>
    <phoneticPr fontId="1" type="noConversion"/>
  </si>
  <si>
    <t>形势，外部局势</t>
    <phoneticPr fontId="1" type="noConversion"/>
  </si>
  <si>
    <t>程度，层级，档次，阶段</t>
    <phoneticPr fontId="1" type="noConversion"/>
  </si>
  <si>
    <t>组成，构成</t>
    <phoneticPr fontId="1" type="noConversion"/>
  </si>
  <si>
    <t>结构</t>
    <phoneticPr fontId="1" type="noConversion"/>
  </si>
  <si>
    <t>特征，特点</t>
    <phoneticPr fontId="1" type="noConversion"/>
  </si>
  <si>
    <t>规律；定律</t>
    <phoneticPr fontId="1" type="noConversion"/>
  </si>
  <si>
    <t>规则，规定，准则，规章，法则</t>
    <phoneticPr fontId="1" type="noConversion"/>
  </si>
  <si>
    <t>线索，头绪，端倪，脉络，眉目，迹象，蛛丝马迹</t>
    <phoneticPr fontId="1" type="noConversion"/>
  </si>
  <si>
    <t>调查研究，调研，考察，勘察，勘查</t>
    <phoneticPr fontId="1" type="noConversion"/>
  </si>
  <si>
    <t>灵感，启发，启迪，火花，契机</t>
    <phoneticPr fontId="1" type="noConversion"/>
  </si>
  <si>
    <t>定理，定律，原理</t>
    <phoneticPr fontId="1" type="noConversion"/>
  </si>
  <si>
    <t>公理，公设，法则，金科玉律，常识，常理，共识</t>
    <phoneticPr fontId="1" type="noConversion"/>
  </si>
  <si>
    <t>思路，想法</t>
    <phoneticPr fontId="1" type="noConversion"/>
  </si>
  <si>
    <t>思维，思考模式</t>
    <phoneticPr fontId="1" type="noConversion"/>
  </si>
  <si>
    <t>灵感，灵光乍现</t>
    <phoneticPr fontId="1" type="noConversion"/>
  </si>
  <si>
    <t>思考，思想，想法</t>
    <phoneticPr fontId="1" type="noConversion"/>
  </si>
  <si>
    <t>效率，效能，效用</t>
    <phoneticPr fontId="1" type="noConversion"/>
  </si>
  <si>
    <t>效果，效力，效用；效应</t>
    <phoneticPr fontId="1" type="noConversion"/>
  </si>
  <si>
    <t>影响</t>
    <phoneticPr fontId="1" type="noConversion"/>
  </si>
  <si>
    <t>实力</t>
    <phoneticPr fontId="1" type="noConversion"/>
  </si>
  <si>
    <t>象征</t>
    <phoneticPr fontId="1" type="noConversion"/>
  </si>
  <si>
    <t>病兆，病征，症候，坏的苗头</t>
    <phoneticPr fontId="1" type="noConversion"/>
  </si>
  <si>
    <t>征兆，预兆，预言，兆头，苗头，前兆，先兆</t>
    <phoneticPr fontId="1" type="noConversion"/>
  </si>
  <si>
    <t>量，事物存在与变化的规模、程度、数目等可以用单位进行测度、比较的规定性质</t>
    <phoneticPr fontId="1" type="noConversion"/>
  </si>
  <si>
    <t>深度，指从上到下或从表到里的垂直距离、纵深长度</t>
    <phoneticPr fontId="1" type="noConversion"/>
  </si>
  <si>
    <t>宽度，物体或空间横向两边的距离</t>
    <phoneticPr fontId="1" type="noConversion"/>
  </si>
  <si>
    <t>广度，事物在空间或范畴上横向延伸的宽阔程度与广泛性</t>
    <phoneticPr fontId="1" type="noConversion"/>
  </si>
  <si>
    <t>制度，要求组织成员共同遵守的规范化规则、程序和体系</t>
    <phoneticPr fontId="1" type="noConversion"/>
  </si>
  <si>
    <t>消息，关于人或事物情况的音信或报道</t>
    <phoneticPr fontId="1" type="noConversion"/>
  </si>
  <si>
    <t>能力，完成活动的可能性</t>
    <phoneticPr fontId="1" type="noConversion"/>
  </si>
  <si>
    <t>能力，人完成活动的技能、才能、天赋</t>
    <phoneticPr fontId="1" type="noConversion"/>
  </si>
  <si>
    <t>方法</t>
    <phoneticPr fontId="1" type="noConversion"/>
  </si>
  <si>
    <t>军事</t>
    <phoneticPr fontId="1" type="noConversion"/>
  </si>
  <si>
    <t>侦查</t>
    <phoneticPr fontId="1" type="noConversion"/>
  </si>
  <si>
    <t>考试</t>
    <phoneticPr fontId="1" type="noConversion"/>
  </si>
  <si>
    <t>猜想，假设</t>
    <phoneticPr fontId="1" type="noConversion"/>
  </si>
  <si>
    <t>媒体；媒介；介质</t>
    <phoneticPr fontId="1" type="noConversion"/>
  </si>
  <si>
    <t>外貌；外形</t>
    <phoneticPr fontId="1" type="noConversion"/>
  </si>
  <si>
    <t>广播；辐射</t>
    <phoneticPr fontId="1" type="noConversion"/>
  </si>
  <si>
    <t>0-1-7</t>
    <phoneticPr fontId="1" type="noConversion"/>
  </si>
  <si>
    <t>nuonpôt</t>
    <phoneticPr fontId="1" type="noConversion"/>
  </si>
  <si>
    <t>pôts</t>
    <phoneticPr fontId="1" type="noConversion"/>
  </si>
  <si>
    <t>nuonpôts</t>
    <phoneticPr fontId="1" type="noConversion"/>
  </si>
  <si>
    <t>maun</t>
    <phoneticPr fontId="1" type="noConversion"/>
  </si>
  <si>
    <t>nuonmaun</t>
    <phoneticPr fontId="1" type="noConversion"/>
  </si>
  <si>
    <t>borte</t>
    <phoneticPr fontId="1" type="noConversion"/>
  </si>
  <si>
    <t>nuonborte</t>
    <phoneticPr fontId="1" type="noConversion"/>
  </si>
  <si>
    <t>mozhei</t>
    <phoneticPr fontId="1" type="noConversion"/>
  </si>
  <si>
    <t>nuonmozhei</t>
    <phoneticPr fontId="1" type="noConversion"/>
  </si>
  <si>
    <t>eutê</t>
    <phoneticPr fontId="1" type="noConversion"/>
  </si>
  <si>
    <t>nuoneutê</t>
    <phoneticPr fontId="1" type="noConversion"/>
  </si>
  <si>
    <t>maladaj</t>
    <phoneticPr fontId="1" type="noConversion"/>
  </si>
  <si>
    <t>nuonmeladaj</t>
    <phoneticPr fontId="1" type="noConversion"/>
  </si>
  <si>
    <t>richetas</t>
    <phoneticPr fontId="1" type="noConversion"/>
  </si>
  <si>
    <t>nuonrichetas</t>
    <phoneticPr fontId="1" type="noConversion"/>
  </si>
  <si>
    <t>cuthe</t>
    <phoneticPr fontId="1" type="noConversion"/>
  </si>
  <si>
    <t>nuoncuthe</t>
    <phoneticPr fontId="1" type="noConversion"/>
  </si>
  <si>
    <t>qu'asiuale</t>
    <phoneticPr fontId="1" type="noConversion"/>
  </si>
  <si>
    <t>ausculdu</t>
    <phoneticPr fontId="1" type="noConversion"/>
  </si>
  <si>
    <t>eitere</t>
    <phoneticPr fontId="1" type="noConversion"/>
  </si>
  <si>
    <t>sentir</t>
    <phoneticPr fontId="1" type="noConversion"/>
  </si>
  <si>
    <t>seniflen</t>
    <phoneticPr fontId="1" type="noConversion"/>
  </si>
  <si>
    <t>smage</t>
    <phoneticPr fontId="1" type="noConversion"/>
  </si>
  <si>
    <t>naisen</t>
    <phoneticPr fontId="1" type="noConversion"/>
  </si>
  <si>
    <t>vanhomend</t>
    <phoneticPr fontId="1" type="noConversion"/>
  </si>
  <si>
    <t>lerd</t>
    <phoneticPr fontId="1" type="noConversion"/>
  </si>
  <si>
    <t>culan</t>
    <phoneticPr fontId="1" type="noConversion"/>
  </si>
  <si>
    <t>curan</t>
    <phoneticPr fontId="1" type="noConversion"/>
  </si>
  <si>
    <t>naduaha</t>
    <phoneticPr fontId="1" type="noConversion"/>
  </si>
  <si>
    <t>scantibo</t>
    <phoneticPr fontId="1" type="noConversion"/>
  </si>
  <si>
    <t>ronsulego</t>
    <phoneticPr fontId="1" type="noConversion"/>
  </si>
  <si>
    <t>ticlaix</t>
    <phoneticPr fontId="1" type="noConversion"/>
  </si>
  <si>
    <t>diselu</t>
    <phoneticPr fontId="1" type="noConversion"/>
  </si>
  <si>
    <t>jump</t>
    <phoneticPr fontId="1" type="noConversion"/>
  </si>
  <si>
    <t>danlusdo</t>
    <phoneticPr fontId="1" type="noConversion"/>
  </si>
  <si>
    <t>nechemunsir</t>
    <phoneticPr fontId="1" type="noConversion"/>
  </si>
  <si>
    <t>polozuch</t>
    <phoneticPr fontId="1" type="noConversion"/>
  </si>
  <si>
    <t>fec</t>
    <phoneticPr fontId="1" type="noConversion"/>
  </si>
  <si>
    <t>nuonfec</t>
    <phoneticPr fontId="1" type="noConversion"/>
  </si>
  <si>
    <t>fecni</t>
    <phoneticPr fontId="1" type="noConversion"/>
  </si>
  <si>
    <t>protestan</t>
    <phoneticPr fontId="1" type="noConversion"/>
  </si>
  <si>
    <t>cashe</t>
    <phoneticPr fontId="1" type="noConversion"/>
  </si>
  <si>
    <t>seg</t>
    <phoneticPr fontId="1" type="noConversion"/>
  </si>
  <si>
    <t>besuet</t>
    <phoneticPr fontId="1" type="noConversion"/>
  </si>
  <si>
    <t>rober</t>
    <phoneticPr fontId="1" type="noConversion"/>
  </si>
  <si>
    <t>dranshjet</t>
    <phoneticPr fontId="1" type="noConversion"/>
  </si>
  <si>
    <t>deven</t>
    <phoneticPr fontId="1" type="noConversion"/>
  </si>
  <si>
    <t>feul</t>
    <phoneticPr fontId="1" type="noConversion"/>
  </si>
  <si>
    <t>bagetur</t>
    <phoneticPr fontId="1" type="noConversion"/>
  </si>
  <si>
    <t>arbizhenye</t>
    <phoneticPr fontId="1" type="noConversion"/>
  </si>
  <si>
    <t>desish</t>
    <phoneticPr fontId="1" type="noConversion"/>
  </si>
  <si>
    <t>exachei</t>
    <phoneticPr fontId="1" type="noConversion"/>
  </si>
  <si>
    <t>amirel</t>
    <phoneticPr fontId="1" type="noConversion"/>
  </si>
  <si>
    <t>menor</t>
    <phoneticPr fontId="1" type="noConversion"/>
  </si>
  <si>
    <t>chec</t>
    <phoneticPr fontId="1" type="noConversion"/>
  </si>
  <si>
    <t>islejat</t>
    <phoneticPr fontId="1" type="noConversion"/>
  </si>
  <si>
    <t>verifi</t>
    <phoneticPr fontId="1" type="noConversion"/>
  </si>
  <si>
    <t>nadois</t>
    <phoneticPr fontId="1" type="noConversion"/>
  </si>
  <si>
    <t>coth</t>
    <phoneticPr fontId="1" type="noConversion"/>
  </si>
  <si>
    <t>pensu</t>
    <phoneticPr fontId="1" type="noConversion"/>
  </si>
  <si>
    <t>cotigater</t>
    <phoneticPr fontId="1" type="noConversion"/>
  </si>
  <si>
    <t>douvez</t>
    <phoneticPr fontId="1" type="noConversion"/>
  </si>
  <si>
    <t>pisnajil</t>
    <phoneticPr fontId="1" type="noConversion"/>
  </si>
  <si>
    <t>refatil</t>
    <phoneticPr fontId="1" type="noConversion"/>
  </si>
  <si>
    <t>hinder</t>
  </si>
  <si>
    <t>injenien</t>
    <phoneticPr fontId="1" type="noConversion"/>
  </si>
  <si>
    <t>medisic</t>
    <phoneticPr fontId="1" type="noConversion"/>
  </si>
  <si>
    <t>cuevôl</t>
    <phoneticPr fontId="1" type="noConversion"/>
  </si>
  <si>
    <t>iflesceit</t>
    <phoneticPr fontId="1" type="noConversion"/>
  </si>
  <si>
    <t>rabajnist</t>
    <phoneticPr fontId="1" type="noConversion"/>
  </si>
  <si>
    <t>câgar</t>
    <phoneticPr fontId="1" type="noConversion"/>
  </si>
  <si>
    <t>betudie</t>
    <phoneticPr fontId="1" type="noConversion"/>
  </si>
  <si>
    <t>gouve</t>
    <phoneticPr fontId="1" type="noConversion"/>
  </si>
  <si>
    <t>joul</t>
    <phoneticPr fontId="1" type="noConversion"/>
  </si>
  <si>
    <t>hhoul</t>
    <phoneticPr fontId="1" type="noConversion"/>
  </si>
  <si>
    <t>mau</t>
    <phoneticPr fontId="1" type="noConversion"/>
  </si>
  <si>
    <t>thral</t>
    <phoneticPr fontId="1" type="noConversion"/>
  </si>
  <si>
    <t>swun</t>
    <phoneticPr fontId="1" type="noConversion"/>
  </si>
  <si>
    <t>acouche</t>
    <phoneticPr fontId="1" type="noConversion"/>
  </si>
  <si>
    <t>abir</t>
    <phoneticPr fontId="1" type="noConversion"/>
  </si>
  <si>
    <t>abendo</t>
    <phoneticPr fontId="1" type="noConversion"/>
  </si>
  <si>
    <t>thrash</t>
    <phoneticPr fontId="1" type="noConversion"/>
  </si>
  <si>
    <t>bass</t>
    <phoneticPr fontId="1" type="noConversion"/>
  </si>
  <si>
    <t>won</t>
    <phoneticPr fontId="1" type="noConversion"/>
  </si>
  <si>
    <t>activnost</t>
    <phoneticPr fontId="1" type="noConversion"/>
  </si>
  <si>
    <t>rashe</t>
    <phoneticPr fontId="1" type="noConversion"/>
  </si>
  <si>
    <t>cvatey</t>
    <phoneticPr fontId="1" type="noConversion"/>
  </si>
  <si>
    <t>vlot</t>
    <phoneticPr fontId="1" type="noConversion"/>
  </si>
  <si>
    <t>sbalate</t>
    <phoneticPr fontId="1" type="noConversion"/>
  </si>
  <si>
    <t>esêt</t>
    <phoneticPr fontId="1" type="noConversion"/>
  </si>
  <si>
    <t>steant</t>
    <phoneticPr fontId="1" type="noConversion"/>
  </si>
  <si>
    <t>speda</t>
    <phoneticPr fontId="1" type="noConversion"/>
  </si>
  <si>
    <t>lôsh</t>
    <phoneticPr fontId="1" type="noConversion"/>
  </si>
  <si>
    <t>loish</t>
    <phoneticPr fontId="1" type="noConversion"/>
  </si>
  <si>
    <t>plât</t>
    <phoneticPr fontId="1" type="noConversion"/>
  </si>
  <si>
    <t>siedhepra</t>
    <phoneticPr fontId="1" type="noConversion"/>
  </si>
  <si>
    <t>paraesit</t>
    <phoneticPr fontId="1" type="noConversion"/>
  </si>
  <si>
    <t>invocô</t>
    <phoneticPr fontId="1" type="noConversion"/>
  </si>
  <si>
    <t>mosbertis</t>
    <phoneticPr fontId="1" type="noConversion"/>
  </si>
  <si>
    <t>sancôdam</t>
    <phoneticPr fontId="1" type="noConversion"/>
  </si>
  <si>
    <t>genthanc</t>
    <phoneticPr fontId="1" type="noConversion"/>
  </si>
  <si>
    <t>hmerevube</t>
    <phoneticPr fontId="1" type="noConversion"/>
  </si>
  <si>
    <t>payaz</t>
    <phoneticPr fontId="1" type="noConversion"/>
  </si>
  <si>
    <t>conta</t>
    <phoneticPr fontId="1" type="noConversion"/>
  </si>
  <si>
    <t>eferongnar</t>
    <phoneticPr fontId="1" type="noConversion"/>
  </si>
  <si>
    <t>ovezhguamy</t>
    <phoneticPr fontId="1" type="noConversion"/>
  </si>
  <si>
    <t>vriec</t>
    <phoneticPr fontId="1" type="noConversion"/>
  </si>
  <si>
    <t>evouse</t>
    <phoneticPr fontId="1" type="noConversion"/>
  </si>
  <si>
    <t>scumd</t>
    <phoneticPr fontId="1" type="noConversion"/>
  </si>
  <si>
    <t>scano</t>
    <phoneticPr fontId="1" type="noConversion"/>
  </si>
  <si>
    <t>cicomspu</t>
    <phoneticPr fontId="1" type="noConversion"/>
  </si>
  <si>
    <t>salpeje</t>
    <phoneticPr fontId="1" type="noConversion"/>
  </si>
  <si>
    <t>reu</t>
    <phoneticPr fontId="1" type="noConversion"/>
  </si>
  <si>
    <t>zimjor</t>
    <phoneticPr fontId="1" type="noConversion"/>
  </si>
  <si>
    <t>ajubur</t>
    <phoneticPr fontId="1" type="noConversion"/>
  </si>
  <si>
    <t>salfciem</t>
    <phoneticPr fontId="1" type="noConversion"/>
  </si>
  <si>
    <t>tsâmlash</t>
    <phoneticPr fontId="1" type="noConversion"/>
  </si>
  <si>
    <t>soevned</t>
    <phoneticPr fontId="1" type="noConversion"/>
  </si>
  <si>
    <t>nacar</t>
    <phoneticPr fontId="1" type="noConversion"/>
  </si>
  <si>
    <t>tenvol</t>
    <phoneticPr fontId="1" type="noConversion"/>
  </si>
  <si>
    <t>nuc</t>
    <phoneticPr fontId="1" type="noConversion"/>
  </si>
  <si>
    <t>crâm</t>
    <phoneticPr fontId="1" type="noConversion"/>
  </si>
  <si>
    <t>ves</t>
    <phoneticPr fontId="1" type="noConversion"/>
  </si>
  <si>
    <t>condûlan</t>
    <phoneticPr fontId="1" type="noConversion"/>
  </si>
  <si>
    <t>câtar</t>
    <phoneticPr fontId="1" type="noConversion"/>
  </si>
  <si>
    <t>nugamt</t>
    <phoneticPr fontId="1" type="noConversion"/>
  </si>
  <si>
    <t>macnise</t>
    <phoneticPr fontId="1" type="noConversion"/>
  </si>
  <si>
    <t>l'savirse</t>
    <phoneticPr fontId="1" type="noConversion"/>
  </si>
  <si>
    <t>critiqu'en</t>
    <phoneticPr fontId="1" type="noConversion"/>
  </si>
  <si>
    <t>pravot</t>
    <phoneticPr fontId="1" type="noConversion"/>
  </si>
  <si>
    <t>cavit</t>
    <phoneticPr fontId="1" type="noConversion"/>
  </si>
  <si>
    <t>ofaugret</t>
    <phoneticPr fontId="1" type="noConversion"/>
  </si>
  <si>
    <t>tegnen</t>
    <phoneticPr fontId="1" type="noConversion"/>
  </si>
  <si>
    <t>escrêbre</t>
    <phoneticPr fontId="1" type="noConversion"/>
  </si>
  <si>
    <t>sculptura</t>
    <phoneticPr fontId="1" type="noConversion"/>
  </si>
  <si>
    <t>tjurir</t>
    <phoneticPr fontId="1" type="noConversion"/>
  </si>
  <si>
    <t>pura</t>
    <phoneticPr fontId="1" type="noConversion"/>
  </si>
  <si>
    <t>sbhvala</t>
    <phoneticPr fontId="1" type="noConversion"/>
  </si>
  <si>
    <t>evêsuj</t>
    <phoneticPr fontId="1" type="noConversion"/>
  </si>
  <si>
    <t>puta</t>
    <phoneticPr fontId="1" type="noConversion"/>
  </si>
  <si>
    <t>bevase</t>
    <phoneticPr fontId="1" type="noConversion"/>
  </si>
  <si>
    <t>zhvisaunf</t>
    <phoneticPr fontId="1" type="noConversion"/>
  </si>
  <si>
    <t>ecaum</t>
    <phoneticPr fontId="1" type="noConversion"/>
  </si>
  <si>
    <t>omuzhye</t>
    <phoneticPr fontId="1" type="noConversion"/>
  </si>
  <si>
    <t>dort</t>
    <phoneticPr fontId="1" type="noConversion"/>
  </si>
  <si>
    <t>povaet</t>
    <phoneticPr fontId="1" type="noConversion"/>
  </si>
  <si>
    <t>peunt</t>
    <phoneticPr fontId="1" type="noConversion"/>
  </si>
  <si>
    <t>ocriv</t>
    <phoneticPr fontId="1" type="noConversion"/>
  </si>
  <si>
    <t>crost</t>
    <phoneticPr fontId="1" type="noConversion"/>
  </si>
  <si>
    <t>alpume</t>
    <phoneticPr fontId="1" type="noConversion"/>
  </si>
  <si>
    <t>procht</t>
    <phoneticPr fontId="1" type="noConversion"/>
  </si>
  <si>
    <t>gruzart</t>
    <phoneticPr fontId="1" type="noConversion"/>
  </si>
  <si>
    <t>emûn</t>
    <phoneticPr fontId="1" type="noConversion"/>
  </si>
  <si>
    <t>lart</t>
    <phoneticPr fontId="1" type="noConversion"/>
  </si>
  <si>
    <t>bidre</t>
    <phoneticPr fontId="1" type="noConversion"/>
  </si>
  <si>
    <t>câtinem</t>
    <phoneticPr fontId="1" type="noConversion"/>
  </si>
  <si>
    <t>scatea</t>
    <phoneticPr fontId="1" type="noConversion"/>
  </si>
  <si>
    <t>pratie</t>
    <phoneticPr fontId="1" type="noConversion"/>
  </si>
  <si>
    <t>cut</t>
    <phoneticPr fontId="1" type="noConversion"/>
  </si>
  <si>
    <t>chumany</t>
    <phoneticPr fontId="1" type="noConversion"/>
  </si>
  <si>
    <t>cposner</t>
    <phoneticPr fontId="1" type="noConversion"/>
  </si>
  <si>
    <t>pten</t>
    <phoneticPr fontId="1" type="noConversion"/>
  </si>
  <si>
    <t>chertom</t>
    <phoneticPr fontId="1" type="noConversion"/>
  </si>
  <si>
    <t>haget</t>
    <phoneticPr fontId="1" type="noConversion"/>
  </si>
  <si>
    <t>mushenie</t>
    <phoneticPr fontId="1" type="noConversion"/>
  </si>
  <si>
    <t>povenge</t>
    <phoneticPr fontId="1" type="noConversion"/>
  </si>
  <si>
    <t>pongt</t>
    <phoneticPr fontId="1" type="noConversion"/>
  </si>
  <si>
    <t>igne</t>
    <phoneticPr fontId="1" type="noConversion"/>
  </si>
  <si>
    <t>perdret</t>
    <phoneticPr fontId="1" type="noConversion"/>
  </si>
  <si>
    <t>earn</t>
    <phoneticPr fontId="1" type="noConversion"/>
  </si>
  <si>
    <t>tresar</t>
    <phoneticPr fontId="1" type="noConversion"/>
  </si>
  <si>
    <t>caqite</t>
    <phoneticPr fontId="1" type="noConversion"/>
  </si>
  <si>
    <t>moched</t>
    <phoneticPr fontId="1" type="noConversion"/>
  </si>
  <si>
    <t>sacufiant</t>
    <phoneticPr fontId="1" type="noConversion"/>
  </si>
  <si>
    <t>tenic</t>
    <phoneticPr fontId="1" type="noConversion"/>
  </si>
  <si>
    <t>iavmy</t>
    <phoneticPr fontId="1" type="noConversion"/>
  </si>
  <si>
    <t>jelondo</t>
    <phoneticPr fontId="1" type="noConversion"/>
  </si>
  <si>
    <t>gensten</t>
    <phoneticPr fontId="1" type="noConversion"/>
  </si>
  <si>
    <t>expenjoas</t>
    <phoneticPr fontId="1" type="noConversion"/>
  </si>
  <si>
    <t>zhev</t>
    <phoneticPr fontId="1" type="noConversion"/>
  </si>
  <si>
    <t>desênoch</t>
    <phoneticPr fontId="1" type="noConversion"/>
  </si>
  <si>
    <t>studio</t>
    <phoneticPr fontId="1" type="noConversion"/>
  </si>
  <si>
    <t>venalizas</t>
    <phoneticPr fontId="1" type="noConversion"/>
  </si>
  <si>
    <t>thâtor</t>
    <phoneticPr fontId="1" type="noConversion"/>
  </si>
  <si>
    <t>apotine</t>
    <phoneticPr fontId="1" type="noConversion"/>
  </si>
  <si>
    <t>cover</t>
    <phoneticPr fontId="1" type="noConversion"/>
  </si>
  <si>
    <t>hidsep</t>
    <phoneticPr fontId="1" type="noConversion"/>
  </si>
  <si>
    <t>aspre</t>
    <phoneticPr fontId="1" type="noConversion"/>
  </si>
  <si>
    <t>deqit</t>
    <phoneticPr fontId="1" type="noConversion"/>
  </si>
  <si>
    <t>parlias</t>
    <phoneticPr fontId="1" type="noConversion"/>
  </si>
  <si>
    <t>buet</t>
    <phoneticPr fontId="1" type="noConversion"/>
  </si>
  <si>
    <t>shelbun</t>
    <phoneticPr fontId="1" type="noConversion"/>
  </si>
  <si>
    <t>rinqiamja</t>
    <phoneticPr fontId="1" type="noConversion"/>
  </si>
  <si>
    <t>staltuer</t>
    <phoneticPr fontId="1" type="noConversion"/>
  </si>
  <si>
    <t>founde</t>
    <phoneticPr fontId="1" type="noConversion"/>
  </si>
  <si>
    <t>shiensîr</t>
    <phoneticPr fontId="1" type="noConversion"/>
  </si>
  <si>
    <t>pasamga</t>
    <phoneticPr fontId="1" type="noConversion"/>
  </si>
  <si>
    <t>ivexl</t>
    <phoneticPr fontId="1" type="noConversion"/>
  </si>
  <si>
    <t>tapurer</t>
    <phoneticPr fontId="1" type="noConversion"/>
  </si>
  <si>
    <t>lotpi</t>
    <phoneticPr fontId="1" type="noConversion"/>
  </si>
  <si>
    <t>funis</t>
    <phoneticPr fontId="1" type="noConversion"/>
  </si>
  <si>
    <t>cuoqu'usine</t>
    <phoneticPr fontId="1" type="noConversion"/>
  </si>
  <si>
    <t>coqu'usine</t>
    <phoneticPr fontId="1" type="noConversion"/>
  </si>
  <si>
    <t>vapougj</t>
    <phoneticPr fontId="1" type="noConversion"/>
  </si>
  <si>
    <t>fly</t>
    <phoneticPr fontId="1" type="noConversion"/>
  </si>
  <si>
    <t>explicane</t>
    <phoneticPr fontId="1" type="noConversion"/>
  </si>
  <si>
    <t>opnate</t>
    <phoneticPr fontId="1" type="noConversion"/>
  </si>
  <si>
    <t>hagnocis</t>
    <phoneticPr fontId="1" type="noConversion"/>
  </si>
  <si>
    <t>contula</t>
    <phoneticPr fontId="1" type="noConversion"/>
  </si>
  <si>
    <t>liwurier</t>
    <phoneticPr fontId="1" type="noConversion"/>
  </si>
  <si>
    <t>adolau</t>
    <phoneticPr fontId="1" type="noConversion"/>
  </si>
  <si>
    <t>adolao</t>
    <phoneticPr fontId="1" type="noConversion"/>
  </si>
  <si>
    <t>otezecht</t>
    <phoneticPr fontId="1" type="noConversion"/>
  </si>
  <si>
    <t>trâtmaut</t>
    <phoneticPr fontId="1" type="noConversion"/>
  </si>
  <si>
    <t>depehten</t>
    <phoneticPr fontId="1" type="noConversion"/>
  </si>
  <si>
    <t>wisauch</t>
    <phoneticPr fontId="1" type="noConversion"/>
  </si>
  <si>
    <t>enjouas</t>
    <phoneticPr fontId="1" type="noConversion"/>
  </si>
  <si>
    <t>prefiuma</t>
    <phoneticPr fontId="1" type="noConversion"/>
  </si>
  <si>
    <t>rothniciru</t>
    <phoneticPr fontId="1" type="noConversion"/>
  </si>
  <si>
    <t>faiceri</t>
    <phoneticPr fontId="1" type="noConversion"/>
  </si>
  <si>
    <t>ordon</t>
    <phoneticPr fontId="1" type="noConversion"/>
  </si>
  <si>
    <t>cog'noshef</t>
    <phoneticPr fontId="1" type="noConversion"/>
  </si>
  <si>
    <t>dartahe</t>
    <phoneticPr fontId="1" type="noConversion"/>
  </si>
  <si>
    <t>ôsdre</t>
    <phoneticPr fontId="1" type="noConversion"/>
  </si>
  <si>
    <t>plare</t>
    <phoneticPr fontId="1" type="noConversion"/>
  </si>
  <si>
    <t>dâficâr</t>
    <phoneticPr fontId="1" type="noConversion"/>
  </si>
  <si>
    <t>comber</t>
    <phoneticPr fontId="1" type="noConversion"/>
  </si>
  <si>
    <t>spetubnir</t>
    <phoneticPr fontId="1" type="noConversion"/>
  </si>
  <si>
    <t>posel</t>
    <phoneticPr fontId="1" type="noConversion"/>
  </si>
  <si>
    <t>bliti</t>
    <phoneticPr fontId="1" type="noConversion"/>
  </si>
  <si>
    <t>ronie</t>
    <phoneticPr fontId="1" type="noConversion"/>
  </si>
  <si>
    <t>couver</t>
    <phoneticPr fontId="1" type="noConversion"/>
  </si>
  <si>
    <t>exisic</t>
    <phoneticPr fontId="1" type="noConversion"/>
  </si>
  <si>
    <t>copie</t>
    <phoneticPr fontId="1" type="noConversion"/>
  </si>
  <si>
    <t>saentin</t>
    <phoneticPr fontId="1" type="noConversion"/>
  </si>
  <si>
    <t>proce</t>
    <phoneticPr fontId="1" type="noConversion"/>
  </si>
  <si>
    <t>scoham</t>
    <phoneticPr fontId="1" type="noConversion"/>
  </si>
  <si>
    <t>griten</t>
    <phoneticPr fontId="1" type="noConversion"/>
  </si>
  <si>
    <t>fluhon</t>
    <phoneticPr fontId="1" type="noConversion"/>
  </si>
  <si>
    <t>broger</t>
    <phoneticPr fontId="1" type="noConversion"/>
  </si>
  <si>
    <t>jete</t>
    <phoneticPr fontId="1" type="noConversion"/>
  </si>
  <si>
    <t>gati</t>
    <phoneticPr fontId="1" type="noConversion"/>
  </si>
  <si>
    <t>reste</t>
    <phoneticPr fontId="1" type="noConversion"/>
  </si>
  <si>
    <t>bansir</t>
    <phoneticPr fontId="1" type="noConversion"/>
  </si>
  <si>
    <t>tefrem</t>
    <phoneticPr fontId="1" type="noConversion"/>
  </si>
  <si>
    <t>tenenga</t>
    <phoneticPr fontId="1" type="noConversion"/>
  </si>
  <si>
    <t>erfault</t>
    <phoneticPr fontId="1" type="noConversion"/>
  </si>
  <si>
    <t>recomadô</t>
    <phoneticPr fontId="1" type="noConversion"/>
  </si>
  <si>
    <t>comdub</t>
    <phoneticPr fontId="1" type="noConversion"/>
  </si>
  <si>
    <t>dusien</t>
    <phoneticPr fontId="1" type="noConversion"/>
  </si>
  <si>
    <t>d'rtiv</t>
    <phoneticPr fontId="1" type="noConversion"/>
  </si>
  <si>
    <t>d'ritiv</t>
    <phoneticPr fontId="1" type="noConversion"/>
  </si>
  <si>
    <t>sci</t>
    <phoneticPr fontId="1" type="noConversion"/>
  </si>
  <si>
    <t>jutea</t>
    <phoneticPr fontId="1" type="noConversion"/>
  </si>
  <si>
    <t>tie</t>
    <phoneticPr fontId="1" type="noConversion"/>
  </si>
  <si>
    <t>sabun</t>
    <phoneticPr fontId="1" type="noConversion"/>
  </si>
  <si>
    <t>teojust</t>
    <phoneticPr fontId="1" type="noConversion"/>
  </si>
  <si>
    <t>êtgoen</t>
    <phoneticPr fontId="1" type="noConversion"/>
  </si>
  <si>
    <t>cavate</t>
    <phoneticPr fontId="1" type="noConversion"/>
  </si>
  <si>
    <t>galmn</t>
    <phoneticPr fontId="1" type="noConversion"/>
  </si>
  <si>
    <t>hacuqu'</t>
    <phoneticPr fontId="1" type="noConversion"/>
  </si>
  <si>
    <t>hangoz</t>
    <phoneticPr fontId="1" type="noConversion"/>
  </si>
  <si>
    <t>botop</t>
    <phoneticPr fontId="1" type="noConversion"/>
  </si>
  <si>
    <t>cosrepre</t>
    <phoneticPr fontId="1" type="noConversion"/>
  </si>
  <si>
    <t>digotuam</t>
    <phoneticPr fontId="1" type="noConversion"/>
  </si>
  <si>
    <t>euwider</t>
    <phoneticPr fontId="1" type="noConversion"/>
  </si>
  <si>
    <t>qi</t>
    <phoneticPr fontId="1" type="noConversion"/>
  </si>
  <si>
    <t>criez</t>
    <phoneticPr fontId="1" type="noConversion"/>
  </si>
  <si>
    <t>verfians</t>
    <phoneticPr fontId="1" type="noConversion"/>
  </si>
  <si>
    <t>smashe</t>
    <phoneticPr fontId="1" type="noConversion"/>
  </si>
  <si>
    <t>vie</t>
    <phoneticPr fontId="1" type="noConversion"/>
  </si>
  <si>
    <t>strech</t>
    <phoneticPr fontId="1" type="noConversion"/>
  </si>
  <si>
    <t>verlet</t>
    <phoneticPr fontId="1" type="noConversion"/>
  </si>
  <si>
    <t>miesdroj</t>
    <phoneticPr fontId="1" type="noConversion"/>
  </si>
  <si>
    <t>zajm</t>
    <phoneticPr fontId="1" type="noConversion"/>
  </si>
  <si>
    <t>minos</t>
    <phoneticPr fontId="1" type="noConversion"/>
  </si>
  <si>
    <t>fne</t>
    <phoneticPr fontId="1" type="noConversion"/>
  </si>
  <si>
    <t>anhamir</t>
    <phoneticPr fontId="1" type="noConversion"/>
  </si>
  <si>
    <t>smaezwa</t>
    <phoneticPr fontId="1" type="noConversion"/>
  </si>
  <si>
    <t>berdâ</t>
    <phoneticPr fontId="1" type="noConversion"/>
  </si>
  <si>
    <t>equ'ival</t>
    <phoneticPr fontId="1" type="noConversion"/>
  </si>
  <si>
    <t>borqu'e</t>
    <phoneticPr fontId="1" type="noConversion"/>
  </si>
  <si>
    <t>menqu'e</t>
    <phoneticPr fontId="1" type="noConversion"/>
  </si>
  <si>
    <t>enathra</t>
    <phoneticPr fontId="1" type="noConversion"/>
  </si>
  <si>
    <t>esora</t>
    <phoneticPr fontId="1" type="noConversion"/>
  </si>
  <si>
    <t>tninero</t>
    <phoneticPr fontId="1" type="noConversion"/>
  </si>
  <si>
    <t>bano</t>
    <phoneticPr fontId="1" type="noConversion"/>
  </si>
  <si>
    <t>buta</t>
    <phoneticPr fontId="1" type="noConversion"/>
  </si>
  <si>
    <t>vortse</t>
    <phoneticPr fontId="1" type="noConversion"/>
  </si>
  <si>
    <t>lare</t>
    <phoneticPr fontId="1" type="noConversion"/>
  </si>
  <si>
    <t>mitri</t>
    <phoneticPr fontId="1" type="noConversion"/>
  </si>
  <si>
    <t>laustan</t>
    <phoneticPr fontId="1" type="noConversion"/>
  </si>
  <si>
    <t>evubehôm</t>
    <phoneticPr fontId="1" type="noConversion"/>
  </si>
  <si>
    <t>echtoc</t>
    <phoneticPr fontId="1" type="noConversion"/>
  </si>
  <si>
    <t>deashir</t>
    <phoneticPr fontId="1" type="noConversion"/>
  </si>
  <si>
    <t>sujeh</t>
    <phoneticPr fontId="1" type="noConversion"/>
  </si>
  <si>
    <t>samag</t>
    <phoneticPr fontId="1" type="noConversion"/>
  </si>
  <si>
    <t>precô</t>
    <phoneticPr fontId="1" type="noConversion"/>
  </si>
  <si>
    <t>respontes</t>
    <phoneticPr fontId="1" type="noConversion"/>
  </si>
  <si>
    <t>isntabjar</t>
    <phoneticPr fontId="1" type="noConversion"/>
  </si>
  <si>
    <t>tamhen</t>
    <phoneticPr fontId="1" type="noConversion"/>
  </si>
  <si>
    <t>usi</t>
    <phoneticPr fontId="1" type="noConversion"/>
  </si>
  <si>
    <t>worss</t>
    <phoneticPr fontId="1" type="noConversion"/>
  </si>
  <si>
    <t>delehju</t>
    <phoneticPr fontId="1" type="noConversion"/>
  </si>
  <si>
    <t>simel</t>
    <phoneticPr fontId="1" type="noConversion"/>
  </si>
  <si>
    <t>tanisher</t>
    <phoneticPr fontId="1" type="noConversion"/>
  </si>
  <si>
    <t>camis</t>
    <phoneticPr fontId="1" type="noConversion"/>
  </si>
  <si>
    <t>scunde</t>
    <phoneticPr fontId="1" type="noConversion"/>
  </si>
  <si>
    <t>peda</t>
    <phoneticPr fontId="1" type="noConversion"/>
  </si>
  <si>
    <t>domunpe</t>
    <phoneticPr fontId="1" type="noConversion"/>
  </si>
  <si>
    <t>sipracli</t>
    <phoneticPr fontId="1" type="noConversion"/>
  </si>
  <si>
    <t>gwesmid</t>
    <phoneticPr fontId="1" type="noConversion"/>
  </si>
  <si>
    <t>vîsn</t>
    <phoneticPr fontId="1" type="noConversion"/>
  </si>
  <si>
    <t>suac</t>
    <phoneticPr fontId="1" type="noConversion"/>
  </si>
  <si>
    <t>vierytis</t>
    <phoneticPr fontId="1" type="noConversion"/>
  </si>
  <si>
    <t>guh'zem</t>
    <phoneticPr fontId="1" type="noConversion"/>
  </si>
  <si>
    <t>seafcja</t>
    <phoneticPr fontId="1" type="noConversion"/>
  </si>
  <si>
    <t>tagspâtas</t>
    <phoneticPr fontId="1" type="noConversion"/>
  </si>
  <si>
    <t>bâsal</t>
    <phoneticPr fontId="1" type="noConversion"/>
  </si>
  <si>
    <t>t'asnmid</t>
    <phoneticPr fontId="1" type="noConversion"/>
  </si>
  <si>
    <t>hansâtu</t>
    <phoneticPr fontId="1" type="noConversion"/>
  </si>
  <si>
    <t>abseon</t>
    <phoneticPr fontId="1" type="noConversion"/>
  </si>
  <si>
    <t>ch'alaenb</t>
    <phoneticPr fontId="1" type="noConversion"/>
  </si>
  <si>
    <t>ebegûe</t>
    <phoneticPr fontId="1" type="noConversion"/>
  </si>
  <si>
    <t>tumlawat</t>
    <phoneticPr fontId="1" type="noConversion"/>
  </si>
  <si>
    <t>vualizam</t>
    <phoneticPr fontId="1" type="noConversion"/>
  </si>
  <si>
    <t>tesum</t>
    <phoneticPr fontId="1" type="noConversion"/>
  </si>
  <si>
    <t>sanitoze</t>
    <phoneticPr fontId="1" type="noConversion"/>
  </si>
  <si>
    <t>roculeaset</t>
    <phoneticPr fontId="1" type="noConversion"/>
  </si>
  <si>
    <t>rinshla</t>
    <phoneticPr fontId="1" type="noConversion"/>
  </si>
  <si>
    <t>lalshant</t>
    <phoneticPr fontId="1" type="noConversion"/>
  </si>
  <si>
    <t>hunc</t>
    <phoneticPr fontId="1" type="noConversion"/>
  </si>
  <si>
    <t>marsilu</t>
    <phoneticPr fontId="1" type="noConversion"/>
  </si>
  <si>
    <t>gricut</t>
    <phoneticPr fontId="1" type="noConversion"/>
  </si>
  <si>
    <t>pouseto</t>
    <phoneticPr fontId="1" type="noConversion"/>
  </si>
  <si>
    <t>pualuret</t>
    <phoneticPr fontId="1" type="noConversion"/>
  </si>
  <si>
    <t>sofiticata</t>
    <phoneticPr fontId="1" type="noConversion"/>
  </si>
  <si>
    <t>fovadena</t>
    <phoneticPr fontId="1" type="noConversion"/>
  </si>
  <si>
    <t>lacshiru</t>
    <phoneticPr fontId="1" type="noConversion"/>
  </si>
  <si>
    <t>mandamus</t>
    <phoneticPr fontId="1" type="noConversion"/>
  </si>
  <si>
    <t>manicura</t>
    <phoneticPr fontId="1" type="noConversion"/>
  </si>
  <si>
    <t>paljagte</t>
    <phoneticPr fontId="1" type="noConversion"/>
  </si>
  <si>
    <t>rolaneac</t>
    <phoneticPr fontId="1" type="noConversion"/>
  </si>
  <si>
    <t>spezifite</t>
    <phoneticPr fontId="1" type="noConversion"/>
  </si>
  <si>
    <t>emise</t>
    <phoneticPr fontId="1" type="noConversion"/>
  </si>
  <si>
    <t>vinjuay</t>
    <phoneticPr fontId="1" type="noConversion"/>
  </si>
  <si>
    <t>l'afurlinm</t>
    <phoneticPr fontId="1" type="noConversion"/>
  </si>
  <si>
    <t>mentapo</t>
    <phoneticPr fontId="1" type="noConversion"/>
  </si>
  <si>
    <t>seaum</t>
    <phoneticPr fontId="1" type="noConversion"/>
  </si>
  <si>
    <t>natremja</t>
    <phoneticPr fontId="1" type="noConversion"/>
  </si>
  <si>
    <t>perde</t>
    <phoneticPr fontId="1" type="noConversion"/>
  </si>
  <si>
    <t>redsca</t>
    <phoneticPr fontId="1" type="noConversion"/>
  </si>
  <si>
    <t>ovôlen</t>
    <phoneticPr fontId="1" type="noConversion"/>
  </si>
  <si>
    <t>vanlungen</t>
    <phoneticPr fontId="1" type="noConversion"/>
  </si>
  <si>
    <t>opeit</t>
    <phoneticPr fontId="1" type="noConversion"/>
  </si>
  <si>
    <t>teulja</t>
    <phoneticPr fontId="1" type="noConversion"/>
  </si>
  <si>
    <t>holec</t>
    <phoneticPr fontId="1" type="noConversion"/>
  </si>
  <si>
    <t>schem</t>
    <phoneticPr fontId="1" type="noConversion"/>
  </si>
  <si>
    <t>toriel</t>
    <phoneticPr fontId="1" type="noConversion"/>
  </si>
  <si>
    <t>tidenc</t>
    <phoneticPr fontId="1" type="noConversion"/>
  </si>
  <si>
    <t>âotg</t>
    <phoneticPr fontId="1" type="noConversion"/>
  </si>
  <si>
    <t>hedenss</t>
    <phoneticPr fontId="1" type="noConversion"/>
  </si>
  <si>
    <t>sogizu</t>
    <phoneticPr fontId="1" type="noConversion"/>
  </si>
  <si>
    <t>frecet</t>
    <phoneticPr fontId="1" type="noConversion"/>
  </si>
  <si>
    <t>cellen</t>
    <phoneticPr fontId="1" type="noConversion"/>
  </si>
  <si>
    <t>merecden</t>
    <phoneticPr fontId="1" type="noConversion"/>
  </si>
  <si>
    <t>sepalet</t>
    <phoneticPr fontId="1" type="noConversion"/>
  </si>
  <si>
    <t>diqisim</t>
    <phoneticPr fontId="1" type="noConversion"/>
  </si>
  <si>
    <t>joumlin</t>
    <phoneticPr fontId="1" type="noConversion"/>
  </si>
  <si>
    <t>cestâm</t>
    <phoneticPr fontId="1" type="noConversion"/>
  </si>
  <si>
    <t>tegar</t>
    <phoneticPr fontId="1" type="noConversion"/>
  </si>
  <si>
    <t>enset</t>
    <phoneticPr fontId="1" type="noConversion"/>
  </si>
  <si>
    <t>gevat</t>
    <phoneticPr fontId="1" type="noConversion"/>
  </si>
  <si>
    <t>zamcosht</t>
    <phoneticPr fontId="1" type="noConversion"/>
  </si>
  <si>
    <t>bijud</t>
    <phoneticPr fontId="1" type="noConversion"/>
  </si>
  <si>
    <t>xiachon</t>
    <phoneticPr fontId="1" type="noConversion"/>
  </si>
  <si>
    <t>tianlund</t>
    <phoneticPr fontId="1" type="noConversion"/>
  </si>
  <si>
    <t>edule</t>
    <phoneticPr fontId="1" type="noConversion"/>
  </si>
  <si>
    <t>vermit</t>
    <phoneticPr fontId="1" type="noConversion"/>
  </si>
  <si>
    <t>geviec</t>
    <phoneticPr fontId="1" type="noConversion"/>
  </si>
  <si>
    <t>uzhler</t>
    <phoneticPr fontId="1" type="noConversion"/>
  </si>
  <si>
    <t>ritm</t>
    <phoneticPr fontId="1" type="noConversion"/>
  </si>
  <si>
    <t>annucel</t>
    <phoneticPr fontId="1" type="noConversion"/>
  </si>
  <si>
    <t>tretma</t>
    <phoneticPr fontId="1" type="noConversion"/>
  </si>
  <si>
    <t>juch</t>
    <phoneticPr fontId="1" type="noConversion"/>
  </si>
  <si>
    <t>vufen</t>
    <phoneticPr fontId="1" type="noConversion"/>
  </si>
  <si>
    <t>vonl</t>
    <phoneticPr fontId="1" type="noConversion"/>
  </si>
  <si>
    <t>tûdne</t>
    <phoneticPr fontId="1" type="noConversion"/>
  </si>
  <si>
    <t>spimber</t>
    <phoneticPr fontId="1" type="noConversion"/>
  </si>
  <si>
    <t>gurcme</t>
    <phoneticPr fontId="1" type="noConversion"/>
  </si>
  <si>
    <t>jômly</t>
    <phoneticPr fontId="1" type="noConversion"/>
  </si>
  <si>
    <t>acsud</t>
    <phoneticPr fontId="1" type="noConversion"/>
  </si>
  <si>
    <t>encuejcem</t>
    <phoneticPr fontId="1" type="noConversion"/>
  </si>
  <si>
    <t>legion</t>
    <phoneticPr fontId="1" type="noConversion"/>
  </si>
  <si>
    <t>duveher</t>
    <phoneticPr fontId="1" type="noConversion"/>
  </si>
  <si>
    <t>fornta</t>
    <phoneticPr fontId="1" type="noConversion"/>
  </si>
  <si>
    <t>prodhemec</t>
    <phoneticPr fontId="1" type="noConversion"/>
  </si>
  <si>
    <t>teplat</t>
    <phoneticPr fontId="1" type="noConversion"/>
  </si>
  <si>
    <t>mogtaj</t>
    <phoneticPr fontId="1" type="noConversion"/>
  </si>
  <si>
    <t>atectus</t>
    <phoneticPr fontId="1" type="noConversion"/>
  </si>
  <si>
    <t>cawtsect</t>
    <phoneticPr fontId="1" type="noConversion"/>
  </si>
  <si>
    <t>abciesort</t>
    <phoneticPr fontId="1" type="noConversion"/>
  </si>
  <si>
    <t>etuslam</t>
    <phoneticPr fontId="1" type="noConversion"/>
  </si>
  <si>
    <t>toser</t>
    <phoneticPr fontId="1" type="noConversion"/>
  </si>
  <si>
    <t>moleu</t>
    <phoneticPr fontId="1" type="noConversion"/>
  </si>
  <si>
    <t>ecuanmâ</t>
    <phoneticPr fontId="1" type="noConversion"/>
  </si>
  <si>
    <t>fimenrah</t>
    <phoneticPr fontId="1" type="noConversion"/>
  </si>
  <si>
    <t>qitan</t>
    <phoneticPr fontId="1" type="noConversion"/>
  </si>
  <si>
    <t>amon</t>
    <phoneticPr fontId="1" type="noConversion"/>
  </si>
  <si>
    <t>nochses</t>
    <phoneticPr fontId="1" type="noConversion"/>
  </si>
  <si>
    <t>gaptan</t>
    <phoneticPr fontId="1" type="noConversion"/>
  </si>
  <si>
    <t>tolar</t>
    <phoneticPr fontId="1" type="noConversion"/>
  </si>
  <si>
    <t>veog</t>
    <phoneticPr fontId="1" type="noConversion"/>
  </si>
  <si>
    <t>botareg</t>
    <phoneticPr fontId="1" type="noConversion"/>
  </si>
  <si>
    <t>lacâzvitât'n</t>
    <phoneticPr fontId="1" type="noConversion"/>
  </si>
  <si>
    <t>bh'ois</t>
    <phoneticPr fontId="1" type="noConversion"/>
  </si>
  <si>
    <t>gaufoar</t>
    <phoneticPr fontId="1" type="noConversion"/>
  </si>
  <si>
    <t>j'udsan</t>
    <phoneticPr fontId="1" type="noConversion"/>
  </si>
  <si>
    <t>acênver</t>
    <phoneticPr fontId="1" type="noConversion"/>
  </si>
  <si>
    <t>gat</t>
    <phoneticPr fontId="1" type="noConversion"/>
  </si>
  <si>
    <t>zamjil</t>
    <phoneticPr fontId="1" type="noConversion"/>
  </si>
  <si>
    <t>salusme</t>
    <phoneticPr fontId="1" type="noConversion"/>
  </si>
  <si>
    <t>valâteu</t>
    <phoneticPr fontId="1" type="noConversion"/>
  </si>
  <si>
    <t>srith</t>
    <phoneticPr fontId="1" type="noConversion"/>
  </si>
  <si>
    <t>shortu</t>
    <phoneticPr fontId="1" type="noConversion"/>
  </si>
  <si>
    <t>5-5</t>
    <phoneticPr fontId="1" type="noConversion"/>
  </si>
  <si>
    <t>5-6</t>
    <phoneticPr fontId="1" type="noConversion"/>
  </si>
  <si>
    <t>uach'ô</t>
    <phoneticPr fontId="1" type="noConversion"/>
  </si>
  <si>
    <t>saludes</t>
    <phoneticPr fontId="1" type="noConversion"/>
  </si>
  <si>
    <t>1, 2</t>
    <phoneticPr fontId="1" type="noConversion"/>
  </si>
  <si>
    <t>统治者</t>
    <phoneticPr fontId="1" type="noConversion"/>
  </si>
  <si>
    <t>国家制度</t>
    <phoneticPr fontId="1" type="noConversion"/>
  </si>
  <si>
    <t>时态助词</t>
    <phoneticPr fontId="1" type="noConversion"/>
  </si>
  <si>
    <t>称呼</t>
    <phoneticPr fontId="1" type="noConversion"/>
  </si>
  <si>
    <t>情态动词</t>
    <phoneticPr fontId="1" type="noConversion"/>
  </si>
  <si>
    <t>行动；（去）做，（去）干</t>
    <phoneticPr fontId="1" type="noConversion"/>
  </si>
  <si>
    <t>变动，小的变化，调整</t>
    <phoneticPr fontId="1" type="noConversion"/>
  </si>
  <si>
    <t>记忆；回忆；记忆的，回忆的</t>
    <phoneticPr fontId="1" type="noConversion"/>
  </si>
  <si>
    <t>ant.</t>
    <phoneticPr fontId="1" type="noConversion"/>
  </si>
  <si>
    <t>5-0</t>
    <phoneticPr fontId="1" type="noConversion"/>
  </si>
  <si>
    <t>nuonsi</t>
    <phoneticPr fontId="1" type="noConversion"/>
  </si>
  <si>
    <t>会，能，能够，可以</t>
    <phoneticPr fontId="1" type="noConversion"/>
  </si>
  <si>
    <t>不能，不可以，不行，不会</t>
    <phoneticPr fontId="1" type="noConversion"/>
  </si>
  <si>
    <t>必须，一定要，肯定要</t>
    <phoneticPr fontId="1" type="noConversion"/>
  </si>
  <si>
    <t>禁止，不可以</t>
    <phoneticPr fontId="1" type="noConversion"/>
  </si>
  <si>
    <t>禁止</t>
    <phoneticPr fontId="1" type="noConversion"/>
  </si>
  <si>
    <t>理解，明白，清楚</t>
    <phoneticPr fontId="1" type="noConversion"/>
  </si>
  <si>
    <t>想要，希望；欲望</t>
    <phoneticPr fontId="1" type="noConversion"/>
  </si>
  <si>
    <t>更改；修改；更正；抗议</t>
    <phoneticPr fontId="1" type="noConversion"/>
  </si>
  <si>
    <t>关心，关爱</t>
    <phoneticPr fontId="1" type="noConversion"/>
  </si>
  <si>
    <t>分封；对……的分封</t>
    <phoneticPr fontId="1" type="noConversion"/>
  </si>
  <si>
    <t>管理；治理</t>
    <phoneticPr fontId="1" type="noConversion"/>
  </si>
  <si>
    <t>存在</t>
    <phoneticPr fontId="1" type="noConversion"/>
  </si>
  <si>
    <t>能够，不及物动词</t>
    <phoneticPr fontId="1" type="noConversion"/>
  </si>
  <si>
    <t>治理；治（国）；统治</t>
    <phoneticPr fontId="1" type="noConversion"/>
  </si>
  <si>
    <t>吼叫；喊</t>
    <phoneticPr fontId="1" type="noConversion"/>
  </si>
  <si>
    <t>杀，杀死；致死（cej.）</t>
    <phoneticPr fontId="1" type="noConversion"/>
  </si>
  <si>
    <t>飞</t>
    <phoneticPr fontId="1" type="noConversion"/>
  </si>
  <si>
    <t>爬</t>
    <phoneticPr fontId="1" type="noConversion"/>
  </si>
  <si>
    <t>坐</t>
    <phoneticPr fontId="1" type="noConversion"/>
  </si>
  <si>
    <t>站</t>
    <phoneticPr fontId="1" type="noConversion"/>
  </si>
  <si>
    <t>睡</t>
    <phoneticPr fontId="1" type="noConversion"/>
  </si>
  <si>
    <t>躺</t>
    <phoneticPr fontId="1" type="noConversion"/>
  </si>
  <si>
    <t>坚持</t>
    <phoneticPr fontId="1" type="noConversion"/>
  </si>
  <si>
    <t>保护</t>
    <phoneticPr fontId="1" type="noConversion"/>
  </si>
  <si>
    <t>入侵</t>
    <phoneticPr fontId="1" type="noConversion"/>
  </si>
  <si>
    <t>侵害</t>
    <phoneticPr fontId="1" type="noConversion"/>
  </si>
  <si>
    <t>制裁</t>
    <phoneticPr fontId="1" type="noConversion"/>
  </si>
  <si>
    <t>危害</t>
    <phoneticPr fontId="1" type="noConversion"/>
  </si>
  <si>
    <t>传承</t>
    <phoneticPr fontId="1" type="noConversion"/>
  </si>
  <si>
    <t>谈论</t>
    <phoneticPr fontId="1" type="noConversion"/>
  </si>
  <si>
    <t>认识</t>
    <phoneticPr fontId="1" type="noConversion"/>
  </si>
  <si>
    <t>强调</t>
    <phoneticPr fontId="1" type="noConversion"/>
  </si>
  <si>
    <t>观察</t>
    <phoneticPr fontId="1" type="noConversion"/>
  </si>
  <si>
    <t>摸</t>
    <phoneticPr fontId="1" type="noConversion"/>
  </si>
  <si>
    <t>浏览</t>
    <phoneticPr fontId="1" type="noConversion"/>
  </si>
  <si>
    <t>略读</t>
    <phoneticPr fontId="1" type="noConversion"/>
  </si>
  <si>
    <t>巡读</t>
    <phoneticPr fontId="1" type="noConversion"/>
  </si>
  <si>
    <t>环视</t>
    <phoneticPr fontId="1" type="noConversion"/>
  </si>
  <si>
    <t>单脚跳</t>
    <phoneticPr fontId="1" type="noConversion"/>
  </si>
  <si>
    <t>致，致意</t>
    <phoneticPr fontId="1" type="noConversion"/>
  </si>
  <si>
    <t>提高</t>
    <phoneticPr fontId="1" type="noConversion"/>
  </si>
  <si>
    <t>帮</t>
    <phoneticPr fontId="1" type="noConversion"/>
  </si>
  <si>
    <t>救</t>
    <phoneticPr fontId="1" type="noConversion"/>
  </si>
  <si>
    <t>抓住</t>
    <phoneticPr fontId="1" type="noConversion"/>
  </si>
  <si>
    <t>握</t>
    <phoneticPr fontId="1" type="noConversion"/>
  </si>
  <si>
    <t>带来</t>
    <phoneticPr fontId="1" type="noConversion"/>
  </si>
  <si>
    <t>缠绕</t>
    <phoneticPr fontId="1" type="noConversion"/>
  </si>
  <si>
    <t>想念</t>
    <phoneticPr fontId="1" type="noConversion"/>
  </si>
  <si>
    <t>尖叫</t>
    <phoneticPr fontId="1" type="noConversion"/>
  </si>
  <si>
    <t>亲吻</t>
    <phoneticPr fontId="1" type="noConversion"/>
  </si>
  <si>
    <t>骂</t>
    <phoneticPr fontId="1" type="noConversion"/>
  </si>
  <si>
    <t>表扬</t>
    <phoneticPr fontId="1" type="noConversion"/>
  </si>
  <si>
    <t>批评</t>
    <phoneticPr fontId="1" type="noConversion"/>
  </si>
  <si>
    <t>批改</t>
    <phoneticPr fontId="1" type="noConversion"/>
  </si>
  <si>
    <t>订正</t>
    <phoneticPr fontId="1" type="noConversion"/>
  </si>
  <si>
    <t>吩咐</t>
    <phoneticPr fontId="1" type="noConversion"/>
  </si>
  <si>
    <t>写</t>
    <phoneticPr fontId="1" type="noConversion"/>
  </si>
  <si>
    <t>印；印章</t>
    <phoneticPr fontId="1" type="noConversion"/>
  </si>
  <si>
    <t>扫（地）</t>
    <phoneticPr fontId="1" type="noConversion"/>
  </si>
  <si>
    <t>拖（地）</t>
    <phoneticPr fontId="1" type="noConversion"/>
  </si>
  <si>
    <t>抹</t>
    <phoneticPr fontId="1" type="noConversion"/>
  </si>
  <si>
    <t>出现</t>
    <phoneticPr fontId="1" type="noConversion"/>
  </si>
  <si>
    <t>消失</t>
    <phoneticPr fontId="1" type="noConversion"/>
  </si>
  <si>
    <t>发展</t>
    <phoneticPr fontId="1" type="noConversion"/>
  </si>
  <si>
    <t>娶</t>
    <phoneticPr fontId="1" type="noConversion"/>
  </si>
  <si>
    <t>嫁</t>
    <phoneticPr fontId="1" type="noConversion"/>
  </si>
  <si>
    <t>给；送</t>
    <phoneticPr fontId="1" type="noConversion"/>
  </si>
  <si>
    <t>捐</t>
    <phoneticPr fontId="1" type="noConversion"/>
  </si>
  <si>
    <t>涂</t>
    <phoneticPr fontId="1" type="noConversion"/>
  </si>
  <si>
    <t>描；描红；描线</t>
    <phoneticPr fontId="1" type="noConversion"/>
  </si>
  <si>
    <t>扔</t>
    <phoneticPr fontId="1" type="noConversion"/>
  </si>
  <si>
    <t>打开</t>
    <phoneticPr fontId="1" type="noConversion"/>
  </si>
  <si>
    <t>关上</t>
    <phoneticPr fontId="1" type="noConversion"/>
  </si>
  <si>
    <t>打开（电器）</t>
    <phoneticPr fontId="1" type="noConversion"/>
  </si>
  <si>
    <t>关上（电器）</t>
    <phoneticPr fontId="1" type="noConversion"/>
  </si>
  <si>
    <t>撒</t>
    <phoneticPr fontId="1" type="noConversion"/>
  </si>
  <si>
    <t>咬</t>
    <phoneticPr fontId="1" type="noConversion"/>
  </si>
  <si>
    <t>抓，挠</t>
    <phoneticPr fontId="1" type="noConversion"/>
  </si>
  <si>
    <t>切，割</t>
    <phoneticPr fontId="1" type="noConversion"/>
  </si>
  <si>
    <t>剪</t>
    <phoneticPr fontId="1" type="noConversion"/>
  </si>
  <si>
    <t>砍，剁</t>
    <phoneticPr fontId="1" type="noConversion"/>
  </si>
  <si>
    <t>记得</t>
    <phoneticPr fontId="1" type="noConversion"/>
  </si>
  <si>
    <t>保持</t>
    <phoneticPr fontId="1" type="noConversion"/>
  </si>
  <si>
    <t>试</t>
    <phoneticPr fontId="1" type="noConversion"/>
  </si>
  <si>
    <t>爱护</t>
    <phoneticPr fontId="1" type="noConversion"/>
  </si>
  <si>
    <t>有</t>
    <phoneticPr fontId="1" type="noConversion"/>
  </si>
  <si>
    <t>灭（火）</t>
    <phoneticPr fontId="1" type="noConversion"/>
  </si>
  <si>
    <t>浇（水）</t>
    <phoneticPr fontId="1" type="noConversion"/>
  </si>
  <si>
    <t>穿，穿上；穿着</t>
    <phoneticPr fontId="1" type="noConversion"/>
  </si>
  <si>
    <t>赢</t>
    <phoneticPr fontId="1" type="noConversion"/>
  </si>
  <si>
    <t>输</t>
    <phoneticPr fontId="1" type="noConversion"/>
  </si>
  <si>
    <t>赚钱</t>
    <phoneticPr fontId="1" type="noConversion"/>
  </si>
  <si>
    <t>踩</t>
    <phoneticPr fontId="1" type="noConversion"/>
  </si>
  <si>
    <t>踢</t>
    <phoneticPr fontId="1" type="noConversion"/>
  </si>
  <si>
    <t>点头</t>
    <phoneticPr fontId="1" type="noConversion"/>
  </si>
  <si>
    <t>摇头</t>
    <phoneticPr fontId="1" type="noConversion"/>
  </si>
  <si>
    <t>握（手）</t>
    <phoneticPr fontId="1" type="noConversion"/>
  </si>
  <si>
    <t>吐（出）</t>
    <phoneticPr fontId="1" type="noConversion"/>
  </si>
  <si>
    <t>吞</t>
    <phoneticPr fontId="1" type="noConversion"/>
  </si>
  <si>
    <t>（水）流淌</t>
    <phoneticPr fontId="1" type="noConversion"/>
  </si>
  <si>
    <t>花费</t>
    <phoneticPr fontId="1" type="noConversion"/>
  </si>
  <si>
    <t>摘（花）</t>
    <phoneticPr fontId="1" type="noConversion"/>
  </si>
  <si>
    <t>教</t>
    <phoneticPr fontId="1" type="noConversion"/>
  </si>
  <si>
    <t>研究</t>
    <phoneticPr fontId="1" type="noConversion"/>
  </si>
  <si>
    <t>分析</t>
    <phoneticPr fontId="1" type="noConversion"/>
  </si>
  <si>
    <t>翻</t>
    <phoneticPr fontId="1" type="noConversion"/>
  </si>
  <si>
    <t>继续</t>
    <phoneticPr fontId="1" type="noConversion"/>
  </si>
  <si>
    <t>盖（被子，盖子）</t>
    <phoneticPr fontId="1" type="noConversion"/>
  </si>
  <si>
    <t>倾倒</t>
    <phoneticPr fontId="1" type="noConversion"/>
  </si>
  <si>
    <t>喷</t>
    <phoneticPr fontId="1" type="noConversion"/>
  </si>
  <si>
    <t>讲述</t>
    <phoneticPr fontId="1" type="noConversion"/>
  </si>
  <si>
    <t>说（语言）</t>
    <phoneticPr fontId="1" type="noConversion"/>
  </si>
  <si>
    <t>买</t>
    <phoneticPr fontId="1" type="noConversion"/>
  </si>
  <si>
    <t>卖</t>
    <phoneticPr fontId="1" type="noConversion"/>
  </si>
  <si>
    <t>复活</t>
    <phoneticPr fontId="1" type="noConversion"/>
  </si>
  <si>
    <t>建立</t>
    <phoneticPr fontId="1" type="noConversion"/>
  </si>
  <si>
    <t>创办</t>
    <phoneticPr fontId="1" type="noConversion"/>
  </si>
  <si>
    <t>享受</t>
    <phoneticPr fontId="1" type="noConversion"/>
  </si>
  <si>
    <t>度假</t>
    <phoneticPr fontId="1" type="noConversion"/>
  </si>
  <si>
    <t>理发</t>
    <phoneticPr fontId="1" type="noConversion"/>
  </si>
  <si>
    <t>大便</t>
    <phoneticPr fontId="1" type="noConversion"/>
  </si>
  <si>
    <t>小便</t>
    <phoneticPr fontId="1" type="noConversion"/>
  </si>
  <si>
    <t>（火）烧；烧</t>
    <phoneticPr fontId="1" type="noConversion"/>
  </si>
  <si>
    <t>煮</t>
    <phoneticPr fontId="1" type="noConversion"/>
  </si>
  <si>
    <t>蒸</t>
    <phoneticPr fontId="1" type="noConversion"/>
  </si>
  <si>
    <t>炒</t>
    <phoneticPr fontId="1" type="noConversion"/>
  </si>
  <si>
    <t>解释</t>
    <phoneticPr fontId="1" type="noConversion"/>
  </si>
  <si>
    <t>记录</t>
    <phoneticPr fontId="1" type="noConversion"/>
  </si>
  <si>
    <t>认出</t>
    <phoneticPr fontId="1" type="noConversion"/>
  </si>
  <si>
    <t>控制</t>
    <phoneticPr fontId="1" type="noConversion"/>
  </si>
  <si>
    <t>订，预订</t>
    <phoneticPr fontId="1" type="noConversion"/>
  </si>
  <si>
    <t>降落</t>
    <phoneticPr fontId="1" type="noConversion"/>
  </si>
  <si>
    <t>寻找，查找</t>
    <phoneticPr fontId="1" type="noConversion"/>
  </si>
  <si>
    <t>翻译</t>
    <phoneticPr fontId="1" type="noConversion"/>
  </si>
  <si>
    <t>撰写</t>
    <phoneticPr fontId="1" type="noConversion"/>
  </si>
  <si>
    <t>演奏</t>
    <phoneticPr fontId="1" type="noConversion"/>
  </si>
  <si>
    <t>表演</t>
    <phoneticPr fontId="1" type="noConversion"/>
  </si>
  <si>
    <t>转</t>
    <phoneticPr fontId="1" type="noConversion"/>
  </si>
  <si>
    <t>制作</t>
    <phoneticPr fontId="1" type="noConversion"/>
  </si>
  <si>
    <t>整理</t>
    <phoneticPr fontId="1" type="noConversion"/>
  </si>
  <si>
    <t>找到</t>
    <phoneticPr fontId="1" type="noConversion"/>
  </si>
  <si>
    <t>听到</t>
    <phoneticPr fontId="1" type="noConversion"/>
  </si>
  <si>
    <t>分享</t>
    <phoneticPr fontId="1" type="noConversion"/>
  </si>
  <si>
    <t>折</t>
    <phoneticPr fontId="1" type="noConversion"/>
  </si>
  <si>
    <t>拆</t>
    <phoneticPr fontId="1" type="noConversion"/>
  </si>
  <si>
    <t>跌倒</t>
    <phoneticPr fontId="1" type="noConversion"/>
  </si>
  <si>
    <t>散发；散播</t>
    <phoneticPr fontId="1" type="noConversion"/>
  </si>
  <si>
    <t>安装</t>
    <phoneticPr fontId="1" type="noConversion"/>
  </si>
  <si>
    <t>越过</t>
    <phoneticPr fontId="1" type="noConversion"/>
  </si>
  <si>
    <t>掉落</t>
    <phoneticPr fontId="1" type="noConversion"/>
  </si>
  <si>
    <t>覆盖</t>
    <phoneticPr fontId="1" type="noConversion"/>
  </si>
  <si>
    <t>复制</t>
    <phoneticPr fontId="1" type="noConversion"/>
  </si>
  <si>
    <t>抄写</t>
    <phoneticPr fontId="1" type="noConversion"/>
  </si>
  <si>
    <t>粘；粘贴；（网）粘贴</t>
    <phoneticPr fontId="1" type="noConversion"/>
  </si>
  <si>
    <t>捅</t>
    <phoneticPr fontId="1" type="noConversion"/>
  </si>
  <si>
    <t>摇</t>
    <phoneticPr fontId="1" type="noConversion"/>
  </si>
  <si>
    <t>生长</t>
    <phoneticPr fontId="1" type="noConversion"/>
  </si>
  <si>
    <t>开花</t>
    <phoneticPr fontId="1" type="noConversion"/>
  </si>
  <si>
    <t>丢失</t>
    <phoneticPr fontId="1" type="noConversion"/>
  </si>
  <si>
    <t>离开</t>
    <phoneticPr fontId="1" type="noConversion"/>
  </si>
  <si>
    <t>待，呆</t>
    <phoneticPr fontId="1" type="noConversion"/>
  </si>
  <si>
    <t>弹</t>
    <phoneticPr fontId="1" type="noConversion"/>
  </si>
  <si>
    <t>参加</t>
    <phoneticPr fontId="1" type="noConversion"/>
  </si>
  <si>
    <t>获得</t>
    <phoneticPr fontId="1" type="noConversion"/>
  </si>
  <si>
    <t>推荐</t>
    <phoneticPr fontId="1" type="noConversion"/>
  </si>
  <si>
    <t>带领</t>
    <phoneticPr fontId="1" type="noConversion"/>
  </si>
  <si>
    <t>推</t>
    <phoneticPr fontId="1" type="noConversion"/>
  </si>
  <si>
    <t>潜水</t>
    <phoneticPr fontId="1" type="noConversion"/>
  </si>
  <si>
    <t>滑雪</t>
    <phoneticPr fontId="1" type="noConversion"/>
  </si>
  <si>
    <t>划船</t>
    <phoneticPr fontId="1" type="noConversion"/>
  </si>
  <si>
    <t>拍</t>
    <phoneticPr fontId="1" type="noConversion"/>
  </si>
  <si>
    <t>拔</t>
    <phoneticPr fontId="1" type="noConversion"/>
  </si>
  <si>
    <t>调整</t>
    <phoneticPr fontId="1" type="noConversion"/>
  </si>
  <si>
    <t>围剿</t>
    <phoneticPr fontId="1" type="noConversion"/>
  </si>
  <si>
    <t>绑</t>
    <phoneticPr fontId="1" type="noConversion"/>
  </si>
  <si>
    <t>打哈欠；哈欠</t>
    <phoneticPr fontId="1" type="noConversion"/>
  </si>
  <si>
    <t>打嗝；嗝</t>
    <phoneticPr fontId="1" type="noConversion"/>
  </si>
  <si>
    <t>打饱嗝；饱嗝</t>
    <phoneticPr fontId="1" type="noConversion"/>
  </si>
  <si>
    <t>吐痰；痰</t>
    <phoneticPr fontId="1" type="noConversion"/>
  </si>
  <si>
    <t>打响指，打榧子；响指</t>
    <phoneticPr fontId="1" type="noConversion"/>
  </si>
  <si>
    <t>认为</t>
    <phoneticPr fontId="1" type="noConversion"/>
  </si>
  <si>
    <t>去</t>
    <phoneticPr fontId="1" type="noConversion"/>
  </si>
  <si>
    <t>相信</t>
    <phoneticPr fontId="1" type="noConversion"/>
  </si>
  <si>
    <t>信任</t>
    <phoneticPr fontId="1" type="noConversion"/>
  </si>
  <si>
    <t>砸</t>
    <phoneticPr fontId="1" type="noConversion"/>
  </si>
  <si>
    <t>来</t>
    <phoneticPr fontId="1" type="noConversion"/>
  </si>
  <si>
    <t>伸展</t>
    <phoneticPr fontId="1" type="noConversion"/>
  </si>
  <si>
    <t>伤害</t>
    <phoneticPr fontId="1" type="noConversion"/>
  </si>
  <si>
    <t>毁灭</t>
    <phoneticPr fontId="1" type="noConversion"/>
  </si>
  <si>
    <t>加</t>
    <phoneticPr fontId="1" type="noConversion"/>
  </si>
  <si>
    <t>减</t>
    <phoneticPr fontId="1" type="noConversion"/>
  </si>
  <si>
    <t>乘</t>
    <phoneticPr fontId="1" type="noConversion"/>
  </si>
  <si>
    <t>除</t>
    <phoneticPr fontId="1" type="noConversion"/>
  </si>
  <si>
    <t>相当于</t>
    <phoneticPr fontId="1" type="noConversion"/>
  </si>
  <si>
    <t>等于；等同于</t>
    <phoneticPr fontId="1" type="noConversion"/>
  </si>
  <si>
    <t>大于</t>
    <phoneticPr fontId="1" type="noConversion"/>
  </si>
  <si>
    <t>小于</t>
    <phoneticPr fontId="1" type="noConversion"/>
  </si>
  <si>
    <t>呼吸</t>
    <phoneticPr fontId="1" type="noConversion"/>
  </si>
  <si>
    <t>呼气</t>
    <phoneticPr fontId="1" type="noConversion"/>
  </si>
  <si>
    <t>吸气</t>
    <phoneticPr fontId="1" type="noConversion"/>
  </si>
  <si>
    <t>洗澡；洗（cira.）</t>
    <phoneticPr fontId="1" type="noConversion"/>
  </si>
  <si>
    <t>盆浴</t>
    <phoneticPr fontId="1" type="noConversion"/>
  </si>
  <si>
    <t>刷牙</t>
    <phoneticPr fontId="1" type="noConversion"/>
  </si>
  <si>
    <t>洗</t>
    <phoneticPr fontId="1" type="noConversion"/>
  </si>
  <si>
    <t>混合</t>
    <phoneticPr fontId="1" type="noConversion"/>
  </si>
  <si>
    <t>溶解</t>
    <phoneticPr fontId="1" type="noConversion"/>
  </si>
  <si>
    <t>蒸发</t>
    <phoneticPr fontId="1" type="noConversion"/>
  </si>
  <si>
    <t>导致</t>
    <phoneticPr fontId="1" type="noConversion"/>
  </si>
  <si>
    <t>提及</t>
    <phoneticPr fontId="1" type="noConversion"/>
  </si>
  <si>
    <t>收集；收集物</t>
    <phoneticPr fontId="1" type="noConversion"/>
  </si>
  <si>
    <t>标记</t>
    <phoneticPr fontId="1" type="noConversion"/>
  </si>
  <si>
    <t>问</t>
    <phoneticPr fontId="1" type="noConversion"/>
  </si>
  <si>
    <t>回答</t>
    <phoneticPr fontId="1" type="noConversion"/>
  </si>
  <si>
    <t>航行</t>
    <phoneticPr fontId="1" type="noConversion"/>
  </si>
  <si>
    <t>抱怨</t>
    <phoneticPr fontId="1" type="noConversion"/>
  </si>
  <si>
    <t>用</t>
    <phoneticPr fontId="1" type="noConversion"/>
  </si>
  <si>
    <t>语音；发音</t>
    <phoneticPr fontId="1" type="noConversion"/>
  </si>
  <si>
    <t>拼写</t>
    <phoneticPr fontId="1" type="noConversion"/>
  </si>
  <si>
    <t>玷污</t>
    <phoneticPr fontId="1" type="noConversion"/>
  </si>
  <si>
    <t>吸烟</t>
    <phoneticPr fontId="1" type="noConversion"/>
  </si>
  <si>
    <t>扮演</t>
    <phoneticPr fontId="1" type="noConversion"/>
  </si>
  <si>
    <t>振荡</t>
    <phoneticPr fontId="1" type="noConversion"/>
  </si>
  <si>
    <t>拉</t>
    <phoneticPr fontId="1" type="noConversion"/>
  </si>
  <si>
    <t>耕地</t>
    <phoneticPr fontId="1" type="noConversion"/>
  </si>
  <si>
    <t>移栽</t>
    <phoneticPr fontId="1" type="noConversion"/>
  </si>
  <si>
    <t>搭配，相配（物与物）</t>
    <phoneticPr fontId="1" type="noConversion"/>
  </si>
  <si>
    <t>搭配（人与物）</t>
    <phoneticPr fontId="1" type="noConversion"/>
  </si>
  <si>
    <t>拜访</t>
    <phoneticPr fontId="1" type="noConversion"/>
  </si>
  <si>
    <t>旅行</t>
    <phoneticPr fontId="1" type="noConversion"/>
  </si>
  <si>
    <t>展示</t>
    <phoneticPr fontId="1" type="noConversion"/>
  </si>
  <si>
    <t>炫耀</t>
    <phoneticPr fontId="1" type="noConversion"/>
  </si>
  <si>
    <t>拼接；拼图</t>
    <phoneticPr fontId="1" type="noConversion"/>
  </si>
  <si>
    <t>买得起</t>
    <phoneticPr fontId="1" type="noConversion"/>
  </si>
  <si>
    <t>发生</t>
    <phoneticPr fontId="1" type="noConversion"/>
  </si>
  <si>
    <t>挤</t>
    <phoneticPr fontId="1" type="noConversion"/>
  </si>
  <si>
    <t>挤奶</t>
    <phoneticPr fontId="1" type="noConversion"/>
  </si>
  <si>
    <t>反叛；背叛</t>
    <phoneticPr fontId="1" type="noConversion"/>
  </si>
  <si>
    <t>（元音）变音</t>
    <phoneticPr fontId="1" type="noConversion"/>
  </si>
  <si>
    <t>诽谤，污蔑</t>
    <phoneticPr fontId="1" type="noConversion"/>
  </si>
  <si>
    <t>怀疑</t>
    <phoneticPr fontId="1" type="noConversion"/>
  </si>
  <si>
    <t>给……消毒</t>
    <phoneticPr fontId="1" type="noConversion"/>
  </si>
  <si>
    <t>打滚</t>
    <phoneticPr fontId="1" type="noConversion"/>
  </si>
  <si>
    <t>漱口</t>
    <phoneticPr fontId="1" type="noConversion"/>
  </si>
  <si>
    <t>躲避；躲债</t>
    <phoneticPr fontId="1" type="noConversion"/>
  </si>
  <si>
    <t>鸣叫；雁鸣（cira.）；警笛</t>
    <phoneticPr fontId="1" type="noConversion"/>
  </si>
  <si>
    <t>烫发</t>
    <phoneticPr fontId="1" type="noConversion"/>
  </si>
  <si>
    <t>绞索；把……处以绞刑</t>
    <phoneticPr fontId="1" type="noConversion"/>
  </si>
  <si>
    <t>跳（环舞）</t>
    <phoneticPr fontId="1" type="noConversion"/>
  </si>
  <si>
    <t>板脸，拉下脸</t>
    <phoneticPr fontId="1" type="noConversion"/>
  </si>
  <si>
    <t>曲解</t>
    <phoneticPr fontId="1" type="noConversion"/>
  </si>
  <si>
    <t>抚养</t>
    <phoneticPr fontId="1" type="noConversion"/>
  </si>
  <si>
    <t>持续</t>
    <phoneticPr fontId="1" type="noConversion"/>
  </si>
  <si>
    <t>训令</t>
    <phoneticPr fontId="1" type="noConversion"/>
  </si>
  <si>
    <t>修（指甲）</t>
    <phoneticPr fontId="1" type="noConversion"/>
  </si>
  <si>
    <t>延长</t>
    <phoneticPr fontId="1" type="noConversion"/>
  </si>
  <si>
    <t>嬉戏，打闹</t>
    <phoneticPr fontId="1" type="noConversion"/>
  </si>
  <si>
    <t>物种生成</t>
    <phoneticPr fontId="1" type="noConversion"/>
  </si>
  <si>
    <t>发射</t>
    <phoneticPr fontId="1" type="noConversion"/>
  </si>
  <si>
    <t>幸存</t>
    <phoneticPr fontId="1" type="noConversion"/>
  </si>
  <si>
    <t>履行</t>
    <phoneticPr fontId="1" type="noConversion"/>
  </si>
  <si>
    <t>使……溢出</t>
    <phoneticPr fontId="1" type="noConversion"/>
  </si>
  <si>
    <t>直线上升</t>
    <phoneticPr fontId="1" type="noConversion"/>
  </si>
  <si>
    <t>发抖</t>
    <phoneticPr fontId="1" type="noConversion"/>
  </si>
  <si>
    <t>打招呼；寒暄，招呼</t>
    <phoneticPr fontId="1" type="noConversion"/>
  </si>
  <si>
    <t>拍照</t>
    <phoneticPr fontId="1" type="noConversion"/>
  </si>
  <si>
    <t>幽会，约会</t>
    <phoneticPr fontId="1" type="noConversion"/>
  </si>
  <si>
    <t>揭露</t>
    <phoneticPr fontId="1" type="noConversion"/>
  </si>
  <si>
    <t>违反</t>
    <phoneticPr fontId="1" type="noConversion"/>
  </si>
  <si>
    <t>遵守</t>
    <phoneticPr fontId="1" type="noConversion"/>
  </si>
  <si>
    <t>妓女；嫖娼，嫖妓</t>
    <phoneticPr fontId="1" type="noConversion"/>
  </si>
  <si>
    <t>游泳</t>
    <phoneticPr fontId="1" type="noConversion"/>
  </si>
  <si>
    <t>瞄准</t>
    <phoneticPr fontId="1" type="noConversion"/>
  </si>
  <si>
    <t>缺席</t>
    <phoneticPr fontId="1" type="noConversion"/>
  </si>
  <si>
    <t>添加</t>
    <phoneticPr fontId="1" type="noConversion"/>
  </si>
  <si>
    <t>猜</t>
    <phoneticPr fontId="1" type="noConversion"/>
  </si>
  <si>
    <t>同意</t>
    <phoneticPr fontId="1" type="noConversion"/>
  </si>
  <si>
    <t>庆祝</t>
    <phoneticPr fontId="1" type="noConversion"/>
  </si>
  <si>
    <t>呼叫；呼吁</t>
    <phoneticPr fontId="1" type="noConversion"/>
  </si>
  <si>
    <t>达到</t>
    <phoneticPr fontId="1" type="noConversion"/>
  </si>
  <si>
    <t>建议</t>
    <phoneticPr fontId="1" type="noConversion"/>
  </si>
  <si>
    <t>设置</t>
    <phoneticPr fontId="1" type="noConversion"/>
  </si>
  <si>
    <t>避免</t>
    <phoneticPr fontId="1" type="noConversion"/>
  </si>
  <si>
    <t>借用</t>
    <phoneticPr fontId="1" type="noConversion"/>
  </si>
  <si>
    <t>借给</t>
    <phoneticPr fontId="1" type="noConversion"/>
  </si>
  <si>
    <t>下棋</t>
    <phoneticPr fontId="1" type="noConversion"/>
  </si>
  <si>
    <t>出生；诞生；天生；天生有</t>
    <phoneticPr fontId="1" type="noConversion"/>
  </si>
  <si>
    <t>收到（来信）</t>
    <phoneticPr fontId="1" type="noConversion"/>
  </si>
  <si>
    <t>允许</t>
    <phoneticPr fontId="1" type="noConversion"/>
  </si>
  <si>
    <t>复习</t>
    <phoneticPr fontId="1" type="noConversion"/>
  </si>
  <si>
    <t>打败</t>
    <phoneticPr fontId="1" type="noConversion"/>
  </si>
  <si>
    <t>取消</t>
    <phoneticPr fontId="1" type="noConversion"/>
  </si>
  <si>
    <t>骗；作弊</t>
    <phoneticPr fontId="1" type="noConversion"/>
  </si>
  <si>
    <t>欢呼；喝彩</t>
    <phoneticPr fontId="1" type="noConversion"/>
  </si>
  <si>
    <t>振奋</t>
    <phoneticPr fontId="1" type="noConversion"/>
  </si>
  <si>
    <t>装满</t>
    <phoneticPr fontId="1" type="noConversion"/>
  </si>
  <si>
    <t>跟随</t>
    <phoneticPr fontId="1" type="noConversion"/>
  </si>
  <si>
    <t>逼迫</t>
    <phoneticPr fontId="1" type="noConversion"/>
  </si>
  <si>
    <t>跟踪</t>
    <phoneticPr fontId="1" type="noConversion"/>
  </si>
  <si>
    <t>清理</t>
    <phoneticPr fontId="1" type="noConversion"/>
  </si>
  <si>
    <t>鼓掌</t>
    <phoneticPr fontId="1" type="noConversion"/>
  </si>
  <si>
    <t>鼓励</t>
    <phoneticPr fontId="1" type="noConversion"/>
  </si>
  <si>
    <t>连接</t>
    <phoneticPr fontId="1" type="noConversion"/>
  </si>
  <si>
    <t>驶过</t>
    <phoneticPr fontId="1" type="noConversion"/>
  </si>
  <si>
    <t>提供</t>
    <phoneticPr fontId="1" type="noConversion"/>
  </si>
  <si>
    <t>熄灭</t>
    <phoneticPr fontId="1" type="noConversion"/>
  </si>
  <si>
    <t>生产</t>
    <phoneticPr fontId="1" type="noConversion"/>
  </si>
  <si>
    <t>错位</t>
    <phoneticPr fontId="1" type="noConversion"/>
  </si>
  <si>
    <t>移动；挪动</t>
    <phoneticPr fontId="1" type="noConversion"/>
  </si>
  <si>
    <t>简化</t>
    <phoneticPr fontId="1" type="noConversion"/>
  </si>
  <si>
    <t>保卫</t>
    <phoneticPr fontId="1" type="noConversion"/>
  </si>
  <si>
    <t>吸收</t>
    <phoneticPr fontId="1" type="noConversion"/>
  </si>
  <si>
    <t>出版</t>
    <phoneticPr fontId="1" type="noConversion"/>
  </si>
  <si>
    <t>咳嗽</t>
    <phoneticPr fontId="1" type="noConversion"/>
  </si>
  <si>
    <t>死</t>
    <phoneticPr fontId="1" type="noConversion"/>
  </si>
  <si>
    <t>活</t>
    <phoneticPr fontId="1" type="noConversion"/>
  </si>
  <si>
    <t>去世，逝世</t>
    <phoneticPr fontId="1" type="noConversion"/>
  </si>
  <si>
    <t>爱上</t>
    <phoneticPr fontId="1" type="noConversion"/>
  </si>
  <si>
    <t>生病</t>
    <phoneticPr fontId="1" type="noConversion"/>
  </si>
  <si>
    <t>训练</t>
    <phoneticPr fontId="1" type="noConversion"/>
  </si>
  <si>
    <t>希望</t>
    <phoneticPr fontId="1" type="noConversion"/>
  </si>
  <si>
    <t>接受</t>
    <phoneticPr fontId="1" type="noConversion"/>
  </si>
  <si>
    <t>计算</t>
    <phoneticPr fontId="1" type="noConversion"/>
  </si>
  <si>
    <t>观看</t>
    <phoneticPr fontId="1" type="noConversion"/>
  </si>
  <si>
    <t>使……处于</t>
    <phoneticPr fontId="1" type="noConversion"/>
  </si>
  <si>
    <t>位于，坐落于</t>
    <phoneticPr fontId="1" type="noConversion"/>
  </si>
  <si>
    <t>刮风；（风）吹；吹（气）</t>
    <phoneticPr fontId="1" type="noConversion"/>
  </si>
  <si>
    <t>刮风</t>
    <phoneticPr fontId="1" type="noConversion"/>
  </si>
  <si>
    <t>判断</t>
    <phoneticPr fontId="1" type="noConversion"/>
  </si>
  <si>
    <t>进入</t>
    <phoneticPr fontId="1" type="noConversion"/>
  </si>
  <si>
    <t>抛</t>
    <phoneticPr fontId="1" type="noConversion"/>
  </si>
  <si>
    <t>骑自行车</t>
    <phoneticPr fontId="1" type="noConversion"/>
  </si>
  <si>
    <t>通缉</t>
    <phoneticPr fontId="1" type="noConversion"/>
  </si>
  <si>
    <t>休息</t>
    <phoneticPr fontId="1" type="noConversion"/>
  </si>
  <si>
    <t>出</t>
    <phoneticPr fontId="1" type="noConversion"/>
  </si>
  <si>
    <t>carâx</t>
    <phoneticPr fontId="1" type="noConversion"/>
  </si>
  <si>
    <t>doshcanis</t>
    <phoneticPr fontId="1" type="noConversion"/>
  </si>
  <si>
    <t>blidoqu'</t>
    <phoneticPr fontId="1" type="noConversion"/>
  </si>
  <si>
    <t>socrô</t>
    <phoneticPr fontId="1" type="noConversion"/>
  </si>
  <si>
    <t>luam</t>
    <phoneticPr fontId="1" type="noConversion"/>
  </si>
  <si>
    <t>sunja</t>
    <phoneticPr fontId="1" type="noConversion"/>
  </si>
  <si>
    <t>diopra</t>
    <phoneticPr fontId="1" type="noConversion"/>
  </si>
  <si>
    <t>foqu'aste</t>
    <phoneticPr fontId="1" type="noConversion"/>
  </si>
  <si>
    <t>ube</t>
    <phoneticPr fontId="1" type="noConversion"/>
  </si>
  <si>
    <t>nazufis</t>
    <phoneticPr fontId="1" type="noConversion"/>
  </si>
  <si>
    <t>barso</t>
    <phoneticPr fontId="1" type="noConversion"/>
  </si>
  <si>
    <t>ordu</t>
    <phoneticPr fontId="1" type="noConversion"/>
  </si>
  <si>
    <t>lietho</t>
    <phoneticPr fontId="1" type="noConversion"/>
  </si>
  <si>
    <t>singumta</t>
    <phoneticPr fontId="1" type="noConversion"/>
  </si>
  <si>
    <t>canrsuc</t>
    <phoneticPr fontId="1" type="noConversion"/>
  </si>
  <si>
    <t>qiqu'act</t>
    <phoneticPr fontId="1" type="noConversion"/>
  </si>
  <si>
    <t>hasitina</t>
    <phoneticPr fontId="1" type="noConversion"/>
  </si>
  <si>
    <t>tuansa</t>
    <phoneticPr fontId="1" type="noConversion"/>
  </si>
  <si>
    <t>peseu</t>
    <phoneticPr fontId="1" type="noConversion"/>
  </si>
  <si>
    <t>dilu</t>
    <phoneticPr fontId="1" type="noConversion"/>
  </si>
  <si>
    <t>weife</t>
    <phoneticPr fontId="1" type="noConversion"/>
  </si>
  <si>
    <t>manih</t>
    <phoneticPr fontId="1" type="noConversion"/>
  </si>
  <si>
    <t>vrop</t>
    <phoneticPr fontId="1" type="noConversion"/>
  </si>
  <si>
    <t>cumich</t>
    <phoneticPr fontId="1" type="noConversion"/>
  </si>
  <si>
    <t>gzuris</t>
    <phoneticPr fontId="1" type="noConversion"/>
  </si>
  <si>
    <t>anoundis</t>
    <phoneticPr fontId="1" type="noConversion"/>
  </si>
  <si>
    <t>ecomen</t>
    <phoneticPr fontId="1" type="noConversion"/>
  </si>
  <si>
    <t>ceone</t>
    <phoneticPr fontId="1" type="noConversion"/>
  </si>
  <si>
    <t>meoze</t>
    <phoneticPr fontId="1" type="noConversion"/>
  </si>
  <si>
    <t>veroun</t>
    <phoneticPr fontId="1" type="noConversion"/>
  </si>
  <si>
    <t>zdan</t>
    <phoneticPr fontId="1" type="noConversion"/>
  </si>
  <si>
    <t>ecâ</t>
    <phoneticPr fontId="1" type="noConversion"/>
  </si>
  <si>
    <t>welimos</t>
    <phoneticPr fontId="1" type="noConversion"/>
  </si>
  <si>
    <t>igzanis</t>
    <phoneticPr fontId="1" type="noConversion"/>
  </si>
  <si>
    <t>pequ'au</t>
    <phoneticPr fontId="1" type="noConversion"/>
  </si>
  <si>
    <t>opochte</t>
    <phoneticPr fontId="1" type="noConversion"/>
  </si>
  <si>
    <t>nant</t>
    <phoneticPr fontId="1" type="noConversion"/>
  </si>
  <si>
    <t>equ'nis</t>
    <phoneticPr fontId="1" type="noConversion"/>
  </si>
  <si>
    <t>mece</t>
    <phoneticPr fontId="1" type="noConversion"/>
  </si>
  <si>
    <t>qu'isot</t>
    <phoneticPr fontId="1" type="noConversion"/>
  </si>
  <si>
    <t>mest</t>
    <phoneticPr fontId="1" type="noConversion"/>
  </si>
  <si>
    <t>coft</t>
    <phoneticPr fontId="1" type="noConversion"/>
  </si>
  <si>
    <t>vunz</t>
    <phoneticPr fontId="1" type="noConversion"/>
  </si>
  <si>
    <t>nad</t>
    <phoneticPr fontId="1" type="noConversion"/>
  </si>
  <si>
    <t>decip</t>
    <phoneticPr fontId="1" type="noConversion"/>
  </si>
  <si>
    <t>tech'soch</t>
    <phoneticPr fontId="1" type="noConversion"/>
  </si>
  <si>
    <t>cus</t>
    <phoneticPr fontId="1" type="noConversion"/>
  </si>
  <si>
    <t>bonc</t>
    <phoneticPr fontId="1" type="noConversion"/>
  </si>
  <si>
    <t>hamsoc</t>
    <phoneticPr fontId="1" type="noConversion"/>
  </si>
  <si>
    <t>soc</t>
    <phoneticPr fontId="1" type="noConversion"/>
  </si>
  <si>
    <t>gur</t>
    <phoneticPr fontId="1" type="noConversion"/>
  </si>
  <si>
    <t>peusda</t>
    <phoneticPr fontId="1" type="noConversion"/>
  </si>
  <si>
    <t>dran</t>
    <phoneticPr fontId="1" type="noConversion"/>
  </si>
  <si>
    <t>vorn</t>
    <phoneticPr fontId="1" type="noConversion"/>
  </si>
  <si>
    <t>bor</t>
    <phoneticPr fontId="1" type="noConversion"/>
  </si>
  <si>
    <t>cop</t>
    <phoneticPr fontId="1" type="noConversion"/>
  </si>
  <si>
    <t>ajan</t>
    <phoneticPr fontId="1" type="noConversion"/>
  </si>
  <si>
    <t>dom</t>
    <phoneticPr fontId="1" type="noConversion"/>
  </si>
  <si>
    <t>pinc</t>
    <phoneticPr fontId="1" type="noConversion"/>
  </si>
  <si>
    <t>taz</t>
    <phoneticPr fontId="1" type="noConversion"/>
  </si>
  <si>
    <t>片（肉，花瓣，叶片）</t>
    <phoneticPr fontId="1" type="noConversion"/>
  </si>
  <si>
    <t>片</t>
    <phoneticPr fontId="1" type="noConversion"/>
  </si>
  <si>
    <t>碗（汤，饭）</t>
    <phoneticPr fontId="1" type="noConversion"/>
  </si>
  <si>
    <t>盘（菜，水果）</t>
    <phoneticPr fontId="1" type="noConversion"/>
  </si>
  <si>
    <t>盒（巧克力，卡片）</t>
    <phoneticPr fontId="1" type="noConversion"/>
  </si>
  <si>
    <t>朵（云）</t>
    <phoneticPr fontId="1" type="noConversion"/>
  </si>
  <si>
    <t>箱（金子，行李）</t>
    <phoneticPr fontId="1" type="noConversion"/>
  </si>
  <si>
    <t>滴（水，血）</t>
    <phoneticPr fontId="1" type="noConversion"/>
  </si>
  <si>
    <t>颗（星星，卫星）</t>
    <phoneticPr fontId="1" type="noConversion"/>
  </si>
  <si>
    <t>棵（树，竹子）</t>
    <phoneticPr fontId="1" type="noConversion"/>
  </si>
  <si>
    <t>竿（竹子）</t>
    <phoneticPr fontId="1" type="noConversion"/>
  </si>
  <si>
    <t>台（电脑，机床，手术）</t>
    <phoneticPr fontId="1" type="noConversion"/>
  </si>
  <si>
    <t>叶（舟）</t>
    <phoneticPr fontId="1" type="noConversion"/>
  </si>
  <si>
    <t>株（花，草）</t>
    <phoneticPr fontId="1" type="noConversion"/>
  </si>
  <si>
    <t>簇（花）</t>
    <phoneticPr fontId="1" type="noConversion"/>
  </si>
  <si>
    <t>（大）片（花，楼房）</t>
    <phoneticPr fontId="1" type="noConversion"/>
  </si>
  <si>
    <t>丛（灌木）</t>
    <phoneticPr fontId="1" type="noConversion"/>
  </si>
  <si>
    <t>束（花，光）</t>
    <phoneticPr fontId="1" type="noConversion"/>
  </si>
  <si>
    <t>匹（布）</t>
    <phoneticPr fontId="1" type="noConversion"/>
  </si>
  <si>
    <t>张（弓）</t>
    <phoneticPr fontId="1" type="noConversion"/>
  </si>
  <si>
    <t>张（纸）</t>
    <phoneticPr fontId="1" type="noConversion"/>
  </si>
  <si>
    <t>艘（船）</t>
    <phoneticPr fontId="1" type="noConversion"/>
  </si>
  <si>
    <t>群（人，羊，鸟）</t>
    <phoneticPr fontId="1" type="noConversion"/>
  </si>
  <si>
    <t>坨（泥）</t>
    <phoneticPr fontId="1" type="noConversion"/>
  </si>
  <si>
    <t>轮（太阳，月亮）</t>
    <phoneticPr fontId="1" type="noConversion"/>
  </si>
  <si>
    <t>只（动物），用于小动物</t>
    <phoneticPr fontId="1" type="noConversion"/>
  </si>
  <si>
    <t>头（象，牛，猪），用于大动物</t>
    <phoneticPr fontId="1" type="noConversion"/>
  </si>
  <si>
    <t>条（好汉，狗）</t>
    <phoneticPr fontId="1" type="noConversion"/>
  </si>
  <si>
    <t>把（直尺）</t>
    <phoneticPr fontId="1" type="noConversion"/>
  </si>
  <si>
    <t>方（砚）</t>
    <phoneticPr fontId="1" type="noConversion"/>
  </si>
  <si>
    <t>座（大厦）</t>
    <phoneticPr fontId="1" type="noConversion"/>
  </si>
  <si>
    <t>层（楼）</t>
    <phoneticPr fontId="1" type="noConversion"/>
  </si>
  <si>
    <t>把（椅子）</t>
    <phoneticPr fontId="1" type="noConversion"/>
  </si>
  <si>
    <t>台（机器，仪器）</t>
    <phoneticPr fontId="1" type="noConversion"/>
  </si>
  <si>
    <t>首（歌）</t>
    <phoneticPr fontId="1" type="noConversion"/>
  </si>
  <si>
    <t>阙（词）</t>
    <phoneticPr fontId="1" type="noConversion"/>
  </si>
  <si>
    <t>篇（文章）</t>
    <phoneticPr fontId="1" type="noConversion"/>
  </si>
  <si>
    <t>位（专家，朋友）</t>
    <phoneticPr fontId="1" type="noConversion"/>
  </si>
  <si>
    <t>条（河，丝带）</t>
    <phoneticPr fontId="1" type="noConversion"/>
  </si>
  <si>
    <t>颗（宝石，石子，草籽）</t>
    <phoneticPr fontId="1" type="noConversion"/>
  </si>
  <si>
    <t>块（肉）</t>
    <phoneticPr fontId="1" type="noConversion"/>
  </si>
  <si>
    <t>声（轻微叹息）</t>
    <phoneticPr fontId="1" type="noConversion"/>
  </si>
  <si>
    <t>口（锅，灶）</t>
    <phoneticPr fontId="1" type="noConversion"/>
  </si>
  <si>
    <t>口（人）</t>
    <phoneticPr fontId="1" type="noConversion"/>
  </si>
  <si>
    <t>户（人）</t>
    <phoneticPr fontId="1" type="noConversion"/>
  </si>
  <si>
    <t>种（生活，花，形式）</t>
    <phoneticPr fontId="1" type="noConversion"/>
  </si>
  <si>
    <t>辆（车），架（飞机）</t>
    <phoneticPr fontId="1" type="noConversion"/>
  </si>
  <si>
    <t>杯（水）</t>
    <phoneticPr fontId="1" type="noConversion"/>
  </si>
  <si>
    <t>桶（酒，腌菜）</t>
    <phoneticPr fontId="1" type="noConversion"/>
  </si>
  <si>
    <t>壶，斛（酒）</t>
    <phoneticPr fontId="1" type="noConversion"/>
  </si>
  <si>
    <t>袋（沙子，米）</t>
    <phoneticPr fontId="1" type="noConversion"/>
  </si>
  <si>
    <t>石（粮食）</t>
    <phoneticPr fontId="1" type="noConversion"/>
  </si>
  <si>
    <t>瓢（水）</t>
    <phoneticPr fontId="1" type="noConversion"/>
  </si>
  <si>
    <t>本（书，本）</t>
    <phoneticPr fontId="1" type="noConversion"/>
  </si>
  <si>
    <t>叠（纸）</t>
    <phoneticPr fontId="1" type="noConversion"/>
  </si>
  <si>
    <t>团（面）</t>
    <phoneticPr fontId="1" type="noConversion"/>
  </si>
  <si>
    <t>罐（黄桃，茶叶）</t>
    <phoneticPr fontId="1" type="noConversion"/>
  </si>
  <si>
    <t>粒（米，种子，灰）</t>
    <phoneticPr fontId="1" type="noConversion"/>
  </si>
  <si>
    <t>块（地）</t>
    <phoneticPr fontId="1" type="noConversion"/>
  </si>
  <si>
    <t>条（路）</t>
    <phoneticPr fontId="1" type="noConversion"/>
  </si>
  <si>
    <t>盆（水）</t>
    <phoneticPr fontId="1" type="noConversion"/>
  </si>
  <si>
    <t>间（房）</t>
    <phoneticPr fontId="1" type="noConversion"/>
  </si>
  <si>
    <t>捆（草）</t>
    <phoneticPr fontId="1" type="noConversion"/>
  </si>
  <si>
    <t>缕（阳光）</t>
    <phoneticPr fontId="1" type="noConversion"/>
  </si>
  <si>
    <t>阵（风）</t>
    <phoneticPr fontId="1" type="noConversion"/>
  </si>
  <si>
    <t>圈（波纹，城墙）</t>
    <phoneticPr fontId="1" type="noConversion"/>
  </si>
  <si>
    <t>发（子弹）</t>
    <phoneticPr fontId="1" type="noConversion"/>
  </si>
  <si>
    <t>段（话）</t>
    <phoneticPr fontId="1" type="noConversion"/>
  </si>
  <si>
    <t>席（话）</t>
    <phoneticPr fontId="1" type="noConversion"/>
  </si>
  <si>
    <t>组（滑轮，乐曲）</t>
    <phoneticPr fontId="1" type="noConversion"/>
  </si>
  <si>
    <t>挺（机枪）</t>
    <phoneticPr fontId="1" type="noConversion"/>
  </si>
  <si>
    <t>股（味道），种（气氛）</t>
    <phoneticPr fontId="1" type="noConversion"/>
  </si>
  <si>
    <t>页（纸）</t>
    <phoneticPr fontId="1" type="noConversion"/>
  </si>
  <si>
    <t>匹（马）</t>
    <phoneticPr fontId="1" type="noConversion"/>
  </si>
  <si>
    <t>行（字，队列）</t>
    <phoneticPr fontId="1" type="noConversion"/>
  </si>
  <si>
    <t>队（骑兵）</t>
    <phoneticPr fontId="1" type="noConversion"/>
  </si>
  <si>
    <t>躈（畜生，牲畜）</t>
    <phoneticPr fontId="1" type="noConversion"/>
  </si>
  <si>
    <t>绺（胡子）</t>
    <phoneticPr fontId="1" type="noConversion"/>
  </si>
  <si>
    <t>列（字）</t>
    <phoneticPr fontId="1" type="noConversion"/>
  </si>
  <si>
    <t>顶（帽子）</t>
    <phoneticPr fontId="1" type="noConversion"/>
  </si>
  <si>
    <t>件（衣服）</t>
    <phoneticPr fontId="1" type="noConversion"/>
  </si>
  <si>
    <t>瓶（水）</t>
    <phoneticPr fontId="1" type="noConversion"/>
  </si>
  <si>
    <t>碟（菜，光盘）</t>
    <phoneticPr fontId="1" type="noConversion"/>
  </si>
  <si>
    <t>根（毛，针，木头）</t>
    <phoneticPr fontId="1" type="noConversion"/>
  </si>
  <si>
    <t>剂（药）</t>
    <phoneticPr fontId="1" type="noConversion"/>
  </si>
  <si>
    <t>次（成功）</t>
    <phoneticPr fontId="1" type="noConversion"/>
  </si>
  <si>
    <t>片（忠心）</t>
    <phoneticPr fontId="1" type="noConversion"/>
  </si>
  <si>
    <t>支，杆（笔）</t>
    <phoneticPr fontId="1" type="noConversion"/>
  </si>
  <si>
    <t>张（床，沙发，桌子）</t>
    <phoneticPr fontId="1" type="noConversion"/>
  </si>
  <si>
    <t>句（话）</t>
    <phoneticPr fontId="1" type="noConversion"/>
  </si>
  <si>
    <t>堵（墙）</t>
    <phoneticPr fontId="1" type="noConversion"/>
  </si>
  <si>
    <t>尾（鱼）</t>
    <phoneticPr fontId="1" type="noConversion"/>
  </si>
  <si>
    <t>扇（门，窗）</t>
    <phoneticPr fontId="1" type="noConversion"/>
  </si>
  <si>
    <t>支（军队）</t>
    <phoneticPr fontId="1" type="noConversion"/>
  </si>
  <si>
    <t>份（作业，菜，工作）</t>
    <phoneticPr fontId="1" type="noConversion"/>
  </si>
  <si>
    <t>场（雨，梦）</t>
    <phoneticPr fontId="1" type="noConversion"/>
  </si>
  <si>
    <t>着（棋）</t>
    <phoneticPr fontId="1" type="noConversion"/>
  </si>
  <si>
    <t>笔（笔画）</t>
    <phoneticPr fontId="1" type="noConversion"/>
  </si>
  <si>
    <t>招（武功）</t>
    <phoneticPr fontId="1" type="noConversion"/>
  </si>
  <si>
    <t>套（拳法，武功）</t>
    <phoneticPr fontId="1" type="noConversion"/>
  </si>
  <si>
    <t>yehô</t>
    <phoneticPr fontId="1" type="noConversion"/>
  </si>
  <si>
    <t>iagbrin</t>
    <phoneticPr fontId="1" type="noConversion"/>
  </si>
  <si>
    <t>couw</t>
    <phoneticPr fontId="1" type="noConversion"/>
  </si>
  <si>
    <t>since</t>
    <phoneticPr fontId="1" type="noConversion"/>
  </si>
  <si>
    <t>du</t>
    <phoneticPr fontId="1" type="noConversion"/>
  </si>
  <si>
    <t>pa</t>
    <phoneticPr fontId="1" type="noConversion"/>
  </si>
  <si>
    <t>minre</t>
    <phoneticPr fontId="1" type="noConversion"/>
  </si>
  <si>
    <t>副（眼镜）</t>
    <phoneticPr fontId="1" type="noConversion"/>
  </si>
  <si>
    <t>幅（画）</t>
    <phoneticPr fontId="1" type="noConversion"/>
  </si>
  <si>
    <t>cera</t>
    <phoneticPr fontId="1" type="noConversion"/>
  </si>
  <si>
    <t>lis</t>
    <phoneticPr fontId="1" type="noConversion"/>
  </si>
  <si>
    <t>subie</t>
    <phoneticPr fontId="1" type="noConversion"/>
  </si>
  <si>
    <t>rod</t>
    <phoneticPr fontId="1" type="noConversion"/>
  </si>
  <si>
    <t>di</t>
    <phoneticPr fontId="1" type="noConversion"/>
  </si>
  <si>
    <t>pesus</t>
    <phoneticPr fontId="1" type="noConversion"/>
  </si>
  <si>
    <t>cburun</t>
    <phoneticPr fontId="1" type="noConversion"/>
  </si>
  <si>
    <t>levo</t>
    <phoneticPr fontId="1" type="noConversion"/>
  </si>
  <si>
    <t>camoc</t>
    <phoneticPr fontId="1" type="noConversion"/>
  </si>
  <si>
    <t>dozo</t>
    <phoneticPr fontId="1" type="noConversion"/>
  </si>
  <si>
    <t>gich</t>
    <phoneticPr fontId="1" type="noConversion"/>
  </si>
  <si>
    <t>moceu</t>
    <phoneticPr fontId="1" type="noConversion"/>
  </si>
  <si>
    <t>tir</t>
    <phoneticPr fontId="1" type="noConversion"/>
  </si>
  <si>
    <t>lir</t>
    <phoneticPr fontId="1" type="noConversion"/>
  </si>
  <si>
    <t>efeis</t>
    <phoneticPr fontId="1" type="noConversion"/>
  </si>
  <si>
    <t>hes</t>
    <phoneticPr fontId="1" type="noConversion"/>
  </si>
  <si>
    <t>isa</t>
    <phoneticPr fontId="1" type="noConversion"/>
  </si>
  <si>
    <t>mesecre</t>
    <phoneticPr fontId="1" type="noConversion"/>
  </si>
  <si>
    <t>eris</t>
    <phoneticPr fontId="1" type="noConversion"/>
  </si>
  <si>
    <t>tros</t>
    <phoneticPr fontId="1" type="noConversion"/>
  </si>
  <si>
    <t>hrul</t>
    <phoneticPr fontId="1" type="noConversion"/>
  </si>
  <si>
    <t>zu</t>
    <phoneticPr fontId="1" type="noConversion"/>
  </si>
  <si>
    <t>dait</t>
    <phoneticPr fontId="1" type="noConversion"/>
  </si>
  <si>
    <t>schart</t>
    <phoneticPr fontId="1" type="noConversion"/>
  </si>
  <si>
    <t>es'he</t>
    <phoneticPr fontId="1" type="noConversion"/>
  </si>
  <si>
    <t>（中缀）加于倒数第二个音节之后，变名词为量词</t>
    <phoneticPr fontId="1" type="noConversion"/>
  </si>
  <si>
    <t>度量衡</t>
    <phoneticPr fontId="1" type="noConversion"/>
  </si>
  <si>
    <t>metre</t>
    <phoneticPr fontId="1" type="noConversion"/>
  </si>
  <si>
    <t>gruam</t>
    <phoneticPr fontId="1" type="noConversion"/>
  </si>
  <si>
    <t>ampere</t>
    <phoneticPr fontId="1" type="noConversion"/>
  </si>
  <si>
    <t>celvin</t>
    <phoneticPr fontId="1" type="noConversion"/>
  </si>
  <si>
    <t>mul</t>
    <phoneticPr fontId="1" type="noConversion"/>
  </si>
  <si>
    <t>candela</t>
    <phoneticPr fontId="1" type="noConversion"/>
  </si>
  <si>
    <t>riuad</t>
    <phoneticPr fontId="1" type="noConversion"/>
  </si>
  <si>
    <t>carvateny</t>
    <phoneticPr fontId="1" type="noConversion"/>
  </si>
  <si>
    <t>hazhy</t>
    <phoneticPr fontId="1" type="noConversion"/>
  </si>
  <si>
    <t>nuten</t>
    <phoneticPr fontId="1" type="noConversion"/>
  </si>
  <si>
    <t>pascal</t>
    <phoneticPr fontId="1" type="noConversion"/>
  </si>
  <si>
    <t>joule</t>
    <phoneticPr fontId="1" type="noConversion"/>
  </si>
  <si>
    <t>watt</t>
    <phoneticPr fontId="1" type="noConversion"/>
  </si>
  <si>
    <t>coulum</t>
    <phoneticPr fontId="1" type="noConversion"/>
  </si>
  <si>
    <t>volta</t>
    <phoneticPr fontId="1" type="noConversion"/>
  </si>
  <si>
    <t>farad</t>
    <phoneticPr fontId="1" type="noConversion"/>
  </si>
  <si>
    <t>oh'm</t>
    <phoneticPr fontId="1" type="noConversion"/>
  </si>
  <si>
    <t>siemens'</t>
    <phoneticPr fontId="1" type="noConversion"/>
  </si>
  <si>
    <t>weber</t>
    <phoneticPr fontId="1" type="noConversion"/>
  </si>
  <si>
    <t>tesla</t>
    <phoneticPr fontId="1" type="noConversion"/>
  </si>
  <si>
    <t>h'enris</t>
    <phoneticPr fontId="1" type="noConversion"/>
  </si>
  <si>
    <t>gres</t>
    <phoneticPr fontId="1" type="noConversion"/>
  </si>
  <si>
    <t>gres C'elsius</t>
    <phoneticPr fontId="1" type="noConversion"/>
  </si>
  <si>
    <t>gres Reaumur</t>
    <phoneticPr fontId="1" type="noConversion"/>
  </si>
  <si>
    <t>gres Fah'renheit</t>
    <phoneticPr fontId="1" type="noConversion"/>
  </si>
  <si>
    <t>fathom</t>
    <phoneticPr fontId="1" type="noConversion"/>
  </si>
  <si>
    <t>lumen</t>
    <phoneticPr fontId="1" type="noConversion"/>
  </si>
  <si>
    <t>lux</t>
    <phoneticPr fontId="1" type="noConversion"/>
  </si>
  <si>
    <t>becqu'erel</t>
    <phoneticPr fontId="1" type="noConversion"/>
  </si>
  <si>
    <t>greis</t>
    <phoneticPr fontId="1" type="noConversion"/>
  </si>
  <si>
    <t>seuwart</t>
    <phoneticPr fontId="1" type="noConversion"/>
  </si>
  <si>
    <t>vincminut</t>
    <phoneticPr fontId="1" type="noConversion"/>
  </si>
  <si>
    <t>vincet'itun</t>
    <phoneticPr fontId="1" type="noConversion"/>
  </si>
  <si>
    <t>mil</t>
    <phoneticPr fontId="1" type="noConversion"/>
  </si>
  <si>
    <t>mero</t>
    <phoneticPr fontId="1" type="noConversion"/>
  </si>
  <si>
    <t>c'not</t>
    <phoneticPr fontId="1" type="noConversion"/>
  </si>
  <si>
    <t>tonne</t>
    <phoneticPr fontId="1" type="noConversion"/>
  </si>
  <si>
    <t>dalton</t>
    <phoneticPr fontId="1" type="noConversion"/>
  </si>
  <si>
    <t>amu</t>
    <phoneticPr fontId="1" type="noConversion"/>
  </si>
  <si>
    <t>litur</t>
    <phoneticPr fontId="1" type="noConversion"/>
  </si>
  <si>
    <t xml:space="preserve">bel </t>
    <phoneticPr fontId="1" type="noConversion"/>
  </si>
  <si>
    <t>desibel</t>
    <phoneticPr fontId="1" type="noConversion"/>
  </si>
  <si>
    <t>tex</t>
    <phoneticPr fontId="1" type="noConversion"/>
  </si>
  <si>
    <t>hectare</t>
    <phoneticPr fontId="1" type="noConversion"/>
  </si>
  <si>
    <t>zhole</t>
    <phoneticPr fontId="1" type="noConversion"/>
  </si>
  <si>
    <t>mêla</t>
    <phoneticPr fontId="1" type="noConversion"/>
  </si>
  <si>
    <t>versty</t>
    <phoneticPr fontId="1" type="noConversion"/>
  </si>
  <si>
    <t>league</t>
    <phoneticPr fontId="1" type="noConversion"/>
  </si>
  <si>
    <t>ega</t>
    <phoneticPr fontId="1" type="noConversion"/>
  </si>
  <si>
    <t>sato</t>
    <phoneticPr fontId="1" type="noConversion"/>
  </si>
  <si>
    <t>cubit</t>
    <phoneticPr fontId="1" type="noConversion"/>
  </si>
  <si>
    <t>passus</t>
    <phoneticPr fontId="1" type="noConversion"/>
  </si>
  <si>
    <t>desimetre</t>
    <phoneticPr fontId="1" type="noConversion"/>
  </si>
  <si>
    <t>centimetre</t>
    <phoneticPr fontId="1" type="noConversion"/>
  </si>
  <si>
    <t>mill'imetre</t>
    <phoneticPr fontId="1" type="noConversion"/>
  </si>
  <si>
    <t>desimill'imetre</t>
    <phoneticPr fontId="1" type="noConversion"/>
  </si>
  <si>
    <t>micrometre</t>
    <phoneticPr fontId="1" type="noConversion"/>
  </si>
  <si>
    <t>centimill'imetre</t>
    <phoneticPr fontId="1" type="noConversion"/>
  </si>
  <si>
    <t>musde</t>
    <phoneticPr fontId="1" type="noConversion"/>
  </si>
  <si>
    <t>mayosct</t>
    <phoneticPr fontId="1" type="noConversion"/>
  </si>
  <si>
    <t>chie's</t>
    <phoneticPr fontId="1" type="noConversion"/>
  </si>
  <si>
    <t>posmado</t>
    <phoneticPr fontId="1" type="noConversion"/>
  </si>
  <si>
    <t>seomah</t>
    <phoneticPr fontId="1" type="noConversion"/>
  </si>
  <si>
    <t>wôl</t>
    <phoneticPr fontId="1" type="noConversion"/>
  </si>
  <si>
    <t>yard</t>
    <phoneticPr fontId="1" type="noConversion"/>
  </si>
  <si>
    <t>euct</t>
    <phoneticPr fontId="1" type="noConversion"/>
  </si>
  <si>
    <t>inch</t>
    <phoneticPr fontId="1" type="noConversion"/>
  </si>
  <si>
    <t>fermi</t>
    <phoneticPr fontId="1" type="noConversion"/>
  </si>
  <si>
    <t>angstrom</t>
    <phoneticPr fontId="1" type="noConversion"/>
  </si>
  <si>
    <t>are</t>
    <phoneticPr fontId="1" type="noConversion"/>
  </si>
  <si>
    <t>acre</t>
    <phoneticPr fontId="1" type="noConversion"/>
  </si>
  <si>
    <t>arestod</t>
    <phoneticPr fontId="1" type="noConversion"/>
  </si>
  <si>
    <t>mumos</t>
    <phoneticPr fontId="1" type="noConversion"/>
  </si>
  <si>
    <t>pasrail</t>
    <phoneticPr fontId="1" type="noConversion"/>
  </si>
  <si>
    <t>sraqu'ato-</t>
    <phoneticPr fontId="1" type="noConversion"/>
  </si>
  <si>
    <t>cubo-</t>
    <phoneticPr fontId="1" type="noConversion"/>
  </si>
  <si>
    <t>barn</t>
    <phoneticPr fontId="1" type="noConversion"/>
  </si>
  <si>
    <t>cubocentimetre</t>
    <phoneticPr fontId="1" type="noConversion"/>
  </si>
  <si>
    <t>heglicto</t>
    <phoneticPr fontId="1" type="noConversion"/>
  </si>
  <si>
    <t>corenzato</t>
    <phoneticPr fontId="1" type="noConversion"/>
  </si>
  <si>
    <t>riacto</t>
    <phoneticPr fontId="1" type="noConversion"/>
  </si>
  <si>
    <t>corotion</t>
    <phoneticPr fontId="1" type="noConversion"/>
  </si>
  <si>
    <t>nesto</t>
    <phoneticPr fontId="1" type="noConversion"/>
  </si>
  <si>
    <t>muamary</t>
    <phoneticPr fontId="1" type="noConversion"/>
  </si>
  <si>
    <t>bushel</t>
    <phoneticPr fontId="1" type="noConversion"/>
  </si>
  <si>
    <t>pec</t>
    <phoneticPr fontId="1" type="noConversion"/>
  </si>
  <si>
    <t>gallon</t>
    <phoneticPr fontId="1" type="noConversion"/>
  </si>
  <si>
    <t>qu'arzo</t>
    <phoneticPr fontId="1" type="noConversion"/>
  </si>
  <si>
    <t>pînt</t>
    <phoneticPr fontId="1" type="noConversion"/>
  </si>
  <si>
    <t>gil</t>
    <phoneticPr fontId="1" type="noConversion"/>
  </si>
  <si>
    <t>liounz</t>
    <phoneticPr fontId="1" type="noConversion"/>
  </si>
  <si>
    <t>lidram</t>
    <phoneticPr fontId="1" type="noConversion"/>
  </si>
  <si>
    <t>lonjo-tonne</t>
    <phoneticPr fontId="1" type="noConversion"/>
  </si>
  <si>
    <t>short-tonne</t>
    <phoneticPr fontId="1" type="noConversion"/>
  </si>
  <si>
    <t>qu'uintal</t>
    <phoneticPr fontId="1" type="noConversion"/>
  </si>
  <si>
    <t>hectogruam</t>
    <phoneticPr fontId="1" type="noConversion"/>
  </si>
  <si>
    <t>decagruam</t>
    <phoneticPr fontId="1" type="noConversion"/>
  </si>
  <si>
    <t>catota</t>
    <phoneticPr fontId="1" type="noConversion"/>
  </si>
  <si>
    <t>casinta</t>
    <phoneticPr fontId="1" type="noConversion"/>
  </si>
  <si>
    <t>danman</t>
    <phoneticPr fontId="1" type="noConversion"/>
  </si>
  <si>
    <t>tinga</t>
    <phoneticPr fontId="1" type="noConversion"/>
  </si>
  <si>
    <t>moamsiga</t>
    <phoneticPr fontId="1" type="noConversion"/>
  </si>
  <si>
    <t>scarhiet</t>
    <phoneticPr fontId="1" type="noConversion"/>
  </si>
  <si>
    <t>wequ'ea</t>
    <phoneticPr fontId="1" type="noConversion"/>
  </si>
  <si>
    <t>pound</t>
    <phoneticPr fontId="1" type="noConversion"/>
  </si>
  <si>
    <t>ounz</t>
    <phoneticPr fontId="1" type="noConversion"/>
  </si>
  <si>
    <t>dram</t>
    <phoneticPr fontId="1" type="noConversion"/>
  </si>
  <si>
    <t>grain</t>
    <phoneticPr fontId="1" type="noConversion"/>
  </si>
  <si>
    <t>droco</t>
    <phoneticPr fontId="1" type="noConversion"/>
  </si>
  <si>
    <t>dyne</t>
    <phoneticPr fontId="1" type="noConversion"/>
  </si>
  <si>
    <t>bar</t>
    <phoneticPr fontId="1" type="noConversion"/>
  </si>
  <si>
    <t>torriseli</t>
    <phoneticPr fontId="1" type="noConversion"/>
  </si>
  <si>
    <t>daqiqu'orineim-feramcar</t>
    <phoneticPr fontId="1" type="noConversion"/>
  </si>
  <si>
    <t>inpsumve-feramcar</t>
    <phoneticPr fontId="1" type="noConversion"/>
  </si>
  <si>
    <t>mill'metre-mercury</t>
    <phoneticPr fontId="1" type="noConversion"/>
  </si>
  <si>
    <t>centimetre-mercury</t>
    <phoneticPr fontId="1" type="noConversion"/>
  </si>
  <si>
    <t>denier</t>
    <phoneticPr fontId="1" type="noConversion"/>
  </si>
  <si>
    <t>erg</t>
    <phoneticPr fontId="1" type="noConversion"/>
  </si>
  <si>
    <t>equ'ofrala</t>
    <phoneticPr fontId="1" type="noConversion"/>
  </si>
  <si>
    <t>gauss</t>
    <phoneticPr fontId="1" type="noConversion"/>
  </si>
  <si>
    <t>oested</t>
    <phoneticPr fontId="1" type="noConversion"/>
  </si>
  <si>
    <t>lenz</t>
    <phoneticPr fontId="1" type="noConversion"/>
  </si>
  <si>
    <t>fot</t>
    <phoneticPr fontId="1" type="noConversion"/>
  </si>
  <si>
    <t>sitis</t>
    <phoneticPr fontId="1" type="noConversion"/>
  </si>
  <si>
    <t>cyrie</t>
    <phoneticPr fontId="1" type="noConversion"/>
  </si>
  <si>
    <t>rad</t>
    <phoneticPr fontId="1" type="noConversion"/>
  </si>
  <si>
    <t>runtgen</t>
    <phoneticPr fontId="1" type="noConversion"/>
  </si>
  <si>
    <t>jac-anosin</t>
    <phoneticPr fontId="1" type="noConversion"/>
  </si>
  <si>
    <t>cer</t>
    <phoneticPr fontId="1" type="noConversion"/>
  </si>
  <si>
    <t>electron-volta</t>
    <phoneticPr fontId="1" type="noConversion"/>
  </si>
  <si>
    <t>spuc</t>
    <phoneticPr fontId="1" type="noConversion"/>
  </si>
  <si>
    <t>cempus</t>
    <phoneticPr fontId="1" type="noConversion"/>
  </si>
  <si>
    <t>carat</t>
    <phoneticPr fontId="1" type="noConversion"/>
  </si>
  <si>
    <t>mesut</t>
    <phoneticPr fontId="1" type="noConversion"/>
  </si>
  <si>
    <t>avordupois</t>
    <phoneticPr fontId="1" type="noConversion"/>
  </si>
  <si>
    <t>troy</t>
    <phoneticPr fontId="1" type="noConversion"/>
  </si>
  <si>
    <t>apothecary</t>
    <phoneticPr fontId="1" type="noConversion"/>
  </si>
  <si>
    <t>avordupois mesut</t>
    <phoneticPr fontId="1" type="noConversion"/>
  </si>
  <si>
    <t>troy mesut</t>
    <phoneticPr fontId="1" type="noConversion"/>
  </si>
  <si>
    <t>apothecary mesut</t>
    <phoneticPr fontId="1" type="noConversion"/>
  </si>
  <si>
    <t>cam</t>
    <phoneticPr fontId="1" type="noConversion"/>
  </si>
  <si>
    <t>cup</t>
    <phoneticPr fontId="1" type="noConversion"/>
  </si>
  <si>
    <t>pas</t>
    <phoneticPr fontId="1" type="noConversion"/>
  </si>
  <si>
    <t>parli</t>
    <phoneticPr fontId="1" type="noConversion"/>
  </si>
  <si>
    <t>serie</t>
    <phoneticPr fontId="1" type="noConversion"/>
  </si>
  <si>
    <t>gan</t>
    <phoneticPr fontId="1" type="noConversion"/>
  </si>
  <si>
    <t>has</t>
    <phoneticPr fontId="1" type="noConversion"/>
  </si>
  <si>
    <t>zo</t>
    <phoneticPr fontId="1" type="noConversion"/>
  </si>
  <si>
    <t>catre</t>
    <phoneticPr fontId="1" type="noConversion"/>
  </si>
  <si>
    <t>米，公尺，m</t>
    <phoneticPr fontId="1" type="noConversion"/>
  </si>
  <si>
    <t>克，g</t>
    <phoneticPr fontId="1" type="noConversion"/>
  </si>
  <si>
    <t>秒，s</t>
    <phoneticPr fontId="1" type="noConversion"/>
  </si>
  <si>
    <t>安（培），A</t>
    <phoneticPr fontId="1" type="noConversion"/>
  </si>
  <si>
    <t>开（尔文），K</t>
    <phoneticPr fontId="1" type="noConversion"/>
  </si>
  <si>
    <t>摩（尔），mol</t>
    <phoneticPr fontId="1" type="noConversion"/>
  </si>
  <si>
    <t>坎（德拉），cd</t>
    <phoneticPr fontId="1" type="noConversion"/>
  </si>
  <si>
    <t>弧度，rad</t>
    <phoneticPr fontId="1" type="noConversion"/>
  </si>
  <si>
    <t>球面度，sr</t>
    <phoneticPr fontId="1" type="noConversion"/>
  </si>
  <si>
    <t>赫（兹），Hz</t>
    <phoneticPr fontId="1" type="noConversion"/>
  </si>
  <si>
    <t>牛（顿），N</t>
    <phoneticPr fontId="1" type="noConversion"/>
  </si>
  <si>
    <t>帕（斯卡），Pa</t>
    <phoneticPr fontId="1" type="noConversion"/>
  </si>
  <si>
    <t>焦（耳），J</t>
    <phoneticPr fontId="1" type="noConversion"/>
  </si>
  <si>
    <t>瓦（特），W</t>
    <phoneticPr fontId="1" type="noConversion"/>
  </si>
  <si>
    <t>库（伦），C</t>
    <phoneticPr fontId="1" type="noConversion"/>
  </si>
  <si>
    <t>伏（特），V</t>
    <phoneticPr fontId="1" type="noConversion"/>
  </si>
  <si>
    <t>法（拉），F</t>
    <phoneticPr fontId="1" type="noConversion"/>
  </si>
  <si>
    <r>
      <t>欧（姆），</t>
    </r>
    <r>
      <rPr>
        <sz val="10"/>
        <color theme="1"/>
        <rFont val="等线"/>
        <family val="3"/>
        <charset val="134"/>
      </rPr>
      <t>Ω</t>
    </r>
    <phoneticPr fontId="1" type="noConversion"/>
  </si>
  <si>
    <t>西（门子），S</t>
    <phoneticPr fontId="1" type="noConversion"/>
  </si>
  <si>
    <t>韦（伯），Wb</t>
    <phoneticPr fontId="1" type="noConversion"/>
  </si>
  <si>
    <t>特（斯拉），T</t>
    <phoneticPr fontId="1" type="noConversion"/>
  </si>
  <si>
    <t>亨（利），H</t>
    <phoneticPr fontId="1" type="noConversion"/>
  </si>
  <si>
    <r>
      <t>度，</t>
    </r>
    <r>
      <rPr>
        <sz val="10"/>
        <color theme="1"/>
        <rFont val="等线"/>
        <family val="3"/>
        <charset val="134"/>
      </rPr>
      <t>˚</t>
    </r>
    <phoneticPr fontId="1" type="noConversion"/>
  </si>
  <si>
    <r>
      <t>摄氏度，</t>
    </r>
    <r>
      <rPr>
        <sz val="10"/>
        <color theme="1"/>
        <rFont val="等线"/>
        <family val="3"/>
        <charset val="134"/>
      </rPr>
      <t>℃</t>
    </r>
    <phoneticPr fontId="1" type="noConversion"/>
  </si>
  <si>
    <r>
      <t>列氏度，</t>
    </r>
    <r>
      <rPr>
        <sz val="10"/>
        <color theme="1"/>
        <rFont val="等线"/>
        <family val="3"/>
        <charset val="134"/>
      </rPr>
      <t>˚R</t>
    </r>
    <phoneticPr fontId="1" type="noConversion"/>
  </si>
  <si>
    <r>
      <t>华氏度，</t>
    </r>
    <r>
      <rPr>
        <sz val="10"/>
        <color theme="1"/>
        <rFont val="等线"/>
        <family val="3"/>
        <charset val="134"/>
      </rPr>
      <t>℉</t>
    </r>
    <phoneticPr fontId="1" type="noConversion"/>
  </si>
  <si>
    <t>英寻，浔，噚</t>
    <phoneticPr fontId="1" type="noConversion"/>
  </si>
  <si>
    <t>流（明），lm</t>
    <phoneticPr fontId="1" type="noConversion"/>
  </si>
  <si>
    <t>勒（克斯），lx</t>
    <phoneticPr fontId="1" type="noConversion"/>
  </si>
  <si>
    <t>贝克（勒尔），Bq</t>
    <phoneticPr fontId="1" type="noConversion"/>
  </si>
  <si>
    <t>戈（瑞），Gy</t>
    <phoneticPr fontId="1" type="noConversion"/>
  </si>
  <si>
    <t>希（沃特），Bv</t>
    <phoneticPr fontId="1" type="noConversion"/>
  </si>
  <si>
    <t>小时，h</t>
    <phoneticPr fontId="1" type="noConversion"/>
  </si>
  <si>
    <t>分，分钟，min</t>
    <phoneticPr fontId="1" type="noConversion"/>
  </si>
  <si>
    <r>
      <t>角分，</t>
    </r>
    <r>
      <rPr>
        <sz val="10"/>
        <color theme="1"/>
        <rFont val="等线"/>
        <family val="3"/>
        <charset val="134"/>
      </rPr>
      <t>′</t>
    </r>
    <phoneticPr fontId="1" type="noConversion"/>
  </si>
  <si>
    <r>
      <t>角秒，</t>
    </r>
    <r>
      <rPr>
        <sz val="10"/>
        <color theme="1"/>
        <rFont val="等线"/>
        <family val="3"/>
        <charset val="134"/>
      </rPr>
      <t>″</t>
    </r>
    <phoneticPr fontId="1" type="noConversion"/>
  </si>
  <si>
    <t>密位</t>
    <phoneticPr fontId="1" type="noConversion"/>
  </si>
  <si>
    <t>海里，n mile</t>
    <phoneticPr fontId="1" type="noConversion"/>
  </si>
  <si>
    <t>节，kn</t>
    <phoneticPr fontId="1" type="noConversion"/>
  </si>
  <si>
    <t>道尔顿（原子质量单位），Da，D</t>
    <phoneticPr fontId="1" type="noConversion"/>
  </si>
  <si>
    <t>原子质量单位，u</t>
    <phoneticPr fontId="1" type="noConversion"/>
  </si>
  <si>
    <t>原子质量单位，amu</t>
    <phoneticPr fontId="1" type="noConversion"/>
  </si>
  <si>
    <t>升，L</t>
    <phoneticPr fontId="1" type="noConversion"/>
  </si>
  <si>
    <t>贝（尔），B</t>
    <phoneticPr fontId="1" type="noConversion"/>
  </si>
  <si>
    <t>分贝，dB</t>
    <phoneticPr fontId="1" type="noConversion"/>
  </si>
  <si>
    <t>吨，t</t>
    <phoneticPr fontId="1" type="noConversion"/>
  </si>
  <si>
    <t>特克斯，tex</t>
    <phoneticPr fontId="1" type="noConversion"/>
  </si>
  <si>
    <r>
      <t>公顷，hm</t>
    </r>
    <r>
      <rPr>
        <sz val="10"/>
        <color theme="1"/>
        <rFont val="等线"/>
        <family val="3"/>
        <charset val="134"/>
      </rPr>
      <t>²</t>
    </r>
    <r>
      <rPr>
        <sz val="10"/>
        <color theme="1"/>
        <rFont val="华文楷体"/>
        <family val="3"/>
        <charset val="134"/>
      </rPr>
      <t>，ha</t>
    </r>
    <phoneticPr fontId="1" type="noConversion"/>
  </si>
  <si>
    <t>华里，里，市里</t>
    <phoneticPr fontId="1" type="noConversion"/>
  </si>
  <si>
    <t>英里，迈，哩，mi</t>
    <phoneticPr fontId="1" type="noConversion"/>
  </si>
  <si>
    <t>维尔斯它，俄里</t>
    <phoneticPr fontId="1" type="noConversion"/>
  </si>
  <si>
    <t>法里</t>
    <phoneticPr fontId="1" type="noConversion"/>
  </si>
  <si>
    <t>西班牙里</t>
    <phoneticPr fontId="1" type="noConversion"/>
  </si>
  <si>
    <t>日里</t>
    <phoneticPr fontId="1" type="noConversion"/>
  </si>
  <si>
    <t>lonjour Planca</t>
    <phoneticPr fontId="1" type="noConversion"/>
  </si>
  <si>
    <t>普朗克长度</t>
    <phoneticPr fontId="1" type="noConversion"/>
  </si>
  <si>
    <t>一种古罗马长度单位</t>
    <phoneticPr fontId="1" type="noConversion"/>
  </si>
  <si>
    <t>公寸，分米，dm</t>
    <phoneticPr fontId="1" type="noConversion"/>
  </si>
  <si>
    <t>公厘，厘米，cm</t>
    <phoneticPr fontId="1" type="noConversion"/>
  </si>
  <si>
    <t>公毫，毫米，mm，m/m，MM</t>
    <phoneticPr fontId="1" type="noConversion"/>
  </si>
  <si>
    <t>公丝，丝米，dmm</t>
    <phoneticPr fontId="1" type="noConversion"/>
  </si>
  <si>
    <r>
      <t>公微，</t>
    </r>
    <r>
      <rPr>
        <sz val="10"/>
        <color theme="1"/>
        <rFont val="等线"/>
        <family val="3"/>
        <charset val="134"/>
      </rPr>
      <t>μ，μM，mμ</t>
    </r>
    <phoneticPr fontId="1" type="noConversion"/>
  </si>
  <si>
    <t>忽米，cmm</t>
    <phoneticPr fontId="1" type="noConversion"/>
  </si>
  <si>
    <t>市引</t>
    <phoneticPr fontId="1" type="noConversion"/>
  </si>
  <si>
    <t>市丈</t>
    <phoneticPr fontId="1" type="noConversion"/>
  </si>
  <si>
    <t>市尺</t>
    <phoneticPr fontId="1" type="noConversion"/>
  </si>
  <si>
    <t>市寸</t>
    <phoneticPr fontId="1" type="noConversion"/>
  </si>
  <si>
    <t>市分</t>
    <phoneticPr fontId="1" type="noConversion"/>
  </si>
  <si>
    <t>市厘</t>
    <phoneticPr fontId="1" type="noConversion"/>
  </si>
  <si>
    <t>码，yd</t>
    <phoneticPr fontId="1" type="noConversion"/>
  </si>
  <si>
    <t>英尺，呎，ft</t>
    <phoneticPr fontId="1" type="noConversion"/>
  </si>
  <si>
    <t>英寸，吋，in</t>
    <phoneticPr fontId="1" type="noConversion"/>
  </si>
  <si>
    <t>费密</t>
    <phoneticPr fontId="1" type="noConversion"/>
  </si>
  <si>
    <t>埃（斯特朗）</t>
    <phoneticPr fontId="1" type="noConversion"/>
  </si>
  <si>
    <t>公亩</t>
    <phoneticPr fontId="1" type="noConversion"/>
  </si>
  <si>
    <t>市顷</t>
    <phoneticPr fontId="1" type="noConversion"/>
  </si>
  <si>
    <t>市亩</t>
    <phoneticPr fontId="1" type="noConversion"/>
  </si>
  <si>
    <t>市石</t>
    <phoneticPr fontId="1" type="noConversion"/>
  </si>
  <si>
    <t>市斗</t>
    <phoneticPr fontId="1" type="noConversion"/>
  </si>
  <si>
    <t>市升</t>
    <phoneticPr fontId="1" type="noConversion"/>
  </si>
  <si>
    <t>市合</t>
    <phoneticPr fontId="1" type="noConversion"/>
  </si>
  <si>
    <t>市勺</t>
    <phoneticPr fontId="1" type="noConversion"/>
  </si>
  <si>
    <t>市撮</t>
    <phoneticPr fontId="1" type="noConversion"/>
  </si>
  <si>
    <t>蒲式耳，bu</t>
    <phoneticPr fontId="1" type="noConversion"/>
  </si>
  <si>
    <t>配克，pk</t>
    <phoneticPr fontId="1" type="noConversion"/>
  </si>
  <si>
    <t>加仑，gal，UK gal</t>
    <phoneticPr fontId="1" type="noConversion"/>
  </si>
  <si>
    <t>夸脱，qt，UK qt</t>
    <phoneticPr fontId="1" type="noConversion"/>
  </si>
  <si>
    <t>靶恩，b</t>
    <phoneticPr fontId="1" type="noConversion"/>
  </si>
  <si>
    <t>西西，cc</t>
    <phoneticPr fontId="1" type="noConversion"/>
  </si>
  <si>
    <r>
      <t>（前缀）平方，</t>
    </r>
    <r>
      <rPr>
        <sz val="10"/>
        <color theme="1"/>
        <rFont val="等线"/>
        <family val="3"/>
        <charset val="134"/>
      </rPr>
      <t>²</t>
    </r>
    <phoneticPr fontId="1" type="noConversion"/>
  </si>
  <si>
    <r>
      <t>（前缀）立方，</t>
    </r>
    <r>
      <rPr>
        <sz val="10"/>
        <color theme="1"/>
        <rFont val="等线"/>
        <family val="3"/>
        <charset val="134"/>
      </rPr>
      <t>³</t>
    </r>
    <phoneticPr fontId="1" type="noConversion"/>
  </si>
  <si>
    <t>品脱，pt，UK pt</t>
    <phoneticPr fontId="1" type="noConversion"/>
  </si>
  <si>
    <t>及耳，gi，UK gi</t>
    <phoneticPr fontId="1" type="noConversion"/>
  </si>
  <si>
    <t>英液盎司，UK floz</t>
    <phoneticPr fontId="1" type="noConversion"/>
  </si>
  <si>
    <t>英液打兰，UK fldr</t>
    <phoneticPr fontId="1" type="noConversion"/>
  </si>
  <si>
    <t>长吨，UK ton</t>
    <phoneticPr fontId="1" type="noConversion"/>
  </si>
  <si>
    <t>短吨，US ton，sh ton</t>
    <phoneticPr fontId="1" type="noConversion"/>
  </si>
  <si>
    <t>公担，q</t>
    <phoneticPr fontId="1" type="noConversion"/>
  </si>
  <si>
    <t>公分，gm，gr</t>
    <phoneticPr fontId="1" type="noConversion"/>
  </si>
  <si>
    <t>公两</t>
    <phoneticPr fontId="1" type="noConversion"/>
  </si>
  <si>
    <t>公钱</t>
    <phoneticPr fontId="1" type="noConversion"/>
  </si>
  <si>
    <t>市担，市石</t>
    <phoneticPr fontId="1" type="noConversion"/>
  </si>
  <si>
    <t>市斤</t>
    <phoneticPr fontId="1" type="noConversion"/>
  </si>
  <si>
    <t>市两</t>
    <phoneticPr fontId="1" type="noConversion"/>
  </si>
  <si>
    <t>市钱</t>
    <phoneticPr fontId="1" type="noConversion"/>
  </si>
  <si>
    <t>市毫</t>
    <phoneticPr fontId="1" type="noConversion"/>
  </si>
  <si>
    <t>磅，Ib</t>
    <phoneticPr fontId="1" type="noConversion"/>
  </si>
  <si>
    <t>盎司，英两，唡，oz</t>
    <phoneticPr fontId="1" type="noConversion"/>
  </si>
  <si>
    <t>打兰，dr</t>
    <phoneticPr fontId="1" type="noConversion"/>
  </si>
  <si>
    <t>格令，gr</t>
    <phoneticPr fontId="1" type="noConversion"/>
  </si>
  <si>
    <t>周，C</t>
    <phoneticPr fontId="1" type="noConversion"/>
  </si>
  <si>
    <t>达因，dyn</t>
    <phoneticPr fontId="1" type="noConversion"/>
  </si>
  <si>
    <t>巴，bar，b</t>
    <phoneticPr fontId="1" type="noConversion"/>
  </si>
  <si>
    <t>托（里拆利），Torr</t>
    <phoneticPr fontId="1" type="noConversion"/>
  </si>
  <si>
    <t>标准大气压，atm</t>
    <phoneticPr fontId="1" type="noConversion"/>
  </si>
  <si>
    <t>工程大气压，at</t>
    <phoneticPr fontId="1" type="noConversion"/>
  </si>
  <si>
    <t>毫米汞柱，mmHg</t>
    <phoneticPr fontId="1" type="noConversion"/>
  </si>
  <si>
    <t>厘米汞柱，cmHg</t>
    <phoneticPr fontId="1" type="noConversion"/>
  </si>
  <si>
    <t>丹尼尔，den，denier</t>
    <phoneticPr fontId="1" type="noConversion"/>
  </si>
  <si>
    <t>尔格，erg</t>
    <phoneticPr fontId="1" type="noConversion"/>
  </si>
  <si>
    <t>马力</t>
    <phoneticPr fontId="1" type="noConversion"/>
  </si>
  <si>
    <t>高斯，Gs</t>
    <phoneticPr fontId="1" type="noConversion"/>
  </si>
  <si>
    <t>奥斯特，Oe</t>
    <phoneticPr fontId="1" type="noConversion"/>
  </si>
  <si>
    <t>楞次</t>
    <phoneticPr fontId="1" type="noConversion"/>
  </si>
  <si>
    <t>辐透，ph</t>
    <phoneticPr fontId="1" type="noConversion"/>
  </si>
  <si>
    <t>熙提，sb</t>
    <phoneticPr fontId="1" type="noConversion"/>
  </si>
  <si>
    <t>居里，Ci</t>
    <phoneticPr fontId="1" type="noConversion"/>
  </si>
  <si>
    <t>拉德，rad，rd</t>
    <phoneticPr fontId="1" type="noConversion"/>
  </si>
  <si>
    <t>雷姆，rem</t>
    <phoneticPr fontId="1" type="noConversion"/>
  </si>
  <si>
    <t>伦琴，R</t>
    <phoneticPr fontId="1" type="noConversion"/>
  </si>
  <si>
    <t>光年，l.y.</t>
    <phoneticPr fontId="1" type="noConversion"/>
  </si>
  <si>
    <t>寻</t>
    <phoneticPr fontId="1" type="noConversion"/>
  </si>
  <si>
    <t>电子伏，eV</t>
    <phoneticPr fontId="1" type="noConversion"/>
  </si>
  <si>
    <t>舍</t>
    <phoneticPr fontId="1" type="noConversion"/>
  </si>
  <si>
    <t>步</t>
    <phoneticPr fontId="1" type="noConversion"/>
  </si>
  <si>
    <t>跬</t>
    <phoneticPr fontId="1" type="noConversion"/>
  </si>
  <si>
    <t>克拉</t>
    <phoneticPr fontId="1" type="noConversion"/>
  </si>
  <si>
    <t>常衡</t>
    <phoneticPr fontId="1" type="noConversion"/>
  </si>
  <si>
    <t>金衡</t>
    <phoneticPr fontId="1" type="noConversion"/>
  </si>
  <si>
    <t>药衡</t>
    <phoneticPr fontId="1" type="noConversion"/>
  </si>
  <si>
    <t>4-6</t>
    <phoneticPr fontId="1" type="noConversion"/>
  </si>
  <si>
    <t>货币</t>
    <phoneticPr fontId="1" type="noConversion"/>
  </si>
  <si>
    <t>yuan</t>
    <phoneticPr fontId="1" type="noConversion"/>
  </si>
  <si>
    <t>yen</t>
    <phoneticPr fontId="1" type="noConversion"/>
  </si>
  <si>
    <t>baht</t>
    <phoneticPr fontId="1" type="noConversion"/>
  </si>
  <si>
    <t>franc</t>
    <phoneticPr fontId="1" type="noConversion"/>
  </si>
  <si>
    <t>cron</t>
    <phoneticPr fontId="1" type="noConversion"/>
  </si>
  <si>
    <t>dollar</t>
    <phoneticPr fontId="1" type="noConversion"/>
  </si>
  <si>
    <t>peso</t>
    <phoneticPr fontId="1" type="noConversion"/>
  </si>
  <si>
    <t>rubl</t>
    <phoneticPr fontId="1" type="noConversion"/>
  </si>
  <si>
    <t>doun</t>
    <phoneticPr fontId="1" type="noConversion"/>
  </si>
  <si>
    <t>euro</t>
    <phoneticPr fontId="1" type="noConversion"/>
  </si>
  <si>
    <t>penci</t>
    <phoneticPr fontId="1" type="noConversion"/>
  </si>
  <si>
    <t>penny</t>
    <phoneticPr fontId="1" type="noConversion"/>
  </si>
  <si>
    <t>cent</t>
    <phoneticPr fontId="1" type="noConversion"/>
  </si>
  <si>
    <t>bac</t>
    <phoneticPr fontId="1" type="noConversion"/>
  </si>
  <si>
    <t>h'ryvnia</t>
    <phoneticPr fontId="1" type="noConversion"/>
  </si>
  <si>
    <t>grivna</t>
    <phoneticPr fontId="1" type="noConversion"/>
  </si>
  <si>
    <t>sou</t>
    <phoneticPr fontId="1" type="noConversion"/>
  </si>
  <si>
    <t>shillin</t>
    <phoneticPr fontId="1" type="noConversion"/>
  </si>
  <si>
    <t>schillin</t>
    <phoneticPr fontId="1" type="noConversion"/>
  </si>
  <si>
    <t>jiao</t>
    <phoneticPr fontId="1" type="noConversion"/>
  </si>
  <si>
    <t>mao</t>
    <phoneticPr fontId="1" type="noConversion"/>
  </si>
  <si>
    <t>feon</t>
    <phoneticPr fontId="1" type="noConversion"/>
  </si>
  <si>
    <t>cuai</t>
    <phoneticPr fontId="1" type="noConversion"/>
  </si>
  <si>
    <t>ueon</t>
    <phoneticPr fontId="1" type="noConversion"/>
  </si>
  <si>
    <t>diao</t>
    <phoneticPr fontId="1" type="noConversion"/>
  </si>
  <si>
    <t>guan</t>
    <phoneticPr fontId="1" type="noConversion"/>
  </si>
  <si>
    <t>rand</t>
    <phoneticPr fontId="1" type="noConversion"/>
  </si>
  <si>
    <t>cyat</t>
    <phoneticPr fontId="1" type="noConversion"/>
  </si>
  <si>
    <t>rufiyaa</t>
    <phoneticPr fontId="1" type="noConversion"/>
  </si>
  <si>
    <t>laarir</t>
    <phoneticPr fontId="1" type="noConversion"/>
  </si>
  <si>
    <t>marc</t>
    <phoneticPr fontId="1" type="noConversion"/>
  </si>
  <si>
    <t>rupir</t>
    <phoneticPr fontId="1" type="noConversion"/>
  </si>
  <si>
    <t>lei</t>
    <phoneticPr fontId="1" type="noConversion"/>
  </si>
  <si>
    <t>rial</t>
    <phoneticPr fontId="1" type="noConversion"/>
  </si>
  <si>
    <t>pataca</t>
    <phoneticPr fontId="1" type="noConversion"/>
  </si>
  <si>
    <t>afgani</t>
    <phoneticPr fontId="1" type="noConversion"/>
  </si>
  <si>
    <t>dirham</t>
    <phoneticPr fontId="1" type="noConversion"/>
  </si>
  <si>
    <t>manat</t>
    <phoneticPr fontId="1" type="noConversion"/>
  </si>
  <si>
    <t>crooni</t>
    <phoneticPr fontId="1" type="noConversion"/>
  </si>
  <si>
    <t>dinar</t>
    <phoneticPr fontId="1" type="noConversion"/>
  </si>
  <si>
    <t>lev</t>
    <phoneticPr fontId="1" type="noConversion"/>
  </si>
  <si>
    <t>d'ngulcram</t>
    <phoneticPr fontId="1" type="noConversion"/>
  </si>
  <si>
    <t>riel</t>
    <phoneticPr fontId="1" type="noConversion"/>
  </si>
  <si>
    <t>cip</t>
    <phoneticPr fontId="1" type="noConversion"/>
  </si>
  <si>
    <t>中国元</t>
    <phoneticPr fontId="1" type="noConversion"/>
  </si>
  <si>
    <t>日本元</t>
    <phoneticPr fontId="1" type="noConversion"/>
  </si>
  <si>
    <t>泰铢</t>
    <phoneticPr fontId="1" type="noConversion"/>
  </si>
  <si>
    <t>法郎</t>
    <phoneticPr fontId="1" type="noConversion"/>
  </si>
  <si>
    <t>克朗</t>
    <phoneticPr fontId="1" type="noConversion"/>
  </si>
  <si>
    <t>美元</t>
    <phoneticPr fontId="1" type="noConversion"/>
  </si>
  <si>
    <t>英镑</t>
    <phoneticPr fontId="1" type="noConversion"/>
  </si>
  <si>
    <t>比索</t>
    <phoneticPr fontId="1" type="noConversion"/>
  </si>
  <si>
    <t>卢布</t>
    <phoneticPr fontId="1" type="noConversion"/>
  </si>
  <si>
    <t>越南盾</t>
    <phoneticPr fontId="1" type="noConversion"/>
  </si>
  <si>
    <t>欧元</t>
    <phoneticPr fontId="1" type="noConversion"/>
  </si>
  <si>
    <t>几尼</t>
    <phoneticPr fontId="1" type="noConversion"/>
  </si>
  <si>
    <t>便士（表示金额的复数）</t>
    <phoneticPr fontId="1" type="noConversion"/>
  </si>
  <si>
    <t>便士（表示金额的单数）</t>
    <phoneticPr fontId="1" type="noConversion"/>
  </si>
  <si>
    <t>美分</t>
    <phoneticPr fontId="1" type="noConversion"/>
  </si>
  <si>
    <t>乌克兰格里夫纳</t>
    <phoneticPr fontId="1" type="noConversion"/>
  </si>
  <si>
    <t>法国苏</t>
    <phoneticPr fontId="1" type="noConversion"/>
  </si>
  <si>
    <t>英国先令</t>
    <phoneticPr fontId="1" type="noConversion"/>
  </si>
  <si>
    <t>奥地利先令</t>
    <phoneticPr fontId="1" type="noConversion"/>
  </si>
  <si>
    <t>人民币角</t>
    <phoneticPr fontId="1" type="noConversion"/>
  </si>
  <si>
    <t>人民币分</t>
    <phoneticPr fontId="1" type="noConversion"/>
  </si>
  <si>
    <t>人民币角，毛</t>
    <phoneticPr fontId="1" type="noConversion"/>
  </si>
  <si>
    <t>人民币元，块</t>
    <phoneticPr fontId="1" type="noConversion"/>
  </si>
  <si>
    <t>文（古代或方言中）</t>
    <phoneticPr fontId="1" type="noConversion"/>
  </si>
  <si>
    <t>贯，一贯钱为1000文钱</t>
    <phoneticPr fontId="1" type="noConversion"/>
  </si>
  <si>
    <t>吊，一吊钱为1000文钱</t>
    <phoneticPr fontId="1" type="noConversion"/>
  </si>
  <si>
    <t>兰特</t>
    <phoneticPr fontId="1" type="noConversion"/>
  </si>
  <si>
    <t>缅甸元</t>
    <phoneticPr fontId="1" type="noConversion"/>
  </si>
  <si>
    <t>拉里</t>
    <phoneticPr fontId="1" type="noConversion"/>
  </si>
  <si>
    <t>德国马克</t>
    <phoneticPr fontId="1" type="noConversion"/>
  </si>
  <si>
    <t>卢比</t>
    <phoneticPr fontId="1" type="noConversion"/>
  </si>
  <si>
    <t>马尔代夫拉菲亚</t>
    <phoneticPr fontId="1" type="noConversion"/>
  </si>
  <si>
    <t>列依</t>
    <phoneticPr fontId="1" type="noConversion"/>
  </si>
  <si>
    <t>里亚尔</t>
    <phoneticPr fontId="1" type="noConversion"/>
  </si>
  <si>
    <t>riyal</t>
    <phoneticPr fontId="1" type="noConversion"/>
  </si>
  <si>
    <t>澳门元</t>
    <phoneticPr fontId="1" type="noConversion"/>
  </si>
  <si>
    <t>阿富汗尼</t>
    <phoneticPr fontId="1" type="noConversion"/>
  </si>
  <si>
    <t>迪拉姆</t>
    <phoneticPr fontId="1" type="noConversion"/>
  </si>
  <si>
    <t>马纳特</t>
    <phoneticPr fontId="1" type="noConversion"/>
  </si>
  <si>
    <t>爱沙尼亚克伦尼，爱沙尼亚克朗</t>
    <phoneticPr fontId="1" type="noConversion"/>
  </si>
  <si>
    <t>列弗</t>
    <phoneticPr fontId="1" type="noConversion"/>
  </si>
  <si>
    <t>不丹努尔特鲁姆</t>
    <phoneticPr fontId="1" type="noConversion"/>
  </si>
  <si>
    <t>瑞尔</t>
    <phoneticPr fontId="1" type="noConversion"/>
  </si>
  <si>
    <t>老挝基普</t>
    <phoneticPr fontId="1" type="noConversion"/>
  </si>
  <si>
    <t>林吉特</t>
    <phoneticPr fontId="1" type="noConversion"/>
  </si>
  <si>
    <t>蒙古图格里克</t>
    <phoneticPr fontId="1" type="noConversion"/>
  </si>
  <si>
    <t>塔卡</t>
    <phoneticPr fontId="1" type="noConversion"/>
  </si>
  <si>
    <t>里拉</t>
    <phoneticPr fontId="1" type="noConversion"/>
  </si>
  <si>
    <t>库鲁</t>
    <phoneticPr fontId="1" type="noConversion"/>
  </si>
  <si>
    <t>萨当</t>
    <phoneticPr fontId="1" type="noConversion"/>
  </si>
  <si>
    <t>派沙，南亚辅币</t>
    <phoneticPr fontId="1" type="noConversion"/>
  </si>
  <si>
    <t>日本钱</t>
    <phoneticPr fontId="1" type="noConversion"/>
  </si>
  <si>
    <t>费尔</t>
    <phoneticPr fontId="1" type="noConversion"/>
  </si>
  <si>
    <t>皮阿斯特</t>
    <phoneticPr fontId="1" type="noConversion"/>
  </si>
  <si>
    <t>普尔</t>
    <phoneticPr fontId="1" type="noConversion"/>
  </si>
  <si>
    <t>澳门分</t>
    <phoneticPr fontId="1" type="noConversion"/>
  </si>
  <si>
    <t>库尔什</t>
    <phoneticPr fontId="1" type="noConversion"/>
  </si>
  <si>
    <t>哈拉</t>
    <phoneticPr fontId="1" type="noConversion"/>
  </si>
  <si>
    <t>阿特</t>
    <phoneticPr fontId="1" type="noConversion"/>
  </si>
  <si>
    <t>戈比</t>
    <phoneticPr fontId="1" type="noConversion"/>
  </si>
  <si>
    <t>坚戈，腾格</t>
    <phoneticPr fontId="1" type="noConversion"/>
  </si>
  <si>
    <t>印尼卢比</t>
    <phoneticPr fontId="1" type="noConversion"/>
  </si>
  <si>
    <t>索莫尼</t>
    <phoneticPr fontId="1" type="noConversion"/>
  </si>
  <si>
    <t>卢马</t>
    <phoneticPr fontId="1" type="noConversion"/>
  </si>
  <si>
    <t>以色列新谢克尔</t>
    <phoneticPr fontId="1" type="noConversion"/>
  </si>
  <si>
    <t>以色列谢克尔</t>
    <phoneticPr fontId="1" type="noConversion"/>
  </si>
  <si>
    <t>阿哥拉</t>
    <phoneticPr fontId="1" type="noConversion"/>
  </si>
  <si>
    <t>兹罗提</t>
    <phoneticPr fontId="1" type="noConversion"/>
  </si>
  <si>
    <t>福林</t>
    <phoneticPr fontId="1" type="noConversion"/>
  </si>
  <si>
    <t>第纳尔</t>
    <phoneticPr fontId="1" type="noConversion"/>
  </si>
  <si>
    <t>冰岛克朗</t>
    <phoneticPr fontId="1" type="noConversion"/>
  </si>
  <si>
    <t>欧尔</t>
    <phoneticPr fontId="1" type="noConversion"/>
  </si>
  <si>
    <t>库邦</t>
    <phoneticPr fontId="1" type="noConversion"/>
  </si>
  <si>
    <t>弗洛林，佛罗林</t>
    <phoneticPr fontId="1" type="noConversion"/>
  </si>
  <si>
    <t>列克</t>
    <phoneticPr fontId="1" type="noConversion"/>
  </si>
  <si>
    <t>代纳尔，第纳尔</t>
    <phoneticPr fontId="1" type="noConversion"/>
  </si>
  <si>
    <t>库纳</t>
    <phoneticPr fontId="1" type="noConversion"/>
  </si>
  <si>
    <t>利帕</t>
    <phoneticPr fontId="1" type="noConversion"/>
  </si>
  <si>
    <t>斯托丁基</t>
    <phoneticPr fontId="1" type="noConversion"/>
  </si>
  <si>
    <t>苏勒德斯币</t>
    <phoneticPr fontId="1" type="noConversion"/>
  </si>
  <si>
    <t>镍币</t>
    <phoneticPr fontId="1" type="noConversion"/>
  </si>
  <si>
    <t>法新，法辛</t>
    <phoneticPr fontId="1" type="noConversion"/>
  </si>
  <si>
    <t>生丁</t>
    <phoneticPr fontId="1" type="noConversion"/>
  </si>
  <si>
    <t>法国埃居</t>
    <phoneticPr fontId="1" type="noConversion"/>
  </si>
  <si>
    <t>法国金路易</t>
    <phoneticPr fontId="1" type="noConversion"/>
  </si>
  <si>
    <t>埃斯库多</t>
    <phoneticPr fontId="1" type="noConversion"/>
  </si>
  <si>
    <t>德国芬尼</t>
    <phoneticPr fontId="1" type="noConversion"/>
  </si>
  <si>
    <t>法国里弗</t>
    <phoneticPr fontId="1" type="noConversion"/>
  </si>
  <si>
    <t>法国格令</t>
    <phoneticPr fontId="1" type="noConversion"/>
  </si>
  <si>
    <t>法国里亚</t>
    <phoneticPr fontId="1" type="noConversion"/>
  </si>
  <si>
    <t>奥波尔</t>
    <phoneticPr fontId="1" type="noConversion"/>
  </si>
  <si>
    <t>古罗马德拉克马</t>
    <phoneticPr fontId="1" type="noConversion"/>
  </si>
  <si>
    <t>波斯西格罗斯</t>
    <phoneticPr fontId="1" type="noConversion"/>
  </si>
  <si>
    <t>美国一角钱</t>
    <phoneticPr fontId="1" type="noConversion"/>
  </si>
  <si>
    <t>西班牙古铜币</t>
    <phoneticPr fontId="1" type="noConversion"/>
  </si>
  <si>
    <t>阿拉伯地区的第纳尔</t>
    <phoneticPr fontId="1" type="noConversion"/>
  </si>
  <si>
    <t>ringgit</t>
    <phoneticPr fontId="1" type="noConversion"/>
  </si>
  <si>
    <t>tugric</t>
    <phoneticPr fontId="1" type="noConversion"/>
  </si>
  <si>
    <t>taca</t>
    <phoneticPr fontId="1" type="noConversion"/>
  </si>
  <si>
    <t>lira</t>
    <phoneticPr fontId="1" type="noConversion"/>
  </si>
  <si>
    <t>curus</t>
    <phoneticPr fontId="1" type="noConversion"/>
  </si>
  <si>
    <t>sataun</t>
    <phoneticPr fontId="1" type="noConversion"/>
  </si>
  <si>
    <t>paisa</t>
    <phoneticPr fontId="1" type="noConversion"/>
  </si>
  <si>
    <t>sen</t>
    <phoneticPr fontId="1" type="noConversion"/>
  </si>
  <si>
    <t>fil</t>
    <phoneticPr fontId="1" type="noConversion"/>
  </si>
  <si>
    <t>piasstres</t>
    <phoneticPr fontId="1" type="noConversion"/>
  </si>
  <si>
    <t>ats</t>
    <phoneticPr fontId="1" type="noConversion"/>
  </si>
  <si>
    <t>qepic</t>
    <phoneticPr fontId="1" type="noConversion"/>
  </si>
  <si>
    <t>tenge</t>
    <phoneticPr fontId="1" type="noConversion"/>
  </si>
  <si>
    <t>lari</t>
    <phoneticPr fontId="1" type="noConversion"/>
  </si>
  <si>
    <t>avos</t>
    <phoneticPr fontId="1" type="noConversion"/>
  </si>
  <si>
    <t>baiza</t>
    <phoneticPr fontId="1" type="noConversion"/>
  </si>
  <si>
    <t>qu'urush</t>
    <phoneticPr fontId="1" type="noConversion"/>
  </si>
  <si>
    <t>halals</t>
    <phoneticPr fontId="1" type="noConversion"/>
  </si>
  <si>
    <t>rupiah</t>
    <phoneticPr fontId="1" type="noConversion"/>
  </si>
  <si>
    <t>somni</t>
    <phoneticPr fontId="1" type="noConversion"/>
  </si>
  <si>
    <t>luma</t>
    <phoneticPr fontId="1" type="noConversion"/>
  </si>
  <si>
    <t>nouval-shecel</t>
    <phoneticPr fontId="1" type="noConversion"/>
  </si>
  <si>
    <t>shecel</t>
    <phoneticPr fontId="1" type="noConversion"/>
  </si>
  <si>
    <t>agora</t>
    <phoneticPr fontId="1" type="noConversion"/>
  </si>
  <si>
    <t>zlote</t>
    <phoneticPr fontId="1" type="noConversion"/>
  </si>
  <si>
    <t>forint</t>
    <phoneticPr fontId="1" type="noConversion"/>
  </si>
  <si>
    <t>dinara</t>
    <phoneticPr fontId="1" type="noConversion"/>
  </si>
  <si>
    <t>crona</t>
    <phoneticPr fontId="1" type="noConversion"/>
  </si>
  <si>
    <t>ore</t>
    <phoneticPr fontId="1" type="noConversion"/>
  </si>
  <si>
    <t>cupon</t>
    <phoneticPr fontId="1" type="noConversion"/>
  </si>
  <si>
    <t>frolin</t>
    <phoneticPr fontId="1" type="noConversion"/>
  </si>
  <si>
    <t>lece</t>
    <phoneticPr fontId="1" type="noConversion"/>
  </si>
  <si>
    <t>denar</t>
    <phoneticPr fontId="1" type="noConversion"/>
  </si>
  <si>
    <t>cuna</t>
    <phoneticPr fontId="1" type="noConversion"/>
  </si>
  <si>
    <t>lipa</t>
    <phoneticPr fontId="1" type="noConversion"/>
  </si>
  <si>
    <t>stotinci</t>
    <phoneticPr fontId="1" type="noConversion"/>
  </si>
  <si>
    <t>solidus</t>
    <phoneticPr fontId="1" type="noConversion"/>
  </si>
  <si>
    <t>farthin</t>
    <phoneticPr fontId="1" type="noConversion"/>
  </si>
  <si>
    <t>centimes</t>
    <phoneticPr fontId="1" type="noConversion"/>
  </si>
  <si>
    <t>ecu</t>
    <phoneticPr fontId="1" type="noConversion"/>
  </si>
  <si>
    <t>Louis-d'or</t>
    <phoneticPr fontId="1" type="noConversion"/>
  </si>
  <si>
    <t>escudo</t>
    <phoneticPr fontId="1" type="noConversion"/>
  </si>
  <si>
    <t>pfennig</t>
    <phoneticPr fontId="1" type="noConversion"/>
  </si>
  <si>
    <t>livre</t>
    <phoneticPr fontId="1" type="noConversion"/>
  </si>
  <si>
    <t>liard</t>
    <phoneticPr fontId="1" type="noConversion"/>
  </si>
  <si>
    <t>obol</t>
    <phoneticPr fontId="1" type="noConversion"/>
  </si>
  <si>
    <t>drachme</t>
    <phoneticPr fontId="1" type="noConversion"/>
  </si>
  <si>
    <t>siglos</t>
    <phoneticPr fontId="1" type="noConversion"/>
  </si>
  <si>
    <t>dime</t>
    <phoneticPr fontId="1" type="noConversion"/>
  </si>
  <si>
    <t>almaravdis</t>
    <phoneticPr fontId="1" type="noConversion"/>
  </si>
  <si>
    <t>maravdis</t>
    <phoneticPr fontId="1" type="noConversion"/>
  </si>
  <si>
    <t>dinero</t>
    <phoneticPr fontId="1" type="noConversion"/>
  </si>
  <si>
    <t>aureus</t>
    <phoneticPr fontId="1" type="noConversion"/>
  </si>
  <si>
    <t>denarius</t>
    <phoneticPr fontId="1" type="noConversion"/>
  </si>
  <si>
    <t>tremissis</t>
    <phoneticPr fontId="1" type="noConversion"/>
  </si>
  <si>
    <t>sestertius</t>
    <phoneticPr fontId="1" type="noConversion"/>
  </si>
  <si>
    <t>antonianus</t>
    <phoneticPr fontId="1" type="noConversion"/>
  </si>
  <si>
    <t>siliqu'a</t>
    <phoneticPr fontId="1" type="noConversion"/>
  </si>
  <si>
    <t>ass</t>
    <phoneticPr fontId="1" type="noConversion"/>
  </si>
  <si>
    <t>follis</t>
    <phoneticPr fontId="1" type="noConversion"/>
  </si>
  <si>
    <t>triens</t>
    <phoneticPr fontId="1" type="noConversion"/>
  </si>
  <si>
    <t>qu'adrans</t>
    <phoneticPr fontId="1" type="noConversion"/>
  </si>
  <si>
    <t>qu;incunx</t>
    <phoneticPr fontId="1" type="noConversion"/>
  </si>
  <si>
    <t>uncia</t>
    <phoneticPr fontId="1" type="noConversion"/>
  </si>
  <si>
    <t>lepta</t>
    <phoneticPr fontId="1" type="noConversion"/>
  </si>
  <si>
    <t>daric</t>
    <phoneticPr fontId="1" type="noConversion"/>
  </si>
  <si>
    <t>litra</t>
    <phoneticPr fontId="1" type="noConversion"/>
  </si>
  <si>
    <t>chalcoi</t>
    <phoneticPr fontId="1" type="noConversion"/>
  </si>
  <si>
    <t>stater</t>
    <phoneticPr fontId="1" type="noConversion"/>
  </si>
  <si>
    <t>miliarens</t>
    <phoneticPr fontId="1" type="noConversion"/>
  </si>
  <si>
    <t>argenteus</t>
    <phoneticPr fontId="1" type="noConversion"/>
  </si>
  <si>
    <t>hexagram</t>
    <phoneticPr fontId="1" type="noConversion"/>
  </si>
  <si>
    <t>miliarension</t>
    <phoneticPr fontId="1" type="noConversion"/>
  </si>
  <si>
    <t>西班牙第纳尔</t>
    <phoneticPr fontId="1" type="noConversion"/>
  </si>
  <si>
    <t>法国古银币</t>
    <phoneticPr fontId="1" type="noConversion"/>
  </si>
  <si>
    <t>奥利乌，奥雷</t>
    <phoneticPr fontId="1" type="noConversion"/>
  </si>
  <si>
    <t>古罗马第纳尔</t>
    <phoneticPr fontId="1" type="noConversion"/>
  </si>
  <si>
    <t>古罗马货币名</t>
    <phoneticPr fontId="1" type="noConversion"/>
  </si>
  <si>
    <t>古罗马赛斯太尔斯</t>
    <phoneticPr fontId="1" type="noConversion"/>
  </si>
  <si>
    <t>西力克</t>
    <phoneticPr fontId="1" type="noConversion"/>
  </si>
  <si>
    <t>阿司</t>
    <phoneticPr fontId="1" type="noConversion"/>
  </si>
  <si>
    <t>弗里斯</t>
    <phoneticPr fontId="1" type="noConversion"/>
  </si>
  <si>
    <t>杜蓬帝</t>
    <phoneticPr fontId="1" type="noConversion"/>
  </si>
  <si>
    <t>塞米</t>
    <phoneticPr fontId="1" type="noConversion"/>
  </si>
  <si>
    <t>卡德拉斯</t>
    <phoneticPr fontId="1" type="noConversion"/>
  </si>
  <si>
    <t>乌西亚</t>
    <phoneticPr fontId="1" type="noConversion"/>
  </si>
  <si>
    <t>雷普塔</t>
    <phoneticPr fontId="1" type="noConversion"/>
  </si>
  <si>
    <t>达利克，大流克</t>
    <phoneticPr fontId="1" type="noConversion"/>
  </si>
  <si>
    <t>里特</t>
    <phoneticPr fontId="1" type="noConversion"/>
  </si>
  <si>
    <t>dupondius</t>
    <phoneticPr fontId="1" type="noConversion"/>
  </si>
  <si>
    <t>semis</t>
    <phoneticPr fontId="1" type="noConversion"/>
  </si>
  <si>
    <t>查柯</t>
    <phoneticPr fontId="1" type="noConversion"/>
  </si>
  <si>
    <t>斯塔特</t>
    <phoneticPr fontId="1" type="noConversion"/>
  </si>
  <si>
    <t>米拉伦斯</t>
    <phoneticPr fontId="1" type="noConversion"/>
  </si>
  <si>
    <t>阿根图银币</t>
    <phoneticPr fontId="1" type="noConversion"/>
  </si>
  <si>
    <t>赫克格拉姆</t>
    <phoneticPr fontId="1" type="noConversion"/>
  </si>
  <si>
    <t>米拉瑞逊</t>
    <phoneticPr fontId="1" type="noConversion"/>
  </si>
  <si>
    <t>海伯龙</t>
    <phoneticPr fontId="1" type="noConversion"/>
  </si>
  <si>
    <t>琥珀金币</t>
    <phoneticPr fontId="1" type="noConversion"/>
  </si>
  <si>
    <t>诺姆斯</t>
    <phoneticPr fontId="1" type="noConversion"/>
  </si>
  <si>
    <t>hyperion</t>
    <phoneticPr fontId="1" type="noConversion"/>
  </si>
  <si>
    <t>electrum</t>
    <phoneticPr fontId="1" type="noConversion"/>
  </si>
  <si>
    <t>nomos</t>
    <phoneticPr fontId="1" type="noConversion"/>
  </si>
  <si>
    <t>mueon</t>
    <phoneticPr fontId="1" type="noConversion"/>
  </si>
  <si>
    <t>朝鲜元；韩国元</t>
    <phoneticPr fontId="1" type="noConversion"/>
  </si>
  <si>
    <t>1-0</t>
    <phoneticPr fontId="1" type="noConversion"/>
  </si>
  <si>
    <t>yott'a-</t>
    <phoneticPr fontId="1" type="noConversion"/>
  </si>
  <si>
    <t>zett'a-</t>
    <phoneticPr fontId="1" type="noConversion"/>
  </si>
  <si>
    <t>exa-</t>
    <phoneticPr fontId="1" type="noConversion"/>
  </si>
  <si>
    <t>peta-</t>
    <phoneticPr fontId="1" type="noConversion"/>
  </si>
  <si>
    <t>tera-</t>
    <phoneticPr fontId="1" type="noConversion"/>
  </si>
  <si>
    <t>giga-</t>
    <phoneticPr fontId="1" type="noConversion"/>
  </si>
  <si>
    <t>mega-</t>
    <phoneticPr fontId="1" type="noConversion"/>
  </si>
  <si>
    <t>cilo-</t>
    <phoneticPr fontId="1" type="noConversion"/>
  </si>
  <si>
    <t>hecto-</t>
    <phoneticPr fontId="1" type="noConversion"/>
  </si>
  <si>
    <t>desi-</t>
    <phoneticPr fontId="1" type="noConversion"/>
  </si>
  <si>
    <t>mill'i-</t>
    <phoneticPr fontId="1" type="noConversion"/>
  </si>
  <si>
    <t>micro-</t>
    <phoneticPr fontId="1" type="noConversion"/>
  </si>
  <si>
    <t>nano-</t>
    <phoneticPr fontId="1" type="noConversion"/>
  </si>
  <si>
    <t>pico-</t>
    <phoneticPr fontId="1" type="noConversion"/>
  </si>
  <si>
    <t>femto-</t>
    <phoneticPr fontId="1" type="noConversion"/>
  </si>
  <si>
    <t>att'o-</t>
    <phoneticPr fontId="1" type="noConversion"/>
  </si>
  <si>
    <t>zepto-</t>
    <phoneticPr fontId="1" type="noConversion"/>
  </si>
  <si>
    <t>yocto-</t>
    <phoneticPr fontId="1" type="noConversion"/>
  </si>
  <si>
    <t>mis</t>
    <phoneticPr fontId="1" type="noConversion"/>
  </si>
  <si>
    <t>mot</t>
    <phoneticPr fontId="1" type="noConversion"/>
  </si>
  <si>
    <t>moss</t>
    <phoneticPr fontId="1" type="noConversion"/>
  </si>
  <si>
    <t>尧（他），10^24，Y</t>
    <phoneticPr fontId="1" type="noConversion"/>
  </si>
  <si>
    <t>泽（他），10^21，Z</t>
    <phoneticPr fontId="1" type="noConversion"/>
  </si>
  <si>
    <t>艾（可萨），10^18，E</t>
    <phoneticPr fontId="1" type="noConversion"/>
  </si>
  <si>
    <t>拍（他），10^15，P</t>
    <phoneticPr fontId="1" type="noConversion"/>
  </si>
  <si>
    <t>太（拉），10^12，T</t>
    <phoneticPr fontId="1" type="noConversion"/>
  </si>
  <si>
    <t>吉（咖），10^9，G</t>
    <phoneticPr fontId="1" type="noConversion"/>
  </si>
  <si>
    <t>兆，10^6，M</t>
    <phoneticPr fontId="1" type="noConversion"/>
  </si>
  <si>
    <t>千，10^3，k</t>
    <phoneticPr fontId="1" type="noConversion"/>
  </si>
  <si>
    <t>百，10^2，h</t>
    <phoneticPr fontId="1" type="noConversion"/>
  </si>
  <si>
    <t>十，10，da</t>
    <phoneticPr fontId="1" type="noConversion"/>
  </si>
  <si>
    <t>分，10^(-1)，d</t>
    <phoneticPr fontId="1" type="noConversion"/>
  </si>
  <si>
    <t>毫，10^(-3)，m</t>
    <phoneticPr fontId="1" type="noConversion"/>
  </si>
  <si>
    <t>厘，10^(-2)，c</t>
    <phoneticPr fontId="1" type="noConversion"/>
  </si>
  <si>
    <t>微，10^(-6)，μ</t>
    <phoneticPr fontId="1" type="noConversion"/>
  </si>
  <si>
    <t>纳（诺），10^(-9)，n</t>
    <phoneticPr fontId="1" type="noConversion"/>
  </si>
  <si>
    <t>皮（可），10^(-12)，p</t>
    <phoneticPr fontId="1" type="noConversion"/>
  </si>
  <si>
    <t>飞（姆托），10^(-15)，f</t>
    <phoneticPr fontId="1" type="noConversion"/>
  </si>
  <si>
    <t>阿（托），10^(-18)，a</t>
    <phoneticPr fontId="1" type="noConversion"/>
  </si>
  <si>
    <t>仄（普托），10^(-21)，z</t>
    <phoneticPr fontId="1" type="noConversion"/>
  </si>
  <si>
    <t>幺（科托），10^(-24)，y</t>
    <phoneticPr fontId="1" type="noConversion"/>
  </si>
  <si>
    <t>（生物）界</t>
    <phoneticPr fontId="1" type="noConversion"/>
  </si>
  <si>
    <t>（生物）门</t>
    <phoneticPr fontId="1" type="noConversion"/>
  </si>
  <si>
    <t>（生物）纲</t>
    <phoneticPr fontId="1" type="noConversion"/>
  </si>
  <si>
    <t>（生物）目</t>
    <phoneticPr fontId="1" type="noConversion"/>
  </si>
  <si>
    <t>（生物）科</t>
    <phoneticPr fontId="1" type="noConversion"/>
  </si>
  <si>
    <t>（生物）属</t>
    <phoneticPr fontId="1" type="noConversion"/>
  </si>
  <si>
    <t>（生物）种</t>
    <phoneticPr fontId="1" type="noConversion"/>
  </si>
  <si>
    <t>cposner la antiqu'uis de vordutono</t>
    <phoneticPr fontId="1" type="noConversion"/>
  </si>
  <si>
    <t>单位前缀</t>
    <phoneticPr fontId="1" type="noConversion"/>
  </si>
  <si>
    <t>物种后缀</t>
    <phoneticPr fontId="1" type="noConversion"/>
  </si>
  <si>
    <t>表程度</t>
    <phoneticPr fontId="1" type="noConversion"/>
  </si>
  <si>
    <t>很</t>
    <phoneticPr fontId="1" type="noConversion"/>
  </si>
  <si>
    <t>更</t>
    <phoneticPr fontId="1" type="noConversion"/>
  </si>
  <si>
    <t>最</t>
    <phoneticPr fontId="1" type="noConversion"/>
  </si>
  <si>
    <t>canstris</t>
    <phoneticPr fontId="1" type="noConversion"/>
  </si>
  <si>
    <t>emigat</t>
    <phoneticPr fontId="1" type="noConversion"/>
  </si>
  <si>
    <t>leviesont</t>
    <phoneticPr fontId="1" type="noConversion"/>
  </si>
  <si>
    <t>merêmigat</t>
    <phoneticPr fontId="1" type="noConversion"/>
  </si>
  <si>
    <t>suglehot</t>
    <phoneticPr fontId="1" type="noConversion"/>
  </si>
  <si>
    <t>lujistyt</t>
    <phoneticPr fontId="1" type="noConversion"/>
  </si>
  <si>
    <t>socetont</t>
    <phoneticPr fontId="1" type="noConversion"/>
  </si>
  <si>
    <t>bêrontônt</t>
    <phoneticPr fontId="1" type="noConversion"/>
  </si>
  <si>
    <t>cihimeit</t>
    <phoneticPr fontId="1" type="noConversion"/>
  </si>
  <si>
    <t>tuhedenm</t>
    <phoneticPr fontId="1" type="noConversion"/>
  </si>
  <si>
    <t>bu-mer suglehot</t>
    <phoneticPr fontId="1" type="noConversion"/>
  </si>
  <si>
    <t>sud-mer suglehot</t>
    <phoneticPr fontId="1" type="noConversion"/>
  </si>
  <si>
    <t>goria suglehot</t>
    <phoneticPr fontId="1" type="noConversion"/>
  </si>
  <si>
    <t>duste potilet</t>
    <phoneticPr fontId="1" type="noConversion"/>
  </si>
  <si>
    <t>2tua. potilet</t>
    <phoneticPr fontId="1" type="noConversion"/>
  </si>
  <si>
    <t>marishal</t>
    <phoneticPr fontId="1" type="noConversion"/>
  </si>
  <si>
    <t>tubir marishal</t>
    <phoneticPr fontId="1" type="noConversion"/>
  </si>
  <si>
    <t>algenese</t>
    <phoneticPr fontId="1" type="noConversion"/>
  </si>
  <si>
    <t>amiral</t>
    <phoneticPr fontId="1" type="noConversion"/>
  </si>
  <si>
    <t>1-ras amiral</t>
    <phoneticPr fontId="1" type="noConversion"/>
  </si>
  <si>
    <t>5-velstic amiral</t>
    <phoneticPr fontId="1" type="noConversion"/>
  </si>
  <si>
    <t>4-velstic amiral</t>
    <phoneticPr fontId="1" type="noConversion"/>
  </si>
  <si>
    <t>lûtiganethom</t>
    <phoneticPr fontId="1" type="noConversion"/>
  </si>
  <si>
    <t>madragne</t>
    <phoneticPr fontId="1" type="noConversion"/>
  </si>
  <si>
    <t>brigadery</t>
    <phoneticPr fontId="1" type="noConversion"/>
  </si>
  <si>
    <t>commodare</t>
    <phoneticPr fontId="1" type="noConversion"/>
  </si>
  <si>
    <t>poconesty</t>
    <phoneticPr fontId="1" type="noConversion"/>
  </si>
  <si>
    <t>cummandiar</t>
    <phoneticPr fontId="1" type="noConversion"/>
  </si>
  <si>
    <t>meorour</t>
    <phoneticPr fontId="1" type="noConversion"/>
  </si>
  <si>
    <t>captân</t>
    <phoneticPr fontId="1" type="noConversion"/>
  </si>
  <si>
    <t>leugaenteso</t>
    <phoneticPr fontId="1" type="noConversion"/>
  </si>
  <si>
    <t>nuscatanân</t>
    <phoneticPr fontId="1" type="noConversion"/>
  </si>
  <si>
    <t>huebudac</t>
    <phoneticPr fontId="1" type="noConversion"/>
  </si>
  <si>
    <t>wemantescum</t>
    <phoneticPr fontId="1" type="noConversion"/>
  </si>
  <si>
    <t>cawish</t>
    <phoneticPr fontId="1" type="noConversion"/>
  </si>
  <si>
    <t>oestierf</t>
    <phoneticPr fontId="1" type="noConversion"/>
  </si>
  <si>
    <t>cueturaef</t>
    <phoneticPr fontId="1" type="noConversion"/>
  </si>
  <si>
    <t>copul</t>
    <phoneticPr fontId="1" type="noConversion"/>
  </si>
  <si>
    <t>mablaco</t>
    <phoneticPr fontId="1" type="noConversion"/>
  </si>
  <si>
    <t>lantunve</t>
    <phoneticPr fontId="1" type="noConversion"/>
  </si>
  <si>
    <t>soegant</t>
    <phoneticPr fontId="1" type="noConversion"/>
  </si>
  <si>
    <t>bovumt</t>
    <phoneticPr fontId="1" type="noConversion"/>
  </si>
  <si>
    <t>wegiant</t>
    <phoneticPr fontId="1" type="noConversion"/>
  </si>
  <si>
    <t>copozugvoteur</t>
    <phoneticPr fontId="1" type="noConversion"/>
  </si>
  <si>
    <t>berihit</t>
    <phoneticPr fontId="1" type="noConversion"/>
  </si>
  <si>
    <t>soldarm</t>
    <phoneticPr fontId="1" type="noConversion"/>
  </si>
  <si>
    <t>daravla</t>
    <phoneticPr fontId="1" type="noConversion"/>
  </si>
  <si>
    <t>torodam</t>
    <phoneticPr fontId="1" type="noConversion"/>
  </si>
  <si>
    <t>ronbir</t>
    <phoneticPr fontId="1" type="noConversion"/>
  </si>
  <si>
    <t>muhelesc</t>
    <phoneticPr fontId="1" type="noConversion"/>
  </si>
  <si>
    <t>tueriha</t>
    <phoneticPr fontId="1" type="noConversion"/>
  </si>
  <si>
    <t>calobanitsa</t>
    <phoneticPr fontId="1" type="noConversion"/>
  </si>
  <si>
    <t>merbentro</t>
    <phoneticPr fontId="1" type="noConversion"/>
  </si>
  <si>
    <t>schietcam</t>
    <phoneticPr fontId="1" type="noConversion"/>
  </si>
  <si>
    <t>dirunstig</t>
    <phoneticPr fontId="1" type="noConversion"/>
  </si>
  <si>
    <t>heuvneticen</t>
    <phoneticPr fontId="1" type="noConversion"/>
  </si>
  <si>
    <t>millisha</t>
    <phoneticPr fontId="1" type="noConversion"/>
  </si>
  <si>
    <t>zegana</t>
    <phoneticPr fontId="1" type="noConversion"/>
  </si>
  <si>
    <t>lancero</t>
    <phoneticPr fontId="1" type="noConversion"/>
  </si>
  <si>
    <t>drageon</t>
    <phoneticPr fontId="1" type="noConversion"/>
  </si>
  <si>
    <t>hussar</t>
    <phoneticPr fontId="1" type="noConversion"/>
  </si>
  <si>
    <t>gilushlut</t>
    <phoneticPr fontId="1" type="noConversion"/>
  </si>
  <si>
    <t>insense</t>
    <phoneticPr fontId="1" type="noConversion"/>
  </si>
  <si>
    <t>amusncer</t>
    <phoneticPr fontId="1" type="noConversion"/>
  </si>
  <si>
    <t>stonomidi</t>
    <phoneticPr fontId="1" type="noConversion"/>
  </si>
  <si>
    <t>soermegotof</t>
    <phoneticPr fontId="1" type="noConversion"/>
  </si>
  <si>
    <t>tidsjte</t>
    <phoneticPr fontId="1" type="noConversion"/>
  </si>
  <si>
    <t>gat'ronic</t>
    <phoneticPr fontId="1" type="noConversion"/>
  </si>
  <si>
    <t>gat'ronicn</t>
    <phoneticPr fontId="1" type="noConversion"/>
  </si>
  <si>
    <t>apganejdu</t>
    <phoneticPr fontId="1" type="noConversion"/>
  </si>
  <si>
    <t>apganejilidu</t>
    <phoneticPr fontId="1" type="noConversion"/>
  </si>
  <si>
    <t>apganejlidu</t>
    <phoneticPr fontId="1" type="noConversion"/>
  </si>
  <si>
    <t>sogervis</t>
    <phoneticPr fontId="1" type="noConversion"/>
  </si>
  <si>
    <t>sogerilivis</t>
    <phoneticPr fontId="1" type="noConversion"/>
  </si>
  <si>
    <t>dugo</t>
    <phoneticPr fontId="1" type="noConversion"/>
  </si>
  <si>
    <t>venirt</t>
    <phoneticPr fontId="1" type="noConversion"/>
  </si>
  <si>
    <t>macicom</t>
    <phoneticPr fontId="1" type="noConversion"/>
  </si>
  <si>
    <t>scot</t>
    <phoneticPr fontId="1" type="noConversion"/>
  </si>
  <si>
    <t>ovezhgomina</t>
    <phoneticPr fontId="1" type="noConversion"/>
  </si>
  <si>
    <t>greasâet</t>
    <phoneticPr fontId="1" type="noConversion"/>
  </si>
  <si>
    <t>tihorvortis greasâet</t>
    <phoneticPr fontId="1" type="noConversion"/>
  </si>
  <si>
    <t>aletoche</t>
    <phoneticPr fontId="1" type="noConversion"/>
  </si>
  <si>
    <t>80 wany heuvneticen aletoche</t>
    <phoneticPr fontId="1" type="noConversion"/>
  </si>
  <si>
    <t>coneucht</t>
    <phoneticPr fontId="1" type="noConversion"/>
  </si>
  <si>
    <t>lutcâtaro</t>
    <phoneticPr fontId="1" type="noConversion"/>
  </si>
  <si>
    <t>thravidcâtaro</t>
    <phoneticPr fontId="1" type="noConversion"/>
  </si>
  <si>
    <t>ranger</t>
    <phoneticPr fontId="1" type="noConversion"/>
  </si>
  <si>
    <t>cemendoy</t>
    <phoneticPr fontId="1" type="noConversion"/>
  </si>
  <si>
    <t>dumashal</t>
    <phoneticPr fontId="1" type="noConversion"/>
  </si>
  <si>
    <t>naqu'unew</t>
    <phoneticPr fontId="1" type="noConversion"/>
  </si>
  <si>
    <t>lusorf</t>
    <phoneticPr fontId="1" type="noConversion"/>
  </si>
  <si>
    <t>hamsorvef</t>
    <phoneticPr fontId="1" type="noConversion"/>
  </si>
  <si>
    <t>tihorvortis</t>
    <phoneticPr fontId="1" type="noConversion"/>
  </si>
  <si>
    <t>juibalinmino</t>
    <phoneticPr fontId="1" type="noConversion"/>
  </si>
  <si>
    <t>inshên</t>
    <phoneticPr fontId="1" type="noConversion"/>
  </si>
  <si>
    <t>qu'avê</t>
    <phoneticPr fontId="1" type="noConversion"/>
  </si>
  <si>
    <t>esnaucountus</t>
    <phoneticPr fontId="1" type="noConversion"/>
  </si>
  <si>
    <t>tabch'a</t>
    <phoneticPr fontId="1" type="noConversion"/>
  </si>
  <si>
    <t>seinhm</t>
    <phoneticPr fontId="1" type="noConversion"/>
  </si>
  <si>
    <t>feocato</t>
    <phoneticPr fontId="1" type="noConversion"/>
  </si>
  <si>
    <t>zema</t>
    <phoneticPr fontId="1" type="noConversion"/>
  </si>
  <si>
    <t>granddaravla</t>
    <phoneticPr fontId="1" type="noConversion"/>
  </si>
  <si>
    <t>grandaravla</t>
    <phoneticPr fontId="1" type="noConversion"/>
  </si>
  <si>
    <t>de carachra de tueriha daravla</t>
    <phoneticPr fontId="1" type="noConversion"/>
  </si>
  <si>
    <t>de calobanitsa en tueriha daravla</t>
    <phoneticPr fontId="1" type="noConversion"/>
  </si>
  <si>
    <t>de cawtsectorin daravla</t>
    <phoneticPr fontId="1" type="noConversion"/>
  </si>
  <si>
    <t>cimipa</t>
    <phoneticPr fontId="1" type="noConversion"/>
  </si>
  <si>
    <t>ametraladore</t>
    <phoneticPr fontId="1" type="noConversion"/>
  </si>
  <si>
    <t>grandmarishal</t>
    <phoneticPr fontId="1" type="noConversion"/>
  </si>
  <si>
    <t>cannigo</t>
    <phoneticPr fontId="1" type="noConversion"/>
  </si>
  <si>
    <t>annigo esnaocountus</t>
    <phoneticPr fontId="1" type="noConversion"/>
  </si>
  <si>
    <t>woifoseinhm</t>
    <phoneticPr fontId="1" type="noConversion"/>
  </si>
  <si>
    <t>conbuhunc</t>
    <phoneticPr fontId="1" type="noConversion"/>
  </si>
  <si>
    <t>thia</t>
    <phoneticPr fontId="1" type="noConversion"/>
  </si>
  <si>
    <t>caseymant</t>
    <phoneticPr fontId="1" type="noConversion"/>
  </si>
  <si>
    <t>tujthiamir</t>
    <phoneticPr fontId="1" type="noConversion"/>
  </si>
  <si>
    <t>miliqu'o</t>
    <phoneticPr fontId="1" type="noConversion"/>
  </si>
  <si>
    <t>nensoiab</t>
    <phoneticPr fontId="1" type="noConversion"/>
  </si>
  <si>
    <t>de tihorvortis esnaucountus</t>
    <phoneticPr fontId="1" type="noConversion"/>
  </si>
  <si>
    <t>de tennoten esnaucountus</t>
    <phoneticPr fontId="1" type="noConversion"/>
  </si>
  <si>
    <t>de ju tueriha esnaucountus</t>
    <phoneticPr fontId="1" type="noConversion"/>
  </si>
  <si>
    <t>de tueriha esnaucountus</t>
    <phoneticPr fontId="1" type="noConversion"/>
  </si>
  <si>
    <t>de sud'hvit tueriha esnaucountus</t>
    <phoneticPr fontId="1" type="noConversion"/>
  </si>
  <si>
    <t>de muhelesc esnaucountus</t>
    <phoneticPr fontId="1" type="noConversion"/>
  </si>
  <si>
    <t>de creoci-chaun esnaucountus</t>
    <phoneticPr fontId="1" type="noConversion"/>
  </si>
  <si>
    <t>de schietoam esnaucountus</t>
    <phoneticPr fontId="1" type="noConversion"/>
  </si>
  <si>
    <t>de launotico esnaucountus</t>
    <phoneticPr fontId="1" type="noConversion"/>
  </si>
  <si>
    <t>de osten-muteamc esnaucountus</t>
    <phoneticPr fontId="1" type="noConversion"/>
  </si>
  <si>
    <t>de veoricannisorin liao daravla</t>
    <phoneticPr fontId="1" type="noConversion"/>
  </si>
  <si>
    <t>trai-naqu'unew</t>
    <phoneticPr fontId="1" type="noConversion"/>
  </si>
  <si>
    <t>fai-naqu;unew</t>
    <phoneticPr fontId="1" type="noConversion"/>
  </si>
  <si>
    <t>de tihorvortis naqu'unew</t>
    <phoneticPr fontId="1" type="noConversion"/>
  </si>
  <si>
    <t>de juibalinmino naqu'unew</t>
    <phoneticPr fontId="1" type="noConversion"/>
  </si>
  <si>
    <t>de tabch'a venirt</t>
    <phoneticPr fontId="1" type="noConversion"/>
  </si>
  <si>
    <t>de juibalinmino venirt</t>
    <phoneticPr fontId="1" type="noConversion"/>
  </si>
  <si>
    <t>de tueriha venirt</t>
    <phoneticPr fontId="1" type="noConversion"/>
  </si>
  <si>
    <t>de militieria zema</t>
    <phoneticPr fontId="1" type="noConversion"/>
  </si>
  <si>
    <t>de militieria zelima</t>
    <phoneticPr fontId="1" type="noConversion"/>
  </si>
  <si>
    <t>de heuvnetican bageturôr</t>
    <phoneticPr fontId="1" type="noConversion"/>
  </si>
  <si>
    <t>de heuvnetican bageturiliôr</t>
    <phoneticPr fontId="1" type="noConversion"/>
  </si>
  <si>
    <t>centyden bageturôr</t>
    <phoneticPr fontId="1" type="noConversion"/>
  </si>
  <si>
    <t>molyden bageturôr</t>
    <phoneticPr fontId="1" type="noConversion"/>
  </si>
  <si>
    <t>homdocirin</t>
    <phoneticPr fontId="1" type="noConversion"/>
  </si>
  <si>
    <t>baruct</t>
    <phoneticPr fontId="1" type="noConversion"/>
  </si>
  <si>
    <t>isat</t>
    <phoneticPr fontId="1" type="noConversion"/>
  </si>
  <si>
    <t>matdo</t>
    <phoneticPr fontId="1" type="noConversion"/>
  </si>
  <si>
    <t>niowangiyan cuwaran</t>
    <phoneticPr fontId="1" type="noConversion"/>
  </si>
  <si>
    <t>gusa</t>
    <phoneticPr fontId="1" type="noConversion"/>
  </si>
  <si>
    <t>gulu suwayan jaqu'un gusa</t>
    <phoneticPr fontId="1" type="noConversion"/>
  </si>
  <si>
    <t>qu'ubwhe suwayan jaqu'un gusa</t>
    <phoneticPr fontId="1" type="noConversion"/>
  </si>
  <si>
    <t>gulu shangiyan gusa</t>
    <phoneticPr fontId="1" type="noConversion"/>
  </si>
  <si>
    <t>qu'ubwhe shangiyan gusa</t>
    <phoneticPr fontId="1" type="noConversion"/>
  </si>
  <si>
    <t>gulu fulguyan gusa</t>
    <phoneticPr fontId="1" type="noConversion"/>
  </si>
  <si>
    <t>qu'ubwhe fulgiyan gusa</t>
    <phoneticPr fontId="1" type="noConversion"/>
  </si>
  <si>
    <t>niru</t>
    <phoneticPr fontId="1" type="noConversion"/>
  </si>
  <si>
    <t>gusa ejem</t>
    <phoneticPr fontId="1" type="noConversion"/>
  </si>
  <si>
    <t>de consoh venirt</t>
    <phoneticPr fontId="1" type="noConversion"/>
  </si>
  <si>
    <t>sud det duas'hal gat'ronic bageturôr</t>
    <phoneticPr fontId="1" type="noConversion"/>
  </si>
  <si>
    <t>bu det duas'hal gat'ronic bageturôr</t>
    <phoneticPr fontId="1" type="noConversion"/>
  </si>
  <si>
    <t>tron-daravla</t>
    <phoneticPr fontId="1" type="noConversion"/>
  </si>
  <si>
    <t>fiei-daravla</t>
    <phoneticPr fontId="1" type="noConversion"/>
  </si>
  <si>
    <t>trai-daravla</t>
    <phoneticPr fontId="1" type="noConversion"/>
  </si>
  <si>
    <t>fai-daravla</t>
    <phoneticPr fontId="1" type="noConversion"/>
  </si>
  <si>
    <t>acanadapo</t>
    <phoneticPr fontId="1" type="noConversion"/>
  </si>
  <si>
    <t>milienerus</t>
    <phoneticPr fontId="1" type="noConversion"/>
  </si>
  <si>
    <t>reciment</t>
    <phoneticPr fontId="1" type="noConversion"/>
  </si>
  <si>
    <t>brigada</t>
    <phoneticPr fontId="1" type="noConversion"/>
  </si>
  <si>
    <t>divizi</t>
    <phoneticPr fontId="1" type="noConversion"/>
  </si>
  <si>
    <t>ermi</t>
    <phoneticPr fontId="1" type="noConversion"/>
  </si>
  <si>
    <t>batalion</t>
    <phoneticPr fontId="1" type="noConversion"/>
  </si>
  <si>
    <t>recimentor</t>
    <phoneticPr fontId="1" type="noConversion"/>
  </si>
  <si>
    <t>plutonor</t>
  </si>
  <si>
    <t>cumpaniaor</t>
  </si>
  <si>
    <t>brigadaor</t>
  </si>
  <si>
    <t>divizior</t>
  </si>
  <si>
    <t>ermior</t>
  </si>
  <si>
    <t>batalionor</t>
  </si>
  <si>
    <t>chas</t>
    <phoneticPr fontId="1" type="noConversion"/>
  </si>
  <si>
    <t>chasor</t>
    <phoneticPr fontId="1" type="noConversion"/>
  </si>
  <si>
    <t>acana</t>
    <phoneticPr fontId="1" type="noConversion"/>
  </si>
  <si>
    <t>sylaraca</t>
    <phoneticPr fontId="1" type="noConversion"/>
  </si>
  <si>
    <t>poponishert</t>
    <phoneticPr fontId="1" type="noConversion"/>
  </si>
  <si>
    <t>pulver</t>
    <phoneticPr fontId="1" type="noConversion"/>
  </si>
  <si>
    <t>flevopuldo</t>
    <phoneticPr fontId="1" type="noConversion"/>
  </si>
  <si>
    <t>banpuldo</t>
    <phoneticPr fontId="1" type="noConversion"/>
  </si>
  <si>
    <t>puldo</t>
    <phoneticPr fontId="1" type="noConversion"/>
  </si>
  <si>
    <t>tumo</t>
    <phoneticPr fontId="1" type="noConversion"/>
  </si>
  <si>
    <t>obopo</t>
    <phoneticPr fontId="1" type="noConversion"/>
  </si>
  <si>
    <t>bombo</t>
    <phoneticPr fontId="1" type="noConversion"/>
  </si>
  <si>
    <t>plastor</t>
    <phoneticPr fontId="1" type="noConversion"/>
  </si>
  <si>
    <t>flordnofnoah</t>
    <phoneticPr fontId="1" type="noConversion"/>
  </si>
  <si>
    <t>bombobambuc</t>
    <phoneticPr fontId="1" type="noConversion"/>
  </si>
  <si>
    <t>feotiste</t>
    <phoneticPr fontId="1" type="noConversion"/>
  </si>
  <si>
    <t>cuditeloi</t>
    <phoneticPr fontId="1" type="noConversion"/>
  </si>
  <si>
    <t>poshe</t>
    <phoneticPr fontId="1" type="noConversion"/>
  </si>
  <si>
    <t>arcu</t>
    <phoneticPr fontId="1" type="noConversion"/>
  </si>
  <si>
    <t>sahab</t>
    <phoneticPr fontId="1" type="noConversion"/>
  </si>
  <si>
    <t>stanaca</t>
    <phoneticPr fontId="1" type="noConversion"/>
  </si>
  <si>
    <t>tavi</t>
    <phoneticPr fontId="1" type="noConversion"/>
  </si>
  <si>
    <t>causlo</t>
    <phoneticPr fontId="1" type="noConversion"/>
  </si>
  <si>
    <t>cvozhe</t>
    <phoneticPr fontId="1" type="noConversion"/>
  </si>
  <si>
    <t>cuzva</t>
    <phoneticPr fontId="1" type="noConversion"/>
  </si>
  <si>
    <t>baciur</t>
    <phoneticPr fontId="1" type="noConversion"/>
  </si>
  <si>
    <t>potile</t>
    <phoneticPr fontId="1" type="noConversion"/>
  </si>
  <si>
    <t>batis</t>
    <phoneticPr fontId="1" type="noConversion"/>
  </si>
  <si>
    <t>tunfc</t>
    <phoneticPr fontId="1" type="noConversion"/>
  </si>
  <si>
    <t>bun</t>
    <phoneticPr fontId="1" type="noConversion"/>
  </si>
  <si>
    <t>diclira</t>
    <phoneticPr fontId="1" type="noConversion"/>
  </si>
  <si>
    <t>danmt</t>
    <phoneticPr fontId="1" type="noConversion"/>
  </si>
  <si>
    <t>jinacrout</t>
    <phoneticPr fontId="1" type="noConversion"/>
  </si>
  <si>
    <t>assasin</t>
    <phoneticPr fontId="1" type="noConversion"/>
  </si>
  <si>
    <t>swutic</t>
    <phoneticPr fontId="1" type="noConversion"/>
  </si>
  <si>
    <t>dacana</t>
    <phoneticPr fontId="1" type="noConversion"/>
  </si>
  <si>
    <t>guhu</t>
    <phoneticPr fontId="1" type="noConversion"/>
  </si>
  <si>
    <t>iti</t>
    <phoneticPr fontId="1" type="noConversion"/>
  </si>
  <si>
    <t>helto</t>
    <phoneticPr fontId="1" type="noConversion"/>
  </si>
  <si>
    <t>cal</t>
    <phoneticPr fontId="1" type="noConversion"/>
  </si>
  <si>
    <t>tortso</t>
    <phoneticPr fontId="1" type="noConversion"/>
  </si>
  <si>
    <t>soceto</t>
    <phoneticPr fontId="1" type="noConversion"/>
  </si>
  <si>
    <t>giropir</t>
    <phoneticPr fontId="1" type="noConversion"/>
  </si>
  <si>
    <t>flordnolacop</t>
    <phoneticPr fontId="1" type="noConversion"/>
  </si>
  <si>
    <t>boin</t>
    <phoneticPr fontId="1" type="noConversion"/>
  </si>
  <si>
    <t>saber</t>
    <phoneticPr fontId="1" type="noConversion"/>
  </si>
  <si>
    <t>miliport</t>
    <phoneticPr fontId="1" type="noConversion"/>
  </si>
  <si>
    <t>bevlemala</t>
    <phoneticPr fontId="1" type="noConversion"/>
  </si>
  <si>
    <t>crigtub</t>
    <phoneticPr fontId="1" type="noConversion"/>
  </si>
  <si>
    <t>milizon</t>
    <phoneticPr fontId="1" type="noConversion"/>
  </si>
  <si>
    <t>cufaligetera</t>
    <phoneticPr fontId="1" type="noConversion"/>
  </si>
  <si>
    <t>milicragitus</t>
    <phoneticPr fontId="1" type="noConversion"/>
  </si>
  <si>
    <t>milifuj</t>
    <phoneticPr fontId="1" type="noConversion"/>
  </si>
  <si>
    <t>fuj</t>
    <phoneticPr fontId="1" type="noConversion"/>
  </si>
  <si>
    <t>fujensir</t>
    <phoneticPr fontId="1" type="noConversion"/>
  </si>
  <si>
    <t>soenglir</t>
    <phoneticPr fontId="1" type="noConversion"/>
  </si>
  <si>
    <t>milifrutha</t>
    <phoneticPr fontId="1" type="noConversion"/>
  </si>
  <si>
    <t>milihatun</t>
    <phoneticPr fontId="1" type="noConversion"/>
  </si>
  <si>
    <t>conbu</t>
    <phoneticPr fontId="1" type="noConversion"/>
  </si>
  <si>
    <t>abhab</t>
    <phoneticPr fontId="1" type="noConversion"/>
  </si>
  <si>
    <t>cimtou</t>
    <phoneticPr fontId="1" type="noConversion"/>
  </si>
  <si>
    <t>tenco</t>
    <phoneticPr fontId="1" type="noConversion"/>
  </si>
  <si>
    <t>agoria</t>
    <phoneticPr fontId="1" type="noConversion"/>
  </si>
  <si>
    <t>cinapsbus</t>
    <phoneticPr fontId="1" type="noConversion"/>
  </si>
  <si>
    <t>caosom</t>
    <phoneticPr fontId="1" type="noConversion"/>
  </si>
  <si>
    <t>iuthos</t>
    <phoneticPr fontId="1" type="noConversion"/>
  </si>
  <si>
    <t>miliacleg</t>
    <phoneticPr fontId="1" type="noConversion"/>
  </si>
  <si>
    <t>strageti</t>
    <phoneticPr fontId="1" type="noConversion"/>
  </si>
  <si>
    <t>stactic</t>
    <phoneticPr fontId="1" type="noConversion"/>
  </si>
  <si>
    <t>milidol</t>
    <phoneticPr fontId="1" type="noConversion"/>
  </si>
  <si>
    <t>milistocvaqu'</t>
    <phoneticPr fontId="1" type="noConversion"/>
  </si>
  <si>
    <t>vermontoj</t>
    <phoneticPr fontId="1" type="noConversion"/>
  </si>
  <si>
    <t>unicanst</t>
    <phoneticPr fontId="1" type="noConversion"/>
  </si>
  <si>
    <t>milierene</t>
    <phoneticPr fontId="1" type="noConversion"/>
  </si>
  <si>
    <t>jarbura</t>
    <phoneticPr fontId="1" type="noConversion"/>
  </si>
  <si>
    <t>dueyic</t>
    <phoneticPr fontId="1" type="noConversion"/>
  </si>
  <si>
    <t>intracrig</t>
    <phoneticPr fontId="1" type="noConversion"/>
  </si>
  <si>
    <t>intercrig</t>
    <phoneticPr fontId="1" type="noConversion"/>
  </si>
  <si>
    <t>hselqu'i</t>
    <phoneticPr fontId="1" type="noConversion"/>
  </si>
  <si>
    <t>blani</t>
    <phoneticPr fontId="1" type="noConversion"/>
  </si>
  <si>
    <t>shaim</t>
    <phoneticPr fontId="1" type="noConversion"/>
  </si>
  <si>
    <t>mipla</t>
    <phoneticPr fontId="1" type="noConversion"/>
  </si>
  <si>
    <t>miaraeo</t>
    <phoneticPr fontId="1" type="noConversion"/>
  </si>
  <si>
    <t>metoa</t>
    <phoneticPr fontId="1" type="noConversion"/>
  </si>
  <si>
    <t>carmaor</t>
    <phoneticPr fontId="1" type="noConversion"/>
  </si>
  <si>
    <t>daqiu</t>
    <phoneticPr fontId="1" type="noConversion"/>
  </si>
  <si>
    <t>calotmet</t>
    <phoneticPr fontId="1" type="noConversion"/>
  </si>
  <si>
    <t>slimalutej</t>
    <phoneticPr fontId="1" type="noConversion"/>
  </si>
  <si>
    <t>bundu</t>
    <phoneticPr fontId="1" type="noConversion"/>
  </si>
  <si>
    <t>wu</t>
    <phoneticPr fontId="1" type="noConversion"/>
  </si>
  <si>
    <t>sila</t>
    <phoneticPr fontId="1" type="noConversion"/>
  </si>
  <si>
    <t>pula</t>
    <phoneticPr fontId="1" type="noConversion"/>
  </si>
  <si>
    <t>hopula</t>
    <phoneticPr fontId="1" type="noConversion"/>
  </si>
  <si>
    <t>tuajo</t>
    <phoneticPr fontId="1" type="noConversion"/>
  </si>
  <si>
    <t>fax</t>
    <phoneticPr fontId="1" type="noConversion"/>
  </si>
  <si>
    <t>mortar</t>
    <phoneticPr fontId="1" type="noConversion"/>
  </si>
  <si>
    <t>cannono</t>
    <phoneticPr fontId="1" type="noConversion"/>
  </si>
  <si>
    <t>bundo</t>
    <phoneticPr fontId="1" type="noConversion"/>
  </si>
  <si>
    <t>dunvo</t>
    <phoneticPr fontId="1" type="noConversion"/>
  </si>
  <si>
    <t>eimdroun</t>
    <phoneticPr fontId="1" type="noConversion"/>
  </si>
  <si>
    <t>bulan</t>
    <phoneticPr fontId="1" type="noConversion"/>
  </si>
  <si>
    <t>misil</t>
    <phoneticPr fontId="1" type="noConversion"/>
  </si>
  <si>
    <t>projectil</t>
    <phoneticPr fontId="1" type="noConversion"/>
  </si>
  <si>
    <t>greana</t>
    <phoneticPr fontId="1" type="noConversion"/>
  </si>
  <si>
    <t>argeshloj</t>
    <phoneticPr fontId="1" type="noConversion"/>
  </si>
  <si>
    <t>metrala</t>
    <phoneticPr fontId="1" type="noConversion"/>
  </si>
  <si>
    <t>chemcar</t>
    <phoneticPr fontId="1" type="noConversion"/>
  </si>
  <si>
    <t>uranyplastor</t>
    <phoneticPr fontId="1" type="noConversion"/>
  </si>
  <si>
    <t>shrapnel</t>
    <phoneticPr fontId="1" type="noConversion"/>
  </si>
  <si>
    <t>bomboseinhm</t>
    <phoneticPr fontId="1" type="noConversion"/>
  </si>
  <si>
    <t>signor</t>
    <phoneticPr fontId="1" type="noConversion"/>
  </si>
  <si>
    <t>tapraun</t>
    <phoneticPr fontId="1" type="noConversion"/>
  </si>
  <si>
    <t>deso</t>
    <phoneticPr fontId="1" type="noConversion"/>
  </si>
  <si>
    <t>pano</t>
    <phoneticPr fontId="1" type="noConversion"/>
  </si>
  <si>
    <t>bombotoxcito</t>
    <phoneticPr fontId="1" type="noConversion"/>
  </si>
  <si>
    <t>bomboaton</t>
    <phoneticPr fontId="1" type="noConversion"/>
  </si>
  <si>
    <t>bombo-a</t>
    <phoneticPr fontId="1" type="noConversion"/>
  </si>
  <si>
    <t>bomboneotron</t>
    <phoneticPr fontId="1" type="noConversion"/>
  </si>
  <si>
    <t>bomboh'saibojen</t>
    <phoneticPr fontId="1" type="noConversion"/>
  </si>
  <si>
    <t>tanqu'e</t>
    <phoneticPr fontId="1" type="noConversion"/>
  </si>
  <si>
    <t>torpedo</t>
    <phoneticPr fontId="1" type="noConversion"/>
  </si>
  <si>
    <t>sulta</t>
    <phoneticPr fontId="1" type="noConversion"/>
  </si>
  <si>
    <t>qarpon</t>
    <phoneticPr fontId="1" type="noConversion"/>
  </si>
  <si>
    <t>loensva</t>
    <phoneticPr fontId="1" type="noConversion"/>
  </si>
  <si>
    <t>escalada</t>
    <phoneticPr fontId="1" type="noConversion"/>
  </si>
  <si>
    <t>osamwa</t>
    <phoneticPr fontId="1" type="noConversion"/>
  </si>
  <si>
    <t>tarochgote</t>
    <phoneticPr fontId="1" type="noConversion"/>
  </si>
  <si>
    <t>pistol</t>
    <phoneticPr fontId="1" type="noConversion"/>
  </si>
  <si>
    <t>awhmenwo</t>
    <phoneticPr fontId="1" type="noConversion"/>
  </si>
  <si>
    <t>rifles</t>
    <phoneticPr fontId="1" type="noConversion"/>
  </si>
  <si>
    <t>metralleta</t>
    <phoneticPr fontId="1" type="noConversion"/>
  </si>
  <si>
    <t>unsimetralleta</t>
    <phoneticPr fontId="1" type="noConversion"/>
  </si>
  <si>
    <t>unsimecaniqu'ebundu</t>
    <phoneticPr fontId="1" type="noConversion"/>
  </si>
  <si>
    <t>chan</t>
    <phoneticPr fontId="1" type="noConversion"/>
  </si>
  <si>
    <t>guant</t>
    <phoneticPr fontId="1" type="noConversion"/>
  </si>
  <si>
    <t>snipie</t>
    <phoneticPr fontId="1" type="noConversion"/>
  </si>
  <si>
    <t>snipie rifles</t>
    <phoneticPr fontId="1" type="noConversion"/>
  </si>
  <si>
    <t>doromovscon</t>
    <phoneticPr fontId="1" type="noConversion"/>
  </si>
  <si>
    <t>asault</t>
    <phoneticPr fontId="1" type="noConversion"/>
  </si>
  <si>
    <t>javal</t>
    <phoneticPr fontId="1" type="noConversion"/>
  </si>
  <si>
    <t>unsteax</t>
    <phoneticPr fontId="1" type="noConversion"/>
  </si>
  <si>
    <t>bombobeluga</t>
    <phoneticPr fontId="1" type="noConversion"/>
  </si>
  <si>
    <t>guosta</t>
    <phoneticPr fontId="1" type="noConversion"/>
  </si>
  <si>
    <t>amscubade</t>
    <phoneticPr fontId="1" type="noConversion"/>
  </si>
  <si>
    <t>vacasâto</t>
    <phoneticPr fontId="1" type="noConversion"/>
  </si>
  <si>
    <t>vacasâtoder</t>
    <phoneticPr fontId="1" type="noConversion"/>
  </si>
  <si>
    <t>xithamscubade</t>
    <phoneticPr fontId="1" type="noConversion"/>
  </si>
  <si>
    <t>nbamuga</t>
    <phoneticPr fontId="1" type="noConversion"/>
  </si>
  <si>
    <t>esm</t>
    <phoneticPr fontId="1" type="noConversion"/>
  </si>
  <si>
    <t>ladz</t>
    <phoneticPr fontId="1" type="noConversion"/>
  </si>
  <si>
    <t>canbide</t>
    <phoneticPr fontId="1" type="noConversion"/>
  </si>
  <si>
    <t>guânzbundu</t>
    <phoneticPr fontId="1" type="noConversion"/>
  </si>
  <si>
    <t>radar</t>
    <phoneticPr fontId="1" type="noConversion"/>
  </si>
  <si>
    <t>vcan</t>
    <phoneticPr fontId="1" type="noConversion"/>
  </si>
  <si>
    <t>ardeg</t>
    <phoneticPr fontId="1" type="noConversion"/>
  </si>
  <si>
    <t>fein</t>
    <phoneticPr fontId="1" type="noConversion"/>
  </si>
  <si>
    <t>stul</t>
    <phoneticPr fontId="1" type="noConversion"/>
  </si>
  <si>
    <t>ionus</t>
    <phoneticPr fontId="1" type="noConversion"/>
  </si>
  <si>
    <t>buncal</t>
    <phoneticPr fontId="1" type="noConversion"/>
  </si>
  <si>
    <t>tricanstris</t>
    <phoneticPr fontId="1" type="noConversion"/>
  </si>
  <si>
    <t>bombodumôt</t>
    <phoneticPr fontId="1" type="noConversion"/>
  </si>
  <si>
    <t>tsan</t>
    <phoneticPr fontId="1" type="noConversion"/>
  </si>
  <si>
    <t>bundutrou</t>
    <phoneticPr fontId="1" type="noConversion"/>
  </si>
  <si>
    <t>punjua</t>
    <phoneticPr fontId="1" type="noConversion"/>
  </si>
  <si>
    <t>canyo</t>
    <phoneticPr fontId="1" type="noConversion"/>
  </si>
  <si>
    <t>passe</t>
    <phoneticPr fontId="1" type="noConversion"/>
  </si>
  <si>
    <t>军队</t>
    <phoneticPr fontId="1" type="noConversion"/>
  </si>
  <si>
    <t>1-4-3</t>
    <phoneticPr fontId="1" type="noConversion"/>
  </si>
  <si>
    <t>陆军</t>
    <phoneticPr fontId="1" type="noConversion"/>
  </si>
  <si>
    <t>海军</t>
    <phoneticPr fontId="1" type="noConversion"/>
  </si>
  <si>
    <t>空军</t>
    <phoneticPr fontId="1" type="noConversion"/>
  </si>
  <si>
    <t>水师</t>
    <phoneticPr fontId="1" type="noConversion"/>
  </si>
  <si>
    <t>海军陆战队</t>
    <phoneticPr fontId="1" type="noConversion"/>
  </si>
  <si>
    <t>后勤部队</t>
    <phoneticPr fontId="1" type="noConversion"/>
  </si>
  <si>
    <t>火箭军</t>
    <phoneticPr fontId="1" type="noConversion"/>
  </si>
  <si>
    <t>边防军</t>
    <phoneticPr fontId="1" type="noConversion"/>
  </si>
  <si>
    <t>空天军，空军</t>
    <phoneticPr fontId="1" type="noConversion"/>
  </si>
  <si>
    <t>地勤，地勤部队</t>
    <phoneticPr fontId="1" type="noConversion"/>
  </si>
  <si>
    <t>北洋水师</t>
    <phoneticPr fontId="1" type="noConversion"/>
  </si>
  <si>
    <t>南洋水师</t>
    <phoneticPr fontId="1" type="noConversion"/>
  </si>
  <si>
    <t>朝鲜水师</t>
    <phoneticPr fontId="1" type="noConversion"/>
  </si>
  <si>
    <t>第二炮兵部队</t>
    <phoneticPr fontId="1" type="noConversion"/>
  </si>
  <si>
    <t>元帅</t>
    <phoneticPr fontId="1" type="noConversion"/>
  </si>
  <si>
    <t>（英国）陆军元帅</t>
    <phoneticPr fontId="1" type="noConversion"/>
  </si>
  <si>
    <t>大将</t>
    <phoneticPr fontId="1" type="noConversion"/>
  </si>
  <si>
    <t>（中国）一级上将</t>
    <phoneticPr fontId="1" type="noConversion"/>
  </si>
  <si>
    <t>上将</t>
    <phoneticPr fontId="1" type="noConversion"/>
  </si>
  <si>
    <t>五星上将</t>
    <phoneticPr fontId="1" type="noConversion"/>
  </si>
  <si>
    <t>四星上将</t>
    <phoneticPr fontId="1" type="noConversion"/>
  </si>
  <si>
    <t>中将</t>
    <phoneticPr fontId="1" type="noConversion"/>
  </si>
  <si>
    <t>少将</t>
    <phoneticPr fontId="1" type="noConversion"/>
  </si>
  <si>
    <t>准将</t>
    <phoneticPr fontId="1" type="noConversion"/>
  </si>
  <si>
    <t>海军准将</t>
    <phoneticPr fontId="1" type="noConversion"/>
  </si>
  <si>
    <t>上校</t>
    <phoneticPr fontId="1" type="noConversion"/>
  </si>
  <si>
    <t>中校</t>
    <phoneticPr fontId="1" type="noConversion"/>
  </si>
  <si>
    <t>少校</t>
    <phoneticPr fontId="1" type="noConversion"/>
  </si>
  <si>
    <t>上尉</t>
    <phoneticPr fontId="1" type="noConversion"/>
  </si>
  <si>
    <t>中尉</t>
    <phoneticPr fontId="1" type="noConversion"/>
  </si>
  <si>
    <t>海军中尉</t>
    <phoneticPr fontId="1" type="noConversion"/>
  </si>
  <si>
    <t>少尉</t>
    <phoneticPr fontId="1" type="noConversion"/>
  </si>
  <si>
    <t>准尉</t>
    <phoneticPr fontId="1" type="noConversion"/>
  </si>
  <si>
    <t>上士</t>
    <phoneticPr fontId="1" type="noConversion"/>
  </si>
  <si>
    <t>海军上士</t>
    <phoneticPr fontId="1" type="noConversion"/>
  </si>
  <si>
    <t>中士</t>
    <phoneticPr fontId="1" type="noConversion"/>
  </si>
  <si>
    <t>下士</t>
    <phoneticPr fontId="1" type="noConversion"/>
  </si>
  <si>
    <t>校官</t>
    <phoneticPr fontId="1" type="noConversion"/>
  </si>
  <si>
    <t>尉官</t>
    <phoneticPr fontId="1" type="noConversion"/>
  </si>
  <si>
    <t>士官</t>
    <phoneticPr fontId="1" type="noConversion"/>
  </si>
  <si>
    <t>军官</t>
    <phoneticPr fontId="1" type="noConversion"/>
  </si>
  <si>
    <t>（陆军）士兵</t>
    <phoneticPr fontId="1" type="noConversion"/>
  </si>
  <si>
    <t>（空军）士兵</t>
    <phoneticPr fontId="1" type="noConversion"/>
  </si>
  <si>
    <t>（海军）士兵</t>
    <phoneticPr fontId="1" type="noConversion"/>
  </si>
  <si>
    <t>士兵</t>
    <phoneticPr fontId="1" type="noConversion"/>
  </si>
  <si>
    <t>将军</t>
    <phoneticPr fontId="1" type="noConversion"/>
  </si>
  <si>
    <t>大兵，大头兵</t>
    <phoneticPr fontId="1" type="noConversion"/>
  </si>
  <si>
    <t>兵痞</t>
    <phoneticPr fontId="1" type="noConversion"/>
  </si>
  <si>
    <t>步兵</t>
    <phoneticPr fontId="1" type="noConversion"/>
  </si>
  <si>
    <t>骑兵</t>
    <phoneticPr fontId="1" type="noConversion"/>
  </si>
  <si>
    <t>车兵</t>
    <phoneticPr fontId="1" type="noConversion"/>
  </si>
  <si>
    <t>水兵</t>
    <phoneticPr fontId="1" type="noConversion"/>
  </si>
  <si>
    <t>弓兵</t>
    <phoneticPr fontId="1" type="noConversion"/>
  </si>
  <si>
    <t>甲兵</t>
    <phoneticPr fontId="1" type="noConversion"/>
  </si>
  <si>
    <t>禁卫军</t>
    <phoneticPr fontId="1" type="noConversion"/>
  </si>
  <si>
    <t>民兵</t>
    <phoneticPr fontId="1" type="noConversion"/>
  </si>
  <si>
    <t>厢军</t>
    <phoneticPr fontId="1" type="noConversion"/>
  </si>
  <si>
    <t>枪骑兵</t>
    <phoneticPr fontId="1" type="noConversion"/>
  </si>
  <si>
    <t>龙骑兵</t>
    <phoneticPr fontId="1" type="noConversion"/>
  </si>
  <si>
    <t>骠骑兵</t>
    <phoneticPr fontId="1" type="noConversion"/>
  </si>
  <si>
    <t>爆破兵</t>
    <phoneticPr fontId="1" type="noConversion"/>
  </si>
  <si>
    <t>传令兵</t>
    <phoneticPr fontId="1" type="noConversion"/>
  </si>
  <si>
    <t>军令</t>
    <phoneticPr fontId="1" type="noConversion"/>
  </si>
  <si>
    <t>军法</t>
    <phoneticPr fontId="1" type="noConversion"/>
  </si>
  <si>
    <t>太尉</t>
    <phoneticPr fontId="1" type="noConversion"/>
  </si>
  <si>
    <t>缇骑</t>
    <phoneticPr fontId="1" type="noConversion"/>
  </si>
  <si>
    <t>卫士</t>
    <phoneticPr fontId="1" type="noConversion"/>
  </si>
  <si>
    <t>卫队</t>
    <phoneticPr fontId="1" type="noConversion"/>
  </si>
  <si>
    <t>（军）候</t>
    <phoneticPr fontId="1" type="noConversion"/>
  </si>
  <si>
    <t>军假候</t>
    <phoneticPr fontId="1" type="noConversion"/>
  </si>
  <si>
    <t>监军</t>
    <phoneticPr fontId="1" type="noConversion"/>
  </si>
  <si>
    <t>副监军</t>
    <phoneticPr fontId="1" type="noConversion"/>
  </si>
  <si>
    <t>都护</t>
    <phoneticPr fontId="1" type="noConversion"/>
  </si>
  <si>
    <t>都尉</t>
    <phoneticPr fontId="1" type="noConversion"/>
  </si>
  <si>
    <t>虞候</t>
    <phoneticPr fontId="1" type="noConversion"/>
  </si>
  <si>
    <t>斥候</t>
    <phoneticPr fontId="1" type="noConversion"/>
  </si>
  <si>
    <t>侦察兵</t>
    <phoneticPr fontId="1" type="noConversion"/>
  </si>
  <si>
    <t>武士</t>
    <phoneticPr fontId="1" type="noConversion"/>
  </si>
  <si>
    <t>教头</t>
    <phoneticPr fontId="1" type="noConversion"/>
  </si>
  <si>
    <t>八十万禁军教头</t>
    <phoneticPr fontId="1" type="noConversion"/>
  </si>
  <si>
    <t>伙夫，炊事员</t>
    <phoneticPr fontId="1" type="noConversion"/>
  </si>
  <si>
    <t>轻骑兵</t>
    <phoneticPr fontId="1" type="noConversion"/>
  </si>
  <si>
    <t>重骑兵</t>
    <phoneticPr fontId="1" type="noConversion"/>
  </si>
  <si>
    <t>游骑兵</t>
    <phoneticPr fontId="1" type="noConversion"/>
  </si>
  <si>
    <t>都督</t>
    <phoneticPr fontId="1" type="noConversion"/>
  </si>
  <si>
    <t>都元帅</t>
    <phoneticPr fontId="1" type="noConversion"/>
  </si>
  <si>
    <t>中郎将</t>
    <phoneticPr fontId="1" type="noConversion"/>
  </si>
  <si>
    <t>郎中将</t>
    <phoneticPr fontId="1" type="noConversion"/>
  </si>
  <si>
    <t>五威将</t>
    <phoneticPr fontId="1" type="noConversion"/>
  </si>
  <si>
    <t>羽林</t>
    <phoneticPr fontId="1" type="noConversion"/>
  </si>
  <si>
    <t>虎贲</t>
    <phoneticPr fontId="1" type="noConversion"/>
  </si>
  <si>
    <t>虎贲武士</t>
    <phoneticPr fontId="1" type="noConversion"/>
  </si>
  <si>
    <t>军旗，战旗</t>
    <phoneticPr fontId="1" type="noConversion"/>
  </si>
  <si>
    <t>卫尉</t>
    <phoneticPr fontId="1" type="noConversion"/>
  </si>
  <si>
    <t>校尉</t>
    <phoneticPr fontId="1" type="noConversion"/>
  </si>
  <si>
    <t>奉车</t>
    <phoneticPr fontId="1" type="noConversion"/>
  </si>
  <si>
    <t>烟</t>
    <phoneticPr fontId="1" type="noConversion"/>
  </si>
  <si>
    <t>重甲骑兵；铁浮屠</t>
    <phoneticPr fontId="1" type="noConversion"/>
  </si>
  <si>
    <t>司马</t>
    <phoneticPr fontId="1" type="noConversion"/>
  </si>
  <si>
    <t>大将军</t>
    <phoneticPr fontId="1" type="noConversion"/>
  </si>
  <si>
    <t>骠骑将军</t>
    <phoneticPr fontId="1" type="noConversion"/>
  </si>
  <si>
    <t>车骑将军</t>
    <phoneticPr fontId="1" type="noConversion"/>
  </si>
  <si>
    <t>卫将军</t>
    <phoneticPr fontId="1" type="noConversion"/>
  </si>
  <si>
    <t>营帐</t>
    <phoneticPr fontId="1" type="noConversion"/>
  </si>
  <si>
    <t>重机枪</t>
    <phoneticPr fontId="1" type="noConversion"/>
  </si>
  <si>
    <t>大元帅</t>
    <phoneticPr fontId="1" type="noConversion"/>
  </si>
  <si>
    <t>执金吾</t>
    <phoneticPr fontId="1" type="noConversion"/>
  </si>
  <si>
    <t>中军校尉</t>
    <phoneticPr fontId="1" type="noConversion"/>
  </si>
  <si>
    <t>狼烟</t>
    <phoneticPr fontId="1" type="noConversion"/>
  </si>
  <si>
    <t>角声</t>
    <phoneticPr fontId="1" type="noConversion"/>
  </si>
  <si>
    <t>垓</t>
    <phoneticPr fontId="1" type="noConversion"/>
  </si>
  <si>
    <t>战阵</t>
    <phoneticPr fontId="1" type="noConversion"/>
  </si>
  <si>
    <t>领……兵马事</t>
    <phoneticPr fontId="1" type="noConversion"/>
  </si>
  <si>
    <t>军马</t>
    <phoneticPr fontId="1" type="noConversion"/>
  </si>
  <si>
    <t>粮秣</t>
    <phoneticPr fontId="1" type="noConversion"/>
  </si>
  <si>
    <t>虎贲校尉</t>
    <phoneticPr fontId="1" type="noConversion"/>
  </si>
  <si>
    <t>中垒校尉</t>
    <phoneticPr fontId="1" type="noConversion"/>
  </si>
  <si>
    <t>胡骑校尉</t>
    <phoneticPr fontId="1" type="noConversion"/>
  </si>
  <si>
    <t>屯骑校尉</t>
    <phoneticPr fontId="1" type="noConversion"/>
  </si>
  <si>
    <t>越骑校尉</t>
    <phoneticPr fontId="1" type="noConversion"/>
  </si>
  <si>
    <t>步兵校尉</t>
    <phoneticPr fontId="1" type="noConversion"/>
  </si>
  <si>
    <t>长水校尉</t>
    <phoneticPr fontId="1" type="noConversion"/>
  </si>
  <si>
    <t>射声校尉</t>
    <phoneticPr fontId="1" type="noConversion"/>
  </si>
  <si>
    <t>城门校尉</t>
    <phoneticPr fontId="1" type="noConversion"/>
  </si>
  <si>
    <t>西门校尉</t>
    <phoneticPr fontId="1" type="noConversion"/>
  </si>
  <si>
    <t>度辽将军</t>
    <phoneticPr fontId="1" type="noConversion"/>
  </si>
  <si>
    <t>左中郎将</t>
    <phoneticPr fontId="1" type="noConversion"/>
  </si>
  <si>
    <t>右中郎将</t>
    <phoneticPr fontId="1" type="noConversion"/>
  </si>
  <si>
    <t>虎贲中郎将</t>
    <phoneticPr fontId="1" type="noConversion"/>
  </si>
  <si>
    <t>羽林中郎将</t>
    <phoneticPr fontId="1" type="noConversion"/>
  </si>
  <si>
    <t>骑都尉</t>
    <phoneticPr fontId="1" type="noConversion"/>
  </si>
  <si>
    <t>军司马</t>
    <phoneticPr fontId="1" type="noConversion"/>
  </si>
  <si>
    <t>军假司马</t>
    <phoneticPr fontId="1" type="noConversion"/>
  </si>
  <si>
    <t>光禄勋</t>
    <phoneticPr fontId="1" type="noConversion"/>
  </si>
  <si>
    <t>光禄丞</t>
    <phoneticPr fontId="1" type="noConversion"/>
  </si>
  <si>
    <t>奉车都尉</t>
    <phoneticPr fontId="1" type="noConversion"/>
  </si>
  <si>
    <t>羽林都尉</t>
    <phoneticPr fontId="1" type="noConversion"/>
  </si>
  <si>
    <t>百夫长</t>
    <phoneticPr fontId="1" type="noConversion"/>
  </si>
  <si>
    <t>千夫长</t>
    <phoneticPr fontId="1" type="noConversion"/>
  </si>
  <si>
    <t>参军</t>
    <phoneticPr fontId="1" type="noConversion"/>
  </si>
  <si>
    <t>兵营</t>
    <phoneticPr fontId="1" type="noConversion"/>
  </si>
  <si>
    <t>兵勇</t>
    <phoneticPr fontId="1" type="noConversion"/>
  </si>
  <si>
    <t>士卒</t>
    <phoneticPr fontId="1" type="noConversion"/>
  </si>
  <si>
    <t>绿营军</t>
    <phoneticPr fontId="1" type="noConversion"/>
  </si>
  <si>
    <t>旗人，八旗子弟；八旗</t>
    <phoneticPr fontId="1" type="noConversion"/>
  </si>
  <si>
    <t>正黄旗</t>
    <phoneticPr fontId="1" type="noConversion"/>
  </si>
  <si>
    <t>镶黄旗</t>
    <phoneticPr fontId="1" type="noConversion"/>
  </si>
  <si>
    <t>正白旗</t>
    <phoneticPr fontId="1" type="noConversion"/>
  </si>
  <si>
    <t>镶白旗</t>
    <phoneticPr fontId="1" type="noConversion"/>
  </si>
  <si>
    <t>正红旗</t>
    <phoneticPr fontId="1" type="noConversion"/>
  </si>
  <si>
    <t>镶红旗</t>
    <phoneticPr fontId="1" type="noConversion"/>
  </si>
  <si>
    <t>正蓝旗</t>
    <phoneticPr fontId="1" type="noConversion"/>
  </si>
  <si>
    <t>镶蓝旗</t>
    <phoneticPr fontId="1" type="noConversion"/>
  </si>
  <si>
    <t>gulu lamun gusa</t>
    <phoneticPr fontId="1" type="noConversion"/>
  </si>
  <si>
    <t>qu'ubwhe lamun gusa</t>
  </si>
  <si>
    <t>牛录，佐领</t>
    <phoneticPr fontId="1" type="noConversion"/>
  </si>
  <si>
    <t>额真，都统</t>
    <phoneticPr fontId="1" type="noConversion"/>
  </si>
  <si>
    <t>五官中郎将</t>
    <phoneticPr fontId="1" type="noConversion"/>
  </si>
  <si>
    <t>驸马都尉</t>
    <phoneticPr fontId="1" type="noConversion"/>
  </si>
  <si>
    <t>北宫卫士令</t>
    <phoneticPr fontId="1" type="noConversion"/>
  </si>
  <si>
    <t>南宫卫士令</t>
    <phoneticPr fontId="1" type="noConversion"/>
  </si>
  <si>
    <t>前将军</t>
    <phoneticPr fontId="1" type="noConversion"/>
  </si>
  <si>
    <t>后将军</t>
    <phoneticPr fontId="1" type="noConversion"/>
  </si>
  <si>
    <t>左将军</t>
    <phoneticPr fontId="1" type="noConversion"/>
  </si>
  <si>
    <t>右将军</t>
    <phoneticPr fontId="1" type="noConversion"/>
  </si>
  <si>
    <t>武库，武器库</t>
    <phoneticPr fontId="1" type="noConversion"/>
  </si>
  <si>
    <t>军事基地</t>
    <phoneticPr fontId="1" type="noConversion"/>
  </si>
  <si>
    <t>团</t>
    <phoneticPr fontId="1" type="noConversion"/>
  </si>
  <si>
    <t>排</t>
    <phoneticPr fontId="1" type="noConversion"/>
  </si>
  <si>
    <t>连</t>
    <phoneticPr fontId="1" type="noConversion"/>
  </si>
  <si>
    <t>旅</t>
    <phoneticPr fontId="1" type="noConversion"/>
  </si>
  <si>
    <t>师</t>
    <phoneticPr fontId="1" type="noConversion"/>
  </si>
  <si>
    <t>营</t>
    <phoneticPr fontId="1" type="noConversion"/>
  </si>
  <si>
    <t>团长</t>
    <phoneticPr fontId="1" type="noConversion"/>
  </si>
  <si>
    <t>排长</t>
    <phoneticPr fontId="1" type="noConversion"/>
  </si>
  <si>
    <t>连长</t>
    <phoneticPr fontId="1" type="noConversion"/>
  </si>
  <si>
    <t>旅长</t>
    <phoneticPr fontId="1" type="noConversion"/>
  </si>
  <si>
    <t>师长</t>
    <phoneticPr fontId="1" type="noConversion"/>
  </si>
  <si>
    <t>军长</t>
    <phoneticPr fontId="1" type="noConversion"/>
  </si>
  <si>
    <t>营长</t>
    <phoneticPr fontId="1" type="noConversion"/>
  </si>
  <si>
    <t>班</t>
    <phoneticPr fontId="1" type="noConversion"/>
  </si>
  <si>
    <t>班长</t>
    <phoneticPr fontId="1" type="noConversion"/>
  </si>
  <si>
    <t>武器</t>
    <phoneticPr fontId="1" type="noConversion"/>
  </si>
  <si>
    <t>火器</t>
    <phoneticPr fontId="1" type="noConversion"/>
  </si>
  <si>
    <t>炸药</t>
    <phoneticPr fontId="1" type="noConversion"/>
  </si>
  <si>
    <t>火药</t>
    <phoneticPr fontId="1" type="noConversion"/>
  </si>
  <si>
    <t>黄火药</t>
    <phoneticPr fontId="1" type="noConversion"/>
  </si>
  <si>
    <t>黑火药</t>
    <phoneticPr fontId="1" type="noConversion"/>
  </si>
  <si>
    <t>地雷</t>
    <phoneticPr fontId="1" type="noConversion"/>
  </si>
  <si>
    <t>手雷，手榴弹</t>
    <phoneticPr fontId="1" type="noConversion"/>
  </si>
  <si>
    <t>炸弹</t>
    <phoneticPr fontId="1" type="noConversion"/>
  </si>
  <si>
    <t>烟花</t>
    <phoneticPr fontId="1" type="noConversion"/>
  </si>
  <si>
    <t>爆竹</t>
    <phoneticPr fontId="1" type="noConversion"/>
  </si>
  <si>
    <t>铁蒺藜</t>
    <phoneticPr fontId="1" type="noConversion"/>
  </si>
  <si>
    <t>拒马</t>
    <phoneticPr fontId="1" type="noConversion"/>
  </si>
  <si>
    <t>陷坑</t>
    <phoneticPr fontId="1" type="noConversion"/>
  </si>
  <si>
    <t>坑杀</t>
    <phoneticPr fontId="1" type="noConversion"/>
  </si>
  <si>
    <t>弓</t>
    <phoneticPr fontId="1" type="noConversion"/>
  </si>
  <si>
    <t>箭</t>
    <phoneticPr fontId="1" type="noConversion"/>
  </si>
  <si>
    <t>箭头</t>
    <phoneticPr fontId="1" type="noConversion"/>
  </si>
  <si>
    <t>剑</t>
    <phoneticPr fontId="1" type="noConversion"/>
  </si>
  <si>
    <t>弩</t>
    <phoneticPr fontId="1" type="noConversion"/>
  </si>
  <si>
    <t>连弩</t>
    <phoneticPr fontId="1" type="noConversion"/>
  </si>
  <si>
    <t>日本弓</t>
    <phoneticPr fontId="1" type="noConversion"/>
  </si>
  <si>
    <t>鞭炮</t>
    <phoneticPr fontId="1" type="noConversion"/>
  </si>
  <si>
    <t>鞭，铜鞭</t>
    <phoneticPr fontId="1" type="noConversion"/>
  </si>
  <si>
    <t>棍</t>
    <phoneticPr fontId="1" type="noConversion"/>
  </si>
  <si>
    <t>刺</t>
    <phoneticPr fontId="1" type="noConversion"/>
  </si>
  <si>
    <t>双节棍</t>
    <phoneticPr fontId="1" type="noConversion"/>
  </si>
  <si>
    <t>飞镖</t>
    <phoneticPr fontId="1" type="noConversion"/>
  </si>
  <si>
    <t>回旋镖</t>
    <phoneticPr fontId="1" type="noConversion"/>
  </si>
  <si>
    <t>刺客</t>
    <phoneticPr fontId="1" type="noConversion"/>
  </si>
  <si>
    <t>暗器</t>
    <phoneticPr fontId="1" type="noConversion"/>
  </si>
  <si>
    <t>戈</t>
    <phoneticPr fontId="1" type="noConversion"/>
  </si>
  <si>
    <t>矛</t>
    <phoneticPr fontId="1" type="noConversion"/>
  </si>
  <si>
    <t>戟</t>
    <phoneticPr fontId="1" type="noConversion"/>
  </si>
  <si>
    <t>刀</t>
    <phoneticPr fontId="1" type="noConversion"/>
  </si>
  <si>
    <t>火把</t>
    <phoneticPr fontId="1" type="noConversion"/>
  </si>
  <si>
    <t>火箭</t>
    <phoneticPr fontId="1" type="noConversion"/>
  </si>
  <si>
    <t>希腊火</t>
    <phoneticPr fontId="1" type="noConversion"/>
  </si>
  <si>
    <t>火器；热兵器</t>
    <phoneticPr fontId="1" type="noConversion"/>
  </si>
  <si>
    <t>棒</t>
    <phoneticPr fontId="1" type="noConversion"/>
  </si>
  <si>
    <t>马刀</t>
    <phoneticPr fontId="1" type="noConversion"/>
  </si>
  <si>
    <t>战报</t>
    <phoneticPr fontId="1" type="noConversion"/>
  </si>
  <si>
    <t>战场</t>
    <phoneticPr fontId="1" type="noConversion"/>
  </si>
  <si>
    <t>战地</t>
    <phoneticPr fontId="1" type="noConversion"/>
  </si>
  <si>
    <t>战区</t>
    <phoneticPr fontId="1" type="noConversion"/>
  </si>
  <si>
    <t>战斗力</t>
    <phoneticPr fontId="1" type="noConversion"/>
  </si>
  <si>
    <t>战犯</t>
    <phoneticPr fontId="1" type="noConversion"/>
  </si>
  <si>
    <t>俘虏，虏获</t>
    <phoneticPr fontId="1" type="noConversion"/>
  </si>
  <si>
    <t>俘虏，战俘</t>
    <phoneticPr fontId="1" type="noConversion"/>
  </si>
  <si>
    <t>军功</t>
    <phoneticPr fontId="1" type="noConversion"/>
  </si>
  <si>
    <t>战果</t>
    <phoneticPr fontId="1" type="noConversion"/>
  </si>
  <si>
    <t>战鼓</t>
    <phoneticPr fontId="1" type="noConversion"/>
  </si>
  <si>
    <t>号角</t>
    <phoneticPr fontId="1" type="noConversion"/>
  </si>
  <si>
    <t>刁斗</t>
    <phoneticPr fontId="1" type="noConversion"/>
  </si>
  <si>
    <t>战壕</t>
    <phoneticPr fontId="1" type="noConversion"/>
  </si>
  <si>
    <t>战绩</t>
    <phoneticPr fontId="1" type="noConversion"/>
  </si>
  <si>
    <t>战利品</t>
    <phoneticPr fontId="1" type="noConversion"/>
  </si>
  <si>
    <t>战乱</t>
    <phoneticPr fontId="1" type="noConversion"/>
  </si>
  <si>
    <t>战事</t>
    <phoneticPr fontId="1" type="noConversion"/>
  </si>
  <si>
    <t>战书</t>
    <phoneticPr fontId="1" type="noConversion"/>
  </si>
  <si>
    <t>战略</t>
    <phoneticPr fontId="1" type="noConversion"/>
  </si>
  <si>
    <t>战术</t>
    <phoneticPr fontId="1" type="noConversion"/>
  </si>
  <si>
    <t>战线</t>
    <phoneticPr fontId="1" type="noConversion"/>
  </si>
  <si>
    <t>战友</t>
    <phoneticPr fontId="1" type="noConversion"/>
  </si>
  <si>
    <t>战争贩子</t>
    <phoneticPr fontId="1" type="noConversion"/>
  </si>
  <si>
    <t>联军</t>
    <phoneticPr fontId="1" type="noConversion"/>
  </si>
  <si>
    <t>军情</t>
    <phoneticPr fontId="1" type="noConversion"/>
  </si>
  <si>
    <t>内战</t>
    <phoneticPr fontId="1" type="noConversion"/>
  </si>
  <si>
    <t>外战</t>
    <phoneticPr fontId="1" type="noConversion"/>
  </si>
  <si>
    <t>锤子</t>
    <phoneticPr fontId="1" type="noConversion"/>
  </si>
  <si>
    <t>捶子</t>
    <phoneticPr fontId="1" type="noConversion"/>
  </si>
  <si>
    <t>槌子</t>
    <phoneticPr fontId="1" type="noConversion"/>
  </si>
  <si>
    <t>流星锤</t>
    <phoneticPr fontId="1" type="noConversion"/>
  </si>
  <si>
    <t>铠甲</t>
    <phoneticPr fontId="1" type="noConversion"/>
  </si>
  <si>
    <t>甲胄</t>
    <phoneticPr fontId="1" type="noConversion"/>
  </si>
  <si>
    <t>头盔</t>
    <phoneticPr fontId="1" type="noConversion"/>
  </si>
  <si>
    <t>燧发枪</t>
    <phoneticPr fontId="1" type="noConversion"/>
  </si>
  <si>
    <t>枪械，枪支</t>
    <phoneticPr fontId="1" type="noConversion"/>
  </si>
  <si>
    <t>殳</t>
    <phoneticPr fontId="1" type="noConversion"/>
  </si>
  <si>
    <t>枪</t>
    <phoneticPr fontId="1" type="noConversion"/>
  </si>
  <si>
    <t>红缨枪</t>
    <phoneticPr fontId="1" type="noConversion"/>
  </si>
  <si>
    <t>钺；武力，军事</t>
    <phoneticPr fontId="1" type="noConversion"/>
  </si>
  <si>
    <t>斧头，斧</t>
    <phoneticPr fontId="1" type="noConversion"/>
  </si>
  <si>
    <t>炮</t>
    <phoneticPr fontId="1" type="noConversion"/>
  </si>
  <si>
    <t>迫击炮</t>
    <phoneticPr fontId="1" type="noConversion"/>
  </si>
  <si>
    <t>加农炮</t>
    <phoneticPr fontId="1" type="noConversion"/>
  </si>
  <si>
    <t>铳</t>
    <phoneticPr fontId="1" type="noConversion"/>
  </si>
  <si>
    <t>盾牌</t>
    <phoneticPr fontId="1" type="noConversion"/>
  </si>
  <si>
    <t>装甲</t>
    <phoneticPr fontId="1" type="noConversion"/>
  </si>
  <si>
    <t>子弹</t>
    <phoneticPr fontId="1" type="noConversion"/>
  </si>
  <si>
    <t>导弹</t>
    <phoneticPr fontId="1" type="noConversion"/>
  </si>
  <si>
    <t>炮弹</t>
    <phoneticPr fontId="1" type="noConversion"/>
  </si>
  <si>
    <t>榴弹</t>
    <phoneticPr fontId="1" type="noConversion"/>
  </si>
  <si>
    <t>火箭弹</t>
    <phoneticPr fontId="1" type="noConversion"/>
  </si>
  <si>
    <t>子母弹</t>
    <phoneticPr fontId="1" type="noConversion"/>
  </si>
  <si>
    <t>温压弹</t>
    <phoneticPr fontId="1" type="noConversion"/>
  </si>
  <si>
    <t>贫铀弹</t>
    <phoneticPr fontId="1" type="noConversion"/>
  </si>
  <si>
    <t>霰弹</t>
    <phoneticPr fontId="1" type="noConversion"/>
  </si>
  <si>
    <t>烟雾弹</t>
    <phoneticPr fontId="1" type="noConversion"/>
  </si>
  <si>
    <t>信号弹</t>
    <phoneticPr fontId="1" type="noConversion"/>
  </si>
  <si>
    <t>靶子</t>
    <phoneticPr fontId="1" type="noConversion"/>
  </si>
  <si>
    <t>的</t>
    <phoneticPr fontId="1" type="noConversion"/>
  </si>
  <si>
    <t>矢</t>
    <phoneticPr fontId="1" type="noConversion"/>
  </si>
  <si>
    <t>毒气弹</t>
    <phoneticPr fontId="1" type="noConversion"/>
  </si>
  <si>
    <t>原子弹</t>
    <phoneticPr fontId="1" type="noConversion"/>
  </si>
  <si>
    <t>中子弹</t>
    <phoneticPr fontId="1" type="noConversion"/>
  </si>
  <si>
    <t>氢弹</t>
    <phoneticPr fontId="1" type="noConversion"/>
  </si>
  <si>
    <t>坦克</t>
    <phoneticPr fontId="1" type="noConversion"/>
  </si>
  <si>
    <t>鱼雷</t>
    <phoneticPr fontId="1" type="noConversion"/>
  </si>
  <si>
    <t>叉</t>
    <phoneticPr fontId="1" type="noConversion"/>
  </si>
  <si>
    <t>鱼叉；用鱼叉叉</t>
    <phoneticPr fontId="1" type="noConversion"/>
  </si>
  <si>
    <t>撞角</t>
    <phoneticPr fontId="1" type="noConversion"/>
  </si>
  <si>
    <t>云梯</t>
    <phoneticPr fontId="1" type="noConversion"/>
  </si>
  <si>
    <t>攻城车</t>
    <phoneticPr fontId="1" type="noConversion"/>
  </si>
  <si>
    <t>投石器</t>
    <phoneticPr fontId="1" type="noConversion"/>
  </si>
  <si>
    <t>手枪</t>
    <phoneticPr fontId="1" type="noConversion"/>
  </si>
  <si>
    <t>猎枪</t>
    <phoneticPr fontId="1" type="noConversion"/>
  </si>
  <si>
    <t>步枪</t>
    <phoneticPr fontId="1" type="noConversion"/>
  </si>
  <si>
    <t>机枪</t>
    <phoneticPr fontId="1" type="noConversion"/>
  </si>
  <si>
    <t>冲锋枪</t>
    <phoneticPr fontId="1" type="noConversion"/>
  </si>
  <si>
    <t>笞</t>
    <phoneticPr fontId="1" type="noConversion"/>
  </si>
  <si>
    <t>箠</t>
    <phoneticPr fontId="1" type="noConversion"/>
  </si>
  <si>
    <t>狙击枪</t>
    <phoneticPr fontId="1" type="noConversion"/>
  </si>
  <si>
    <t>收兵</t>
    <phoneticPr fontId="1" type="noConversion"/>
  </si>
  <si>
    <t>撤退</t>
    <phoneticPr fontId="1" type="noConversion"/>
  </si>
  <si>
    <t>集束炸弹</t>
    <phoneticPr fontId="1" type="noConversion"/>
  </si>
  <si>
    <t>冲锋</t>
    <phoneticPr fontId="1" type="noConversion"/>
  </si>
  <si>
    <t>包围</t>
    <phoneticPr fontId="1" type="noConversion"/>
  </si>
  <si>
    <t>伏击</t>
    <phoneticPr fontId="1" type="noConversion"/>
  </si>
  <si>
    <t>埋伏</t>
    <phoneticPr fontId="1" type="noConversion"/>
  </si>
  <si>
    <t>伏兵</t>
    <phoneticPr fontId="1" type="noConversion"/>
  </si>
  <si>
    <t>反伏击</t>
    <phoneticPr fontId="1" type="noConversion"/>
  </si>
  <si>
    <t>突围</t>
    <phoneticPr fontId="1" type="noConversion"/>
  </si>
  <si>
    <t>刀鞘</t>
    <phoneticPr fontId="1" type="noConversion"/>
  </si>
  <si>
    <t>刃，刀刃</t>
    <phoneticPr fontId="1" type="noConversion"/>
  </si>
  <si>
    <t>刀柄</t>
    <phoneticPr fontId="1" type="noConversion"/>
  </si>
  <si>
    <t>气枪</t>
    <phoneticPr fontId="1" type="noConversion"/>
  </si>
  <si>
    <t>雷达</t>
    <phoneticPr fontId="1" type="noConversion"/>
  </si>
  <si>
    <t>烽火</t>
    <phoneticPr fontId="1" type="noConversion"/>
  </si>
  <si>
    <t>硝烟</t>
    <phoneticPr fontId="1" type="noConversion"/>
  </si>
  <si>
    <t>鏦</t>
    <phoneticPr fontId="1" type="noConversion"/>
  </si>
  <si>
    <t>敌人</t>
    <phoneticPr fontId="1" type="noConversion"/>
  </si>
  <si>
    <t>敌寇</t>
    <phoneticPr fontId="1" type="noConversion"/>
  </si>
  <si>
    <t>敌酋</t>
    <phoneticPr fontId="1" type="noConversion"/>
  </si>
  <si>
    <t>敌焰</t>
    <phoneticPr fontId="1" type="noConversion"/>
  </si>
  <si>
    <t>敌意</t>
    <phoneticPr fontId="1" type="noConversion"/>
  </si>
  <si>
    <t>敌阵</t>
    <phoneticPr fontId="1" type="noConversion"/>
  </si>
  <si>
    <t>合纵</t>
    <phoneticPr fontId="1" type="noConversion"/>
  </si>
  <si>
    <t>连横</t>
    <phoneticPr fontId="1" type="noConversion"/>
  </si>
  <si>
    <t>朴刀</t>
    <phoneticPr fontId="1" type="noConversion"/>
  </si>
  <si>
    <t>刺刀</t>
    <phoneticPr fontId="1" type="noConversion"/>
  </si>
  <si>
    <t>三军</t>
    <phoneticPr fontId="1" type="noConversion"/>
  </si>
  <si>
    <t>鎯头</t>
    <phoneticPr fontId="1" type="noConversion"/>
  </si>
  <si>
    <t>催泪弹</t>
    <phoneticPr fontId="1" type="noConversion"/>
  </si>
  <si>
    <t>斨</t>
    <phoneticPr fontId="1" type="noConversion"/>
  </si>
  <si>
    <t>枪口</t>
    <phoneticPr fontId="1" type="noConversion"/>
  </si>
  <si>
    <t>枪栓</t>
    <phoneticPr fontId="1" type="noConversion"/>
  </si>
  <si>
    <t>枪膛</t>
    <phoneticPr fontId="1" type="noConversion"/>
  </si>
  <si>
    <t>锏</t>
    <phoneticPr fontId="1" type="noConversion"/>
  </si>
  <si>
    <t>缴获</t>
    <phoneticPr fontId="1" type="noConversion"/>
  </si>
  <si>
    <t>缴枪</t>
    <phoneticPr fontId="1" type="noConversion"/>
  </si>
  <si>
    <t>关隘，关口</t>
    <phoneticPr fontId="1" type="noConversion"/>
  </si>
  <si>
    <t>杀气</t>
    <phoneticPr fontId="1" type="noConversion"/>
  </si>
  <si>
    <t>杀伤力</t>
    <phoneticPr fontId="1" type="noConversion"/>
  </si>
  <si>
    <t>铩</t>
    <phoneticPr fontId="1" type="noConversion"/>
  </si>
  <si>
    <t>哨兵</t>
    <phoneticPr fontId="1" type="noConversion"/>
  </si>
  <si>
    <t>哨卡</t>
    <phoneticPr fontId="1" type="noConversion"/>
  </si>
  <si>
    <t>国殇</t>
    <phoneticPr fontId="1" type="noConversion"/>
  </si>
  <si>
    <t>钩</t>
    <phoneticPr fontId="1" type="noConversion"/>
  </si>
  <si>
    <t>镋</t>
    <phoneticPr fontId="1" type="noConversion"/>
  </si>
  <si>
    <t>槊</t>
  </si>
  <si>
    <t>耙</t>
  </si>
  <si>
    <t>镰</t>
  </si>
  <si>
    <t>扒</t>
  </si>
  <si>
    <t>拐</t>
  </si>
  <si>
    <t>藤牌</t>
  </si>
  <si>
    <t>代</t>
  </si>
  <si>
    <t>抉</t>
  </si>
  <si>
    <t>抓</t>
  </si>
  <si>
    <t>杵</t>
  </si>
  <si>
    <t>箭簇</t>
  </si>
  <si>
    <t>棓，棒</t>
  </si>
  <si>
    <t>榜</t>
  </si>
  <si>
    <t>鞴</t>
  </si>
  <si>
    <t>瘦弓</t>
  </si>
  <si>
    <t>唐弓</t>
  </si>
  <si>
    <t>大弓</t>
  </si>
  <si>
    <t>雕弓</t>
  </si>
  <si>
    <t>角端弓</t>
  </si>
  <si>
    <t>路弓</t>
  </si>
  <si>
    <t>王弓</t>
  </si>
  <si>
    <t>弧弓</t>
  </si>
  <si>
    <t>夹弓</t>
  </si>
  <si>
    <t>强弓</t>
  </si>
  <si>
    <t>虎贲弓</t>
  </si>
  <si>
    <t>喷火器</t>
    <phoneticPr fontId="1" type="noConversion"/>
  </si>
  <si>
    <t>夹弩</t>
    <phoneticPr fontId="1" type="noConversion"/>
  </si>
  <si>
    <t>瘦弩</t>
    <phoneticPr fontId="1" type="noConversion"/>
  </si>
  <si>
    <t>唐弩</t>
    <phoneticPr fontId="1" type="noConversion"/>
  </si>
  <si>
    <t>大弩</t>
    <phoneticPr fontId="1" type="noConversion"/>
  </si>
  <si>
    <t>擘张弩</t>
  </si>
  <si>
    <t>蹶张弩</t>
  </si>
  <si>
    <t>链</t>
  </si>
  <si>
    <t>绵绳</t>
  </si>
  <si>
    <t>套索</t>
  </si>
  <si>
    <t>橛</t>
  </si>
  <si>
    <t>杖</t>
  </si>
  <si>
    <t>袖箭</t>
  </si>
  <si>
    <t>铙</t>
  </si>
  <si>
    <t>锐</t>
  </si>
  <si>
    <t>铁尺</t>
  </si>
  <si>
    <t>绳镖</t>
  </si>
  <si>
    <t>马穆鲁克</t>
    <phoneticPr fontId="1" type="noConversion"/>
  </si>
  <si>
    <t>古拉姆</t>
    <phoneticPr fontId="1" type="noConversion"/>
  </si>
  <si>
    <t>雇佣兵，佣兵</t>
    <phoneticPr fontId="1" type="noConversion"/>
  </si>
  <si>
    <t>掷弹兵</t>
    <phoneticPr fontId="1" type="noConversion"/>
  </si>
  <si>
    <t>卡宾枪骑兵</t>
    <phoneticPr fontId="1" type="noConversion"/>
  </si>
  <si>
    <t>野猪枪</t>
    <phoneticPr fontId="1" type="noConversion"/>
  </si>
  <si>
    <t>胸甲骑兵</t>
    <phoneticPr fontId="1" type="noConversion"/>
  </si>
  <si>
    <t>火枪骑兵</t>
    <phoneticPr fontId="1" type="noConversion"/>
  </si>
  <si>
    <t>钩镰枪</t>
    <phoneticPr fontId="1" type="noConversion"/>
  </si>
  <si>
    <t>转轮手枪</t>
    <phoneticPr fontId="1" type="noConversion"/>
  </si>
  <si>
    <t>乌兰骑兵</t>
    <phoneticPr fontId="1" type="noConversion"/>
  </si>
  <si>
    <t>装甲车</t>
    <phoneticPr fontId="1" type="noConversion"/>
  </si>
  <si>
    <t>战车</t>
    <phoneticPr fontId="1" type="noConversion"/>
  </si>
  <si>
    <t>战斗机</t>
    <phoneticPr fontId="1" type="noConversion"/>
  </si>
  <si>
    <t>歼击机</t>
    <phoneticPr fontId="1" type="noConversion"/>
  </si>
  <si>
    <t>轰炸机</t>
    <phoneticPr fontId="1" type="noConversion"/>
  </si>
  <si>
    <t>侦察机</t>
    <phoneticPr fontId="1" type="noConversion"/>
  </si>
  <si>
    <t>潜艇</t>
    <phoneticPr fontId="1" type="noConversion"/>
  </si>
  <si>
    <t>核潜艇</t>
    <phoneticPr fontId="1" type="noConversion"/>
  </si>
  <si>
    <t>核弹</t>
    <phoneticPr fontId="1" type="noConversion"/>
  </si>
  <si>
    <t>巡洋舰</t>
    <phoneticPr fontId="1" type="noConversion"/>
  </si>
  <si>
    <t>战列舰</t>
    <phoneticPr fontId="1" type="noConversion"/>
  </si>
  <si>
    <t>反潜舰</t>
    <phoneticPr fontId="1" type="noConversion"/>
  </si>
  <si>
    <t>鱼雷艇</t>
    <phoneticPr fontId="1" type="noConversion"/>
  </si>
  <si>
    <t>提辖</t>
    <phoneticPr fontId="1" type="noConversion"/>
  </si>
  <si>
    <t>幢将</t>
    <phoneticPr fontId="1" type="noConversion"/>
  </si>
  <si>
    <t>都指挥使</t>
    <phoneticPr fontId="1" type="noConversion"/>
  </si>
  <si>
    <t>指挥使</t>
    <phoneticPr fontId="1" type="noConversion"/>
  </si>
  <si>
    <t>万户</t>
    <phoneticPr fontId="1" type="noConversion"/>
  </si>
  <si>
    <t>总兵</t>
    <phoneticPr fontId="1" type="noConversion"/>
  </si>
  <si>
    <t>参将</t>
    <phoneticPr fontId="1" type="noConversion"/>
  </si>
  <si>
    <t>协领</t>
    <phoneticPr fontId="1" type="noConversion"/>
  </si>
  <si>
    <t>千总</t>
    <phoneticPr fontId="1" type="noConversion"/>
  </si>
  <si>
    <t>把总</t>
    <phoneticPr fontId="1" type="noConversion"/>
  </si>
  <si>
    <t>参领</t>
    <phoneticPr fontId="1" type="noConversion"/>
  </si>
  <si>
    <t>披甲</t>
    <phoneticPr fontId="1" type="noConversion"/>
  </si>
  <si>
    <t>领催</t>
    <phoneticPr fontId="1" type="noConversion"/>
  </si>
  <si>
    <t>副都统</t>
    <phoneticPr fontId="1" type="noConversion"/>
  </si>
  <si>
    <t>护军营</t>
    <phoneticPr fontId="1" type="noConversion"/>
  </si>
  <si>
    <t>前锋营</t>
    <phoneticPr fontId="1" type="noConversion"/>
  </si>
  <si>
    <t>前锋都领</t>
    <phoneticPr fontId="1" type="noConversion"/>
  </si>
  <si>
    <t>护卫舰</t>
    <phoneticPr fontId="1" type="noConversion"/>
  </si>
  <si>
    <t>神盾舰</t>
    <phoneticPr fontId="1" type="noConversion"/>
  </si>
  <si>
    <t>铁甲舰</t>
    <phoneticPr fontId="1" type="noConversion"/>
  </si>
  <si>
    <t>航空母舰</t>
    <phoneticPr fontId="1" type="noConversion"/>
  </si>
  <si>
    <t>驱逐舰</t>
    <phoneticPr fontId="1" type="noConversion"/>
  </si>
  <si>
    <t>直升机母舰</t>
    <phoneticPr fontId="1" type="noConversion"/>
  </si>
  <si>
    <t>武装直升机</t>
    <phoneticPr fontId="1" type="noConversion"/>
  </si>
  <si>
    <t>加油机</t>
    <phoneticPr fontId="1" type="noConversion"/>
  </si>
  <si>
    <t>电磁干扰机</t>
    <phoneticPr fontId="1" type="noConversion"/>
  </si>
  <si>
    <t>舰载机</t>
    <phoneticPr fontId="1" type="noConversion"/>
  </si>
  <si>
    <t>炮艇</t>
    <phoneticPr fontId="1" type="noConversion"/>
  </si>
  <si>
    <t>登陆舰</t>
    <phoneticPr fontId="1" type="noConversion"/>
  </si>
  <si>
    <t>气垫船</t>
    <phoneticPr fontId="1" type="noConversion"/>
  </si>
  <si>
    <t>海警船</t>
    <phoneticPr fontId="1" type="noConversion"/>
  </si>
  <si>
    <t>运输机</t>
    <phoneticPr fontId="1" type="noConversion"/>
  </si>
  <si>
    <t>战机，军用飞机</t>
    <phoneticPr fontId="1" type="noConversion"/>
  </si>
  <si>
    <t>毛瑟枪</t>
    <phoneticPr fontId="1" type="noConversion"/>
  </si>
  <si>
    <t>坼</t>
    <phoneticPr fontId="1" type="noConversion"/>
  </si>
  <si>
    <t>铁衣</t>
    <phoneticPr fontId="1" type="noConversion"/>
  </si>
  <si>
    <t>4-3</t>
    <phoneticPr fontId="1" type="noConversion"/>
  </si>
  <si>
    <t>4-5-1</t>
    <phoneticPr fontId="1" type="noConversion"/>
  </si>
  <si>
    <t>4-4-1-5-3</t>
    <phoneticPr fontId="1" type="noConversion"/>
  </si>
  <si>
    <t>2-2</t>
    <phoneticPr fontId="1" type="noConversion"/>
  </si>
  <si>
    <t>0-1-0-2-1</t>
    <phoneticPr fontId="1" type="noConversion"/>
  </si>
  <si>
    <t>0-2-2-1</t>
    <phoneticPr fontId="1" type="noConversion"/>
  </si>
  <si>
    <t>0-7-2-1</t>
    <phoneticPr fontId="1" type="noConversion"/>
  </si>
  <si>
    <t>0-2-1</t>
    <phoneticPr fontId="1" type="noConversion"/>
  </si>
  <si>
    <t>0-1-1-2-1</t>
  </si>
  <si>
    <t>0-1-1-1</t>
    <phoneticPr fontId="1" type="noConversion"/>
  </si>
  <si>
    <t>0-3-2-1</t>
    <phoneticPr fontId="1" type="noConversion"/>
  </si>
  <si>
    <t>de cawtsectorin ujuan esnaucountus</t>
    <phoneticPr fontId="1" type="noConversion"/>
  </si>
  <si>
    <t>de veoricannisorin hunia naqu'unew</t>
    <phoneticPr fontId="1" type="noConversion"/>
  </si>
  <si>
    <t>护乌桓校尉</t>
    <phoneticPr fontId="1" type="noConversion"/>
  </si>
  <si>
    <t>使匈奴中郎将</t>
    <phoneticPr fontId="1" type="noConversion"/>
  </si>
  <si>
    <t>0-1-1-2-1</t>
    <phoneticPr fontId="1" type="noConversion"/>
  </si>
  <si>
    <t>0-3-1-1</t>
    <phoneticPr fontId="1" type="noConversion"/>
  </si>
  <si>
    <t>0-2-5</t>
    <phoneticPr fontId="1" type="noConversion"/>
  </si>
  <si>
    <t>1-1-1-1</t>
    <phoneticPr fontId="1" type="noConversion"/>
  </si>
  <si>
    <t>1-0-7-4-1</t>
    <phoneticPr fontId="1" type="noConversion"/>
  </si>
  <si>
    <t>poti</t>
    <phoneticPr fontId="1" type="noConversion"/>
  </si>
  <si>
    <t>2-4</t>
    <phoneticPr fontId="1" type="noConversion"/>
  </si>
  <si>
    <t>3-2</t>
    <phoneticPr fontId="1" type="noConversion"/>
  </si>
  <si>
    <t>mjudbonr</t>
    <phoneticPr fontId="1" type="noConversion"/>
  </si>
  <si>
    <t>goarf</t>
    <phoneticPr fontId="1" type="noConversion"/>
  </si>
  <si>
    <t>tham</t>
    <phoneticPr fontId="1" type="noConversion"/>
  </si>
  <si>
    <t>sdabl</t>
    <phoneticPr fontId="1" type="noConversion"/>
  </si>
  <si>
    <t>mamluc</t>
    <phoneticPr fontId="1" type="noConversion"/>
  </si>
  <si>
    <t>gh'ulam</t>
    <phoneticPr fontId="1" type="noConversion"/>
  </si>
  <si>
    <t>murunarica</t>
    <phoneticPr fontId="1" type="noConversion"/>
  </si>
  <si>
    <t>obocanafe</t>
    <phoneticPr fontId="1" type="noConversion"/>
  </si>
  <si>
    <t>carabinieri</t>
    <phoneticPr fontId="1" type="noConversion"/>
  </si>
  <si>
    <t>rogatina</t>
    <phoneticPr fontId="1" type="noConversion"/>
  </si>
  <si>
    <t>cuirassie</t>
    <phoneticPr fontId="1" type="noConversion"/>
  </si>
  <si>
    <t>reiter</t>
    <phoneticPr fontId="1" type="noConversion"/>
  </si>
  <si>
    <t>ulan</t>
    <phoneticPr fontId="1" type="noConversion"/>
  </si>
  <si>
    <t>milicalobanit</t>
    <phoneticPr fontId="1" type="noConversion"/>
  </si>
  <si>
    <t>muzbeceravion</t>
    <phoneticPr fontId="1" type="noConversion"/>
  </si>
  <si>
    <t>muzbecero</t>
    <phoneticPr fontId="1" type="noConversion"/>
  </si>
  <si>
    <t>jala</t>
    <phoneticPr fontId="1" type="noConversion"/>
  </si>
  <si>
    <t>ucsim</t>
    <phoneticPr fontId="1" type="noConversion"/>
  </si>
  <si>
    <t>boshocur</t>
    <phoneticPr fontId="1" type="noConversion"/>
  </si>
  <si>
    <t>meirenijangin</t>
    <phoneticPr fontId="1" type="noConversion"/>
  </si>
  <si>
    <t>bayaraicuwaran</t>
    <phoneticPr fontId="1" type="noConversion"/>
  </si>
  <si>
    <t>gabsihiyanicuwaran</t>
    <phoneticPr fontId="1" type="noConversion"/>
  </si>
  <si>
    <t>galaiamban</t>
    <phoneticPr fontId="1" type="noConversion"/>
  </si>
  <si>
    <t>tuijangin</t>
    <phoneticPr fontId="1" type="noConversion"/>
  </si>
  <si>
    <t>miliavion</t>
    <phoneticPr fontId="1" type="noConversion"/>
  </si>
  <si>
    <t>de Mauser bundu</t>
    <phoneticPr fontId="1" type="noConversion"/>
  </si>
  <si>
    <t>feoqu'anzyu</t>
    <phoneticPr fontId="1" type="noConversion"/>
  </si>
  <si>
    <t>qu'inta</t>
    <phoneticPr fontId="1" type="noConversion"/>
  </si>
  <si>
    <t>什一税，欧洲历史中普遍存在</t>
    <phoneticPr fontId="1" type="noConversion"/>
  </si>
  <si>
    <t>五一税，西班牙殖民历史对矿产及其他收入征20%的税</t>
    <phoneticPr fontId="1" type="noConversion"/>
  </si>
  <si>
    <t>护军都领</t>
    <phoneticPr fontId="1" type="noConversion"/>
  </si>
  <si>
    <t>cria.</t>
    <phoneticPr fontId="1" type="noConversion"/>
  </si>
  <si>
    <t>军；军队（atec.）</t>
    <phoneticPr fontId="1" type="noConversion"/>
  </si>
  <si>
    <t>grandarcu</t>
    <phoneticPr fontId="1" type="noConversion"/>
  </si>
  <si>
    <t>shortlutarcu</t>
    <phoneticPr fontId="1" type="noConversion"/>
  </si>
  <si>
    <t>corinarcu</t>
    <phoneticPr fontId="1" type="noConversion"/>
  </si>
  <si>
    <t>banicarcu</t>
    <phoneticPr fontId="1" type="noConversion"/>
  </si>
  <si>
    <t>4-1-4</t>
    <phoneticPr fontId="1" type="noConversion"/>
  </si>
  <si>
    <t>tihorvortarcu</t>
    <phoneticPr fontId="1" type="noConversion"/>
  </si>
  <si>
    <t>cohilatarcu</t>
    <phoneticPr fontId="1" type="noConversion"/>
  </si>
  <si>
    <t>calobanitarcu</t>
    <phoneticPr fontId="1" type="noConversion"/>
  </si>
  <si>
    <t>porlcuarcu</t>
    <phoneticPr fontId="1" type="noConversion"/>
  </si>
  <si>
    <t>reschitarcu</t>
    <phoneticPr fontId="1" type="noConversion"/>
  </si>
  <si>
    <t>reshitarcu</t>
    <phoneticPr fontId="1" type="noConversion"/>
  </si>
  <si>
    <t>庾弓</t>
  </si>
  <si>
    <t>shortarcu</t>
    <phoneticPr fontId="1" type="noConversion"/>
  </si>
  <si>
    <t>sirimoniarcu</t>
    <phoneticPr fontId="1" type="noConversion"/>
  </si>
  <si>
    <t>shortlutcvozhe</t>
    <phoneticPr fontId="1" type="noConversion"/>
  </si>
  <si>
    <t>banicarcvozhe</t>
    <phoneticPr fontId="1" type="noConversion"/>
  </si>
  <si>
    <t>cohilatcvozhe</t>
    <phoneticPr fontId="1" type="noConversion"/>
  </si>
  <si>
    <t>sirimoniacvozhe</t>
    <phoneticPr fontId="1" type="noConversion"/>
  </si>
  <si>
    <t>grandacvozhe</t>
    <phoneticPr fontId="1" type="noConversion"/>
  </si>
  <si>
    <t>tawnflordno</t>
    <phoneticPr fontId="1" type="noConversion"/>
  </si>
  <si>
    <t>tawntortso</t>
    <phoneticPr fontId="1" type="noConversion"/>
  </si>
  <si>
    <t>tortsotawn</t>
    <phoneticPr fontId="1" type="noConversion"/>
  </si>
  <si>
    <t>烽火台</t>
    <phoneticPr fontId="1" type="noConversion"/>
  </si>
  <si>
    <t>flordnotawn</t>
    <phoneticPr fontId="1" type="noConversion"/>
  </si>
  <si>
    <t>nitratseinhm</t>
    <phoneticPr fontId="1" type="noConversion"/>
  </si>
  <si>
    <t>nitrataca</t>
    <phoneticPr fontId="1" type="noConversion"/>
  </si>
  <si>
    <t>热兵器，热武器</t>
    <phoneticPr fontId="1" type="noConversion"/>
  </si>
  <si>
    <t>埻，箭靶的中心</t>
    <phoneticPr fontId="1" type="noConversion"/>
  </si>
  <si>
    <t>desocentre</t>
    <phoneticPr fontId="1" type="noConversion"/>
  </si>
  <si>
    <t>taprauncentre</t>
    <phoneticPr fontId="1" type="noConversion"/>
  </si>
  <si>
    <t>靶心</t>
    <phoneticPr fontId="1" type="noConversion"/>
  </si>
  <si>
    <t>maz</t>
    <phoneticPr fontId="1" type="noConversion"/>
  </si>
  <si>
    <t>martelo</t>
    <phoneticPr fontId="1" type="noConversion"/>
  </si>
  <si>
    <t>flordnosigno</t>
    <phoneticPr fontId="1" type="noConversion"/>
  </si>
  <si>
    <t>tach</t>
    <phoneticPr fontId="1" type="noConversion"/>
  </si>
  <si>
    <t>鏚，戚，战斧</t>
    <phoneticPr fontId="1" type="noConversion"/>
  </si>
  <si>
    <t>镝，箭头</t>
    <phoneticPr fontId="1" type="noConversion"/>
  </si>
  <si>
    <t>militach</t>
    <phoneticPr fontId="1" type="noConversion"/>
  </si>
  <si>
    <t>战斧</t>
    <phoneticPr fontId="1" type="noConversion"/>
  </si>
  <si>
    <t>diqisimorin</t>
    <phoneticPr fontId="1" type="noConversion"/>
  </si>
  <si>
    <t>sargancayam</t>
    <phoneticPr fontId="1" type="noConversion"/>
  </si>
  <si>
    <t>zat</t>
    <phoneticPr fontId="1" type="noConversion"/>
  </si>
  <si>
    <t>rescite</t>
    <phoneticPr fontId="1" type="noConversion"/>
  </si>
  <si>
    <t>micrealosargancayam</t>
    <phoneticPr fontId="1" type="noConversion"/>
  </si>
  <si>
    <t>micrealo</t>
    <phoneticPr fontId="1" type="noConversion"/>
  </si>
  <si>
    <t>bactery</t>
    <phoneticPr fontId="1" type="noConversion"/>
  </si>
  <si>
    <t>birus</t>
    <phoneticPr fontId="1" type="noConversion"/>
  </si>
  <si>
    <t>zeangis</t>
    <phoneticPr fontId="1" type="noConversion"/>
  </si>
  <si>
    <t>hcara</t>
    <phoneticPr fontId="1" type="noConversion"/>
  </si>
  <si>
    <t>zalun</t>
    <phoneticPr fontId="1" type="noConversion"/>
  </si>
  <si>
    <t>tixtue</t>
    <phoneticPr fontId="1" type="noConversion"/>
  </si>
  <si>
    <t>orgun</t>
    <phoneticPr fontId="1" type="noConversion"/>
  </si>
  <si>
    <t>naitiom</t>
    <phoneticPr fontId="1" type="noConversion"/>
  </si>
  <si>
    <t>calot</t>
    <phoneticPr fontId="1" type="noConversion"/>
  </si>
  <si>
    <t>ayan</t>
    <phoneticPr fontId="1" type="noConversion"/>
  </si>
  <si>
    <t>hanzi</t>
    <phoneticPr fontId="1" type="noConversion"/>
  </si>
  <si>
    <t>fumss</t>
    <phoneticPr fontId="1" type="noConversion"/>
  </si>
  <si>
    <t>shifa</t>
    <phoneticPr fontId="1" type="noConversion"/>
  </si>
  <si>
    <t>ocuha</t>
    <phoneticPr fontId="1" type="noConversion"/>
  </si>
  <si>
    <t>denth</t>
    <phoneticPr fontId="1" type="noConversion"/>
  </si>
  <si>
    <t>cavita</t>
    <phoneticPr fontId="1" type="noConversion"/>
  </si>
  <si>
    <t>linvan</t>
    <phoneticPr fontId="1" type="noConversion"/>
  </si>
  <si>
    <t>tricho</t>
    <phoneticPr fontId="1" type="noConversion"/>
  </si>
  <si>
    <t>qiencho</t>
    <phoneticPr fontId="1" type="noConversion"/>
  </si>
  <si>
    <t>mescho</t>
    <phoneticPr fontId="1" type="noConversion"/>
  </si>
  <si>
    <t>zuicho</t>
    <phoneticPr fontId="1" type="noConversion"/>
  </si>
  <si>
    <t>aduc</t>
    <phoneticPr fontId="1" type="noConversion"/>
  </si>
  <si>
    <t>forsya</t>
    <phoneticPr fontId="1" type="noConversion"/>
  </si>
  <si>
    <t>hotica</t>
    <phoneticPr fontId="1" type="noConversion"/>
  </si>
  <si>
    <t>saopz</t>
    <phoneticPr fontId="1" type="noConversion"/>
  </si>
  <si>
    <t>hippo</t>
    <phoneticPr fontId="1" type="noConversion"/>
  </si>
  <si>
    <t>vag</t>
    <phoneticPr fontId="1" type="noConversion"/>
  </si>
  <si>
    <t>muin</t>
    <phoneticPr fontId="1" type="noConversion"/>
  </si>
  <si>
    <t>borl</t>
    <phoneticPr fontId="1" type="noConversion"/>
  </si>
  <si>
    <t>sharlo</t>
    <phoneticPr fontId="1" type="noConversion"/>
  </si>
  <si>
    <t>crinera</t>
    <phoneticPr fontId="1" type="noConversion"/>
  </si>
  <si>
    <t>coharlo</t>
    <phoneticPr fontId="1" type="noConversion"/>
  </si>
  <si>
    <t>cuade</t>
    <phoneticPr fontId="1" type="noConversion"/>
  </si>
  <si>
    <t>hadreit</t>
    <phoneticPr fontId="1" type="noConversion"/>
  </si>
  <si>
    <t>dufor</t>
    <phoneticPr fontId="1" type="noConversion"/>
  </si>
  <si>
    <t>pomonso</t>
    <phoneticPr fontId="1" type="noConversion"/>
  </si>
  <si>
    <t>gallblader</t>
    <phoneticPr fontId="1" type="noConversion"/>
  </si>
  <si>
    <t>plamsia</t>
    <phoneticPr fontId="1" type="noConversion"/>
  </si>
  <si>
    <t>sanguss</t>
    <phoneticPr fontId="1" type="noConversion"/>
  </si>
  <si>
    <t>de sanguss viso</t>
    <phoneticPr fontId="1" type="noConversion"/>
  </si>
  <si>
    <t>pius</t>
    <phoneticPr fontId="1" type="noConversion"/>
  </si>
  <si>
    <t>côlua</t>
    <phoneticPr fontId="1" type="noConversion"/>
  </si>
  <si>
    <t>curam</t>
    <phoneticPr fontId="1" type="noConversion"/>
  </si>
  <si>
    <t>radhec</t>
    <phoneticPr fontId="1" type="noConversion"/>
  </si>
  <si>
    <t>ceumtar</t>
    <phoneticPr fontId="1" type="noConversion"/>
  </si>
  <si>
    <t>exitarea</t>
    <phoneticPr fontId="1" type="noConversion"/>
  </si>
  <si>
    <t>capeal</t>
    <phoneticPr fontId="1" type="noConversion"/>
  </si>
  <si>
    <t>emujus</t>
    <phoneticPr fontId="1" type="noConversion"/>
  </si>
  <si>
    <t>sûrium</t>
    <phoneticPr fontId="1" type="noConversion"/>
  </si>
  <si>
    <t>memplis</t>
    <phoneticPr fontId="1" type="noConversion"/>
  </si>
  <si>
    <t>tembeh</t>
    <phoneticPr fontId="1" type="noConversion"/>
  </si>
  <si>
    <t>chotamv</t>
    <phoneticPr fontId="1" type="noConversion"/>
  </si>
  <si>
    <t>cartân</t>
    <phoneticPr fontId="1" type="noConversion"/>
  </si>
  <si>
    <t>capealdol</t>
    <phoneticPr fontId="1" type="noConversion"/>
  </si>
  <si>
    <t>cadalp</t>
    <phoneticPr fontId="1" type="noConversion"/>
  </si>
  <si>
    <t>sarcâr</t>
    <phoneticPr fontId="1" type="noConversion"/>
  </si>
  <si>
    <t>borbatus</t>
    <phoneticPr fontId="1" type="noConversion"/>
  </si>
  <si>
    <t>mablo</t>
    <phoneticPr fontId="1" type="noConversion"/>
  </si>
  <si>
    <t>serebnom</t>
    <phoneticPr fontId="1" type="noConversion"/>
  </si>
  <si>
    <t>cenidlis</t>
    <phoneticPr fontId="1" type="noConversion"/>
  </si>
  <si>
    <t>oscogetis</t>
    <phoneticPr fontId="1" type="noConversion"/>
  </si>
  <si>
    <t>ayan bul</t>
    <phoneticPr fontId="1" type="noConversion"/>
  </si>
  <si>
    <t>ayanbul</t>
    <phoneticPr fontId="1" type="noConversion"/>
  </si>
  <si>
    <t>nacpif</t>
    <phoneticPr fontId="1" type="noConversion"/>
  </si>
  <si>
    <t>hanzi nacpif</t>
    <phoneticPr fontId="1" type="noConversion"/>
  </si>
  <si>
    <t>coutif</t>
    <phoneticPr fontId="1" type="noConversion"/>
  </si>
  <si>
    <t>linvan coutif</t>
    <phoneticPr fontId="1" type="noConversion"/>
  </si>
  <si>
    <t>gemotocis</t>
    <phoneticPr fontId="1" type="noConversion"/>
  </si>
  <si>
    <t>tefoct</t>
    <phoneticPr fontId="1" type="noConversion"/>
  </si>
  <si>
    <t>aurot</t>
    <phoneticPr fontId="1" type="noConversion"/>
  </si>
  <si>
    <t>risrânom</t>
    <phoneticPr fontId="1" type="noConversion"/>
  </si>
  <si>
    <t>asgol</t>
    <phoneticPr fontId="1" type="noConversion"/>
  </si>
  <si>
    <t>anborconanto</t>
    <phoneticPr fontId="1" type="noConversion"/>
  </si>
  <si>
    <t>efoya</t>
    <phoneticPr fontId="1" type="noConversion"/>
  </si>
  <si>
    <t>êmit</t>
    <phoneticPr fontId="1" type="noConversion"/>
  </si>
  <si>
    <t>wunclec</t>
    <phoneticPr fontId="1" type="noConversion"/>
  </si>
  <si>
    <t>rantica</t>
    <phoneticPr fontId="1" type="noConversion"/>
  </si>
  <si>
    <t>neuv</t>
    <phoneticPr fontId="1" type="noConversion"/>
  </si>
  <si>
    <t>menzgov</t>
    <phoneticPr fontId="1" type="noConversion"/>
  </si>
  <si>
    <t>come</t>
    <phoneticPr fontId="1" type="noConversion"/>
  </si>
  <si>
    <t>misnrat</t>
    <phoneticPr fontId="1" type="noConversion"/>
  </si>
  <si>
    <t>jine</t>
    <phoneticPr fontId="1" type="noConversion"/>
  </si>
  <si>
    <t>betsiqie</t>
    <phoneticPr fontId="1" type="noConversion"/>
  </si>
  <si>
    <t>mes'hanzi</t>
    <phoneticPr fontId="1" type="noConversion"/>
  </si>
  <si>
    <t>oasht'hanzi</t>
    <phoneticPr fontId="1" type="noConversion"/>
  </si>
  <si>
    <t>canlen</t>
    <phoneticPr fontId="1" type="noConversion"/>
  </si>
  <si>
    <t>marquém</t>
    <phoneticPr fontId="1" type="noConversion"/>
  </si>
  <si>
    <t>erup</t>
    <phoneticPr fontId="1" type="noConversion"/>
  </si>
  <si>
    <t>tolf</t>
    <phoneticPr fontId="1" type="noConversion"/>
  </si>
  <si>
    <t>peodcer</t>
    <phoneticPr fontId="1" type="noConversion"/>
  </si>
  <si>
    <t>eunsradhec</t>
    <phoneticPr fontId="1" type="noConversion"/>
  </si>
  <si>
    <t>squ'o</t>
    <phoneticPr fontId="1" type="noConversion"/>
  </si>
  <si>
    <t>nosolabial</t>
    <phoneticPr fontId="1" type="noConversion"/>
  </si>
  <si>
    <t>nosolabial squ'o</t>
    <phoneticPr fontId="1" type="noConversion"/>
  </si>
  <si>
    <t>gopambe</t>
    <phoneticPr fontId="1" type="noConversion"/>
  </si>
  <si>
    <t>bauns</t>
    <phoneticPr fontId="1" type="noConversion"/>
  </si>
  <si>
    <t>neslixen</t>
    <phoneticPr fontId="1" type="noConversion"/>
  </si>
  <si>
    <t>aurish</t>
    <phoneticPr fontId="1" type="noConversion"/>
  </si>
  <si>
    <t>azms</t>
    <phoneticPr fontId="1" type="noConversion"/>
  </si>
  <si>
    <t>daeb</t>
    <phoneticPr fontId="1" type="noConversion"/>
  </si>
  <si>
    <t>prourotgra</t>
    <phoneticPr fontId="1" type="noConversion"/>
  </si>
  <si>
    <t>cunzogra</t>
    <phoneticPr fontId="1" type="noConversion"/>
  </si>
  <si>
    <t>lacgra</t>
    <phoneticPr fontId="1" type="noConversion"/>
  </si>
  <si>
    <t>sagra</t>
    <phoneticPr fontId="1" type="noConversion"/>
  </si>
  <si>
    <t>bansoargra</t>
    <phoneticPr fontId="1" type="noConversion"/>
  </si>
  <si>
    <t>intrahanzi</t>
    <phoneticPr fontId="1" type="noConversion"/>
  </si>
  <si>
    <t>semicucana</t>
    <phoneticPr fontId="1" type="noConversion"/>
  </si>
  <si>
    <t>deqivbe</t>
    <phoneticPr fontId="1" type="noConversion"/>
  </si>
  <si>
    <t>bâeustach</t>
    <phoneticPr fontId="1" type="noConversion"/>
  </si>
  <si>
    <t>cutsemoniec</t>
    <phoneticPr fontId="1" type="noConversion"/>
  </si>
  <si>
    <t>qu'apualug</t>
    <phoneticPr fontId="1" type="noConversion"/>
  </si>
  <si>
    <t>canjuela</t>
    <phoneticPr fontId="1" type="noConversion"/>
  </si>
  <si>
    <t>tsane</t>
    <phoneticPr fontId="1" type="noConversion"/>
  </si>
  <si>
    <t>aris</t>
    <phoneticPr fontId="1" type="noConversion"/>
  </si>
  <si>
    <t>caunr</t>
    <phoneticPr fontId="1" type="noConversion"/>
  </si>
  <si>
    <t>mauculaj</t>
    <phoneticPr fontId="1" type="noConversion"/>
  </si>
  <si>
    <t>endocrane</t>
    <phoneticPr fontId="1" type="noConversion"/>
  </si>
  <si>
    <t>soscuror</t>
    <phoneticPr fontId="1" type="noConversion"/>
  </si>
  <si>
    <t>euco</t>
    <phoneticPr fontId="1" type="noConversion"/>
  </si>
  <si>
    <t>suvo</t>
    <phoneticPr fontId="1" type="noConversion"/>
  </si>
  <si>
    <t>zrues</t>
    <phoneticPr fontId="1" type="noConversion"/>
  </si>
  <si>
    <t>taflexoc</t>
    <phoneticPr fontId="1" type="noConversion"/>
  </si>
  <si>
    <t>opestelo</t>
    <phoneticPr fontId="1" type="noConversion"/>
  </si>
  <si>
    <t>canthus</t>
    <phoneticPr fontId="1" type="noConversion"/>
  </si>
  <si>
    <t>secavma</t>
    <phoneticPr fontId="1" type="noConversion"/>
  </si>
  <si>
    <t>sât</t>
    <phoneticPr fontId="1" type="noConversion"/>
  </si>
  <si>
    <t>nugile</t>
    <phoneticPr fontId="1" type="noConversion"/>
  </si>
  <si>
    <t>cautôss</t>
    <phoneticPr fontId="1" type="noConversion"/>
  </si>
  <si>
    <t>cuanqu'ets</t>
    <phoneticPr fontId="1" type="noConversion"/>
  </si>
  <si>
    <t>cotalost</t>
    <phoneticPr fontId="1" type="noConversion"/>
  </si>
  <si>
    <t>sualva</t>
    <phoneticPr fontId="1" type="noConversion"/>
  </si>
  <si>
    <t>soispeta</t>
    <phoneticPr fontId="1" type="noConversion"/>
  </si>
  <si>
    <t>ponscelut</t>
    <phoneticPr fontId="1" type="noConversion"/>
  </si>
  <si>
    <t>svoleni</t>
    <phoneticPr fontId="1" type="noConversion"/>
  </si>
  <si>
    <t>rocto</t>
    <phoneticPr fontId="1" type="noConversion"/>
  </si>
  <si>
    <t>canpug</t>
    <phoneticPr fontId="1" type="noConversion"/>
  </si>
  <si>
    <t>sinsund</t>
    <phoneticPr fontId="1" type="noConversion"/>
  </si>
  <si>
    <t>hconez</t>
    <phoneticPr fontId="1" type="noConversion"/>
  </si>
  <si>
    <t>condes</t>
    <phoneticPr fontId="1" type="noConversion"/>
  </si>
  <si>
    <t>nosrine</t>
    <phoneticPr fontId="1" type="noConversion"/>
  </si>
  <si>
    <t>novelost</t>
    <phoneticPr fontId="1" type="noConversion"/>
  </si>
  <si>
    <t>hanzuri</t>
    <phoneticPr fontId="1" type="noConversion"/>
  </si>
  <si>
    <t>epistaxis</t>
    <phoneticPr fontId="1" type="noConversion"/>
  </si>
  <si>
    <t>biuneca</t>
    <phoneticPr fontId="1" type="noConversion"/>
  </si>
  <si>
    <t>eomenter</t>
    <phoneticPr fontId="1" type="noConversion"/>
  </si>
  <si>
    <t>cerebonali</t>
    <phoneticPr fontId="1" type="noConversion"/>
  </si>
  <si>
    <t>lent</t>
    <phoneticPr fontId="1" type="noConversion"/>
  </si>
  <si>
    <t>vitru</t>
    <phoneticPr fontId="1" type="noConversion"/>
  </si>
  <si>
    <t>corpocaloso</t>
    <phoneticPr fontId="1" type="noConversion"/>
  </si>
  <si>
    <t>porpopineal</t>
    <phoneticPr fontId="1" type="noConversion"/>
  </si>
  <si>
    <t>cerevru</t>
    <phoneticPr fontId="1" type="noConversion"/>
  </si>
  <si>
    <t>venchuse</t>
    <phoneticPr fontId="1" type="noConversion"/>
  </si>
  <si>
    <t>medulaoblonga</t>
    <phoneticPr fontId="1" type="noConversion"/>
  </si>
  <si>
    <t>postocopte</t>
    <phoneticPr fontId="1" type="noConversion"/>
  </si>
  <si>
    <t>hipotuita</t>
    <phoneticPr fontId="1" type="noConversion"/>
  </si>
  <si>
    <t>mablopeds</t>
    <phoneticPr fontId="1" type="noConversion"/>
  </si>
  <si>
    <t>tecrara</t>
    <phoneticPr fontId="1" type="noConversion"/>
  </si>
  <si>
    <t>caracotex</t>
    <phoneticPr fontId="1" type="noConversion"/>
  </si>
  <si>
    <t>diencefelon</t>
    <phoneticPr fontId="1" type="noConversion"/>
  </si>
  <si>
    <t>thalamus</t>
    <phoneticPr fontId="1" type="noConversion"/>
  </si>
  <si>
    <t>tonroncapus</t>
    <phoneticPr fontId="1" type="noConversion"/>
  </si>
  <si>
    <t>mablofrala</t>
    <phoneticPr fontId="1" type="noConversion"/>
  </si>
  <si>
    <t>heumoralliham</t>
    <phoneticPr fontId="1" type="noConversion"/>
  </si>
  <si>
    <t>pterygi</t>
    <phoneticPr fontId="1" type="noConversion"/>
  </si>
  <si>
    <t>scejond</t>
    <phoneticPr fontId="1" type="noConversion"/>
  </si>
  <si>
    <t>fontenel</t>
    <phoneticPr fontId="1" type="noConversion"/>
  </si>
  <si>
    <t>cum</t>
    <phoneticPr fontId="1" type="noConversion"/>
  </si>
  <si>
    <t>hejb</t>
    <phoneticPr fontId="1" type="noConversion"/>
  </si>
  <si>
    <t>hejcb</t>
    <phoneticPr fontId="1" type="noConversion"/>
  </si>
  <si>
    <t>nect</t>
    <phoneticPr fontId="1" type="noConversion"/>
  </si>
  <si>
    <t>vitral</t>
    <phoneticPr fontId="1" type="noConversion"/>
  </si>
  <si>
    <t>nudsus</t>
    <phoneticPr fontId="1" type="noConversion"/>
  </si>
  <si>
    <t>arn</t>
    <phoneticPr fontId="1" type="noConversion"/>
  </si>
  <si>
    <t>ocue</t>
    <phoneticPr fontId="1" type="noConversion"/>
  </si>
  <si>
    <t>cros</t>
    <phoneticPr fontId="1" type="noConversion"/>
  </si>
  <si>
    <t>hocun</t>
    <phoneticPr fontId="1" type="noConversion"/>
  </si>
  <si>
    <t>taosâ</t>
    <phoneticPr fontId="1" type="noConversion"/>
  </si>
  <si>
    <t>sine</t>
    <phoneticPr fontId="1" type="noConversion"/>
  </si>
  <si>
    <t>poplite</t>
    <phoneticPr fontId="1" type="noConversion"/>
  </si>
  <si>
    <t>fitan</t>
    <phoneticPr fontId="1" type="noConversion"/>
  </si>
  <si>
    <t>aelv</t>
    <phoneticPr fontId="1" type="noConversion"/>
  </si>
  <si>
    <t>troncubye</t>
    <phoneticPr fontId="1" type="noConversion"/>
  </si>
  <si>
    <t>dharth</t>
    <phoneticPr fontId="1" type="noConversion"/>
  </si>
  <si>
    <t>gatyoct</t>
    <phoneticPr fontId="1" type="noConversion"/>
  </si>
  <si>
    <t>qu'adrigatyoct</t>
    <phoneticPr fontId="1" type="noConversion"/>
  </si>
  <si>
    <t>dawnsaf</t>
    <phoneticPr fontId="1" type="noConversion"/>
  </si>
  <si>
    <t>pentadawnsaf</t>
    <phoneticPr fontId="1" type="noConversion"/>
  </si>
  <si>
    <t>zurtsecpotuns</t>
    <phoneticPr fontId="1" type="noConversion"/>
  </si>
  <si>
    <t>myertus</t>
    <phoneticPr fontId="1" type="noConversion"/>
  </si>
  <si>
    <t>shiund</t>
    <phoneticPr fontId="1" type="noConversion"/>
  </si>
  <si>
    <t>cervicispina</t>
    <phoneticPr fontId="1" type="noConversion"/>
  </si>
  <si>
    <t>tarcaviqu'e</t>
    <phoneticPr fontId="1" type="noConversion"/>
  </si>
  <si>
    <t>shpaata</t>
    <phoneticPr fontId="1" type="noConversion"/>
  </si>
  <si>
    <t>spino</t>
    <phoneticPr fontId="1" type="noConversion"/>
  </si>
  <si>
    <t>urtia</t>
    <phoneticPr fontId="1" type="noConversion"/>
  </si>
  <si>
    <t>sternum</t>
    <phoneticPr fontId="1" type="noConversion"/>
  </si>
  <si>
    <t>humeres</t>
    <phoneticPr fontId="1" type="noConversion"/>
  </si>
  <si>
    <t>bsoldah'lita</t>
    <phoneticPr fontId="1" type="noConversion"/>
  </si>
  <si>
    <t>crevretocita</t>
    <phoneticPr fontId="1" type="noConversion"/>
  </si>
  <si>
    <t>rijaj</t>
    <phoneticPr fontId="1" type="noConversion"/>
  </si>
  <si>
    <t>radius</t>
    <phoneticPr fontId="1" type="noConversion"/>
  </si>
  <si>
    <t>ulna</t>
    <phoneticPr fontId="1" type="noConversion"/>
  </si>
  <si>
    <t>cuteone</t>
    <phoneticPr fontId="1" type="noConversion"/>
  </si>
  <si>
    <t>limpadfuzias</t>
    <phoneticPr fontId="1" type="noConversion"/>
  </si>
  <si>
    <t>adelbja</t>
    <phoneticPr fontId="1" type="noConversion"/>
  </si>
  <si>
    <t>falanq'</t>
    <phoneticPr fontId="1" type="noConversion"/>
  </si>
  <si>
    <t>pearmars</t>
    <phoneticPr fontId="1" type="noConversion"/>
  </si>
  <si>
    <t>metacarpo</t>
    <phoneticPr fontId="1" type="noConversion"/>
  </si>
  <si>
    <t>socrus</t>
    <phoneticPr fontId="1" type="noConversion"/>
  </si>
  <si>
    <t>soshin</t>
    <phoneticPr fontId="1" type="noConversion"/>
  </si>
  <si>
    <t>hanolmichen</t>
    <phoneticPr fontId="1" type="noConversion"/>
  </si>
  <si>
    <t>ilione</t>
    <phoneticPr fontId="1" type="noConversion"/>
  </si>
  <si>
    <t>pubis</t>
    <phoneticPr fontId="1" type="noConversion"/>
  </si>
  <si>
    <t>shifbe</t>
    <phoneticPr fontId="1" type="noConversion"/>
  </si>
  <si>
    <t>ishiom</t>
    <phoneticPr fontId="1" type="noConversion"/>
  </si>
  <si>
    <t>setebna</t>
    <phoneticPr fontId="1" type="noConversion"/>
  </si>
  <si>
    <t>esalgta</t>
    <phoneticPr fontId="1" type="noConversion"/>
  </si>
  <si>
    <t>usdets</t>
    <phoneticPr fontId="1" type="noConversion"/>
  </si>
  <si>
    <t>fp'oshirla</t>
    <phoneticPr fontId="1" type="noConversion"/>
  </si>
  <si>
    <t>troest</t>
    <phoneticPr fontId="1" type="noConversion"/>
  </si>
  <si>
    <t>pmateso</t>
    <phoneticPr fontId="1" type="noConversion"/>
  </si>
  <si>
    <t>flangis</t>
    <phoneticPr fontId="1" type="noConversion"/>
  </si>
  <si>
    <t>esvelh'ana</t>
    <phoneticPr fontId="1" type="noConversion"/>
  </si>
  <si>
    <t>meutus'm</t>
    <phoneticPr fontId="1" type="noConversion"/>
  </si>
  <si>
    <t>cebo</t>
    <phoneticPr fontId="1" type="noConversion"/>
  </si>
  <si>
    <t>epifoz</t>
    <phoneticPr fontId="1" type="noConversion"/>
  </si>
  <si>
    <t>limpah'</t>
    <phoneticPr fontId="1" type="noConversion"/>
  </si>
  <si>
    <t>m'scah</t>
    <phoneticPr fontId="1" type="noConversion"/>
  </si>
  <si>
    <t>brunshto</t>
    <phoneticPr fontId="1" type="noConversion"/>
  </si>
  <si>
    <t>osnexo</t>
    <phoneticPr fontId="1" type="noConversion"/>
  </si>
  <si>
    <t>muscules</t>
    <phoneticPr fontId="1" type="noConversion"/>
  </si>
  <si>
    <t>motha</t>
    <phoneticPr fontId="1" type="noConversion"/>
  </si>
  <si>
    <t>tiroido</t>
    <phoneticPr fontId="1" type="noConversion"/>
  </si>
  <si>
    <t>th'ymus</t>
    <phoneticPr fontId="1" type="noConversion"/>
  </si>
  <si>
    <t>shvicidorchijâr</t>
    <phoneticPr fontId="1" type="noConversion"/>
  </si>
  <si>
    <t>salivales</t>
    <phoneticPr fontId="1" type="noConversion"/>
  </si>
  <si>
    <t>sualvales</t>
    <phoneticPr fontId="1" type="noConversion"/>
  </si>
  <si>
    <t>limpadsen</t>
    <phoneticPr fontId="1" type="noConversion"/>
  </si>
  <si>
    <t>prasmtat</t>
    <phoneticPr fontId="1" type="noConversion"/>
  </si>
  <si>
    <t>gonadsen</t>
    <phoneticPr fontId="1" type="noConversion"/>
  </si>
  <si>
    <t>usdeolane</t>
    <phoneticPr fontId="1" type="noConversion"/>
  </si>
  <si>
    <t>ub</t>
    <phoneticPr fontId="1" type="noConversion"/>
  </si>
  <si>
    <t>tpie</t>
    <phoneticPr fontId="1" type="noConversion"/>
  </si>
  <si>
    <t>ubnajal</t>
    <phoneticPr fontId="1" type="noConversion"/>
  </si>
  <si>
    <t>tpienajal</t>
    <phoneticPr fontId="1" type="noConversion"/>
  </si>
  <si>
    <t>najal</t>
    <phoneticPr fontId="1" type="noConversion"/>
  </si>
  <si>
    <t>cresal</t>
    <phoneticPr fontId="1" type="noConversion"/>
  </si>
  <si>
    <t>al</t>
    <phoneticPr fontId="1" type="noConversion"/>
  </si>
  <si>
    <t>csaufte</t>
    <phoneticPr fontId="1" type="noConversion"/>
  </si>
  <si>
    <t>pseodopodo</t>
    <phoneticPr fontId="1" type="noConversion"/>
  </si>
  <si>
    <t>pariploqis</t>
    <phoneticPr fontId="1" type="noConversion"/>
  </si>
  <si>
    <t>mejreone</t>
    <phoneticPr fontId="1" type="noConversion"/>
  </si>
  <si>
    <t>incetins</t>
    <phoneticPr fontId="1" type="noConversion"/>
  </si>
  <si>
    <t>sulcualiqis</t>
    <phoneticPr fontId="1" type="noConversion"/>
  </si>
  <si>
    <t>iglanbeses</t>
    <phoneticPr fontId="1" type="noConversion"/>
  </si>
  <si>
    <t>esofagos</t>
    <phoneticPr fontId="1" type="noConversion"/>
  </si>
  <si>
    <t>cedyat</t>
    <phoneticPr fontId="1" type="noConversion"/>
  </si>
  <si>
    <t>qu'ud</t>
    <phoneticPr fontId="1" type="noConversion"/>
  </si>
  <si>
    <t>pylus</t>
    <phoneticPr fontId="1" type="noConversion"/>
  </si>
  <si>
    <t>didecadene</t>
    <phoneticPr fontId="1" type="noConversion"/>
  </si>
  <si>
    <t>tranvecasip</t>
    <phoneticPr fontId="1" type="noConversion"/>
  </si>
  <si>
    <t>cumuliseas</t>
    <phoneticPr fontId="1" type="noConversion"/>
  </si>
  <si>
    <t>caecum</t>
    <phoneticPr fontId="1" type="noConversion"/>
  </si>
  <si>
    <t>neticema</t>
    <phoneticPr fontId="1" type="noConversion"/>
  </si>
  <si>
    <t>prainsete</t>
    <phoneticPr fontId="1" type="noConversion"/>
  </si>
  <si>
    <t>jejunum</t>
    <phoneticPr fontId="1" type="noConversion"/>
  </si>
  <si>
    <t>deumseftuit</t>
    <phoneticPr fontId="1" type="noConversion"/>
  </si>
  <si>
    <t>ilieon</t>
    <phoneticPr fontId="1" type="noConversion"/>
  </si>
  <si>
    <t>sidmoide</t>
    <phoneticPr fontId="1" type="noConversion"/>
  </si>
  <si>
    <t>rec'shto</t>
    <phoneticPr fontId="1" type="noConversion"/>
  </si>
  <si>
    <t>pancot</t>
    <phoneticPr fontId="1" type="noConversion"/>
  </si>
  <si>
    <t>shimâs</t>
    <phoneticPr fontId="1" type="noConversion"/>
  </si>
  <si>
    <t>dhamterion</t>
    <phoneticPr fontId="1" type="noConversion"/>
  </si>
  <si>
    <t>caspecar</t>
    <phoneticPr fontId="1" type="noConversion"/>
  </si>
  <si>
    <t>pshandreses</t>
    <phoneticPr fontId="1" type="noConversion"/>
  </si>
  <si>
    <t>alical</t>
    <phoneticPr fontId="1" type="noConversion"/>
  </si>
  <si>
    <t>creosec</t>
    <phoneticPr fontId="1" type="noConversion"/>
  </si>
  <si>
    <t>cânc</t>
    <phoneticPr fontId="1" type="noConversion"/>
  </si>
  <si>
    <t>muladh'</t>
    <phoneticPr fontId="1" type="noConversion"/>
  </si>
  <si>
    <t>morous</t>
    <phoneticPr fontId="1" type="noConversion"/>
  </si>
  <si>
    <t>moch</t>
    <phoneticPr fontId="1" type="noConversion"/>
  </si>
  <si>
    <t>bandâst</t>
    <phoneticPr fontId="1" type="noConversion"/>
  </si>
  <si>
    <t>muaemal</t>
    <phoneticPr fontId="1" type="noConversion"/>
  </si>
  <si>
    <t>dent'in</t>
    <phoneticPr fontId="1" type="noConversion"/>
  </si>
  <si>
    <t>duanhamtus</t>
    <phoneticPr fontId="1" type="noConversion"/>
  </si>
  <si>
    <t>xemantus</t>
    <phoneticPr fontId="1" type="noConversion"/>
  </si>
  <si>
    <t>corcna</t>
    <phoneticPr fontId="1" type="noConversion"/>
  </si>
  <si>
    <t>h'ene</t>
    <phoneticPr fontId="1" type="noConversion"/>
  </si>
  <si>
    <t>canen</t>
    <phoneticPr fontId="1" type="noConversion"/>
  </si>
  <si>
    <t>dincon</t>
    <phoneticPr fontId="1" type="noConversion"/>
  </si>
  <si>
    <t>rami</t>
    <phoneticPr fontId="1" type="noConversion"/>
  </si>
  <si>
    <t>gjusta</t>
    <phoneticPr fontId="1" type="noConversion"/>
  </si>
  <si>
    <t>limpahsud</t>
    <phoneticPr fontId="1" type="noConversion"/>
  </si>
  <si>
    <t>rushge</t>
    <phoneticPr fontId="1" type="noConversion"/>
  </si>
  <si>
    <t>haicu</t>
    <phoneticPr fontId="1" type="noConversion"/>
  </si>
  <si>
    <t>hades</t>
    <phoneticPr fontId="1" type="noConversion"/>
  </si>
  <si>
    <t>hadith</t>
    <phoneticPr fontId="1" type="noConversion"/>
  </si>
  <si>
    <t>harl Marie</t>
    <phoneticPr fontId="1" type="noConversion"/>
  </si>
  <si>
    <t>adagio</t>
    <phoneticPr fontId="1" type="noConversion"/>
  </si>
  <si>
    <t>faqu'ir</t>
    <phoneticPr fontId="1" type="noConversion"/>
  </si>
  <si>
    <t>bonsai</t>
    <phoneticPr fontId="1" type="noConversion"/>
  </si>
  <si>
    <t>funda</t>
    <phoneticPr fontId="1" type="noConversion"/>
  </si>
  <si>
    <t>bindi</t>
    <phoneticPr fontId="1" type="noConversion"/>
  </si>
  <si>
    <t>bindaas</t>
    <phoneticPr fontId="1" type="noConversion"/>
  </si>
  <si>
    <t>betel</t>
    <phoneticPr fontId="1" type="noConversion"/>
  </si>
  <si>
    <t>beau-yeau</t>
    <phoneticPr fontId="1" type="noConversion"/>
  </si>
  <si>
    <t>aardrarqu'e</t>
    <phoneticPr fontId="1" type="noConversion"/>
  </si>
  <si>
    <t>abacus</t>
    <phoneticPr fontId="1" type="noConversion"/>
  </si>
  <si>
    <t>abba</t>
    <phoneticPr fontId="1" type="noConversion"/>
  </si>
  <si>
    <t>abaya</t>
    <phoneticPr fontId="1" type="noConversion"/>
  </si>
  <si>
    <t>asai</t>
    <phoneticPr fontId="1" type="noConversion"/>
  </si>
  <si>
    <t>adzuqu'i</t>
    <phoneticPr fontId="1" type="noConversion"/>
  </si>
  <si>
    <t>affaire</t>
    <phoneticPr fontId="1" type="noConversion"/>
  </si>
  <si>
    <t>etiologio</t>
    <phoneticPr fontId="1" type="noConversion"/>
  </si>
  <si>
    <t>ad hoc</t>
    <phoneticPr fontId="1" type="noConversion"/>
  </si>
  <si>
    <t>ad lib</t>
    <phoneticPr fontId="1" type="noConversion"/>
  </si>
  <si>
    <t>Adonis</t>
    <phoneticPr fontId="1" type="noConversion"/>
  </si>
  <si>
    <t>xithpolozuch</t>
    <phoneticPr fontId="1" type="noConversion"/>
  </si>
  <si>
    <t>oscar</t>
    <phoneticPr fontId="1" type="noConversion"/>
  </si>
  <si>
    <t>academy</t>
    <phoneticPr fontId="1" type="noConversion"/>
  </si>
  <si>
    <t>lipasna</t>
    <phoneticPr fontId="1" type="noConversion"/>
  </si>
  <si>
    <t>poman</t>
    <phoneticPr fontId="1" type="noConversion"/>
  </si>
  <si>
    <t>comitsany</t>
    <phoneticPr fontId="1" type="noConversion"/>
  </si>
  <si>
    <t>comistavar</t>
    <phoneticPr fontId="1" type="noConversion"/>
  </si>
  <si>
    <t>qu'ih'yosom</t>
    <phoneticPr fontId="1" type="noConversion"/>
  </si>
  <si>
    <t>padmisca</t>
    <phoneticPr fontId="1" type="noConversion"/>
  </si>
  <si>
    <t>gort</t>
    <phoneticPr fontId="1" type="noConversion"/>
  </si>
  <si>
    <t>jazhs'oqu'e</t>
    <phoneticPr fontId="1" type="noConversion"/>
  </si>
  <si>
    <t>yumjadamaca</t>
    <phoneticPr fontId="1" type="noConversion"/>
  </si>
  <si>
    <t>stevrelo</t>
    <phoneticPr fontId="1" type="noConversion"/>
  </si>
  <si>
    <t>napignots</t>
    <phoneticPr fontId="1" type="noConversion"/>
  </si>
  <si>
    <t>sesdaithan</t>
    <phoneticPr fontId="1" type="noConversion"/>
  </si>
  <si>
    <t>d'oj</t>
    <phoneticPr fontId="1" type="noConversion"/>
  </si>
  <si>
    <t>adoyundsen</t>
    <phoneticPr fontId="1" type="noConversion"/>
  </si>
  <si>
    <t>semvâdo</t>
    <phoneticPr fontId="1" type="noConversion"/>
  </si>
  <si>
    <t>nedro</t>
    <phoneticPr fontId="1" type="noConversion"/>
  </si>
  <si>
    <t>denyss</t>
    <phoneticPr fontId="1" type="noConversion"/>
  </si>
  <si>
    <t>glans</t>
    <phoneticPr fontId="1" type="noConversion"/>
  </si>
  <si>
    <t>achest</t>
    <phoneticPr fontId="1" type="noConversion"/>
  </si>
  <si>
    <t>prostasto</t>
    <phoneticPr fontId="1" type="noConversion"/>
  </si>
  <si>
    <t>autodivimus</t>
    <phoneticPr fontId="1" type="noConversion"/>
  </si>
  <si>
    <t>moshong</t>
    <phoneticPr fontId="1" type="noConversion"/>
  </si>
  <si>
    <t>sem</t>
    <phoneticPr fontId="1" type="noConversion"/>
  </si>
  <si>
    <t>vushtamia</t>
    <phoneticPr fontId="1" type="noConversion"/>
  </si>
  <si>
    <t>tamavdus</t>
    <phoneticPr fontId="1" type="noConversion"/>
  </si>
  <si>
    <t>temvâdo</t>
    <phoneticPr fontId="1" type="noConversion"/>
  </si>
  <si>
    <t>ramnin</t>
    <phoneticPr fontId="1" type="noConversion"/>
  </si>
  <si>
    <t>vanshta</t>
    <phoneticPr fontId="1" type="noConversion"/>
  </si>
  <si>
    <t>cunt</t>
    <phoneticPr fontId="1" type="noConversion"/>
  </si>
  <si>
    <t>vuba</t>
    <phoneticPr fontId="1" type="noConversion"/>
  </si>
  <si>
    <t>labia</t>
    <phoneticPr fontId="1" type="noConversion"/>
  </si>
  <si>
    <t>tem</t>
    <phoneticPr fontId="1" type="noConversion"/>
  </si>
  <si>
    <t>zegotan</t>
    <phoneticPr fontId="1" type="noConversion"/>
  </si>
  <si>
    <t>svac'han</t>
    <phoneticPr fontId="1" type="noConversion"/>
  </si>
  <si>
    <t>pronsh</t>
    <phoneticPr fontId="1" type="noConversion"/>
  </si>
  <si>
    <t>afeolos</t>
    <phoneticPr fontId="1" type="noConversion"/>
  </si>
  <si>
    <t>fragbet</t>
    <phoneticPr fontId="1" type="noConversion"/>
  </si>
  <si>
    <t>atramis</t>
    <phoneticPr fontId="1" type="noConversion"/>
  </si>
  <si>
    <t>zhinâus</t>
    <phoneticPr fontId="1" type="noConversion"/>
  </si>
  <si>
    <t>catoqu'in</t>
    <phoneticPr fontId="1" type="noConversion"/>
  </si>
  <si>
    <t>sbave</t>
    <phoneticPr fontId="1" type="noConversion"/>
  </si>
  <si>
    <t>dhomacom</t>
    <phoneticPr fontId="1" type="noConversion"/>
  </si>
  <si>
    <t>sanguss zalun</t>
    <phoneticPr fontId="1" type="noConversion"/>
  </si>
  <si>
    <t>jets'rqu'e</t>
    <phoneticPr fontId="1" type="noConversion"/>
  </si>
  <si>
    <t>erthuya</t>
    <phoneticPr fontId="1" type="noConversion"/>
  </si>
  <si>
    <t>hlasc'hetoches</t>
    <phoneticPr fontId="1" type="noConversion"/>
  </si>
  <si>
    <t>beumto</t>
    <phoneticPr fontId="1" type="noConversion"/>
  </si>
  <si>
    <t>sangussmod</t>
    <phoneticPr fontId="1" type="noConversion"/>
  </si>
  <si>
    <t>syrurm</t>
    <phoneticPr fontId="1" type="noConversion"/>
  </si>
  <si>
    <t>pcelo</t>
    <phoneticPr fontId="1" type="noConversion"/>
  </si>
  <si>
    <t>tcro</t>
    <phoneticPr fontId="1" type="noConversion"/>
  </si>
  <si>
    <t>canrum</t>
    <phoneticPr fontId="1" type="noConversion"/>
  </si>
  <si>
    <t>thomvus</t>
    <phoneticPr fontId="1" type="noConversion"/>
  </si>
  <si>
    <t>rac</t>
    <phoneticPr fontId="1" type="noConversion"/>
  </si>
  <si>
    <t>qu'imoor</t>
    <phoneticPr fontId="1" type="noConversion"/>
  </si>
  <si>
    <t>shaha</t>
    <phoneticPr fontId="1" type="noConversion"/>
  </si>
  <si>
    <t>shaha ano sanguss</t>
    <phoneticPr fontId="1" type="noConversion"/>
  </si>
  <si>
    <t>lipinsh ano sanguss</t>
    <phoneticPr fontId="1" type="noConversion"/>
  </si>
  <si>
    <t>lipinsh</t>
    <phoneticPr fontId="1" type="noConversion"/>
  </si>
  <si>
    <t>oxijen ano sanguss</t>
    <phoneticPr fontId="1" type="noConversion"/>
  </si>
  <si>
    <t>gameton</t>
    <phoneticPr fontId="1" type="noConversion"/>
  </si>
  <si>
    <t>zalumhim</t>
    <phoneticPr fontId="1" type="noConversion"/>
  </si>
  <si>
    <t>zalunspama</t>
    <phoneticPr fontId="1" type="noConversion"/>
  </si>
  <si>
    <t>vacuola</t>
    <phoneticPr fontId="1" type="noConversion"/>
  </si>
  <si>
    <t>nuclaio</t>
    <phoneticPr fontId="1" type="noConversion"/>
  </si>
  <si>
    <t>zaluptular</t>
    <phoneticPr fontId="1" type="noConversion"/>
  </si>
  <si>
    <t>uchuavir</t>
    <phoneticPr fontId="1" type="noConversion"/>
  </si>
  <si>
    <t>vlaziar</t>
    <phoneticPr fontId="1" type="noConversion"/>
  </si>
  <si>
    <t>d'ojnucortza</t>
    <phoneticPr fontId="1" type="noConversion"/>
  </si>
  <si>
    <t>d'ojamedul</t>
    <phoneticPr fontId="1" type="noConversion"/>
  </si>
  <si>
    <t>d'ojnocole</t>
    <phoneticPr fontId="1" type="noConversion"/>
  </si>
  <si>
    <t>d'ojcon</t>
    <phoneticPr fontId="1" type="noConversion"/>
  </si>
  <si>
    <t>d'ojscamlets</t>
    <phoneticPr fontId="1" type="noConversion"/>
  </si>
  <si>
    <t>glomerul</t>
    <phoneticPr fontId="1" type="noConversion"/>
  </si>
  <si>
    <t>scaganh</t>
    <phoneticPr fontId="1" type="noConversion"/>
  </si>
  <si>
    <t>uchon</t>
    <phoneticPr fontId="1" type="noConversion"/>
  </si>
  <si>
    <t>blacuamuchon</t>
    <phoneticPr fontId="1" type="noConversion"/>
  </si>
  <si>
    <t>liqu'alin ano d'ojscamlets</t>
    <phoneticPr fontId="1" type="noConversion"/>
  </si>
  <si>
    <t>sbavanganse</t>
    <phoneticPr fontId="1" type="noConversion"/>
  </si>
  <si>
    <t>secretorgra</t>
    <phoneticPr fontId="1" type="noConversion"/>
  </si>
  <si>
    <t>spinocedo</t>
    <phoneticPr fontId="1" type="noConversion"/>
  </si>
  <si>
    <t>neuron</t>
    <phoneticPr fontId="1" type="noConversion"/>
  </si>
  <si>
    <t>dendrite</t>
    <phoneticPr fontId="1" type="noConversion"/>
  </si>
  <si>
    <t>tauxrite</t>
    <phoneticPr fontId="1" type="noConversion"/>
  </si>
  <si>
    <t>neuvodhete</t>
    <phoneticPr fontId="1" type="noConversion"/>
  </si>
  <si>
    <t>veuti</t>
    <phoneticPr fontId="1" type="noConversion"/>
  </si>
  <si>
    <t>grei</t>
    <phoneticPr fontId="1" type="noConversion"/>
  </si>
  <si>
    <t>neutanga</t>
    <phoneticPr fontId="1" type="noConversion"/>
  </si>
  <si>
    <t>gen</t>
    <phoneticPr fontId="1" type="noConversion"/>
  </si>
  <si>
    <t>gene-</t>
    <phoneticPr fontId="1" type="noConversion"/>
  </si>
  <si>
    <t>mitoch'ondria</t>
    <phoneticPr fontId="1" type="noConversion"/>
  </si>
  <si>
    <t>ch'orofia</t>
    <phoneticPr fontId="1" type="noConversion"/>
  </si>
  <si>
    <t>corem</t>
    <phoneticPr fontId="1" type="noConversion"/>
  </si>
  <si>
    <t>stam</t>
    <phoneticPr fontId="1" type="noConversion"/>
  </si>
  <si>
    <t>liethelax</t>
    <phoneticPr fontId="1" type="noConversion"/>
  </si>
  <si>
    <t>frutha</t>
    <phoneticPr fontId="1" type="noConversion"/>
  </si>
  <si>
    <t>semâ</t>
    <phoneticPr fontId="1" type="noConversion"/>
  </si>
  <si>
    <t>sarcma</t>
    <phoneticPr fontId="1" type="noConversion"/>
  </si>
  <si>
    <t>srut</t>
    <phoneticPr fontId="1" type="noConversion"/>
  </si>
  <si>
    <t>gnipeoz</t>
    <phoneticPr fontId="1" type="noConversion"/>
  </si>
  <si>
    <t>srunigo</t>
    <phoneticPr fontId="1" type="noConversion"/>
  </si>
  <si>
    <t>cervical</t>
    <phoneticPr fontId="1" type="noConversion"/>
  </si>
  <si>
    <t>nectuloha</t>
    <phoneticPr fontId="1" type="noConversion"/>
  </si>
  <si>
    <t>zapadlut</t>
    <phoneticPr fontId="1" type="noConversion"/>
  </si>
  <si>
    <t>perfili</t>
    <phoneticPr fontId="1" type="noConversion"/>
  </si>
  <si>
    <t>testa</t>
    <phoneticPr fontId="1" type="noConversion"/>
  </si>
  <si>
    <t>fotosinthemtes</t>
    <phoneticPr fontId="1" type="noConversion"/>
  </si>
  <si>
    <t>reospdan</t>
    <phoneticPr fontId="1" type="noConversion"/>
  </si>
  <si>
    <t>trinspdan</t>
    <phoneticPr fontId="1" type="noConversion"/>
  </si>
  <si>
    <t>coremchetur</t>
    <phoneticPr fontId="1" type="noConversion"/>
  </si>
  <si>
    <t>epilahal tixtue</t>
    <phoneticPr fontId="1" type="noConversion"/>
  </si>
  <si>
    <t>motha tixtue</t>
    <phoneticPr fontId="1" type="noConversion"/>
  </si>
  <si>
    <t>gebuva</t>
    <phoneticPr fontId="1" type="noConversion"/>
  </si>
  <si>
    <t>neuva tixtue</t>
    <phoneticPr fontId="1" type="noConversion"/>
  </si>
  <si>
    <t>meristem tixtue</t>
    <phoneticPr fontId="1" type="noConversion"/>
  </si>
  <si>
    <t>nutrita tixtue</t>
    <phoneticPr fontId="1" type="noConversion"/>
  </si>
  <si>
    <t>secura tixtue</t>
    <phoneticPr fontId="1" type="noConversion"/>
  </si>
  <si>
    <t>cawtsect tixtue</t>
    <phoneticPr fontId="1" type="noConversion"/>
  </si>
  <si>
    <t>trinmiche tixtue</t>
    <phoneticPr fontId="1" type="noConversion"/>
  </si>
  <si>
    <t>pshavara naitiom</t>
    <phoneticPr fontId="1" type="noConversion"/>
  </si>
  <si>
    <t>reospara naitiom</t>
    <phoneticPr fontId="1" type="noConversion"/>
  </si>
  <si>
    <t>clarastana naitiom</t>
    <phoneticPr fontId="1" type="noConversion"/>
  </si>
  <si>
    <t>uchera naitiom</t>
    <phoneticPr fontId="1" type="noConversion"/>
  </si>
  <si>
    <t>rajuxluara naitiom</t>
    <phoneticPr fontId="1" type="noConversion"/>
  </si>
  <si>
    <t>hvizhenra naitiom</t>
    <phoneticPr fontId="1" type="noConversion"/>
  </si>
  <si>
    <t>neuva naitiom</t>
    <phoneticPr fontId="1" type="noConversion"/>
  </si>
  <si>
    <t>secretora naitiom</t>
    <phoneticPr fontId="1" type="noConversion"/>
  </si>
  <si>
    <t>coremvotur</t>
    <phoneticPr fontId="1" type="noConversion"/>
  </si>
  <si>
    <t>zon mesva</t>
    <phoneticPr fontId="1" type="noConversion"/>
  </si>
  <si>
    <t>abhavoturarcu</t>
    <phoneticPr fontId="1" type="noConversion"/>
  </si>
  <si>
    <t>coremunuto</t>
    <phoneticPr fontId="1" type="noConversion"/>
  </si>
  <si>
    <t>zon lonjoen</t>
    <phoneticPr fontId="1" type="noConversion"/>
  </si>
  <si>
    <t>zon segreta</t>
    <phoneticPr fontId="1" type="noConversion"/>
  </si>
  <si>
    <t>zon meristem</t>
    <phoneticPr fontId="1" type="noConversion"/>
  </si>
  <si>
    <t>psot</t>
    <phoneticPr fontId="1" type="noConversion"/>
  </si>
  <si>
    <t>tahan</t>
    <phoneticPr fontId="1" type="noConversion"/>
  </si>
  <si>
    <t>fnoahpusha</t>
    <phoneticPr fontId="1" type="noConversion"/>
  </si>
  <si>
    <t>psotpusha</t>
    <phoneticPr fontId="1" type="noConversion"/>
  </si>
  <si>
    <t>pusha</t>
    <phoneticPr fontId="1" type="noConversion"/>
  </si>
  <si>
    <t>hovaleth</t>
    <phoneticPr fontId="1" type="noConversion"/>
  </si>
  <si>
    <t>pushatea</t>
    <phoneticPr fontId="1" type="noConversion"/>
  </si>
  <si>
    <t>pushaprotost</t>
    <phoneticPr fontId="1" type="noConversion"/>
  </si>
  <si>
    <t>corl</t>
    <phoneticPr fontId="1" type="noConversion"/>
  </si>
  <si>
    <t>cambi</t>
    <phoneticPr fontId="1" type="noConversion"/>
  </si>
  <si>
    <t>xelu</t>
    <phoneticPr fontId="1" type="noConversion"/>
  </si>
  <si>
    <t>mit</t>
    <phoneticPr fontId="1" type="noConversion"/>
  </si>
  <si>
    <t>floem</t>
    <phoneticPr fontId="1" type="noConversion"/>
  </si>
  <si>
    <t>catheter</t>
    <phoneticPr fontId="1" type="noConversion"/>
  </si>
  <si>
    <t>ecran</t>
    <phoneticPr fontId="1" type="noConversion"/>
  </si>
  <si>
    <t>moduluipochi</t>
    <phoneticPr fontId="1" type="noConversion"/>
  </si>
  <si>
    <t>bulba</t>
    <phoneticPr fontId="1" type="noConversion"/>
  </si>
  <si>
    <t>gardovay</t>
    <phoneticPr fontId="1" type="noConversion"/>
  </si>
  <si>
    <t>pernthum</t>
    <phoneticPr fontId="1" type="noConversion"/>
  </si>
  <si>
    <t>stamen</t>
    <phoneticPr fontId="1" type="noConversion"/>
  </si>
  <si>
    <t>parantel</t>
    <phoneticPr fontId="1" type="noConversion"/>
  </si>
  <si>
    <t>tano</t>
    <phoneticPr fontId="1" type="noConversion"/>
  </si>
  <si>
    <t>pistel</t>
    <phoneticPr fontId="1" type="noConversion"/>
  </si>
  <si>
    <t>gutumag</t>
    <phoneticPr fontId="1" type="noConversion"/>
  </si>
  <si>
    <t>sah'vêo</t>
    <phoneticPr fontId="1" type="noConversion"/>
  </si>
  <si>
    <t>ondonc</t>
    <phoneticPr fontId="1" type="noConversion"/>
  </si>
  <si>
    <t>cerpda ondonc</t>
    <phoneticPr fontId="1" type="noConversion"/>
  </si>
  <si>
    <t>yotselsa</t>
    <phoneticPr fontId="1" type="noConversion"/>
  </si>
  <si>
    <t>pelt</t>
    <phoneticPr fontId="1" type="noConversion"/>
  </si>
  <si>
    <t>calxi</t>
    <phoneticPr fontId="1" type="noConversion"/>
  </si>
  <si>
    <t>qu'andu</t>
    <phoneticPr fontId="1" type="noConversion"/>
  </si>
  <si>
    <t>tecseg</t>
    <phoneticPr fontId="1" type="noConversion"/>
  </si>
  <si>
    <t>periant</t>
    <phoneticPr fontId="1" type="noConversion"/>
  </si>
  <si>
    <t>asedha zalun</t>
    <phoneticPr fontId="1" type="noConversion"/>
  </si>
  <si>
    <t>tsomiyeud zalun</t>
    <phoneticPr fontId="1" type="noConversion"/>
  </si>
  <si>
    <t>cheunouma zalun</t>
    <phoneticPr fontId="1" type="noConversion"/>
  </si>
  <si>
    <t>estom</t>
    <phoneticPr fontId="1" type="noConversion"/>
  </si>
  <si>
    <t>cawtsect zalun</t>
    <phoneticPr fontId="1" type="noConversion"/>
  </si>
  <si>
    <t>cashlocerpa</t>
    <phoneticPr fontId="1" type="noConversion"/>
  </si>
  <si>
    <t>cashlocerpa storja</t>
    <phoneticPr fontId="1" type="noConversion"/>
  </si>
  <si>
    <t>cashlospongur</t>
    <phoneticPr fontId="1" type="noConversion"/>
  </si>
  <si>
    <t>cashlospongur storja</t>
    <phoneticPr fontId="1" type="noConversion"/>
  </si>
  <si>
    <t>zur-epiderma</t>
    <phoneticPr fontId="1" type="noConversion"/>
  </si>
  <si>
    <t>qien-epiderma</t>
    <phoneticPr fontId="1" type="noConversion"/>
  </si>
  <si>
    <t>epiderma</t>
    <phoneticPr fontId="1" type="noConversion"/>
  </si>
  <si>
    <t>mesofil</t>
    <phoneticPr fontId="1" type="noConversion"/>
  </si>
  <si>
    <t>ch'roroplast</t>
    <phoneticPr fontId="1" type="noConversion"/>
  </si>
  <si>
    <t>lutin</t>
    <phoneticPr fontId="1" type="noConversion"/>
  </si>
  <si>
    <t>lumebin</t>
    <phoneticPr fontId="1" type="noConversion"/>
  </si>
  <si>
    <t>josancitago</t>
    <phoneticPr fontId="1" type="noConversion"/>
  </si>
  <si>
    <t>josantsog</t>
    <phoneticPr fontId="1" type="noConversion"/>
  </si>
  <si>
    <t>capsulebuhe</t>
    <phoneticPr fontId="1" type="noConversion"/>
  </si>
  <si>
    <t>cantuspolost</t>
    <phoneticPr fontId="1" type="noConversion"/>
  </si>
  <si>
    <t>farmcatasen</t>
    <phoneticPr fontId="1" type="noConversion"/>
  </si>
  <si>
    <t>josen</t>
    <phoneticPr fontId="1" type="noConversion"/>
  </si>
  <si>
    <t>molche</t>
    <phoneticPr fontId="1" type="noConversion"/>
  </si>
  <si>
    <t>ziger</t>
    <phoneticPr fontId="1" type="noConversion"/>
  </si>
  <si>
    <t>zlemanto granul</t>
    <phoneticPr fontId="1" type="noConversion"/>
  </si>
  <si>
    <t>vani</t>
    <phoneticPr fontId="1" type="noConversion"/>
  </si>
  <si>
    <t>conpshla</t>
    <phoneticPr fontId="1" type="noConversion"/>
  </si>
  <si>
    <t>shomtin</t>
    <phoneticPr fontId="1" type="noConversion"/>
  </si>
  <si>
    <t>生物</t>
    <phoneticPr fontId="1" type="noConversion"/>
  </si>
  <si>
    <t>动物</t>
    <phoneticPr fontId="1" type="noConversion"/>
  </si>
  <si>
    <t>植物</t>
    <phoneticPr fontId="1" type="noConversion"/>
  </si>
  <si>
    <t>微生物</t>
    <phoneticPr fontId="1" type="noConversion"/>
  </si>
  <si>
    <t>细菌</t>
    <phoneticPr fontId="1" type="noConversion"/>
  </si>
  <si>
    <t>病毒</t>
    <phoneticPr fontId="1" type="noConversion"/>
  </si>
  <si>
    <t>真菌</t>
    <phoneticPr fontId="1" type="noConversion"/>
  </si>
  <si>
    <t>身体</t>
  </si>
  <si>
    <t>身体器官</t>
    <phoneticPr fontId="1" type="noConversion"/>
  </si>
  <si>
    <t>igili</t>
    <phoneticPr fontId="1" type="noConversion"/>
  </si>
  <si>
    <t>ili</t>
    <phoneticPr fontId="1" type="noConversion"/>
  </si>
  <si>
    <t>细胞</t>
    <phoneticPr fontId="1" type="noConversion"/>
  </si>
  <si>
    <t>器官</t>
    <phoneticPr fontId="1" type="noConversion"/>
  </si>
  <si>
    <t>（身体）系统</t>
    <phoneticPr fontId="1" type="noConversion"/>
  </si>
  <si>
    <t>头</t>
    <phoneticPr fontId="1" type="noConversion"/>
  </si>
  <si>
    <t>眼睛</t>
    <phoneticPr fontId="1" type="noConversion"/>
  </si>
  <si>
    <t>鼻子</t>
    <phoneticPr fontId="1" type="noConversion"/>
  </si>
  <si>
    <t>嘴巴</t>
    <phoneticPr fontId="1" type="noConversion"/>
  </si>
  <si>
    <t>嘴唇</t>
    <phoneticPr fontId="1" type="noConversion"/>
  </si>
  <si>
    <t>睫毛</t>
    <phoneticPr fontId="1" type="noConversion"/>
  </si>
  <si>
    <t>牙齿</t>
    <phoneticPr fontId="1" type="noConversion"/>
  </si>
  <si>
    <t>蛀牙</t>
    <phoneticPr fontId="1" type="noConversion"/>
  </si>
  <si>
    <t>舌头</t>
    <phoneticPr fontId="1" type="noConversion"/>
  </si>
  <si>
    <t>脚</t>
    <phoneticPr fontId="1" type="noConversion"/>
  </si>
  <si>
    <t>三焦</t>
    <phoneticPr fontId="1" type="noConversion"/>
  </si>
  <si>
    <t>上焦</t>
    <phoneticPr fontId="1" type="noConversion"/>
  </si>
  <si>
    <t>igitresarcvozhe</t>
    <phoneticPr fontId="1" type="noConversion"/>
  </si>
  <si>
    <t>ilihaitendecvozhe</t>
    <phoneticPr fontId="1" type="noConversion"/>
  </si>
  <si>
    <t>中焦</t>
    <phoneticPr fontId="1" type="noConversion"/>
  </si>
  <si>
    <t>下焦</t>
    <phoneticPr fontId="1" type="noConversion"/>
  </si>
  <si>
    <t>手</t>
    <phoneticPr fontId="1" type="noConversion"/>
  </si>
  <si>
    <t>骨头</t>
    <phoneticPr fontId="1" type="noConversion"/>
  </si>
  <si>
    <t>裆部</t>
    <phoneticPr fontId="1" type="noConversion"/>
  </si>
  <si>
    <t>臀，屁股</t>
    <phoneticPr fontId="1" type="noConversion"/>
  </si>
  <si>
    <t>脸</t>
    <phoneticPr fontId="1" type="noConversion"/>
  </si>
  <si>
    <t>脸，面；脸面，面子</t>
    <phoneticPr fontId="1" type="noConversion"/>
  </si>
  <si>
    <t>毛</t>
    <phoneticPr fontId="1" type="noConversion"/>
  </si>
  <si>
    <t>鬃毛</t>
    <phoneticPr fontId="1" type="noConversion"/>
  </si>
  <si>
    <t>手肘</t>
    <phoneticPr fontId="1" type="noConversion"/>
  </si>
  <si>
    <t>心脏</t>
    <phoneticPr fontId="1" type="noConversion"/>
  </si>
  <si>
    <t>肝脏</t>
    <phoneticPr fontId="1" type="noConversion"/>
  </si>
  <si>
    <t>肺</t>
    <phoneticPr fontId="1" type="noConversion"/>
  </si>
  <si>
    <t>胆</t>
    <phoneticPr fontId="1" type="noConversion"/>
  </si>
  <si>
    <t>胆囊</t>
    <phoneticPr fontId="1" type="noConversion"/>
  </si>
  <si>
    <t>胰腺</t>
    <phoneticPr fontId="1" type="noConversion"/>
  </si>
  <si>
    <t>血液</t>
    <phoneticPr fontId="1" type="noConversion"/>
  </si>
  <si>
    <t>血管</t>
    <phoneticPr fontId="1" type="noConversion"/>
  </si>
  <si>
    <t>皮肤</t>
    <phoneticPr fontId="1" type="noConversion"/>
  </si>
  <si>
    <t>尾巴；末端的，最后的部分</t>
    <phoneticPr fontId="1" type="noConversion"/>
  </si>
  <si>
    <t>皱纹</t>
    <phoneticPr fontId="1" type="noConversion"/>
  </si>
  <si>
    <t>筋脉</t>
    <phoneticPr fontId="1" type="noConversion"/>
  </si>
  <si>
    <t>头发</t>
    <phoneticPr fontId="1" type="noConversion"/>
  </si>
  <si>
    <t>头发；（全身的）毛发</t>
    <phoneticPr fontId="1" type="noConversion"/>
  </si>
  <si>
    <t>额头</t>
    <phoneticPr fontId="1" type="noConversion"/>
  </si>
  <si>
    <t>胡子，胡髭</t>
    <phoneticPr fontId="1" type="noConversion"/>
  </si>
  <si>
    <t>鬓角</t>
    <phoneticPr fontId="1" type="noConversion"/>
  </si>
  <si>
    <t>鬓毛</t>
    <phoneticPr fontId="1" type="noConversion"/>
  </si>
  <si>
    <t>秃顶</t>
    <phoneticPr fontId="1" type="noConversion"/>
  </si>
  <si>
    <t>发际线</t>
    <phoneticPr fontId="1" type="noConversion"/>
  </si>
  <si>
    <t>八字胡</t>
    <phoneticPr fontId="1" type="noConversion"/>
  </si>
  <si>
    <t>山羊胡</t>
    <phoneticPr fontId="1" type="noConversion"/>
  </si>
  <si>
    <t>络腮胡子</t>
    <phoneticPr fontId="1" type="noConversion"/>
  </si>
  <si>
    <t>大脑，脑子</t>
    <phoneticPr fontId="1" type="noConversion"/>
  </si>
  <si>
    <t>小脑</t>
    <phoneticPr fontId="1" type="noConversion"/>
  </si>
  <si>
    <t>脑干</t>
    <phoneticPr fontId="1" type="noConversion"/>
  </si>
  <si>
    <t>眼眶</t>
    <phoneticPr fontId="1" type="noConversion"/>
  </si>
  <si>
    <t>眼珠</t>
    <phoneticPr fontId="1" type="noConversion"/>
  </si>
  <si>
    <t>鼻毛</t>
    <phoneticPr fontId="1" type="noConversion"/>
  </si>
  <si>
    <t>舌苔</t>
    <phoneticPr fontId="1" type="noConversion"/>
  </si>
  <si>
    <t>味蕾</t>
    <phoneticPr fontId="1" type="noConversion"/>
  </si>
  <si>
    <t>辫子；弱点，缺陷</t>
    <phoneticPr fontId="1" type="noConversion"/>
  </si>
  <si>
    <t>耳朵</t>
    <phoneticPr fontId="1" type="noConversion"/>
  </si>
  <si>
    <t>颅骨</t>
    <phoneticPr fontId="1" type="noConversion"/>
  </si>
  <si>
    <t>角</t>
    <phoneticPr fontId="1" type="noConversion"/>
  </si>
  <si>
    <t>鹿角，鹿茸</t>
    <phoneticPr fontId="1" type="noConversion"/>
  </si>
  <si>
    <t>risrânom aduc</t>
    <phoneticPr fontId="1" type="noConversion"/>
  </si>
  <si>
    <t>象牙</t>
    <phoneticPr fontId="1" type="noConversion"/>
  </si>
  <si>
    <t>听小骨</t>
    <phoneticPr fontId="1" type="noConversion"/>
  </si>
  <si>
    <t>êmit aduc</t>
    <phoneticPr fontId="1" type="noConversion"/>
  </si>
  <si>
    <t>耳蜗</t>
    <phoneticPr fontId="1" type="noConversion"/>
  </si>
  <si>
    <t>视网膜</t>
    <phoneticPr fontId="1" type="noConversion"/>
  </si>
  <si>
    <t>神经</t>
  </si>
  <si>
    <t>神经</t>
    <phoneticPr fontId="1" type="noConversion"/>
  </si>
  <si>
    <t>脑膜</t>
    <phoneticPr fontId="1" type="noConversion"/>
  </si>
  <si>
    <t>牙床</t>
    <phoneticPr fontId="1" type="noConversion"/>
  </si>
  <si>
    <t>牙龈</t>
    <phoneticPr fontId="1" type="noConversion"/>
  </si>
  <si>
    <t>翳</t>
    <phoneticPr fontId="1" type="noConversion"/>
  </si>
  <si>
    <t>眚</t>
    <phoneticPr fontId="1" type="noConversion"/>
  </si>
  <si>
    <t>中耳</t>
    <phoneticPr fontId="1" type="noConversion"/>
  </si>
  <si>
    <t>外耳</t>
    <phoneticPr fontId="1" type="noConversion"/>
  </si>
  <si>
    <t>疽</t>
    <phoneticPr fontId="1" type="noConversion"/>
  </si>
  <si>
    <t>瘢，瘢痕</t>
    <phoneticPr fontId="1" type="noConversion"/>
  </si>
  <si>
    <t>疹子</t>
    <phoneticPr fontId="1" type="noConversion"/>
  </si>
  <si>
    <t>痣</t>
    <phoneticPr fontId="1" type="noConversion"/>
  </si>
  <si>
    <t>下巴，颔，下颚</t>
    <phoneticPr fontId="1" type="noConversion"/>
  </si>
  <si>
    <t>鱼尾纹</t>
    <phoneticPr fontId="1" type="noConversion"/>
  </si>
  <si>
    <t>法令纹</t>
    <phoneticPr fontId="1" type="noConversion"/>
  </si>
  <si>
    <t>酒窝</t>
    <phoneticPr fontId="1" type="noConversion"/>
  </si>
  <si>
    <t>刘海儿</t>
    <phoneticPr fontId="1" type="noConversion"/>
  </si>
  <si>
    <t>耳轮</t>
    <phoneticPr fontId="1" type="noConversion"/>
  </si>
  <si>
    <t>耳廓</t>
    <phoneticPr fontId="1" type="noConversion"/>
  </si>
  <si>
    <t>耳屏</t>
    <phoneticPr fontId="1" type="noConversion"/>
  </si>
  <si>
    <t>耳垂</t>
    <phoneticPr fontId="1" type="noConversion"/>
  </si>
  <si>
    <t>柔荑，指美人之手</t>
    <phoneticPr fontId="1" type="noConversion"/>
  </si>
  <si>
    <t>螓首，指美人之头</t>
    <phoneticPr fontId="1" type="noConversion"/>
  </si>
  <si>
    <t>凝脂，指美人之皮脂</t>
    <phoneticPr fontId="1" type="noConversion"/>
  </si>
  <si>
    <t>蛾眉，指美人之眉</t>
    <phoneticPr fontId="1" type="noConversion"/>
  </si>
  <si>
    <t>青丝，黑发</t>
    <phoneticPr fontId="1" type="noConversion"/>
  </si>
  <si>
    <t>白发</t>
    <phoneticPr fontId="1" type="noConversion"/>
  </si>
  <si>
    <t>白皙的皮肤</t>
    <phoneticPr fontId="1" type="noConversion"/>
  </si>
  <si>
    <t>内耳</t>
    <phoneticPr fontId="1" type="noConversion"/>
  </si>
  <si>
    <t>半规管</t>
    <phoneticPr fontId="1" type="noConversion"/>
  </si>
  <si>
    <t>前庭</t>
    <phoneticPr fontId="1" type="noConversion"/>
  </si>
  <si>
    <t>咽鼓管</t>
    <phoneticPr fontId="1" type="noConversion"/>
  </si>
  <si>
    <t>鼓膜</t>
    <phoneticPr fontId="1" type="noConversion"/>
  </si>
  <si>
    <t>眼袋</t>
    <phoneticPr fontId="1" type="noConversion"/>
  </si>
  <si>
    <t>结膜</t>
    <phoneticPr fontId="1" type="noConversion"/>
  </si>
  <si>
    <t>角膜</t>
    <phoneticPr fontId="1" type="noConversion"/>
  </si>
  <si>
    <t>虹膜</t>
    <phoneticPr fontId="1" type="noConversion"/>
  </si>
  <si>
    <t>瞳孔</t>
    <phoneticPr fontId="1" type="noConversion"/>
  </si>
  <si>
    <t>黄斑</t>
    <phoneticPr fontId="1" type="noConversion"/>
  </si>
  <si>
    <t>软脑膜</t>
    <phoneticPr fontId="1" type="noConversion"/>
  </si>
  <si>
    <t>硬脑膜</t>
    <phoneticPr fontId="1" type="noConversion"/>
  </si>
  <si>
    <t>巩膜</t>
    <phoneticPr fontId="1" type="noConversion"/>
  </si>
  <si>
    <t>脉络膜</t>
    <phoneticPr fontId="1" type="noConversion"/>
  </si>
  <si>
    <t>眼睑</t>
    <phoneticPr fontId="1" type="noConversion"/>
  </si>
  <si>
    <t>目光</t>
    <phoneticPr fontId="1" type="noConversion"/>
  </si>
  <si>
    <t>视力</t>
    <phoneticPr fontId="1" type="noConversion"/>
  </si>
  <si>
    <t>眵，眼屎</t>
    <phoneticPr fontId="1" type="noConversion"/>
  </si>
  <si>
    <t>眼角，眦</t>
    <phoneticPr fontId="1" type="noConversion"/>
  </si>
  <si>
    <t>眼神</t>
    <phoneticPr fontId="1" type="noConversion"/>
  </si>
  <si>
    <t>眼色</t>
    <phoneticPr fontId="1" type="noConversion"/>
  </si>
  <si>
    <t>嘴角</t>
    <phoneticPr fontId="1" type="noConversion"/>
  </si>
  <si>
    <t>口器</t>
    <phoneticPr fontId="1" type="noConversion"/>
  </si>
  <si>
    <t>口腔</t>
    <phoneticPr fontId="1" type="noConversion"/>
  </si>
  <si>
    <t>口水，唾液</t>
    <phoneticPr fontId="1" type="noConversion"/>
  </si>
  <si>
    <t>唾沫</t>
    <phoneticPr fontId="1" type="noConversion"/>
  </si>
  <si>
    <t>（海豚等的）吻</t>
    <phoneticPr fontId="1" type="noConversion"/>
  </si>
  <si>
    <t>口腕</t>
    <phoneticPr fontId="1" type="noConversion"/>
  </si>
  <si>
    <t>喙</t>
    <phoneticPr fontId="1" type="noConversion"/>
  </si>
  <si>
    <t>鼻梁</t>
    <phoneticPr fontId="1" type="noConversion"/>
  </si>
  <si>
    <t>鼻尖</t>
    <phoneticPr fontId="1" type="noConversion"/>
  </si>
  <si>
    <t>鼻孔</t>
    <phoneticPr fontId="1" type="noConversion"/>
  </si>
  <si>
    <t>鼻窦</t>
    <phoneticPr fontId="1" type="noConversion"/>
  </si>
  <si>
    <t>鼻翼</t>
    <phoneticPr fontId="1" type="noConversion"/>
  </si>
  <si>
    <t>鼻腔</t>
    <phoneticPr fontId="1" type="noConversion"/>
  </si>
  <si>
    <t>鼻涕</t>
    <phoneticPr fontId="1" type="noConversion"/>
  </si>
  <si>
    <t>鼻血，鼻衄</t>
    <phoneticPr fontId="1" type="noConversion"/>
  </si>
  <si>
    <t>鼻中隔</t>
    <phoneticPr fontId="1" type="noConversion"/>
  </si>
  <si>
    <t>脑海</t>
    <phoneticPr fontId="1" type="noConversion"/>
  </si>
  <si>
    <t>脑脊液</t>
    <phoneticPr fontId="1" type="noConversion"/>
  </si>
  <si>
    <t>玻璃体</t>
    <phoneticPr fontId="1" type="noConversion"/>
  </si>
  <si>
    <t>晶状体</t>
    <phoneticPr fontId="1" type="noConversion"/>
  </si>
  <si>
    <t>胼胝体</t>
  </si>
  <si>
    <t>脑上体，松果体</t>
  </si>
  <si>
    <t>脑髓，脑浆</t>
  </si>
  <si>
    <t>脑室</t>
  </si>
  <si>
    <t>延髓</t>
  </si>
  <si>
    <t>后脑勺</t>
  </si>
  <si>
    <t>垂体</t>
  </si>
  <si>
    <t>大脑脚</t>
  </si>
  <si>
    <t>脑桥</t>
  </si>
  <si>
    <t>脑蛛网膜</t>
  </si>
  <si>
    <t>大脑皮质</t>
  </si>
  <si>
    <t>间脑</t>
  </si>
  <si>
    <t>丘脑</t>
  </si>
  <si>
    <t>脑力</t>
  </si>
  <si>
    <t>脊膜</t>
  </si>
  <si>
    <t>胬肉</t>
  </si>
  <si>
    <t>视点；焦点，热点</t>
  </si>
  <si>
    <t>囟门</t>
  </si>
  <si>
    <t>肩膀</t>
  </si>
  <si>
    <t>胸</t>
  </si>
  <si>
    <t>腹</t>
  </si>
  <si>
    <t>背</t>
  </si>
  <si>
    <t>臂</t>
  </si>
  <si>
    <t>腕</t>
  </si>
  <si>
    <t>腿</t>
  </si>
  <si>
    <t>胫，小腿</t>
  </si>
  <si>
    <t>腘</t>
  </si>
  <si>
    <t>股，大腿</t>
  </si>
  <si>
    <t>腰</t>
  </si>
  <si>
    <t>pons</t>
    <phoneticPr fontId="1" type="noConversion"/>
  </si>
  <si>
    <t>颈</t>
    <phoneticPr fontId="1" type="noConversion"/>
  </si>
  <si>
    <t>膝，膝盖</t>
    <phoneticPr fontId="1" type="noConversion"/>
  </si>
  <si>
    <t>踝</t>
    <phoneticPr fontId="1" type="noConversion"/>
  </si>
  <si>
    <t>躯干</t>
  </si>
  <si>
    <t>肢体</t>
  </si>
  <si>
    <t>四肢</t>
  </si>
  <si>
    <t>脏器</t>
  </si>
  <si>
    <t>五脏</t>
  </si>
  <si>
    <t>穴位</t>
  </si>
  <si>
    <t>经络</t>
  </si>
  <si>
    <t>灵魂</t>
  </si>
  <si>
    <t>颈椎</t>
  </si>
  <si>
    <t>锁骨</t>
  </si>
  <si>
    <t>肩胛骨</t>
  </si>
  <si>
    <t>脊柱</t>
  </si>
  <si>
    <t>胸骨</t>
  </si>
  <si>
    <t>肱骨</t>
  </si>
  <si>
    <t>腰椎</t>
  </si>
  <si>
    <t>胸椎</t>
  </si>
  <si>
    <t>肋骨</t>
  </si>
  <si>
    <t>挠骨</t>
  </si>
  <si>
    <t>尺骨</t>
  </si>
  <si>
    <t>淋巴结</t>
  </si>
  <si>
    <t>腕骨</t>
  </si>
  <si>
    <t>指骨</t>
  </si>
  <si>
    <t>掌骨</t>
  </si>
  <si>
    <t>骨盆</t>
  </si>
  <si>
    <t>骶骨</t>
  </si>
  <si>
    <t>尾骨</t>
  </si>
  <si>
    <t>髋骨</t>
  </si>
  <si>
    <t>髂骨</t>
  </si>
  <si>
    <t>耻骨</t>
  </si>
  <si>
    <t>坐骨</t>
  </si>
  <si>
    <t>股骨</t>
  </si>
  <si>
    <t>髌骨</t>
  </si>
  <si>
    <t>胰岛</t>
  </si>
  <si>
    <t>胫骨</t>
  </si>
  <si>
    <t>腓骨</t>
  </si>
  <si>
    <t>跗骨</t>
  </si>
  <si>
    <t>跖骨</t>
  </si>
  <si>
    <t>趾骨</t>
  </si>
  <si>
    <t>颧骨</t>
  </si>
  <si>
    <t>骨髓</t>
  </si>
  <si>
    <t>骨干；骨干人员</t>
  </si>
  <si>
    <t>骨骺</t>
  </si>
  <si>
    <t>淋巴</t>
  </si>
  <si>
    <t>鳞；优点</t>
  </si>
  <si>
    <t>龟壳；赖以躲避现实之物</t>
  </si>
  <si>
    <t>骨连接</t>
  </si>
  <si>
    <t>肌肉</t>
  </si>
  <si>
    <t>甲状腺</t>
  </si>
  <si>
    <t>胸腺</t>
  </si>
  <si>
    <t>汗腺</t>
  </si>
  <si>
    <t>唾液腺</t>
  </si>
  <si>
    <t>淋巴腺</t>
  </si>
  <si>
    <t>前列腺</t>
  </si>
  <si>
    <t>性腺</t>
  </si>
  <si>
    <t>胰岛腺</t>
  </si>
  <si>
    <t>指，手指</t>
  </si>
  <si>
    <t>趾，脚趾</t>
  </si>
  <si>
    <t>手指甲</t>
  </si>
  <si>
    <t>脚趾甲</t>
  </si>
  <si>
    <t>指甲</t>
  </si>
  <si>
    <t>翅膀</t>
  </si>
  <si>
    <t>翼</t>
  </si>
  <si>
    <t>鱼鳍</t>
  </si>
  <si>
    <t>伪足</t>
  </si>
  <si>
    <t>腮腺</t>
  </si>
  <si>
    <t>腮；腮帮，腮帮子</t>
  </si>
  <si>
    <t>肠</t>
  </si>
  <si>
    <t>舌下腺</t>
  </si>
  <si>
    <t>下颔下腺</t>
  </si>
  <si>
    <t>食管</t>
  </si>
  <si>
    <t>贲门</t>
  </si>
  <si>
    <t>胃</t>
  </si>
  <si>
    <t>幽门</t>
  </si>
  <si>
    <t>十二指肠</t>
  </si>
  <si>
    <t>横结肠</t>
  </si>
  <si>
    <t>升结肠</t>
  </si>
  <si>
    <t>盲肠</t>
  </si>
  <si>
    <t>阑尾</t>
  </si>
  <si>
    <t>肛门</t>
  </si>
  <si>
    <t>空肠</t>
  </si>
  <si>
    <t>降结肠</t>
  </si>
  <si>
    <t>回肠</t>
  </si>
  <si>
    <t>乙状回肠</t>
  </si>
  <si>
    <t>直肠</t>
  </si>
  <si>
    <t>爪</t>
  </si>
  <si>
    <t>静脉</t>
  </si>
  <si>
    <t>动脉</t>
  </si>
  <si>
    <t>毛细血管</t>
  </si>
  <si>
    <t>消化腺</t>
  </si>
  <si>
    <t>消化道</t>
  </si>
  <si>
    <t>门齿，门牙</t>
  </si>
  <si>
    <t>犬齿，尖牙</t>
  </si>
  <si>
    <t>臼齿，前磨牙</t>
  </si>
  <si>
    <t>磨牙</t>
  </si>
  <si>
    <t>齯（老年后又生牙）</t>
  </si>
  <si>
    <t>智齿</t>
  </si>
  <si>
    <t>牙釉质</t>
  </si>
  <si>
    <t>牙本质</t>
  </si>
  <si>
    <t>牙髓</t>
  </si>
  <si>
    <t>牙骨质</t>
  </si>
  <si>
    <t>牙冠</t>
  </si>
  <si>
    <t>牙颈</t>
  </si>
  <si>
    <t>牙根</t>
  </si>
  <si>
    <t>牙腔</t>
  </si>
  <si>
    <t>咽</t>
  </si>
  <si>
    <t>淋巴管</t>
  </si>
  <si>
    <t>毛细淋巴管</t>
  </si>
  <si>
    <t>鞭毛</t>
  </si>
  <si>
    <t>俳句</t>
  </si>
  <si>
    <t>阴间，冥府</t>
  </si>
  <si>
    <t>（伊斯兰）圣训，哈底斯</t>
  </si>
  <si>
    <t>万福玛利亚</t>
    <phoneticPr fontId="1" type="noConversion"/>
  </si>
  <si>
    <t>（乐曲的）柔板</t>
    <phoneticPr fontId="1" type="noConversion"/>
  </si>
  <si>
    <t>托钵僧</t>
    <phoneticPr fontId="1" type="noConversion"/>
  </si>
  <si>
    <t>日本盆栽</t>
    <phoneticPr fontId="1" type="noConversion"/>
  </si>
  <si>
    <t>（印度教）基本要义</t>
    <phoneticPr fontId="1" type="noConversion"/>
  </si>
  <si>
    <t>（印度教）眉心的红点，表示纯洁</t>
    <phoneticPr fontId="1" type="noConversion"/>
  </si>
  <si>
    <t>（印度教）无忧无虑</t>
    <phoneticPr fontId="1" type="noConversion"/>
  </si>
  <si>
    <t>槟榔，槟榔叶</t>
    <phoneticPr fontId="1" type="noConversion"/>
  </si>
  <si>
    <t>美女</t>
    <phoneticPr fontId="1" type="noConversion"/>
  </si>
  <si>
    <t>beau</t>
    <phoneticPr fontId="1" type="noConversion"/>
  </si>
  <si>
    <t>（女子的）情郎</t>
    <phoneticPr fontId="1" type="noConversion"/>
  </si>
  <si>
    <t>蒲福风级</t>
    <phoneticPr fontId="1" type="noConversion"/>
  </si>
  <si>
    <t>Beaufort ducrit</t>
    <phoneticPr fontId="1" type="noConversion"/>
  </si>
  <si>
    <t>土豚，非洲食蚁兽</t>
    <phoneticPr fontId="1" type="noConversion"/>
  </si>
  <si>
    <t>算盘</t>
    <phoneticPr fontId="1" type="noConversion"/>
  </si>
  <si>
    <t>（印度）爸爸</t>
    <phoneticPr fontId="1" type="noConversion"/>
  </si>
  <si>
    <t>阿拉伯罩袍</t>
    <phoneticPr fontId="1" type="noConversion"/>
  </si>
  <si>
    <t>阿萨伊，南美棕榈树</t>
    <phoneticPr fontId="1" type="noConversion"/>
  </si>
  <si>
    <t>赤豆，红豆</t>
    <phoneticPr fontId="1" type="noConversion"/>
  </si>
  <si>
    <t>（法）风流韵事</t>
    <phoneticPr fontId="1" type="noConversion"/>
  </si>
  <si>
    <t>afava</t>
    <phoneticPr fontId="1" type="noConversion"/>
  </si>
  <si>
    <t>西非橄榄树</t>
    <phoneticPr fontId="1" type="noConversion"/>
  </si>
  <si>
    <t>病原学</t>
    <phoneticPr fontId="1" type="noConversion"/>
  </si>
  <si>
    <t>（拉丁）专门</t>
    <phoneticPr fontId="1" type="noConversion"/>
  </si>
  <si>
    <t>（拉丁）即兴</t>
    <phoneticPr fontId="1" type="noConversion"/>
  </si>
  <si>
    <t>ad nauseam</t>
    <phoneticPr fontId="1" type="noConversion"/>
  </si>
  <si>
    <t>令人厌烦地</t>
    <phoneticPr fontId="1" type="noConversion"/>
  </si>
  <si>
    <t>美少年阿多尼斯；指美男子</t>
    <phoneticPr fontId="1" type="noConversion"/>
  </si>
  <si>
    <t>禁欲</t>
    <phoneticPr fontId="1" type="noConversion"/>
  </si>
  <si>
    <t>奥斯卡奖</t>
    <phoneticPr fontId="1" type="noConversion"/>
  </si>
  <si>
    <t>纤毛</t>
  </si>
  <si>
    <t>骨膜</t>
  </si>
  <si>
    <t>骨密质</t>
  </si>
  <si>
    <t>骨松质</t>
  </si>
  <si>
    <t>软骨层</t>
  </si>
  <si>
    <t>喉</t>
  </si>
  <si>
    <t>悬雍垂</t>
  </si>
  <si>
    <t>软腭</t>
  </si>
  <si>
    <t>会厌</t>
  </si>
  <si>
    <t>声带</t>
  </si>
  <si>
    <t>肾</t>
  </si>
  <si>
    <t>肾上腺</t>
  </si>
  <si>
    <t>输精管</t>
  </si>
  <si>
    <t>尿道</t>
  </si>
  <si>
    <t>阴茎</t>
  </si>
  <si>
    <t>龟头</t>
  </si>
  <si>
    <t>睾丸</t>
  </si>
  <si>
    <t>附睾</t>
  </si>
  <si>
    <t>阴囊</t>
  </si>
  <si>
    <t>精子</t>
  </si>
  <si>
    <t>卵巢</t>
  </si>
  <si>
    <t>输卵管</t>
  </si>
  <si>
    <t>子宫</t>
  </si>
  <si>
    <t>阴道</t>
  </si>
  <si>
    <t>女性生殖器</t>
  </si>
  <si>
    <t>外阴</t>
  </si>
  <si>
    <t>阴唇</t>
  </si>
  <si>
    <t>卵子</t>
  </si>
  <si>
    <t>受精卵</t>
  </si>
  <si>
    <t>气管</t>
  </si>
  <si>
    <t>支气管</t>
  </si>
  <si>
    <t>肺泡</t>
  </si>
  <si>
    <t>膈</t>
  </si>
  <si>
    <t>心房</t>
  </si>
  <si>
    <t>心室</t>
  </si>
  <si>
    <t>心壁</t>
  </si>
  <si>
    <t>瓣膜</t>
  </si>
  <si>
    <t>主动脉</t>
  </si>
  <si>
    <t>血细胞</t>
  </si>
  <si>
    <t>血浆</t>
  </si>
  <si>
    <t>红细胞</t>
  </si>
  <si>
    <t>白细胞</t>
  </si>
  <si>
    <t>血小板</t>
  </si>
  <si>
    <t>血型</t>
  </si>
  <si>
    <t>血清</t>
  </si>
  <si>
    <t>血迹</t>
  </si>
  <si>
    <t>血脉；血统；血缘</t>
  </si>
  <si>
    <t>血污</t>
  </si>
  <si>
    <t>血栓</t>
  </si>
  <si>
    <t>血丝</t>
  </si>
  <si>
    <t>血水</t>
  </si>
  <si>
    <t>硬腭</t>
    <phoneticPr fontId="1" type="noConversion"/>
  </si>
  <si>
    <t>血糖</t>
    <phoneticPr fontId="1" type="noConversion"/>
  </si>
  <si>
    <t>血脂</t>
    <phoneticPr fontId="1" type="noConversion"/>
  </si>
  <si>
    <t>脂肪</t>
    <phoneticPr fontId="1" type="noConversion"/>
  </si>
  <si>
    <t>糖</t>
    <phoneticPr fontId="1" type="noConversion"/>
  </si>
  <si>
    <t>血氧</t>
    <phoneticPr fontId="1" type="noConversion"/>
  </si>
  <si>
    <t>血肿</t>
  </si>
  <si>
    <t>细胞膜</t>
  </si>
  <si>
    <t>细胞质</t>
  </si>
  <si>
    <t>液泡</t>
  </si>
  <si>
    <t>细胞核</t>
  </si>
  <si>
    <t>细胞壁</t>
  </si>
  <si>
    <t>输尿管</t>
  </si>
  <si>
    <t>膀胱</t>
  </si>
  <si>
    <t>肾皮质</t>
  </si>
  <si>
    <t>肾髓质</t>
  </si>
  <si>
    <t>肾盂</t>
  </si>
  <si>
    <t>肾单位</t>
  </si>
  <si>
    <t>肾小体</t>
  </si>
  <si>
    <t>肾小管</t>
  </si>
  <si>
    <t>肾小囊</t>
  </si>
  <si>
    <t>肾小球</t>
  </si>
  <si>
    <t>集合管，收集管</t>
  </si>
  <si>
    <t>尿液</t>
  </si>
  <si>
    <t>原尿</t>
  </si>
  <si>
    <t>肾小囊内液</t>
  </si>
  <si>
    <t>喉结</t>
  </si>
  <si>
    <t>分泌腺</t>
  </si>
  <si>
    <t>脊髓</t>
  </si>
  <si>
    <t>神经元</t>
  </si>
  <si>
    <t>（神经）树突</t>
  </si>
  <si>
    <t>（神经）轴突</t>
  </si>
  <si>
    <t>神经末梢</t>
  </si>
  <si>
    <t>白质</t>
  </si>
  <si>
    <t>灰质</t>
  </si>
  <si>
    <t>神经中枢</t>
  </si>
  <si>
    <t>基因</t>
  </si>
  <si>
    <t>（前缀）基因</t>
  </si>
  <si>
    <t>线粒体</t>
  </si>
  <si>
    <t>叶绿素</t>
  </si>
  <si>
    <t>根</t>
  </si>
  <si>
    <t>茎</t>
  </si>
  <si>
    <t>叶</t>
  </si>
  <si>
    <t>叶片</t>
  </si>
  <si>
    <t>果实</t>
  </si>
  <si>
    <t>种子</t>
  </si>
  <si>
    <t>染色体</t>
  </si>
  <si>
    <t>肉瘤</t>
  </si>
  <si>
    <t>乳房</t>
  </si>
  <si>
    <t>乳头</t>
  </si>
  <si>
    <t>乳腺</t>
  </si>
  <si>
    <t>宫颈</t>
  </si>
  <si>
    <t>胸腔</t>
  </si>
  <si>
    <t>（鱼）侧线）</t>
  </si>
  <si>
    <t>果皮</t>
  </si>
  <si>
    <t>种皮</t>
  </si>
  <si>
    <t>光合作用</t>
  </si>
  <si>
    <t>呼吸作用</t>
  </si>
  <si>
    <t>蒸腾作用</t>
  </si>
  <si>
    <t>根冠</t>
  </si>
  <si>
    <t>上皮组织</t>
  </si>
  <si>
    <t>肌肉组织</t>
  </si>
  <si>
    <t>结蹄组织</t>
  </si>
  <si>
    <t>神经组织</t>
  </si>
  <si>
    <t>分生组织</t>
  </si>
  <si>
    <t>保护组织</t>
  </si>
  <si>
    <t>营养组织</t>
  </si>
  <si>
    <t>机械组织</t>
  </si>
  <si>
    <t>输导组织</t>
  </si>
  <si>
    <t>消化组织</t>
  </si>
  <si>
    <t>呼吸组织</t>
  </si>
  <si>
    <t>循环系统</t>
  </si>
  <si>
    <t>泌尿系统</t>
  </si>
  <si>
    <t>生殖系统</t>
  </si>
  <si>
    <t>运动系统</t>
  </si>
  <si>
    <t>神经系统</t>
  </si>
  <si>
    <t>内分泌系统</t>
  </si>
  <si>
    <t>根尖</t>
  </si>
  <si>
    <t>成熟区</t>
  </si>
  <si>
    <t>根瘤</t>
  </si>
  <si>
    <t>伸长区</t>
  </si>
  <si>
    <t>分生区</t>
  </si>
  <si>
    <t>枝</t>
  </si>
  <si>
    <t>花芽</t>
  </si>
  <si>
    <t>枝芽</t>
  </si>
  <si>
    <t>芽</t>
  </si>
  <si>
    <t>幼叶</t>
  </si>
  <si>
    <t>芽轴</t>
  </si>
  <si>
    <t>芽原基</t>
  </si>
  <si>
    <t>树皮</t>
  </si>
  <si>
    <t>形成层</t>
  </si>
  <si>
    <t>木质部</t>
  </si>
  <si>
    <t>韧皮部</t>
  </si>
  <si>
    <t>导管</t>
  </si>
  <si>
    <t>筛管</t>
  </si>
  <si>
    <t>节瘤</t>
  </si>
  <si>
    <t>块茎</t>
  </si>
  <si>
    <t>年轮</t>
  </si>
  <si>
    <t>树桩</t>
  </si>
  <si>
    <t>雄蕊</t>
  </si>
  <si>
    <t>花药</t>
  </si>
  <si>
    <t>花丝</t>
  </si>
  <si>
    <t>雌蕊</t>
  </si>
  <si>
    <t>柱头</t>
  </si>
  <si>
    <t>花柱</t>
  </si>
  <si>
    <t>子房</t>
  </si>
  <si>
    <t>子房壁</t>
  </si>
  <si>
    <t>胚珠</t>
  </si>
  <si>
    <t>花瓣</t>
  </si>
  <si>
    <t>花萼</t>
  </si>
  <si>
    <t>花托</t>
  </si>
  <si>
    <t>花柄</t>
  </si>
  <si>
    <t>花被</t>
  </si>
  <si>
    <t>珠被</t>
  </si>
  <si>
    <t>助细胞</t>
  </si>
  <si>
    <t>极核细胞</t>
  </si>
  <si>
    <t>珠孔细胞</t>
  </si>
  <si>
    <t>气孔</t>
  </si>
  <si>
    <t>保卫细胞</t>
  </si>
  <si>
    <t>栅栏层</t>
  </si>
  <si>
    <t>海绵层</t>
  </si>
  <si>
    <t>上表皮</t>
  </si>
  <si>
    <t>下表皮</t>
  </si>
  <si>
    <t>表皮</t>
  </si>
  <si>
    <t>叶肉</t>
  </si>
  <si>
    <t>叶绿体</t>
  </si>
  <si>
    <t>叶黄素</t>
  </si>
  <si>
    <t>叶红素</t>
  </si>
  <si>
    <t>关节软骨</t>
  </si>
  <si>
    <t>关节头</t>
  </si>
  <si>
    <t>关节囊</t>
  </si>
  <si>
    <t>关节腔</t>
  </si>
  <si>
    <t>关节窝</t>
  </si>
  <si>
    <t>关节</t>
  </si>
  <si>
    <t>嗉囊</t>
  </si>
  <si>
    <t>翼手</t>
  </si>
  <si>
    <t>贮藏颗粒</t>
  </si>
  <si>
    <t>荚膜</t>
  </si>
  <si>
    <t>瓣胃</t>
  </si>
  <si>
    <t>刚毛</t>
  </si>
  <si>
    <t>shoinqu'end</t>
    <phoneticPr fontId="1" type="noConversion"/>
  </si>
  <si>
    <t>liethe</t>
    <phoneticPr fontId="1" type="noConversion"/>
  </si>
  <si>
    <t>d'ojshcojvin</t>
    <phoneticPr fontId="1" type="noConversion"/>
  </si>
  <si>
    <t>nefron</t>
    <phoneticPr fontId="1" type="noConversion"/>
  </si>
  <si>
    <t>（树木）髓</t>
    <phoneticPr fontId="1" type="noConversion"/>
  </si>
  <si>
    <t>2-7</t>
    <phoneticPr fontId="1" type="noConversion"/>
  </si>
  <si>
    <t>piamater</t>
    <phoneticPr fontId="1" type="noConversion"/>
  </si>
  <si>
    <t>眼光</t>
    <phoneticPr fontId="1" type="noConversion"/>
  </si>
  <si>
    <t>cerlaus</t>
    <phoneticPr fontId="1" type="noConversion"/>
  </si>
  <si>
    <t>眼窝</t>
    <phoneticPr fontId="1" type="noConversion"/>
  </si>
  <si>
    <t>0-2</t>
    <phoneticPr fontId="1" type="noConversion"/>
  </si>
  <si>
    <t>4-0-1</t>
    <phoneticPr fontId="1" type="noConversion"/>
  </si>
  <si>
    <t>1-0-7</t>
    <phoneticPr fontId="1" type="noConversion"/>
  </si>
  <si>
    <t>clorosutra</t>
    <phoneticPr fontId="1" type="noConversion"/>
  </si>
  <si>
    <t>5-2</t>
    <phoneticPr fontId="1" type="noConversion"/>
  </si>
  <si>
    <t>6-2</t>
    <phoneticPr fontId="1" type="noConversion"/>
  </si>
  <si>
    <t>7-2</t>
    <phoneticPr fontId="1" type="noConversion"/>
  </si>
  <si>
    <t>44</t>
    <phoneticPr fontId="1" type="noConversion"/>
  </si>
  <si>
    <t>foto</t>
    <phoneticPr fontId="1" type="noConversion"/>
  </si>
  <si>
    <t>ultrabjute</t>
    <phoneticPr fontId="1" type="noConversion"/>
  </si>
  <si>
    <t>ultrabjute-jac</t>
    <phoneticPr fontId="1" type="noConversion"/>
  </si>
  <si>
    <t>infereng</t>
    <phoneticPr fontId="1" type="noConversion"/>
  </si>
  <si>
    <t>micrealowabêlis</t>
    <phoneticPr fontId="1" type="noConversion"/>
  </si>
  <si>
    <t>terahazhy wabêlis</t>
    <phoneticPr fontId="1" type="noConversion"/>
  </si>
  <si>
    <t>x. stedium</t>
    <phoneticPr fontId="1" type="noConversion"/>
  </si>
  <si>
    <t>α. stedium</t>
    <phoneticPr fontId="1" type="noConversion"/>
  </si>
  <si>
    <t>β. stedium</t>
    <phoneticPr fontId="1" type="noConversion"/>
  </si>
  <si>
    <t>γ. stedium</t>
    <phoneticPr fontId="1" type="noConversion"/>
  </si>
  <si>
    <t>Roentgen stedium</t>
    <phoneticPr fontId="1" type="noConversion"/>
  </si>
  <si>
    <t>ultrasonic</t>
    <phoneticPr fontId="1" type="noConversion"/>
  </si>
  <si>
    <t>unsisonic</t>
    <phoneticPr fontId="1" type="noConversion"/>
  </si>
  <si>
    <t>frala</t>
    <phoneticPr fontId="1" type="noConversion"/>
  </si>
  <si>
    <t>wabêlis</t>
    <phoneticPr fontId="1" type="noConversion"/>
  </si>
  <si>
    <t>biedoun</t>
    <phoneticPr fontId="1" type="noConversion"/>
  </si>
  <si>
    <t>wabêlislonjour</t>
    <phoneticPr fontId="1" type="noConversion"/>
  </si>
  <si>
    <t>wabêlis-nechemunsir</t>
    <phoneticPr fontId="1" type="noConversion"/>
  </si>
  <si>
    <t>wabêlipon</t>
    <phoneticPr fontId="1" type="noConversion"/>
  </si>
  <si>
    <t>wabêlis-sorgifit</t>
    <phoneticPr fontId="1" type="noConversion"/>
  </si>
  <si>
    <t>wabêlis-wadi</t>
    <phoneticPr fontId="1" type="noConversion"/>
  </si>
  <si>
    <t>innertis</t>
    <phoneticPr fontId="1" type="noConversion"/>
  </si>
  <si>
    <t>yavlecis</t>
    <phoneticPr fontId="1" type="noConversion"/>
  </si>
  <si>
    <t>dulfisha yavlecis</t>
    <phoneticPr fontId="1" type="noConversion"/>
  </si>
  <si>
    <t>tota yavlecis</t>
    <phoneticPr fontId="1" type="noConversion"/>
  </si>
  <si>
    <t>spereum</t>
    <phoneticPr fontId="1" type="noConversion"/>
  </si>
  <si>
    <t>trlmisto</t>
    <phoneticPr fontId="1" type="noConversion"/>
  </si>
  <si>
    <t>differenco</t>
    <phoneticPr fontId="1" type="noConversion"/>
  </si>
  <si>
    <t>particil</t>
    <phoneticPr fontId="1" type="noConversion"/>
  </si>
  <si>
    <t>partilicil</t>
    <phoneticPr fontId="1" type="noConversion"/>
  </si>
  <si>
    <t>aton</t>
    <phoneticPr fontId="1" type="noConversion"/>
  </si>
  <si>
    <t>neotron</t>
    <phoneticPr fontId="1" type="noConversion"/>
  </si>
  <si>
    <t>proton</t>
    <phoneticPr fontId="1" type="noConversion"/>
  </si>
  <si>
    <t>pozitron</t>
    <phoneticPr fontId="1" type="noConversion"/>
  </si>
  <si>
    <t>pozitif de electron</t>
    <phoneticPr fontId="1" type="noConversion"/>
  </si>
  <si>
    <t>xithproton</t>
    <phoneticPr fontId="1" type="noConversion"/>
  </si>
  <si>
    <t>foton</t>
    <phoneticPr fontId="1" type="noConversion"/>
  </si>
  <si>
    <t>ion</t>
    <phoneticPr fontId="1" type="noConversion"/>
  </si>
  <si>
    <t>cation</t>
    <phoneticPr fontId="1" type="noConversion"/>
  </si>
  <si>
    <t>anion</t>
    <phoneticPr fontId="1" type="noConversion"/>
  </si>
  <si>
    <t>moleculo</t>
    <phoneticPr fontId="1" type="noConversion"/>
  </si>
  <si>
    <t>qu'uac</t>
    <phoneticPr fontId="1" type="noConversion"/>
  </si>
  <si>
    <t>de moleculo menteu</t>
    <phoneticPr fontId="1" type="noConversion"/>
  </si>
  <si>
    <t>mesoton</t>
    <phoneticPr fontId="1" type="noConversion"/>
  </si>
  <si>
    <t>mesotron</t>
    <phoneticPr fontId="1" type="noConversion"/>
  </si>
  <si>
    <t>misoton</t>
    <phoneticPr fontId="1" type="noConversion"/>
  </si>
  <si>
    <t>meson</t>
    <phoneticPr fontId="1" type="noConversion"/>
  </si>
  <si>
    <t>enerus de particil</t>
    <phoneticPr fontId="1" type="noConversion"/>
  </si>
  <si>
    <t>eneroparticil</t>
    <phoneticPr fontId="1" type="noConversion"/>
  </si>
  <si>
    <t>muon</t>
    <phoneticPr fontId="1" type="noConversion"/>
  </si>
  <si>
    <t>μon</t>
    <phoneticPr fontId="1" type="noConversion"/>
  </si>
  <si>
    <t>qu'appa meson</t>
    <phoneticPr fontId="1" type="noConversion"/>
  </si>
  <si>
    <t>qu'aon</t>
    <phoneticPr fontId="1" type="noConversion"/>
  </si>
  <si>
    <t>κon</t>
    <phoneticPr fontId="1" type="noConversion"/>
  </si>
  <si>
    <t>pâon</t>
    <phoneticPr fontId="1" type="noConversion"/>
  </si>
  <si>
    <t>πon</t>
    <phoneticPr fontId="1" type="noConversion"/>
  </si>
  <si>
    <t>neotrino</t>
    <phoneticPr fontId="1" type="noConversion"/>
  </si>
  <si>
    <t>taon</t>
    <phoneticPr fontId="1" type="noConversion"/>
  </si>
  <si>
    <t>τon</t>
    <phoneticPr fontId="1" type="noConversion"/>
  </si>
  <si>
    <t>gluton</t>
    <phoneticPr fontId="1" type="noConversion"/>
  </si>
  <si>
    <t>fâon</t>
    <phoneticPr fontId="1" type="noConversion"/>
  </si>
  <si>
    <t>φon</t>
    <phoneticPr fontId="1" type="noConversion"/>
  </si>
  <si>
    <t>boson</t>
    <phoneticPr fontId="1" type="noConversion"/>
  </si>
  <si>
    <t>J particil</t>
    <phoneticPr fontId="1" type="noConversion"/>
  </si>
  <si>
    <t>J meson</t>
    <phoneticPr fontId="1" type="noConversion"/>
  </si>
  <si>
    <t>μ meson</t>
    <phoneticPr fontId="1" type="noConversion"/>
  </si>
  <si>
    <t>κ meson</t>
    <phoneticPr fontId="1" type="noConversion"/>
  </si>
  <si>
    <t>π meson</t>
    <phoneticPr fontId="1" type="noConversion"/>
  </si>
  <si>
    <t>τ meson</t>
    <phoneticPr fontId="1" type="noConversion"/>
  </si>
  <si>
    <t>φ meson</t>
    <phoneticPr fontId="1" type="noConversion"/>
  </si>
  <si>
    <t>hadron</t>
    <phoneticPr fontId="1" type="noConversion"/>
  </si>
  <si>
    <t>lepron</t>
    <phoneticPr fontId="1" type="noConversion"/>
  </si>
  <si>
    <t>baryan</t>
    <phoneticPr fontId="1" type="noConversion"/>
  </si>
  <si>
    <t>gonristo de boson</t>
    <phoneticPr fontId="1" type="noConversion"/>
  </si>
  <si>
    <t>fermion</t>
    <phoneticPr fontId="1" type="noConversion"/>
  </si>
  <si>
    <t>Higgs boson</t>
    <phoneticPr fontId="1" type="noConversion"/>
  </si>
  <si>
    <t>qien-qu'uac</t>
    <phoneticPr fontId="1" type="noConversion"/>
  </si>
  <si>
    <t>zui-qu'uac</t>
    <phoneticPr fontId="1" type="noConversion"/>
  </si>
  <si>
    <t>parton</t>
    <phoneticPr fontId="1" type="noConversion"/>
  </si>
  <si>
    <t>acebeyado de qu'uac</t>
    <phoneticPr fontId="1" type="noConversion"/>
  </si>
  <si>
    <t>mercange de qu'uac</t>
    <phoneticPr fontId="1" type="noConversion"/>
  </si>
  <si>
    <t>dalem de qu'uac</t>
    <phoneticPr fontId="1" type="noConversion"/>
  </si>
  <si>
    <t>bohax de qu'uac</t>
    <phoneticPr fontId="1" type="noConversion"/>
  </si>
  <si>
    <t>coniunctus</t>
    <phoneticPr fontId="1" type="noConversion"/>
  </si>
  <si>
    <t>enerus de calerma</t>
    <phoneticPr fontId="1" type="noConversion"/>
  </si>
  <si>
    <t>de viagel calerma</t>
    <phoneticPr fontId="1" type="noConversion"/>
  </si>
  <si>
    <t>clorocalerma</t>
    <phoneticPr fontId="1" type="noConversion"/>
  </si>
  <si>
    <t>hyperon</t>
    <phoneticPr fontId="1" type="noConversion"/>
  </si>
  <si>
    <t>nuclon</t>
    <phoneticPr fontId="1" type="noConversion"/>
  </si>
  <si>
    <t>unsiaton de particil</t>
    <phoneticPr fontId="1" type="noConversion"/>
  </si>
  <si>
    <t>paritia</t>
    <phoneticPr fontId="1" type="noConversion"/>
  </si>
  <si>
    <t>defconso</t>
    <phoneticPr fontId="1" type="noConversion"/>
  </si>
  <si>
    <t>decamonto</t>
    <phoneticPr fontId="1" type="noConversion"/>
  </si>
  <si>
    <t>stedium catode</t>
    <phoneticPr fontId="1" type="noConversion"/>
  </si>
  <si>
    <t>catode stedium</t>
    <phoneticPr fontId="1" type="noConversion"/>
  </si>
  <si>
    <t>jasnt Avogadro</t>
    <phoneticPr fontId="1" type="noConversion"/>
  </si>
  <si>
    <t>de Broglie wabêlis</t>
    <phoneticPr fontId="1" type="noConversion"/>
  </si>
  <si>
    <t>de massy wabêlis</t>
    <phoneticPr fontId="1" type="noConversion"/>
  </si>
  <si>
    <t>laser</t>
    <phoneticPr fontId="1" type="noConversion"/>
  </si>
  <si>
    <t>de electron transicion</t>
    <phoneticPr fontId="1" type="noConversion"/>
  </si>
  <si>
    <t>crystalivâdo</t>
    <phoneticPr fontId="1" type="noConversion"/>
  </si>
  <si>
    <t>schrodinger</t>
    <phoneticPr fontId="1" type="noConversion"/>
  </si>
  <si>
    <t>electronvâdo</t>
    <phoneticPr fontId="1" type="noConversion"/>
  </si>
  <si>
    <t>semicodon</t>
    <phoneticPr fontId="1" type="noConversion"/>
  </si>
  <si>
    <t>codon</t>
    <phoneticPr fontId="1" type="noConversion"/>
  </si>
  <si>
    <t>biedoun dynamiqu'e</t>
    <phoneticPr fontId="1" type="noConversion"/>
  </si>
  <si>
    <t>heturomero</t>
    <phoneticPr fontId="1" type="noConversion"/>
  </si>
  <si>
    <t>cuvospuent Wilson</t>
    <phoneticPr fontId="1" type="noConversion"/>
  </si>
  <si>
    <t>cuvospuent</t>
    <phoneticPr fontId="1" type="noConversion"/>
  </si>
  <si>
    <t>enorêchto</t>
    <phoneticPr fontId="1" type="noConversion"/>
  </si>
  <si>
    <t>micrealorêchto</t>
    <phoneticPr fontId="1" type="noConversion"/>
  </si>
  <si>
    <t>elastice</t>
    <phoneticPr fontId="1" type="noConversion"/>
  </si>
  <si>
    <t>strilfrala</t>
    <phoneticPr fontId="1" type="noConversion"/>
  </si>
  <si>
    <t>gravitat</t>
    <phoneticPr fontId="1" type="noConversion"/>
  </si>
  <si>
    <t>光</t>
  </si>
  <si>
    <t>紫外线</t>
  </si>
  <si>
    <t>红外线</t>
  </si>
  <si>
    <t>微波</t>
  </si>
  <si>
    <t>太赫兹波</t>
  </si>
  <si>
    <t>X射线</t>
  </si>
  <si>
    <t>α射线</t>
  </si>
  <si>
    <t>β射线</t>
  </si>
  <si>
    <t>γ射线</t>
  </si>
  <si>
    <t>伦琴射线</t>
  </si>
  <si>
    <t>autous</t>
    <phoneticPr fontId="1" type="noConversion"/>
  </si>
  <si>
    <t>声</t>
  </si>
  <si>
    <t>超声波</t>
  </si>
  <si>
    <t>次声波</t>
  </si>
  <si>
    <t>电</t>
  </si>
  <si>
    <t>力</t>
  </si>
  <si>
    <t>波</t>
  </si>
  <si>
    <t>波长</t>
  </si>
  <si>
    <t>波源</t>
  </si>
  <si>
    <t>波峰</t>
  </si>
  <si>
    <t>波谷</t>
  </si>
  <si>
    <t>惯性</t>
  </si>
  <si>
    <t>反射</t>
  </si>
  <si>
    <t>折射</t>
  </si>
  <si>
    <t>漫反射</t>
  </si>
  <si>
    <t>全反射</t>
  </si>
  <si>
    <t>散射</t>
  </si>
  <si>
    <t>透射</t>
  </si>
  <si>
    <t>衍射</t>
  </si>
  <si>
    <t>折射率</t>
  </si>
  <si>
    <t>位移</t>
  </si>
  <si>
    <t>路程</t>
  </si>
  <si>
    <t>粒子</t>
  </si>
  <si>
    <t>准粒子</t>
  </si>
  <si>
    <t>电子</t>
  </si>
  <si>
    <t>中子</t>
  </si>
  <si>
    <t>质子</t>
  </si>
  <si>
    <t>正电子</t>
  </si>
  <si>
    <t>反质子</t>
  </si>
  <si>
    <t>光子</t>
  </si>
  <si>
    <t>离子</t>
  </si>
  <si>
    <t>阴离子</t>
  </si>
  <si>
    <t>阳离子</t>
  </si>
  <si>
    <t>分子</t>
  </si>
  <si>
    <t>夸克</t>
  </si>
  <si>
    <t>分子量</t>
  </si>
  <si>
    <t>相对分子质量</t>
  </si>
  <si>
    <t>介子</t>
  </si>
  <si>
    <t>摩尔质量</t>
  </si>
  <si>
    <t>同位素</t>
  </si>
  <si>
    <t>基本粒子</t>
  </si>
  <si>
    <t>μ子，缪子，渺子</t>
  </si>
  <si>
    <t>κ介子</t>
    <phoneticPr fontId="1" type="noConversion"/>
  </si>
  <si>
    <t>π介子</t>
    <phoneticPr fontId="1" type="noConversion"/>
  </si>
  <si>
    <t>中微子</t>
    <phoneticPr fontId="1" type="noConversion"/>
  </si>
  <si>
    <t>τ介子，τ子，陶子</t>
    <phoneticPr fontId="1" type="noConversion"/>
  </si>
  <si>
    <t>胶子</t>
    <phoneticPr fontId="1" type="noConversion"/>
  </si>
  <si>
    <t>φ介子，J介子</t>
    <phoneticPr fontId="1" type="noConversion"/>
  </si>
  <si>
    <t>玻色子</t>
    <phoneticPr fontId="1" type="noConversion"/>
  </si>
  <si>
    <t>强子</t>
  </si>
  <si>
    <t>轻子</t>
  </si>
  <si>
    <t>重子</t>
  </si>
  <si>
    <t>规范玻色子</t>
  </si>
  <si>
    <t>费米子</t>
  </si>
  <si>
    <t>希格斯玻色子</t>
  </si>
  <si>
    <t>上夸克</t>
  </si>
  <si>
    <t>下夸克</t>
  </si>
  <si>
    <t>部分子</t>
  </si>
  <si>
    <t>粲夸克</t>
  </si>
  <si>
    <t>奇异夸克</t>
  </si>
  <si>
    <t>顶夸克</t>
  </si>
  <si>
    <t>底夸克</t>
  </si>
  <si>
    <t>耦合</t>
  </si>
  <si>
    <t>元电荷</t>
  </si>
  <si>
    <t>色荷</t>
  </si>
  <si>
    <t>超子</t>
  </si>
  <si>
    <t>核子</t>
  </si>
  <si>
    <t>次原子粒子</t>
  </si>
  <si>
    <t>宇称</t>
  </si>
  <si>
    <t>衰变</t>
  </si>
  <si>
    <t>阴极射线</t>
  </si>
  <si>
    <t>阿伏伽德罗常数</t>
  </si>
  <si>
    <t>强相互作用</t>
  </si>
  <si>
    <t>弱相互作用</t>
  </si>
  <si>
    <t>电磁相互作用</t>
  </si>
  <si>
    <t>德布罗意波</t>
  </si>
  <si>
    <t>物质波</t>
  </si>
  <si>
    <t>激光</t>
  </si>
  <si>
    <t>电子跃迁</t>
  </si>
  <si>
    <t>晶体管</t>
  </si>
  <si>
    <t>二极管</t>
  </si>
  <si>
    <t>三极管</t>
  </si>
  <si>
    <t>光导纤维</t>
  </si>
  <si>
    <t>薛定谔方程</t>
  </si>
  <si>
    <t>电子管</t>
  </si>
  <si>
    <t>半导体</t>
  </si>
  <si>
    <t>导体</t>
  </si>
  <si>
    <t>绝缘体</t>
  </si>
  <si>
    <t>波动力学</t>
  </si>
  <si>
    <t>矩阵力学</t>
  </si>
  <si>
    <t>同分异构体</t>
  </si>
  <si>
    <t>威尔逊云室</t>
  </si>
  <si>
    <t>引力相互作用</t>
  </si>
  <si>
    <t>宏观</t>
  </si>
  <si>
    <t>微观</t>
  </si>
  <si>
    <t>万有引力</t>
  </si>
  <si>
    <t>压力</t>
  </si>
  <si>
    <t>弹力</t>
  </si>
  <si>
    <t>支持力</t>
  </si>
  <si>
    <t>重力；严重性</t>
  </si>
  <si>
    <t>摩擦力</t>
  </si>
  <si>
    <t>拉力</t>
  </si>
  <si>
    <t>结合能</t>
  </si>
  <si>
    <t>比结合能</t>
  </si>
  <si>
    <t>长程力</t>
  </si>
  <si>
    <t>短程力</t>
  </si>
  <si>
    <t>质量亏损</t>
  </si>
  <si>
    <t>核反应</t>
  </si>
  <si>
    <t>核裂变</t>
  </si>
  <si>
    <t>核聚变</t>
  </si>
  <si>
    <t>链式反应</t>
  </si>
  <si>
    <t>热值，燃值</t>
  </si>
  <si>
    <t>热容量</t>
  </si>
  <si>
    <t>比热容</t>
  </si>
  <si>
    <t>托卡马克</t>
  </si>
  <si>
    <t>量子力学</t>
  </si>
  <si>
    <t>布朗运动</t>
  </si>
  <si>
    <t>显微镜</t>
  </si>
  <si>
    <t>扫描隧道显微镜</t>
  </si>
  <si>
    <t>斥力；排斥；排异</t>
  </si>
  <si>
    <t>热量</t>
  </si>
  <si>
    <t>速率</t>
  </si>
  <si>
    <t>速度</t>
  </si>
  <si>
    <t>统计规律</t>
  </si>
  <si>
    <t>分子数密度</t>
  </si>
  <si>
    <t>内能</t>
  </si>
  <si>
    <t>势能</t>
  </si>
  <si>
    <t>动能</t>
  </si>
  <si>
    <t>效应</t>
  </si>
  <si>
    <t>重力势能</t>
  </si>
  <si>
    <t>热能</t>
  </si>
  <si>
    <t>弹性势能</t>
  </si>
  <si>
    <t>热力学</t>
  </si>
  <si>
    <t>状态参量</t>
  </si>
  <si>
    <t>平衡态</t>
  </si>
  <si>
    <t>热平衡</t>
  </si>
  <si>
    <t>nucloviecinu</t>
    <phoneticPr fontId="1" type="noConversion"/>
  </si>
  <si>
    <t>stâwat</t>
    <phoneticPr fontId="1" type="noConversion"/>
  </si>
  <si>
    <t>de hitaca stâwat</t>
    <phoneticPr fontId="1" type="noConversion"/>
  </si>
  <si>
    <t>de hitaca marasaut</t>
    <phoneticPr fontId="1" type="noConversion"/>
  </si>
  <si>
    <t>termodouvusar</t>
    <phoneticPr fontId="1" type="noConversion"/>
  </si>
  <si>
    <t>de hitaca douvusar</t>
    <phoneticPr fontId="1" type="noConversion"/>
  </si>
  <si>
    <t>tocamac</t>
    <phoneticPr fontId="1" type="noConversion"/>
  </si>
  <si>
    <t>qu'antam mecaniqu'e</t>
    <phoneticPr fontId="1" type="noConversion"/>
  </si>
  <si>
    <t>Brounian mouvmonto</t>
    <phoneticPr fontId="1" type="noConversion"/>
  </si>
  <si>
    <t>micrealoscopo</t>
    <phoneticPr fontId="1" type="noConversion"/>
  </si>
  <si>
    <t>scano tunelo micrealoscopo</t>
    <phoneticPr fontId="1" type="noConversion"/>
  </si>
  <si>
    <t>repulsion</t>
    <phoneticPr fontId="1" type="noConversion"/>
  </si>
  <si>
    <t>hitaca</t>
    <phoneticPr fontId="1" type="noConversion"/>
  </si>
  <si>
    <t>velocita</t>
    <phoneticPr fontId="1" type="noConversion"/>
  </si>
  <si>
    <t>velus</t>
    <phoneticPr fontId="1" type="noConversion"/>
  </si>
  <si>
    <t>la statistica loigt</t>
    <phoneticPr fontId="1" type="noConversion"/>
  </si>
  <si>
    <t>statisloigt</t>
    <phoneticPr fontId="1" type="noConversion"/>
  </si>
  <si>
    <t>de moleculo numerlo densocta</t>
    <phoneticPr fontId="1" type="noConversion"/>
  </si>
  <si>
    <t>intraelênvâg</t>
    <phoneticPr fontId="1" type="noConversion"/>
  </si>
  <si>
    <t>motonizocelênvâg</t>
    <phoneticPr fontId="1" type="noConversion"/>
  </si>
  <si>
    <t>cinetiqu'elênvâg</t>
    <phoneticPr fontId="1" type="noConversion"/>
  </si>
  <si>
    <t>efecat</t>
    <phoneticPr fontId="1" type="noConversion"/>
  </si>
  <si>
    <t>termoelênvâg</t>
    <phoneticPr fontId="1" type="noConversion"/>
  </si>
  <si>
    <t>termodynamiqu'e</t>
    <phoneticPr fontId="1" type="noConversion"/>
  </si>
  <si>
    <t>stantâc de menteu</t>
    <phoneticPr fontId="1" type="noConversion"/>
  </si>
  <si>
    <t>equ'itarium stant</t>
    <phoneticPr fontId="1" type="noConversion"/>
  </si>
  <si>
    <t>termoqu'itarium</t>
    <phoneticPr fontId="1" type="noConversion"/>
  </si>
  <si>
    <t>temperaturmesut</t>
    <phoneticPr fontId="1" type="noConversion"/>
  </si>
  <si>
    <t>temperatur</t>
    <phoneticPr fontId="1" type="noConversion"/>
  </si>
  <si>
    <t>de termodynamiqu'e temperatur</t>
    <phoneticPr fontId="1" type="noConversion"/>
  </si>
  <si>
    <t>temperatur-termodynamiqu'e</t>
    <phoneticPr fontId="1" type="noConversion"/>
  </si>
  <si>
    <t>electric motonizoc</t>
    <phoneticPr fontId="1" type="noConversion"/>
  </si>
  <si>
    <t>electrimotonizoc</t>
    <phoneticPr fontId="1" type="noConversion"/>
  </si>
  <si>
    <t>electric motonizocelênvâg</t>
    <phoneticPr fontId="1" type="noConversion"/>
  </si>
  <si>
    <t>electrimotonizocelênvâg</t>
    <phoneticPr fontId="1" type="noConversion"/>
  </si>
  <si>
    <t>venlsie</t>
    <phoneticPr fontId="1" type="noConversion"/>
  </si>
  <si>
    <t>de electric cureat</t>
    <phoneticPr fontId="1" type="noConversion"/>
  </si>
  <si>
    <t>temperaturzero</t>
    <phoneticPr fontId="1" type="noConversion"/>
  </si>
  <si>
    <t>de Boyl loigt</t>
    <phoneticPr fontId="1" type="noConversion"/>
  </si>
  <si>
    <t>de Gay-Lûssac loigt</t>
    <phoneticPr fontId="1" type="noConversion"/>
  </si>
  <si>
    <t>de Charlis loigt</t>
    <phoneticPr fontId="1" type="noConversion"/>
  </si>
  <si>
    <t>de Clapeyron loigt</t>
    <phoneticPr fontId="1" type="noConversion"/>
  </si>
  <si>
    <t>crystali</t>
    <phoneticPr fontId="1" type="noConversion"/>
  </si>
  <si>
    <t>amorfous</t>
    <phoneticPr fontId="1" type="noConversion"/>
  </si>
  <si>
    <t>xithcrystali</t>
    <phoneticPr fontId="1" type="noConversion"/>
  </si>
  <si>
    <t>monocrystali</t>
    <phoneticPr fontId="1" type="noConversion"/>
  </si>
  <si>
    <t>polycrystali</t>
    <phoneticPr fontId="1" type="noConversion"/>
  </si>
  <si>
    <t>de crystali zalun</t>
    <phoneticPr fontId="1" type="noConversion"/>
  </si>
  <si>
    <t>tensio</t>
    <phoneticPr fontId="1" type="noConversion"/>
  </si>
  <si>
    <t>capillarium</t>
    <phoneticPr fontId="1" type="noConversion"/>
  </si>
  <si>
    <t>licrystali</t>
    <phoneticPr fontId="1" type="noConversion"/>
  </si>
  <si>
    <t>albi</t>
    <phoneticPr fontId="1" type="noConversion"/>
  </si>
  <si>
    <t>scalar</t>
    <phoneticPr fontId="1" type="noConversion"/>
  </si>
  <si>
    <t>vector</t>
    <phoneticPr fontId="1" type="noConversion"/>
  </si>
  <si>
    <t>complexor</t>
    <phoneticPr fontId="1" type="noConversion"/>
  </si>
  <si>
    <t>hirbace</t>
    <phoneticPr fontId="1" type="noConversion"/>
  </si>
  <si>
    <t>de electric hirbace</t>
    <phoneticPr fontId="1" type="noConversion"/>
  </si>
  <si>
    <t>hirbacelacop</t>
    <phoneticPr fontId="1" type="noConversion"/>
  </si>
  <si>
    <t>cavactun</t>
    <phoneticPr fontId="1" type="noConversion"/>
  </si>
  <si>
    <t>de electric cavactun</t>
    <phoneticPr fontId="1" type="noConversion"/>
  </si>
  <si>
    <t>cavactunlacop</t>
    <phoneticPr fontId="1" type="noConversion"/>
  </si>
  <si>
    <t>înductjecen</t>
    <phoneticPr fontId="1" type="noConversion"/>
  </si>
  <si>
    <t>termoradio</t>
    <phoneticPr fontId="1" type="noConversion"/>
  </si>
  <si>
    <t>termoradiorin</t>
    <phoneticPr fontId="1" type="noConversion"/>
  </si>
  <si>
    <t>de Hess loigt</t>
    <phoneticPr fontId="1" type="noConversion"/>
  </si>
  <si>
    <t>elênvâg</t>
    <phoneticPr fontId="1" type="noConversion"/>
  </si>
  <si>
    <t>termodapo</t>
    <phoneticPr fontId="1" type="noConversion"/>
  </si>
  <si>
    <t>niblascasir</t>
    <phoneticPr fontId="1" type="noConversion"/>
  </si>
  <si>
    <t>nibla'hcara</t>
    <phoneticPr fontId="1" type="noConversion"/>
  </si>
  <si>
    <t>de niblascasir radiorin</t>
    <phoneticPr fontId="1" type="noConversion"/>
  </si>
  <si>
    <t>jasnt Planca</t>
    <phoneticPr fontId="1" type="noConversion"/>
  </si>
  <si>
    <t>foto-electron efecat</t>
    <phoneticPr fontId="1" type="noConversion"/>
  </si>
  <si>
    <t>venlsiezero</t>
    <phoneticPr fontId="1" type="noConversion"/>
  </si>
  <si>
    <t>cureatzero</t>
    <phoneticPr fontId="1" type="noConversion"/>
  </si>
  <si>
    <t>de electric riqu'a</t>
    <phoneticPr fontId="1" type="noConversion"/>
  </si>
  <si>
    <t>de electric riqu'a widenry</t>
    <phoneticPr fontId="1" type="noConversion"/>
  </si>
  <si>
    <t>hirbacezero</t>
    <phoneticPr fontId="1" type="noConversion"/>
  </si>
  <si>
    <t>mezangiusinol de electrizero</t>
    <phoneticPr fontId="1" type="noConversion"/>
  </si>
  <si>
    <t>hitacasecura</t>
    <phoneticPr fontId="1" type="noConversion"/>
  </si>
  <si>
    <t>de Compton efecat</t>
    <phoneticPr fontId="1" type="noConversion"/>
  </si>
  <si>
    <t>fotoelectrivâdo</t>
    <phoneticPr fontId="1" type="noConversion"/>
  </si>
  <si>
    <t>catodevâdo</t>
    <phoneticPr fontId="1" type="noConversion"/>
  </si>
  <si>
    <t>electripon</t>
    <phoneticPr fontId="1" type="noConversion"/>
  </si>
  <si>
    <t>luti</t>
    <phoneticPr fontId="1" type="noConversion"/>
  </si>
  <si>
    <t>hlatun</t>
    <phoneticPr fontId="1" type="noConversion"/>
  </si>
  <si>
    <t>pota Lagrange</t>
    <phoneticPr fontId="1" type="noConversion"/>
  </si>
  <si>
    <t>hirbacefrala</t>
    <phoneticPr fontId="1" type="noConversion"/>
  </si>
  <si>
    <t>de magnacav riqu'a</t>
    <phoneticPr fontId="1" type="noConversion"/>
  </si>
  <si>
    <t>de gravitat riqu'a</t>
    <phoneticPr fontId="1" type="noConversion"/>
  </si>
  <si>
    <t>pesusta</t>
    <phoneticPr fontId="1" type="noConversion"/>
  </si>
  <si>
    <t>lonjour</t>
    <phoneticPr fontId="1" type="noConversion"/>
  </si>
  <si>
    <t>hotsa</t>
    <phoneticPr fontId="1" type="noConversion"/>
  </si>
  <si>
    <t>masty</t>
    <phoneticPr fontId="1" type="noConversion"/>
  </si>
  <si>
    <t>volumod</t>
    <phoneticPr fontId="1" type="noConversion"/>
  </si>
  <si>
    <t>massy</t>
    <phoneticPr fontId="1" type="noConversion"/>
  </si>
  <si>
    <t>de massy menteu</t>
    <phoneticPr fontId="1" type="noConversion"/>
  </si>
  <si>
    <t>sareoso</t>
    <phoneticPr fontId="1" type="noConversion"/>
  </si>
  <si>
    <t>densocta</t>
    <phoneticPr fontId="1" type="noConversion"/>
  </si>
  <si>
    <t>pota</t>
    <phoneticPr fontId="1" type="noConversion"/>
  </si>
  <si>
    <t>pota masty</t>
    <phoneticPr fontId="1" type="noConversion"/>
  </si>
  <si>
    <t>centre masty</t>
    <phoneticPr fontId="1" type="noConversion"/>
  </si>
  <si>
    <t>lincav</t>
    <phoneticPr fontId="1" type="noConversion"/>
  </si>
  <si>
    <t>pirotacfub</t>
    <phoneticPr fontId="1" type="noConversion"/>
  </si>
  <si>
    <t>presulir</t>
    <phoneticPr fontId="1" type="noConversion"/>
  </si>
  <si>
    <t>feramcar-presulir</t>
    <phoneticPr fontId="1" type="noConversion"/>
  </si>
  <si>
    <t>tumund</t>
    <phoneticPr fontId="1" type="noConversion"/>
  </si>
  <si>
    <t>liqu'alin</t>
    <phoneticPr fontId="1" type="noConversion"/>
  </si>
  <si>
    <t>datrobat</t>
    <phoneticPr fontId="1" type="noConversion"/>
  </si>
  <si>
    <t>datrobatorin</t>
    <phoneticPr fontId="1" type="noConversion"/>
  </si>
  <si>
    <t>percsir</t>
    <phoneticPr fontId="1" type="noConversion"/>
  </si>
  <si>
    <t>percsirscasir</t>
    <phoneticPr fontId="1" type="noConversion"/>
  </si>
  <si>
    <t>unbohete</t>
    <phoneticPr fontId="1" type="noConversion"/>
  </si>
  <si>
    <t>filtra</t>
    <phoneticPr fontId="1" type="noConversion"/>
  </si>
  <si>
    <t>filtrarin</t>
    <phoneticPr fontId="1" type="noConversion"/>
  </si>
  <si>
    <t>brôtams</t>
    <phoneticPr fontId="1" type="noConversion"/>
  </si>
  <si>
    <t>foneriqu'a</t>
    <phoneticPr fontId="1" type="noConversion"/>
  </si>
  <si>
    <t>choqu'</t>
    <phoneticPr fontId="1" type="noConversion"/>
  </si>
  <si>
    <t>ustalirin</t>
    <phoneticPr fontId="1" type="noConversion"/>
  </si>
  <si>
    <t>choqu'enerus</t>
    <phoneticPr fontId="1" type="noConversion"/>
  </si>
  <si>
    <t>choqu'ipon</t>
    <phoneticPr fontId="1" type="noConversion"/>
  </si>
  <si>
    <t>choqu'centre</t>
    <phoneticPr fontId="1" type="noConversion"/>
  </si>
  <si>
    <t>univarsus</t>
    <phoneticPr fontId="1" type="noConversion"/>
  </si>
  <si>
    <t>ducent</t>
    <phoneticPr fontId="1" type="noConversion"/>
  </si>
  <si>
    <t>luacat</t>
    <phoneticPr fontId="1" type="noConversion"/>
  </si>
  <si>
    <t>plast</t>
    <phoneticPr fontId="1" type="noConversion"/>
  </si>
  <si>
    <t>evitend</t>
    <phoneticPr fontId="1" type="noConversion"/>
  </si>
  <si>
    <t>de Dopler efecat</t>
    <phoneticPr fontId="1" type="noConversion"/>
  </si>
  <si>
    <t>spectrum</t>
    <phoneticPr fontId="1" type="noConversion"/>
  </si>
  <si>
    <t>de syl spectrum</t>
    <phoneticPr fontId="1" type="noConversion"/>
  </si>
  <si>
    <t>la Fraunhofer lincav</t>
    <phoneticPr fontId="1" type="noConversion"/>
  </si>
  <si>
    <t>experimonto</t>
    <phoneticPr fontId="1" type="noConversion"/>
  </si>
  <si>
    <t>fecanran</t>
    <phoneticPr fontId="1" type="noConversion"/>
  </si>
  <si>
    <t>têgaflig</t>
    <phoneticPr fontId="1" type="noConversion"/>
  </si>
  <si>
    <t>liumcu</t>
    <phoneticPr fontId="1" type="noConversion"/>
  </si>
  <si>
    <t>fotoqu'antum</t>
    <phoneticPr fontId="1" type="noConversion"/>
  </si>
  <si>
    <t>celon corde</t>
    <phoneticPr fontId="1" type="noConversion"/>
  </si>
  <si>
    <t>celon ultracorde</t>
    <phoneticPr fontId="1" type="noConversion"/>
  </si>
  <si>
    <t>calerma</t>
    <phoneticPr fontId="1" type="noConversion"/>
  </si>
  <si>
    <t>de electric calerma</t>
    <phoneticPr fontId="1" type="noConversion"/>
  </si>
  <si>
    <t>enerus-calerma</t>
    <phoneticPr fontId="1" type="noConversion"/>
  </si>
  <si>
    <t>pogantemeuc</t>
    <phoneticPr fontId="1" type="noConversion"/>
  </si>
  <si>
    <t>magnacav</t>
    <phoneticPr fontId="1" type="noConversion"/>
  </si>
  <si>
    <t>de magnacav toc</t>
    <phoneticPr fontId="1" type="noConversion"/>
  </si>
  <si>
    <t>de magnacav widenry</t>
    <phoneticPr fontId="1" type="noConversion"/>
  </si>
  <si>
    <t>de magnacav hinbace</t>
    <phoneticPr fontId="1" type="noConversion"/>
  </si>
  <si>
    <t>magnacavtono</t>
    <phoneticPr fontId="1" type="noConversion"/>
  </si>
  <si>
    <t>de jac toc</t>
    <phoneticPr fontId="1" type="noConversion"/>
  </si>
  <si>
    <t>esgimenst</t>
    <phoneticPr fontId="1" type="noConversion"/>
  </si>
  <si>
    <t>radionst</t>
    <phoneticPr fontId="1" type="noConversion"/>
  </si>
  <si>
    <t>angleot</t>
    <phoneticPr fontId="1" type="noConversion"/>
  </si>
  <si>
    <t>de lincav densocta</t>
    <phoneticPr fontId="1" type="noConversion"/>
  </si>
  <si>
    <t>marasaut</t>
    <phoneticPr fontId="1" type="noConversion"/>
  </si>
  <si>
    <t>de jac widenry</t>
    <phoneticPr fontId="1" type="noConversion"/>
  </si>
  <si>
    <t>de jac efeiuca</t>
    <phoneticPr fontId="1" type="noConversion"/>
  </si>
  <si>
    <t>de abciesort dosis</t>
    <phoneticPr fontId="1" type="noConversion"/>
  </si>
  <si>
    <t>dosis</t>
    <phoneticPr fontId="1" type="noConversion"/>
  </si>
  <si>
    <t>de dosis menteu</t>
    <phoneticPr fontId="1" type="noConversion"/>
  </si>
  <si>
    <t>reschittono</t>
    <phoneticPr fontId="1" type="noConversion"/>
  </si>
  <si>
    <t>toxcit</t>
    <phoneticPr fontId="1" type="noConversion"/>
  </si>
  <si>
    <t>laustantono</t>
    <phoneticPr fontId="1" type="noConversion"/>
  </si>
  <si>
    <t>rioce</t>
    <phoneticPr fontId="1" type="noConversion"/>
  </si>
  <si>
    <t>electrimouvmonto frala</t>
    <phoneticPr fontId="1" type="noConversion"/>
  </si>
  <si>
    <t>温标</t>
  </si>
  <si>
    <t>温度</t>
  </si>
  <si>
    <t>热力学温度</t>
  </si>
  <si>
    <t>电势</t>
  </si>
  <si>
    <t>电动势</t>
  </si>
  <si>
    <t>电导</t>
  </si>
  <si>
    <t>电压</t>
  </si>
  <si>
    <t>电流</t>
  </si>
  <si>
    <t>温度计</t>
  </si>
  <si>
    <t>玻意耳定律，波义耳定律，玻意尔定律</t>
  </si>
  <si>
    <t>盖-吕萨克定律</t>
  </si>
  <si>
    <t>查理定律</t>
  </si>
  <si>
    <t>克拉伯龙定理，克拉伯龙定律，克拉伯隆定理</t>
  </si>
  <si>
    <t>晶体</t>
  </si>
  <si>
    <t>非晶体</t>
  </si>
  <si>
    <t>电势能</t>
    <phoneticPr fontId="1" type="noConversion"/>
  </si>
  <si>
    <t>单晶体</t>
  </si>
  <si>
    <t>多晶体</t>
  </si>
  <si>
    <t>各向异性</t>
  </si>
  <si>
    <t>各向同性</t>
  </si>
  <si>
    <t>构型</t>
  </si>
  <si>
    <t>晶胞</t>
  </si>
  <si>
    <t>张力</t>
  </si>
  <si>
    <t>毛细现象</t>
  </si>
  <si>
    <t>液晶</t>
  </si>
  <si>
    <t>结晶</t>
  </si>
  <si>
    <t>标量</t>
  </si>
  <si>
    <t>矢量，向量</t>
  </si>
  <si>
    <t>偏振光</t>
  </si>
  <si>
    <t>绝热过程</t>
  </si>
  <si>
    <t>电阻</t>
  </si>
  <si>
    <t>电阻器</t>
  </si>
  <si>
    <t>电容</t>
  </si>
  <si>
    <t>电容器</t>
  </si>
  <si>
    <t>电感</t>
  </si>
  <si>
    <t>热传递</t>
  </si>
  <si>
    <t>热传导</t>
  </si>
  <si>
    <t>热辐射</t>
  </si>
  <si>
    <t>盖斯定律</t>
  </si>
  <si>
    <t>热库</t>
  </si>
  <si>
    <t>黑体</t>
  </si>
  <si>
    <t>黑体辐射</t>
  </si>
  <si>
    <t>能量子</t>
  </si>
  <si>
    <t>普朗克常量</t>
  </si>
  <si>
    <t>光电效应</t>
  </si>
  <si>
    <t>干涉</t>
  </si>
  <si>
    <t>电压表</t>
  </si>
  <si>
    <t>电流表</t>
  </si>
  <si>
    <t>干涉条纹</t>
  </si>
  <si>
    <t>电场强度</t>
  </si>
  <si>
    <t>电阻表</t>
  </si>
  <si>
    <t>多用电表</t>
  </si>
  <si>
    <t>传感器</t>
  </si>
  <si>
    <t>热机</t>
  </si>
  <si>
    <t>康普顿效应</t>
  </si>
  <si>
    <t>光电管</t>
  </si>
  <si>
    <t>阴极管</t>
  </si>
  <si>
    <t>电源</t>
  </si>
  <si>
    <t>开关</t>
  </si>
  <si>
    <t>电键</t>
  </si>
  <si>
    <t>声呐</t>
  </si>
  <si>
    <t>近地点</t>
  </si>
  <si>
    <t>远地点</t>
  </si>
  <si>
    <t>近日点</t>
  </si>
  <si>
    <t>远日点</t>
  </si>
  <si>
    <t>拉格朗日点</t>
  </si>
  <si>
    <t>电势差</t>
  </si>
  <si>
    <t>简谐运动</t>
  </si>
  <si>
    <t>阻尼运动</t>
  </si>
  <si>
    <t>振子</t>
  </si>
  <si>
    <t>阻力</t>
  </si>
  <si>
    <t>电阻率</t>
  </si>
  <si>
    <t>磁聚焦</t>
  </si>
  <si>
    <t>环流器</t>
  </si>
  <si>
    <t>电场</t>
  </si>
  <si>
    <t>磁场</t>
  </si>
  <si>
    <t>场</t>
  </si>
  <si>
    <t>引力场</t>
  </si>
  <si>
    <t>重力场</t>
  </si>
  <si>
    <t>功率</t>
  </si>
  <si>
    <t>长度</t>
  </si>
  <si>
    <t>电导率</t>
  </si>
  <si>
    <t>高度</t>
  </si>
  <si>
    <t>质量</t>
  </si>
  <si>
    <t>体积</t>
  </si>
  <si>
    <t>物质</t>
  </si>
  <si>
    <t>物质的量</t>
  </si>
  <si>
    <t>物质的量密度</t>
  </si>
  <si>
    <t>气体摩尔体积</t>
  </si>
  <si>
    <t>面积</t>
  </si>
  <si>
    <t>密度</t>
  </si>
  <si>
    <t>点</t>
  </si>
  <si>
    <t>质点</t>
  </si>
  <si>
    <t>质心</t>
  </si>
  <si>
    <t>线</t>
  </si>
  <si>
    <t>面</t>
  </si>
  <si>
    <t>体</t>
  </si>
  <si>
    <t>压强</t>
  </si>
  <si>
    <t>大气压</t>
  </si>
  <si>
    <t>浮力</t>
  </si>
  <si>
    <t>固体</t>
  </si>
  <si>
    <t>液体</t>
  </si>
  <si>
    <t>气体</t>
  </si>
  <si>
    <t>振荡</t>
  </si>
  <si>
    <t>溶液</t>
  </si>
  <si>
    <t>胶体</t>
  </si>
  <si>
    <t>胶粒</t>
  </si>
  <si>
    <t>溶剂</t>
  </si>
  <si>
    <t>溶质</t>
  </si>
  <si>
    <t>萃取</t>
  </si>
  <si>
    <t>反萃取</t>
  </si>
  <si>
    <t>沉淀</t>
  </si>
  <si>
    <t>沉淀物</t>
  </si>
  <si>
    <t>冷凝</t>
  </si>
  <si>
    <t>凝结</t>
  </si>
  <si>
    <t>凝固</t>
  </si>
  <si>
    <t>凝华</t>
  </si>
  <si>
    <t>熔化</t>
  </si>
  <si>
    <t>溶解</t>
  </si>
  <si>
    <t>气化</t>
  </si>
  <si>
    <t>液化</t>
  </si>
  <si>
    <t>蒸发</t>
  </si>
  <si>
    <t>沸腾</t>
  </si>
  <si>
    <t>熔点</t>
  </si>
  <si>
    <t>沸点</t>
  </si>
  <si>
    <t>凝固点</t>
  </si>
  <si>
    <t>升华</t>
  </si>
  <si>
    <t>过滤</t>
  </si>
  <si>
    <t>凝聚</t>
  </si>
  <si>
    <t>滴定</t>
  </si>
  <si>
    <t>滴定管</t>
  </si>
  <si>
    <t>应力</t>
  </si>
  <si>
    <t>相干</t>
  </si>
  <si>
    <t>退相干</t>
  </si>
  <si>
    <t>噪音</t>
  </si>
  <si>
    <t>降噪</t>
  </si>
  <si>
    <t>音色</t>
  </si>
  <si>
    <t>音量，音高</t>
  </si>
  <si>
    <t>音域</t>
  </si>
  <si>
    <t>震动</t>
  </si>
  <si>
    <t>震源</t>
  </si>
  <si>
    <t>震中</t>
  </si>
  <si>
    <t>横波</t>
  </si>
  <si>
    <t>纵波</t>
  </si>
  <si>
    <t>螺旋波</t>
  </si>
  <si>
    <t>宇宙</t>
  </si>
  <si>
    <t>横截面</t>
  </si>
  <si>
    <t>scunderin</t>
    <phoneticPr fontId="1" type="noConversion"/>
  </si>
  <si>
    <t>能量</t>
    <phoneticPr fontId="1" type="noConversion"/>
  </si>
  <si>
    <t>动量</t>
    <phoneticPr fontId="1" type="noConversion"/>
  </si>
  <si>
    <t>冲量</t>
    <phoneticPr fontId="1" type="noConversion"/>
  </si>
  <si>
    <t>角动量</t>
    <phoneticPr fontId="1" type="noConversion"/>
  </si>
  <si>
    <t>永动机</t>
  </si>
  <si>
    <t>永动机</t>
    <phoneticPr fontId="1" type="noConversion"/>
  </si>
  <si>
    <t>水平面</t>
  </si>
  <si>
    <t>爆炸</t>
  </si>
  <si>
    <t>膨胀</t>
  </si>
  <si>
    <t>多普勒效应</t>
  </si>
  <si>
    <t>谱线红移</t>
  </si>
  <si>
    <t>光谱</t>
  </si>
  <si>
    <t>连续谱</t>
  </si>
  <si>
    <t>分立谱</t>
  </si>
  <si>
    <t>太阳光谱</t>
  </si>
  <si>
    <t>实验</t>
  </si>
  <si>
    <t>频数</t>
  </si>
  <si>
    <t>频率</t>
  </si>
  <si>
    <t>概率</t>
  </si>
  <si>
    <t>坍缩</t>
  </si>
  <si>
    <t>光量子</t>
  </si>
  <si>
    <t>弦理论</t>
  </si>
  <si>
    <t>超弦理论</t>
  </si>
  <si>
    <t>电荷</t>
  </si>
  <si>
    <t>电位</t>
  </si>
  <si>
    <t>带电量</t>
  </si>
  <si>
    <t>磁</t>
  </si>
  <si>
    <t>电磁效应</t>
  </si>
  <si>
    <t>磁通量</t>
  </si>
  <si>
    <t>磁感应强度</t>
  </si>
  <si>
    <t>磁屏蔽</t>
  </si>
  <si>
    <t>磁性</t>
  </si>
  <si>
    <t>光通量</t>
  </si>
  <si>
    <t>光照度</t>
  </si>
  <si>
    <t>辐射照度</t>
  </si>
  <si>
    <t>角</t>
  </si>
  <si>
    <t>级差</t>
  </si>
  <si>
    <t>线密度</t>
  </si>
  <si>
    <t>容积；容量</t>
  </si>
  <si>
    <t>发光强度；光强</t>
  </si>
  <si>
    <t>光亮度</t>
  </si>
  <si>
    <t>吸收剂量</t>
  </si>
  <si>
    <t>剂量</t>
  </si>
  <si>
    <t>剂量当量</t>
  </si>
  <si>
    <t>硬度</t>
  </si>
  <si>
    <t>毒性</t>
  </si>
  <si>
    <t>溶解度</t>
  </si>
  <si>
    <t>气味，臭，嗅</t>
  </si>
  <si>
    <t>介质</t>
  </si>
  <si>
    <t>旋光性</t>
  </si>
  <si>
    <t>光密介质</t>
  </si>
  <si>
    <t>法线</t>
  </si>
  <si>
    <t>狭缝</t>
  </si>
  <si>
    <t>衍射光栅</t>
  </si>
  <si>
    <t>反射光栅</t>
  </si>
  <si>
    <t>透射光栅</t>
  </si>
  <si>
    <t>波动性</t>
  </si>
  <si>
    <t>泊松亮斑</t>
  </si>
  <si>
    <t>游标卡尺</t>
  </si>
  <si>
    <t>螺旋测微仪</t>
  </si>
  <si>
    <t>双螺旋</t>
  </si>
  <si>
    <t>螺旋线</t>
  </si>
  <si>
    <t>起偏器</t>
  </si>
  <si>
    <t>检偏器</t>
  </si>
  <si>
    <t>焦点</t>
  </si>
  <si>
    <t>焦距</t>
  </si>
  <si>
    <t>光缆</t>
  </si>
  <si>
    <t>棱镜</t>
  </si>
  <si>
    <t>三棱镜</t>
  </si>
  <si>
    <t>牛顿环</t>
  </si>
  <si>
    <t>单摆</t>
  </si>
  <si>
    <t>动量守恒定律</t>
  </si>
  <si>
    <t>反冲</t>
  </si>
  <si>
    <t>弹性碰撞</t>
  </si>
  <si>
    <t>形变力</t>
  </si>
  <si>
    <t>范德华力</t>
  </si>
  <si>
    <t>安培力</t>
  </si>
  <si>
    <t>洛伦兹力</t>
  </si>
  <si>
    <t>氢键</t>
  </si>
  <si>
    <t>非弹性形变</t>
  </si>
  <si>
    <t>固有频率</t>
  </si>
  <si>
    <t>内力</t>
  </si>
  <si>
    <t>周期</t>
  </si>
  <si>
    <t>外力</t>
  </si>
  <si>
    <t>弹簧振子</t>
  </si>
  <si>
    <t>受迫振动</t>
  </si>
  <si>
    <t>平衡位置</t>
  </si>
  <si>
    <t>主动降噪</t>
  </si>
  <si>
    <t>波形图</t>
  </si>
  <si>
    <t>回复力</t>
  </si>
  <si>
    <t>向心力</t>
  </si>
  <si>
    <t>离心力</t>
  </si>
  <si>
    <t>离心率</t>
  </si>
  <si>
    <t>离心机</t>
  </si>
  <si>
    <t>波形</t>
  </si>
  <si>
    <t>谐和音</t>
  </si>
  <si>
    <t>不谐和音</t>
  </si>
  <si>
    <t>相位</t>
  </si>
  <si>
    <t>初相位</t>
  </si>
  <si>
    <t>光疏介质</t>
  </si>
  <si>
    <t>振幅</t>
  </si>
  <si>
    <t>增透膜</t>
  </si>
  <si>
    <t>增反膜</t>
  </si>
  <si>
    <t>波粒二象体</t>
  </si>
  <si>
    <t>电磁波</t>
  </si>
  <si>
    <t>薄膜干涉</t>
  </si>
  <si>
    <t>倾角</t>
  </si>
  <si>
    <t>坡角</t>
  </si>
  <si>
    <t>坡度</t>
  </si>
  <si>
    <t>铅垂线</t>
  </si>
  <si>
    <t>劲度系数</t>
  </si>
  <si>
    <t>线圈</t>
  </si>
  <si>
    <t>自感系数</t>
  </si>
  <si>
    <t>自感</t>
  </si>
  <si>
    <t>涡流</t>
  </si>
  <si>
    <t>安培定则</t>
  </si>
  <si>
    <t>左手定则</t>
  </si>
  <si>
    <t>右手螺旋定则</t>
  </si>
  <si>
    <t>右手定则</t>
  </si>
  <si>
    <t>分量</t>
  </si>
  <si>
    <t>轴</t>
  </si>
  <si>
    <t>轴线</t>
  </si>
  <si>
    <t>对称轴</t>
  </si>
  <si>
    <t>量程</t>
  </si>
  <si>
    <t>螺线管</t>
  </si>
  <si>
    <t>显像管</t>
  </si>
  <si>
    <t>反粒子</t>
  </si>
  <si>
    <t>反物质</t>
  </si>
  <si>
    <t>偏转线圈</t>
  </si>
  <si>
    <t>电子枪</t>
  </si>
  <si>
    <t>等离子体</t>
  </si>
  <si>
    <t>励磁线圈</t>
  </si>
  <si>
    <t>质谱仪</t>
  </si>
  <si>
    <t>回旋加速器</t>
  </si>
  <si>
    <t>交流</t>
  </si>
  <si>
    <t>直流</t>
  </si>
  <si>
    <t>交变电流</t>
  </si>
  <si>
    <t>楞次定律</t>
  </si>
  <si>
    <t>法拉第电磁感应定律</t>
  </si>
  <si>
    <t>感应电动势</t>
  </si>
  <si>
    <t>感应电流</t>
  </si>
  <si>
    <t>国际单位制</t>
  </si>
  <si>
    <t>感应电荷量</t>
  </si>
  <si>
    <t>电刷</t>
  </si>
  <si>
    <t>感生电场</t>
  </si>
  <si>
    <t>感生电动势</t>
  </si>
  <si>
    <t>动生电动势</t>
  </si>
  <si>
    <t>电磁阻尼</t>
  </si>
  <si>
    <t>互感</t>
  </si>
  <si>
    <t>互感电动势</t>
  </si>
  <si>
    <t>变压器</t>
  </si>
  <si>
    <t>电动机</t>
  </si>
  <si>
    <t>发电机</t>
  </si>
  <si>
    <t>电池</t>
  </si>
  <si>
    <t>中性面</t>
  </si>
  <si>
    <t>慢性剂</t>
  </si>
  <si>
    <t>峰值</t>
  </si>
  <si>
    <t>有效值</t>
  </si>
  <si>
    <t>原线圈</t>
  </si>
  <si>
    <t>副线圈</t>
  </si>
  <si>
    <t>容抗</t>
  </si>
  <si>
    <t>感抗</t>
  </si>
  <si>
    <t>扼流圈</t>
  </si>
  <si>
    <t>调幅</t>
  </si>
  <si>
    <t>调频</t>
  </si>
  <si>
    <t>振荡电路</t>
  </si>
  <si>
    <t>机械波</t>
  </si>
  <si>
    <t>机械振动</t>
  </si>
  <si>
    <t>量子波动力学</t>
  </si>
  <si>
    <t>量子色动力学</t>
  </si>
  <si>
    <t>信号</t>
  </si>
  <si>
    <t>无线电</t>
  </si>
  <si>
    <t>夫琅禾费线，夫朗禾费线，夫郎禾费线</t>
    <phoneticPr fontId="1" type="noConversion"/>
  </si>
  <si>
    <t>grucacirt</t>
    <phoneticPr fontId="1" type="noConversion"/>
  </si>
  <si>
    <t>wabêlistono</t>
    <phoneticPr fontId="1" type="noConversion"/>
  </si>
  <si>
    <t>de elasticetono gushaban</t>
    <phoneticPr fontId="1" type="noConversion"/>
  </si>
  <si>
    <t>de frala Ampere</t>
    <phoneticPr fontId="1" type="noConversion"/>
  </si>
  <si>
    <t>enerotêgaflig</t>
    <phoneticPr fontId="1" type="noConversion"/>
  </si>
  <si>
    <t>intra de frala</t>
    <phoneticPr fontId="1" type="noConversion"/>
  </si>
  <si>
    <t>临界</t>
    <phoneticPr fontId="1" type="noConversion"/>
  </si>
  <si>
    <t>intrafrala</t>
    <phoneticPr fontId="1" type="noConversion"/>
  </si>
  <si>
    <t>drocorin</t>
    <phoneticPr fontId="1" type="noConversion"/>
  </si>
  <si>
    <t>droconol</t>
    <phoneticPr fontId="1" type="noConversion"/>
  </si>
  <si>
    <t>oasht de frala</t>
    <phoneticPr fontId="1" type="noConversion"/>
  </si>
  <si>
    <t>oashtfrala</t>
    <phoneticPr fontId="1" type="noConversion"/>
  </si>
  <si>
    <t>biedoun-isuniar</t>
    <phoneticPr fontId="1" type="noConversion"/>
  </si>
  <si>
    <t>wabêlisuniar</t>
    <phoneticPr fontId="1" type="noConversion"/>
  </si>
  <si>
    <t>electrimagnacav wabêlis</t>
    <phoneticPr fontId="1" type="noConversion"/>
  </si>
  <si>
    <t>de Amoere rethea</t>
    <phoneticPr fontId="1" type="noConversion"/>
  </si>
  <si>
    <t>trai-ili rethea</t>
    <phoneticPr fontId="1" type="noConversion"/>
  </si>
  <si>
    <t>fai-ili rethea</t>
    <phoneticPr fontId="1" type="noConversion"/>
  </si>
  <si>
    <t>acsa</t>
    <phoneticPr fontId="1" type="noConversion"/>
  </si>
  <si>
    <t>acsalincav</t>
    <phoneticPr fontId="1" type="noConversion"/>
  </si>
  <si>
    <t>symetracâc de acsa</t>
    <phoneticPr fontId="1" type="noConversion"/>
  </si>
  <si>
    <t>xithparticil</t>
    <phoneticPr fontId="1" type="noConversion"/>
  </si>
  <si>
    <t>xithmassy</t>
    <phoneticPr fontId="1" type="noConversion"/>
  </si>
  <si>
    <t>electron-bundu</t>
    <phoneticPr fontId="1" type="noConversion"/>
  </si>
  <si>
    <t>de massy</t>
    <phoneticPr fontId="1" type="noConversion"/>
  </si>
  <si>
    <t>de Lenz loigt</t>
    <phoneticPr fontId="1" type="noConversion"/>
  </si>
  <si>
    <t>signo</t>
    <phoneticPr fontId="1" type="noConversion"/>
  </si>
  <si>
    <t>放电</t>
  </si>
  <si>
    <t>充电</t>
  </si>
  <si>
    <t>原电池</t>
  </si>
  <si>
    <t>电解池</t>
  </si>
  <si>
    <t>盐桥</t>
  </si>
  <si>
    <t>凝胶</t>
  </si>
  <si>
    <t>气溶胶</t>
  </si>
  <si>
    <t>液溶胶</t>
  </si>
  <si>
    <t>分散质</t>
  </si>
  <si>
    <t>分散剂</t>
  </si>
  <si>
    <t>长波</t>
  </si>
  <si>
    <t>中波</t>
  </si>
  <si>
    <t>短波</t>
  </si>
  <si>
    <t>频段</t>
  </si>
  <si>
    <t>流量</t>
  </si>
  <si>
    <t>电弱统一理论</t>
  </si>
  <si>
    <t>引力波</t>
  </si>
  <si>
    <t>广义相对论</t>
  </si>
  <si>
    <t>狭义相对论</t>
  </si>
  <si>
    <t>超导</t>
  </si>
  <si>
    <t>激光干涉仪</t>
  </si>
  <si>
    <t>时间点</t>
  </si>
  <si>
    <t>时间段</t>
  </si>
  <si>
    <t>时间间隔</t>
  </si>
  <si>
    <t>天线</t>
  </si>
  <si>
    <t>作用力</t>
  </si>
  <si>
    <t>反作用力</t>
  </si>
  <si>
    <t>静摩擦力</t>
  </si>
  <si>
    <t>滑动摩擦力</t>
  </si>
  <si>
    <t>动摩擦因数</t>
  </si>
  <si>
    <t>运动</t>
  </si>
  <si>
    <t>力学，机械学；机械</t>
  </si>
  <si>
    <t>自由落体运动</t>
  </si>
  <si>
    <t>自由落体加速度</t>
  </si>
  <si>
    <t>加速度</t>
  </si>
  <si>
    <t>重力加速度</t>
  </si>
  <si>
    <t>等效重力场</t>
  </si>
  <si>
    <t>平抛运动</t>
  </si>
  <si>
    <t>斜抛运动</t>
  </si>
  <si>
    <t>竖直上抛运动</t>
  </si>
  <si>
    <t>匀变速运动</t>
  </si>
  <si>
    <t>匀加速运动</t>
  </si>
  <si>
    <t>匀速直线运动</t>
  </si>
  <si>
    <t>匀减速运动</t>
  </si>
  <si>
    <t>匀速圆周运动</t>
  </si>
  <si>
    <t>斜率</t>
  </si>
  <si>
    <t>变化率</t>
  </si>
  <si>
    <t>坐标系</t>
  </si>
  <si>
    <t>瞬时速度</t>
  </si>
  <si>
    <t>平均速度</t>
  </si>
  <si>
    <t>打点计时器</t>
  </si>
  <si>
    <t>电火花发生器</t>
  </si>
  <si>
    <t>基本量</t>
  </si>
  <si>
    <t>基本单位</t>
  </si>
  <si>
    <t>导出量</t>
  </si>
  <si>
    <t>导出单位</t>
  </si>
  <si>
    <t>原子钟</t>
  </si>
  <si>
    <t>超重</t>
  </si>
  <si>
    <t>失重</t>
  </si>
  <si>
    <t>米米原器</t>
  </si>
  <si>
    <t>千克原器</t>
  </si>
  <si>
    <t>完全失重</t>
  </si>
  <si>
    <t>误差</t>
  </si>
  <si>
    <t>偶然误差</t>
  </si>
  <si>
    <t>系统误差</t>
  </si>
  <si>
    <t>绝对误差</t>
  </si>
  <si>
    <t>相对误差</t>
  </si>
  <si>
    <t>有效数字</t>
  </si>
  <si>
    <t>形变</t>
  </si>
  <si>
    <t>胡克定律</t>
  </si>
  <si>
    <t>平行四边形定则</t>
  </si>
  <si>
    <t>三角形定则</t>
  </si>
  <si>
    <t>弹性形变</t>
  </si>
  <si>
    <t>提取</t>
  </si>
  <si>
    <t>合量</t>
  </si>
  <si>
    <t>万有引力定律</t>
  </si>
  <si>
    <t>线速度</t>
  </si>
  <si>
    <t>引力常量</t>
  </si>
  <si>
    <t>抛物线</t>
  </si>
  <si>
    <t>双曲线</t>
  </si>
  <si>
    <t>双绞线</t>
  </si>
  <si>
    <t>圆锥曲线</t>
  </si>
  <si>
    <t>曲线运动</t>
  </si>
  <si>
    <t>开普勒定律</t>
  </si>
  <si>
    <t>逆行</t>
  </si>
  <si>
    <t>本轮</t>
  </si>
  <si>
    <t>均轮</t>
  </si>
  <si>
    <t>偏心点</t>
  </si>
  <si>
    <t>偏心等距点</t>
  </si>
  <si>
    <t>地心说</t>
  </si>
  <si>
    <t>日心说</t>
  </si>
  <si>
    <t>浑天说</t>
  </si>
  <si>
    <t>宣夜说</t>
  </si>
  <si>
    <t>盖天说</t>
  </si>
  <si>
    <t>正比于</t>
  </si>
  <si>
    <t>反比于</t>
  </si>
  <si>
    <t>第一宇宙速度</t>
  </si>
  <si>
    <t>第二宇宙速度</t>
  </si>
  <si>
    <t>第三宇宙速度</t>
  </si>
  <si>
    <t>脱离速度</t>
  </si>
  <si>
    <t>逃逸速度</t>
  </si>
  <si>
    <t>迈克尔逊-莫雷实验</t>
  </si>
  <si>
    <t>黑洞</t>
  </si>
  <si>
    <t>白洞</t>
  </si>
  <si>
    <t>虫洞</t>
  </si>
  <si>
    <t>环绕速度</t>
  </si>
  <si>
    <t>时间延缓速度</t>
  </si>
  <si>
    <t>长度收缩效应</t>
  </si>
  <si>
    <t>超分子</t>
  </si>
  <si>
    <t>电离能</t>
  </si>
  <si>
    <t>电负性</t>
  </si>
  <si>
    <t>杂化轨道</t>
  </si>
  <si>
    <t>电子云</t>
  </si>
  <si>
    <t>电子排布方式</t>
  </si>
  <si>
    <t>电子自旋</t>
  </si>
  <si>
    <t>极性</t>
  </si>
  <si>
    <t>极性分子</t>
  </si>
  <si>
    <t>极性键</t>
  </si>
  <si>
    <t>手性</t>
  </si>
  <si>
    <t>发射光谱</t>
  </si>
  <si>
    <t>吸收光谱</t>
  </si>
  <si>
    <t>轨道表达式</t>
  </si>
  <si>
    <t>过渡晶体</t>
  </si>
  <si>
    <t>分子晶体</t>
  </si>
  <si>
    <t>共价晶体</t>
  </si>
  <si>
    <t>金属晶体</t>
  </si>
  <si>
    <t>离子晶体</t>
  </si>
  <si>
    <t>基态</t>
  </si>
  <si>
    <t>激发态</t>
  </si>
  <si>
    <t>混合型晶体</t>
  </si>
  <si>
    <t>键长</t>
  </si>
  <si>
    <t>键角</t>
  </si>
  <si>
    <t>键能</t>
  </si>
  <si>
    <t>价层电子对互斥模型</t>
  </si>
  <si>
    <t>镜面对称</t>
  </si>
  <si>
    <t>金属键</t>
  </si>
  <si>
    <t>离子键</t>
  </si>
  <si>
    <t>共价键</t>
  </si>
  <si>
    <t>氢能</t>
  </si>
  <si>
    <t>π键</t>
  </si>
  <si>
    <t>σ键</t>
  </si>
  <si>
    <t>单键</t>
  </si>
  <si>
    <t>双键</t>
  </si>
  <si>
    <t>三键</t>
  </si>
  <si>
    <t>分子间作用力</t>
  </si>
  <si>
    <t>能层</t>
  </si>
  <si>
    <t>能级</t>
  </si>
  <si>
    <t>能级交错</t>
  </si>
  <si>
    <t>能量最低原理</t>
  </si>
  <si>
    <t>洪特原则</t>
  </si>
  <si>
    <t>泡利不相容原理</t>
  </si>
  <si>
    <t>测不准原理</t>
  </si>
  <si>
    <t>手性分子</t>
  </si>
  <si>
    <t>手性异构体</t>
  </si>
  <si>
    <t>相似相容</t>
  </si>
  <si>
    <t>配合物</t>
  </si>
  <si>
    <t>化合物</t>
  </si>
  <si>
    <t>络合物</t>
  </si>
  <si>
    <t>络离子</t>
  </si>
  <si>
    <t>配离子</t>
  </si>
  <si>
    <t>单质</t>
  </si>
  <si>
    <t>混合物</t>
  </si>
  <si>
    <t>纯净物</t>
  </si>
  <si>
    <t>酸</t>
  </si>
  <si>
    <t>碱</t>
  </si>
  <si>
    <t>盐</t>
  </si>
  <si>
    <t>酸性</t>
  </si>
  <si>
    <t>碱性</t>
  </si>
  <si>
    <t>pH值</t>
  </si>
  <si>
    <t>乳浊液</t>
  </si>
  <si>
    <t>悬浊液</t>
  </si>
  <si>
    <t>乳化</t>
  </si>
  <si>
    <t>原子光谱</t>
  </si>
  <si>
    <t>元素周期系</t>
  </si>
  <si>
    <t>中心离子</t>
  </si>
  <si>
    <t>配体</t>
  </si>
  <si>
    <t>双齿配体</t>
  </si>
  <si>
    <t>配位数</t>
  </si>
  <si>
    <t>分子式</t>
  </si>
  <si>
    <t>实验式</t>
  </si>
  <si>
    <t>化学键</t>
  </si>
  <si>
    <t>分子识别</t>
  </si>
  <si>
    <t>自组装</t>
  </si>
  <si>
    <t>孤电子对</t>
  </si>
  <si>
    <t>浓度</t>
  </si>
  <si>
    <t>空间结构</t>
  </si>
  <si>
    <t>空穴</t>
  </si>
  <si>
    <t>碱金属</t>
  </si>
  <si>
    <t>催化</t>
  </si>
  <si>
    <t>催化剂</t>
  </si>
  <si>
    <t>主族</t>
  </si>
  <si>
    <t>副族</t>
  </si>
  <si>
    <t>晶膜</t>
  </si>
  <si>
    <t>纳米晶体</t>
  </si>
  <si>
    <t>延展性</t>
  </si>
  <si>
    <t>范性</t>
  </si>
  <si>
    <t>金属性</t>
  </si>
  <si>
    <t>非金属性</t>
  </si>
  <si>
    <t>高压釜</t>
  </si>
  <si>
    <t>基质</t>
  </si>
  <si>
    <t>单晶硅</t>
  </si>
  <si>
    <t>水笼穴</t>
  </si>
  <si>
    <t>氧化性</t>
  </si>
  <si>
    <t>还原性</t>
  </si>
  <si>
    <t>分子热运动</t>
  </si>
  <si>
    <t>X射线衍射仪</t>
  </si>
  <si>
    <t>晶态</t>
  </si>
  <si>
    <t>非晶态</t>
  </si>
  <si>
    <t>玻璃态</t>
  </si>
  <si>
    <t>衍射棒</t>
  </si>
  <si>
    <t>准晶</t>
  </si>
  <si>
    <t>无隙并置</t>
  </si>
  <si>
    <t>冷却</t>
  </si>
  <si>
    <t>熔融态</t>
  </si>
  <si>
    <t>放热</t>
  </si>
  <si>
    <t>吸热</t>
  </si>
  <si>
    <t>溶致液晶</t>
  </si>
  <si>
    <t>热致液晶</t>
  </si>
  <si>
    <t>自范性</t>
  </si>
  <si>
    <t>玻璃体</t>
  </si>
  <si>
    <t>无定形体</t>
  </si>
  <si>
    <t>不对称性</t>
  </si>
  <si>
    <t>碱基</t>
  </si>
  <si>
    <t>碱基对</t>
  </si>
  <si>
    <t>结构式</t>
  </si>
  <si>
    <t>结构简式</t>
  </si>
  <si>
    <t>修饰</t>
  </si>
  <si>
    <t>表面活性剂</t>
  </si>
  <si>
    <t>亲水基团</t>
  </si>
  <si>
    <t>疏水基团</t>
  </si>
  <si>
    <t>不饱和度</t>
  </si>
  <si>
    <t>吸收峰</t>
  </si>
  <si>
    <t>方向性</t>
  </si>
  <si>
    <t>轴对称</t>
  </si>
  <si>
    <t>中心对称</t>
  </si>
  <si>
    <t>自旋状态</t>
  </si>
  <si>
    <t>简并轨道</t>
  </si>
  <si>
    <t>定态</t>
  </si>
  <si>
    <t>钠双线</t>
  </si>
  <si>
    <t>构造原理</t>
  </si>
  <si>
    <t>光谱分析</t>
  </si>
  <si>
    <t>互溶</t>
  </si>
  <si>
    <t>共轭双烯</t>
  </si>
  <si>
    <t>离散双烯</t>
  </si>
  <si>
    <t>累计双烯</t>
  </si>
  <si>
    <t>吸水性</t>
  </si>
  <si>
    <t>改性</t>
  </si>
  <si>
    <t>脱水性</t>
  </si>
  <si>
    <t>基团</t>
  </si>
  <si>
    <t>官能团</t>
  </si>
  <si>
    <t>弹性</t>
  </si>
  <si>
    <t>降解</t>
  </si>
  <si>
    <t>聚合提纯</t>
  </si>
  <si>
    <t>透析</t>
  </si>
  <si>
    <t>半透膜</t>
  </si>
  <si>
    <t>浓缩</t>
  </si>
  <si>
    <t>高分子</t>
  </si>
  <si>
    <t>碳骨架</t>
  </si>
  <si>
    <t>有机物</t>
  </si>
  <si>
    <t>无机物</t>
  </si>
  <si>
    <t>副反应</t>
  </si>
  <si>
    <t>顺反异构</t>
  </si>
  <si>
    <t>立体异构</t>
  </si>
  <si>
    <t>碳架异构</t>
  </si>
  <si>
    <t>位置异构</t>
  </si>
  <si>
    <t>官能团异构</t>
  </si>
  <si>
    <t>键能式</t>
  </si>
  <si>
    <t>重结晶</t>
  </si>
  <si>
    <t>防腐剂</t>
  </si>
  <si>
    <t>色谱法</t>
  </si>
  <si>
    <t>组分</t>
  </si>
  <si>
    <t>固定相</t>
  </si>
  <si>
    <t>最简式</t>
  </si>
  <si>
    <t>化学式</t>
  </si>
  <si>
    <t>吸收剂</t>
  </si>
  <si>
    <t>元素分析仪</t>
  </si>
  <si>
    <t>质荷比</t>
  </si>
  <si>
    <t>丰度</t>
  </si>
  <si>
    <t>相对丰度</t>
  </si>
  <si>
    <t>饱和度</t>
  </si>
  <si>
    <t>透过率</t>
  </si>
  <si>
    <t>质数</t>
  </si>
  <si>
    <t>核磁共振氢谱</t>
  </si>
  <si>
    <t>化学位移</t>
  </si>
  <si>
    <t>吸收强度</t>
  </si>
  <si>
    <t>制取</t>
  </si>
  <si>
    <t>氧化反应</t>
  </si>
  <si>
    <t>还原反应</t>
  </si>
  <si>
    <t>置换反应</t>
  </si>
  <si>
    <t>复分解反应</t>
  </si>
  <si>
    <t>化合反应</t>
  </si>
  <si>
    <t>分解反应</t>
  </si>
  <si>
    <t>同系物</t>
  </si>
  <si>
    <t>取代反应</t>
  </si>
  <si>
    <t>加成反应</t>
  </si>
  <si>
    <t>酯化反应</t>
  </si>
  <si>
    <t>取代基</t>
  </si>
  <si>
    <t>支链</t>
  </si>
  <si>
    <t>链引发</t>
  </si>
  <si>
    <t>链增长</t>
  </si>
  <si>
    <t>系统命名法</t>
  </si>
  <si>
    <t>主链</t>
  </si>
  <si>
    <t>空间填充模型</t>
  </si>
  <si>
    <t>球棍模型</t>
  </si>
  <si>
    <t>缺氢指数</t>
  </si>
  <si>
    <t>加聚反应</t>
  </si>
  <si>
    <t>马氏规则</t>
  </si>
  <si>
    <t>反马氏规则</t>
  </si>
  <si>
    <t>键轴</t>
  </si>
  <si>
    <t>蒸汽</t>
  </si>
  <si>
    <t>脱水剂</t>
  </si>
  <si>
    <t>反式结构</t>
  </si>
  <si>
    <t>顺式结构</t>
  </si>
  <si>
    <t>聚合物</t>
  </si>
  <si>
    <t>挥发</t>
  </si>
  <si>
    <t>挥发性</t>
  </si>
  <si>
    <t>凯库勒式</t>
  </si>
  <si>
    <t>洗涤剂</t>
  </si>
  <si>
    <t>硝化反应</t>
  </si>
  <si>
    <t>硫化反应</t>
  </si>
  <si>
    <t>增塑剂</t>
  </si>
  <si>
    <t>原子团</t>
  </si>
  <si>
    <t>邻位</t>
  </si>
  <si>
    <t>间位</t>
  </si>
  <si>
    <t>对位</t>
  </si>
  <si>
    <t>自由基</t>
  </si>
  <si>
    <t>代谢</t>
  </si>
  <si>
    <t>腐蚀性</t>
  </si>
  <si>
    <t>银镜反应</t>
  </si>
  <si>
    <t>硬化</t>
  </si>
  <si>
    <t>氢化</t>
  </si>
  <si>
    <t>衍生态</t>
  </si>
  <si>
    <t>产率</t>
  </si>
  <si>
    <t>中间体</t>
  </si>
  <si>
    <t>保护基</t>
  </si>
  <si>
    <t>缩聚反应</t>
  </si>
  <si>
    <t>脱水反应</t>
  </si>
  <si>
    <t>聚合反应</t>
  </si>
  <si>
    <t>失活</t>
  </si>
  <si>
    <t>活性</t>
  </si>
  <si>
    <t>催化剂中毒</t>
  </si>
  <si>
    <t>单体</t>
  </si>
  <si>
    <t>多聚物</t>
  </si>
  <si>
    <t>微滤膜</t>
  </si>
  <si>
    <t>超滤膜</t>
  </si>
  <si>
    <t>分离膜</t>
  </si>
  <si>
    <t>反渗透膜</t>
  </si>
  <si>
    <t>提纯</t>
  </si>
  <si>
    <t>烧蚀</t>
  </si>
  <si>
    <t>试管</t>
  </si>
  <si>
    <t>烧杯</t>
  </si>
  <si>
    <t>天平</t>
  </si>
  <si>
    <t>砝码</t>
  </si>
  <si>
    <t>缔合</t>
  </si>
  <si>
    <t>可逆反应</t>
  </si>
  <si>
    <t>滤纸</t>
  </si>
  <si>
    <t>滤液</t>
  </si>
  <si>
    <t>玻璃棒</t>
  </si>
  <si>
    <t>刺激性</t>
  </si>
  <si>
    <t>水缸</t>
  </si>
  <si>
    <t>曲颈甑</t>
  </si>
  <si>
    <t>烧瓶</t>
  </si>
  <si>
    <t>圆底烧瓶</t>
  </si>
  <si>
    <t>平底烧瓶</t>
  </si>
  <si>
    <t>三颈烧瓶</t>
  </si>
  <si>
    <t>容量瓶</t>
  </si>
  <si>
    <t>酒精灯</t>
  </si>
  <si>
    <t>本生灯</t>
  </si>
  <si>
    <t>铁架台</t>
  </si>
  <si>
    <t>蒸发皿</t>
  </si>
  <si>
    <t>漏斗</t>
  </si>
  <si>
    <t>试管钳</t>
  </si>
  <si>
    <t>试管塞</t>
  </si>
  <si>
    <t>试管夹</t>
  </si>
  <si>
    <t>药匙</t>
  </si>
  <si>
    <t>研盂</t>
  </si>
  <si>
    <t>坩埚</t>
  </si>
  <si>
    <t>脱脂棉</t>
  </si>
  <si>
    <t>导管夹</t>
  </si>
  <si>
    <t>橡皮管</t>
  </si>
  <si>
    <t>广口瓶</t>
  </si>
  <si>
    <t>细口瓶</t>
  </si>
  <si>
    <t>炼化</t>
  </si>
  <si>
    <t>炼制</t>
  </si>
  <si>
    <t>试剂</t>
  </si>
  <si>
    <t>试纸</t>
  </si>
  <si>
    <t>量管</t>
  </si>
  <si>
    <t>刻度</t>
  </si>
  <si>
    <t>刻度值</t>
  </si>
  <si>
    <t>刻度线</t>
  </si>
  <si>
    <t>试剂瓶</t>
  </si>
  <si>
    <t>针筒</t>
  </si>
  <si>
    <t>胶头滴管</t>
  </si>
  <si>
    <t>pH计</t>
  </si>
  <si>
    <t>烧结</t>
  </si>
  <si>
    <t>放大镜</t>
  </si>
  <si>
    <t>热导率</t>
  </si>
  <si>
    <t>长颈漏斗</t>
  </si>
  <si>
    <t>分液漏斗</t>
  </si>
  <si>
    <t>蓄电池</t>
  </si>
  <si>
    <t>燃料电池</t>
  </si>
  <si>
    <t>干电池</t>
  </si>
  <si>
    <t>化学平衡</t>
  </si>
  <si>
    <t>转化率</t>
  </si>
  <si>
    <t>勒夏特勒原理</t>
  </si>
  <si>
    <t>导线</t>
  </si>
  <si>
    <t>冷凝管</t>
  </si>
  <si>
    <t>中毒</t>
  </si>
  <si>
    <t>干馏</t>
  </si>
  <si>
    <t>高炉</t>
  </si>
  <si>
    <t>液化气</t>
  </si>
  <si>
    <t>活塞</t>
  </si>
  <si>
    <t>液压器</t>
  </si>
  <si>
    <t>燃烧热</t>
  </si>
  <si>
    <t>反应热</t>
  </si>
  <si>
    <t>中和热</t>
  </si>
  <si>
    <t>中和反应</t>
  </si>
  <si>
    <t>指定产物</t>
  </si>
  <si>
    <t>活化能</t>
  </si>
  <si>
    <t>焓变</t>
  </si>
  <si>
    <t>有效碰撞</t>
  </si>
  <si>
    <t>基元反应</t>
  </si>
  <si>
    <t>活化分子</t>
  </si>
  <si>
    <t>过渡态</t>
  </si>
  <si>
    <t>始态</t>
  </si>
  <si>
    <t>终态</t>
  </si>
  <si>
    <t>自由能</t>
  </si>
  <si>
    <t>能媒</t>
  </si>
  <si>
    <t>电离平衡常数</t>
  </si>
  <si>
    <t>离子积常数</t>
  </si>
  <si>
    <t>水的离子积</t>
  </si>
  <si>
    <t>锥形瓶</t>
  </si>
  <si>
    <t>电解质</t>
  </si>
  <si>
    <t>非电解质</t>
  </si>
  <si>
    <t>弱电解质</t>
  </si>
  <si>
    <t>强电解质</t>
  </si>
  <si>
    <t>阳极</t>
  </si>
  <si>
    <t>阴极</t>
  </si>
  <si>
    <t>正极</t>
  </si>
  <si>
    <t>负极</t>
  </si>
  <si>
    <t>电极反应式</t>
  </si>
  <si>
    <t>验电器</t>
  </si>
  <si>
    <t>交换膜</t>
  </si>
  <si>
    <t>伏打电堆</t>
  </si>
  <si>
    <t>冶炼</t>
  </si>
  <si>
    <t>电化学</t>
  </si>
  <si>
    <t>具支试管</t>
  </si>
  <si>
    <t>指示剂</t>
  </si>
  <si>
    <t>电镀</t>
  </si>
  <si>
    <t>电镀液</t>
  </si>
  <si>
    <t>火线</t>
  </si>
  <si>
    <t>零线</t>
  </si>
  <si>
    <t>地线</t>
  </si>
  <si>
    <t>镀件</t>
  </si>
  <si>
    <t>溶度积常数</t>
  </si>
  <si>
    <t>析氢腐蚀</t>
  </si>
  <si>
    <t>吸氧腐蚀</t>
  </si>
  <si>
    <t>亲核反应</t>
  </si>
  <si>
    <t>亲电反应</t>
  </si>
  <si>
    <t>焰色试验</t>
  </si>
  <si>
    <t>丁达尔效应</t>
  </si>
  <si>
    <t>阿夫加得罗常数</t>
  </si>
  <si>
    <t>点滴板</t>
  </si>
  <si>
    <t>类铝，稼</t>
  </si>
  <si>
    <t>干燥管</t>
  </si>
  <si>
    <t>镊子</t>
  </si>
  <si>
    <t>三脚架</t>
  </si>
  <si>
    <t>合金</t>
  </si>
  <si>
    <t>蒸馏</t>
  </si>
  <si>
    <t>分析天平</t>
  </si>
  <si>
    <t>电子天平</t>
  </si>
  <si>
    <t>集气瓶</t>
  </si>
  <si>
    <t>自燃</t>
  </si>
  <si>
    <t>急性毒性</t>
  </si>
  <si>
    <t>光屏</t>
  </si>
  <si>
    <t>气垫导轨</t>
  </si>
  <si>
    <t>光电门</t>
  </si>
  <si>
    <t>力传感器</t>
  </si>
  <si>
    <t>热力学第一定律</t>
  </si>
  <si>
    <t>热力学第二定律</t>
  </si>
  <si>
    <t>热力学第三定律</t>
  </si>
  <si>
    <t>能量守恒定律</t>
  </si>
  <si>
    <t>质量守恒定律</t>
  </si>
  <si>
    <t>元件</t>
  </si>
  <si>
    <t>干簧管</t>
  </si>
  <si>
    <t>磁化</t>
  </si>
  <si>
    <t>陀螺仪</t>
  </si>
  <si>
    <t>热电偶温度计</t>
  </si>
  <si>
    <t>显示器</t>
  </si>
  <si>
    <t>光敏电阻</t>
  </si>
  <si>
    <t>金属热电阻</t>
  </si>
  <si>
    <t>热敏电阻</t>
  </si>
  <si>
    <t>霍尔定律</t>
  </si>
  <si>
    <t>压阻效应</t>
  </si>
  <si>
    <t>力敏电阻</t>
  </si>
  <si>
    <t>电阻应变片</t>
  </si>
  <si>
    <t>应变片</t>
  </si>
  <si>
    <t>电容式位移传感器</t>
  </si>
  <si>
    <t>霍尔效应</t>
  </si>
  <si>
    <t>永磁体</t>
  </si>
  <si>
    <t>感温铁氧器</t>
  </si>
  <si>
    <t>继电器</t>
  </si>
  <si>
    <t>照度</t>
  </si>
  <si>
    <t>磁敏元件</t>
  </si>
  <si>
    <t>解调</t>
  </si>
  <si>
    <t>谐振器</t>
  </si>
  <si>
    <t>感应圈</t>
  </si>
  <si>
    <t>对心碰撞</t>
  </si>
  <si>
    <t>遮光条</t>
  </si>
  <si>
    <t>秒表</t>
  </si>
  <si>
    <t>近心旋转</t>
  </si>
  <si>
    <t>循环摆</t>
  </si>
  <si>
    <t>悬浮</t>
  </si>
  <si>
    <t>漂浮</t>
  </si>
  <si>
    <t>空滑轮</t>
  </si>
  <si>
    <t>动滑轮</t>
  </si>
  <si>
    <t>杠杆</t>
  </si>
  <si>
    <t>杠杆原理</t>
  </si>
  <si>
    <t>力矩</t>
  </si>
  <si>
    <t>动力臂</t>
  </si>
  <si>
    <t>阻力臂</t>
  </si>
  <si>
    <t>轮</t>
  </si>
  <si>
    <t>斜坡</t>
  </si>
  <si>
    <t>计时器</t>
  </si>
  <si>
    <t>距离</t>
  </si>
  <si>
    <t>自轮</t>
  </si>
  <si>
    <t>公轮</t>
  </si>
  <si>
    <t>量子</t>
  </si>
  <si>
    <t>望远镜</t>
  </si>
  <si>
    <t>卡门涡街</t>
  </si>
  <si>
    <t>湍流</t>
  </si>
  <si>
    <t>洗涤</t>
  </si>
  <si>
    <t>搅拌</t>
  </si>
  <si>
    <t>实验误随机误差</t>
  </si>
  <si>
    <t>随机误差</t>
  </si>
  <si>
    <t>聚合</t>
  </si>
  <si>
    <t>边界效应</t>
  </si>
  <si>
    <t>机械运动</t>
  </si>
  <si>
    <t>机械能</t>
  </si>
  <si>
    <t>洛氏硬度，落氏硬度</t>
    <phoneticPr fontId="1" type="noConversion"/>
  </si>
  <si>
    <t>saracya</t>
    <phoneticPr fontId="1" type="noConversion"/>
  </si>
  <si>
    <t>1-0-2</t>
    <phoneticPr fontId="1" type="noConversion"/>
  </si>
  <si>
    <t>7-0-1</t>
    <phoneticPr fontId="1" type="noConversion"/>
  </si>
  <si>
    <t>4-0-4</t>
    <phoneticPr fontId="1" type="noConversion"/>
  </si>
  <si>
    <t>3-0-4</t>
    <phoneticPr fontId="1" type="noConversion"/>
  </si>
  <si>
    <t>0-3-2</t>
    <phoneticPr fontId="1" type="noConversion"/>
  </si>
  <si>
    <t>1-4-1</t>
    <phoneticPr fontId="1" type="noConversion"/>
  </si>
  <si>
    <t>1-1-2</t>
    <phoneticPr fontId="1" type="noConversion"/>
  </si>
  <si>
    <t>0-4-1-1</t>
    <phoneticPr fontId="1" type="noConversion"/>
  </si>
  <si>
    <t>11-1</t>
    <phoneticPr fontId="1" type="noConversion"/>
  </si>
  <si>
    <t>2-1-1</t>
    <phoneticPr fontId="1" type="noConversion"/>
  </si>
  <si>
    <t>de electric venlsie</t>
    <phoneticPr fontId="1" type="noConversion"/>
  </si>
  <si>
    <t>cureat</t>
    <phoneticPr fontId="1" type="noConversion"/>
  </si>
  <si>
    <t>0-2-4-1</t>
    <phoneticPr fontId="1" type="noConversion"/>
  </si>
  <si>
    <t>0-2-4</t>
    <phoneticPr fontId="1" type="noConversion"/>
  </si>
  <si>
    <t>0-2-2</t>
    <phoneticPr fontId="1" type="noConversion"/>
  </si>
  <si>
    <t>4-0-2</t>
    <phoneticPr fontId="1" type="noConversion"/>
  </si>
  <si>
    <t>1-0-5</t>
    <phoneticPr fontId="1" type="noConversion"/>
  </si>
  <si>
    <t>0-7-1</t>
    <phoneticPr fontId="1" type="noConversion"/>
  </si>
  <si>
    <t>lonjowabêlis</t>
    <phoneticPr fontId="1" type="noConversion"/>
  </si>
  <si>
    <t>mescanwabêlis</t>
    <phoneticPr fontId="1" type="noConversion"/>
  </si>
  <si>
    <t>shortwabêlis</t>
    <phoneticPr fontId="1" type="noConversion"/>
  </si>
  <si>
    <t>mouvmonto</t>
    <phoneticPr fontId="1" type="noConversion"/>
  </si>
  <si>
    <t>mecaniqu'e</t>
    <phoneticPr fontId="1" type="noConversion"/>
  </si>
  <si>
    <t>eneromenteu</t>
    <phoneticPr fontId="1" type="noConversion"/>
  </si>
  <si>
    <t>enerus de menteu</t>
    <phoneticPr fontId="1" type="noConversion"/>
  </si>
  <si>
    <t>eneromesut</t>
    <phoneticPr fontId="1" type="noConversion"/>
  </si>
  <si>
    <t>s.i. mesut</t>
    <phoneticPr fontId="1" type="noConversion"/>
  </si>
  <si>
    <t>systeme-international</t>
    <phoneticPr fontId="1" type="noConversion"/>
  </si>
  <si>
    <t>internacionol det mesut sistemar</t>
    <phoneticPr fontId="1" type="noConversion"/>
  </si>
  <si>
    <t>4-0-1-1</t>
    <phoneticPr fontId="1" type="noConversion"/>
  </si>
  <si>
    <t>aton rogoh'</t>
    <phoneticPr fontId="1" type="noConversion"/>
  </si>
  <si>
    <t>metre-eneruso</t>
    <phoneticPr fontId="1" type="noConversion"/>
  </si>
  <si>
    <t>cilogruam-eneruso</t>
    <phoneticPr fontId="1" type="noConversion"/>
  </si>
  <si>
    <t>hapois</t>
    <phoneticPr fontId="1" type="noConversion"/>
  </si>
  <si>
    <t>5-0-4</t>
    <phoneticPr fontId="1" type="noConversion"/>
  </si>
  <si>
    <t>casendra de hapois</t>
    <phoneticPr fontId="1" type="noConversion"/>
  </si>
  <si>
    <t>sistemarâc de hapois</t>
    <phoneticPr fontId="1" type="noConversion"/>
  </si>
  <si>
    <t>de Hooc loigt</t>
    <phoneticPr fontId="1" type="noConversion"/>
  </si>
  <si>
    <t>exval</t>
    <phoneticPr fontId="1" type="noConversion"/>
  </si>
  <si>
    <t>exvalorin</t>
    <phoneticPr fontId="1" type="noConversion"/>
  </si>
  <si>
    <t>de lincav velus</t>
    <phoneticPr fontId="1" type="noConversion"/>
  </si>
  <si>
    <t>de Qu'epler loigt</t>
    <phoneticPr fontId="1" type="noConversion"/>
  </si>
  <si>
    <t>juonpoisâc de velus</t>
    <phoneticPr fontId="1" type="noConversion"/>
  </si>
  <si>
    <t>5-0-1</t>
    <phoneticPr fontId="1" type="noConversion"/>
  </si>
  <si>
    <t>crucaul de velus</t>
    <phoneticPr fontId="1" type="noConversion"/>
  </si>
  <si>
    <t>de temza puojcenerin efecat</t>
    <phoneticPr fontId="1" type="noConversion"/>
  </si>
  <si>
    <t>0-1-4-4</t>
    <phoneticPr fontId="1" type="noConversion"/>
  </si>
  <si>
    <t>supermoleculo</t>
    <phoneticPr fontId="1" type="noConversion"/>
  </si>
  <si>
    <t>electrinegatiftono</t>
    <phoneticPr fontId="1" type="noConversion"/>
  </si>
  <si>
    <t>electron-cuvos</t>
    <phoneticPr fontId="1" type="noConversion"/>
  </si>
  <si>
    <t>ounbeden de velus</t>
    <phoneticPr fontId="1" type="noConversion"/>
  </si>
  <si>
    <t>elênvâg-storja</t>
    <phoneticPr fontId="1" type="noConversion"/>
  </si>
  <si>
    <t>elênvâg-ras</t>
    <phoneticPr fontId="1" type="noConversion"/>
  </si>
  <si>
    <t>de elênvâg-ras altanadelorin</t>
    <phoneticPr fontId="1" type="noConversion"/>
  </si>
  <si>
    <t>0-1-4-2</t>
    <phoneticPr fontId="1" type="noConversion"/>
  </si>
  <si>
    <t>de Hund rethea</t>
    <phoneticPr fontId="1" type="noConversion"/>
  </si>
  <si>
    <t>sinthenteso</t>
    <phoneticPr fontId="1" type="noConversion"/>
  </si>
  <si>
    <t>chisno</t>
    <phoneticPr fontId="1" type="noConversion"/>
  </si>
  <si>
    <t>halo</t>
    <phoneticPr fontId="1" type="noConversion"/>
  </si>
  <si>
    <t>de aton spectrum</t>
    <phoneticPr fontId="1" type="noConversion"/>
  </si>
  <si>
    <t>centre de ion</t>
    <phoneticPr fontId="1" type="noConversion"/>
  </si>
  <si>
    <t>de pruent big'nitur</t>
    <phoneticPr fontId="1" type="noConversion"/>
  </si>
  <si>
    <t>chelava de gôr</t>
    <phoneticPr fontId="1" type="noConversion"/>
  </si>
  <si>
    <t>visi de gôr</t>
    <phoneticPr fontId="1" type="noConversion"/>
  </si>
  <si>
    <t>nanocrystali</t>
    <phoneticPr fontId="1" type="noConversion"/>
  </si>
  <si>
    <t>ion-liqu'alin</t>
    <phoneticPr fontId="1" type="noConversion"/>
  </si>
  <si>
    <t>strechtono</t>
    <phoneticPr fontId="1" type="noConversion"/>
  </si>
  <si>
    <t>moh'lantono</t>
    <phoneticPr fontId="1" type="noConversion"/>
  </si>
  <si>
    <t>eneruscasir</t>
    <phoneticPr fontId="1" type="noConversion"/>
  </si>
  <si>
    <t>crystalistant</t>
    <phoneticPr fontId="1" type="noConversion"/>
  </si>
  <si>
    <t>vecostant</t>
    <phoneticPr fontId="1" type="noConversion"/>
  </si>
  <si>
    <t>differenco-sorgifit</t>
    <phoneticPr fontId="1" type="noConversion"/>
  </si>
  <si>
    <t>unsicrystali</t>
    <phoneticPr fontId="1" type="noConversion"/>
  </si>
  <si>
    <t>crystalili</t>
    <phoneticPr fontId="1" type="noConversion"/>
  </si>
  <si>
    <t>vecoscasir</t>
    <phoneticPr fontId="1" type="noConversion"/>
  </si>
  <si>
    <t>nonsymetractono</t>
    <phoneticPr fontId="1" type="noConversion"/>
  </si>
  <si>
    <t>对映异构体</t>
    <phoneticPr fontId="1" type="noConversion"/>
  </si>
  <si>
    <t>abciesort-sorgifit</t>
    <phoneticPr fontId="1" type="noConversion"/>
  </si>
  <si>
    <t>resutmtono</t>
    <phoneticPr fontId="1" type="noConversion"/>
  </si>
  <si>
    <t>carbonâc de refe</t>
    <phoneticPr fontId="1" type="noConversion"/>
  </si>
  <si>
    <t>visi de viecinu</t>
    <phoneticPr fontId="1" type="noConversion"/>
  </si>
  <si>
    <t>1-0-3</t>
    <phoneticPr fontId="1" type="noConversion"/>
  </si>
  <si>
    <t>otanalbi</t>
    <phoneticPr fontId="1" type="noConversion"/>
  </si>
  <si>
    <t>xithgalbufo</t>
    <phoneticPr fontId="1" type="noConversion"/>
  </si>
  <si>
    <t>clomatografia andân</t>
    <phoneticPr fontId="1" type="noConversion"/>
  </si>
  <si>
    <t>cemsecioneim</t>
    <phoneticPr fontId="1" type="noConversion"/>
  </si>
  <si>
    <t>de abciesort widenry</t>
    <phoneticPr fontId="1" type="noConversion"/>
  </si>
  <si>
    <t>0-3-1</t>
    <phoneticPr fontId="1" type="noConversion"/>
  </si>
  <si>
    <t>vej</t>
    <phoneticPr fontId="1" type="noConversion"/>
  </si>
  <si>
    <t>vejrin</t>
    <phoneticPr fontId="1" type="noConversion"/>
  </si>
  <si>
    <t>sinthentesorin</t>
    <phoneticPr fontId="1" type="noConversion"/>
  </si>
  <si>
    <t>sinthentes viecinu</t>
    <phoneticPr fontId="1" type="noConversion"/>
  </si>
  <si>
    <t>de sistemar nometherin andân</t>
    <phoneticPr fontId="1" type="noConversion"/>
  </si>
  <si>
    <t>纯度</t>
    <phoneticPr fontId="1" type="noConversion"/>
  </si>
  <si>
    <t>chisntono</t>
    <phoneticPr fontId="1" type="noConversion"/>
  </si>
  <si>
    <t>Kekule</t>
    <phoneticPr fontId="1" type="noConversion"/>
  </si>
  <si>
    <t>de aton groetus</t>
    <phoneticPr fontId="1" type="noConversion"/>
  </si>
  <si>
    <t>bmuatinv</t>
    <phoneticPr fontId="1" type="noConversion"/>
  </si>
  <si>
    <t>vecoboin</t>
    <phoneticPr fontId="1" type="noConversion"/>
  </si>
  <si>
    <t>teomo</t>
    <phoneticPr fontId="1" type="noConversion"/>
  </si>
  <si>
    <t>de Bunsen teomo</t>
    <phoneticPr fontId="1" type="noConversion"/>
  </si>
  <si>
    <t>feory de refe</t>
    <phoneticPr fontId="1" type="noConversion"/>
  </si>
  <si>
    <t>de cimicar equ'itarium</t>
    <phoneticPr fontId="1" type="noConversion"/>
  </si>
  <si>
    <t>cimiceuq'itarium</t>
    <phoneticPr fontId="1" type="noConversion"/>
  </si>
  <si>
    <t>de Le Chatelier scigar</t>
    <phoneticPr fontId="1" type="noConversion"/>
  </si>
  <si>
    <t>0-0-4-1</t>
    <phoneticPr fontId="1" type="noConversion"/>
  </si>
  <si>
    <t>de viecinu hitaca</t>
    <phoneticPr fontId="1" type="noConversion"/>
  </si>
  <si>
    <t>0-3-5</t>
    <phoneticPr fontId="1" type="noConversion"/>
  </si>
  <si>
    <t>eneroviecinu</t>
    <phoneticPr fontId="1" type="noConversion"/>
  </si>
  <si>
    <t>4-0-7</t>
    <phoneticPr fontId="1" type="noConversion"/>
  </si>
  <si>
    <t>nechemunsir de stant</t>
    <phoneticPr fontId="1" type="noConversion"/>
  </si>
  <si>
    <t>finis de stant</t>
    <phoneticPr fontId="1" type="noConversion"/>
  </si>
  <si>
    <t>anode</t>
    <phoneticPr fontId="1" type="noConversion"/>
  </si>
  <si>
    <t>catode</t>
    <phoneticPr fontId="1" type="noConversion"/>
  </si>
  <si>
    <t>pozitifode</t>
    <phoneticPr fontId="1" type="noConversion"/>
  </si>
  <si>
    <t>hegatifode</t>
    <phoneticPr fontId="1" type="noConversion"/>
  </si>
  <si>
    <t>electricimicar</t>
    <phoneticPr fontId="1" type="noConversion"/>
  </si>
  <si>
    <t>de Tyndal efecat</t>
    <phoneticPr fontId="1" type="noConversion"/>
  </si>
  <si>
    <t>aliminiomgra</t>
    <phoneticPr fontId="1" type="noConversion"/>
  </si>
  <si>
    <t>shimo</t>
    <phoneticPr fontId="1" type="noConversion"/>
  </si>
  <si>
    <t>shimlacop</t>
    <phoneticPr fontId="1" type="noConversion"/>
  </si>
  <si>
    <t>tripeds</t>
    <phoneticPr fontId="1" type="noConversion"/>
  </si>
  <si>
    <t>tripeds refe</t>
    <phoneticPr fontId="1" type="noConversion"/>
  </si>
  <si>
    <t>alja'lan</t>
    <phoneticPr fontId="1" type="noConversion"/>
  </si>
  <si>
    <t>spleta</t>
    <phoneticPr fontId="1" type="noConversion"/>
  </si>
  <si>
    <t>bmuatinv vu venalizas</t>
    <phoneticPr fontId="1" type="noConversion"/>
  </si>
  <si>
    <t xml:space="preserve">venalizasâc de bmuatinv </t>
    <phoneticPr fontId="1" type="noConversion"/>
  </si>
  <si>
    <t>electribmuatinv</t>
    <phoneticPr fontId="1" type="noConversion"/>
  </si>
  <si>
    <t>foto-electriturs</t>
    <phoneticPr fontId="1" type="noConversion"/>
  </si>
  <si>
    <t>magnacaven</t>
    <phoneticPr fontId="1" type="noConversion"/>
  </si>
  <si>
    <t>magnacavhelta</t>
    <phoneticPr fontId="1" type="noConversion"/>
  </si>
  <si>
    <t>et'itunzero</t>
    <phoneticPr fontId="1" type="noConversion"/>
  </si>
  <si>
    <t>conel</t>
    <phoneticPr fontId="1" type="noConversion"/>
  </si>
  <si>
    <t>qu'antum</t>
    <phoneticPr fontId="1" type="noConversion"/>
  </si>
  <si>
    <t>telescopo</t>
    <phoneticPr fontId="1" type="noConversion"/>
  </si>
  <si>
    <t>decamont1o</t>
    <phoneticPr fontId="1" type="noConversion"/>
  </si>
  <si>
    <t>csia</t>
    <phoneticPr fontId="1" type="noConversion"/>
  </si>
  <si>
    <t>xia</t>
    <phoneticPr fontId="1" type="noConversion"/>
  </si>
  <si>
    <t>csiarin</t>
    <phoneticPr fontId="1" type="noConversion"/>
  </si>
  <si>
    <t>tarêntriun</t>
    <phoneticPr fontId="1" type="noConversion"/>
  </si>
  <si>
    <t>tarêntriunrin</t>
    <phoneticPr fontId="1" type="noConversion"/>
  </si>
  <si>
    <t>csairdur</t>
    <phoneticPr fontId="1" type="noConversion"/>
  </si>
  <si>
    <t>csairdurin</t>
    <phoneticPr fontId="1" type="noConversion"/>
  </si>
  <si>
    <t>de experimonto hapois</t>
    <phoneticPr fontId="1" type="noConversion"/>
  </si>
  <si>
    <t>de casendnarin tevarehâ</t>
    <phoneticPr fontId="1" type="noConversion"/>
  </si>
  <si>
    <t>wihta</t>
    <phoneticPr fontId="1" type="noConversion"/>
  </si>
  <si>
    <t>wihtarin</t>
    <phoneticPr fontId="1" type="noConversion"/>
  </si>
  <si>
    <t>hdohej</t>
    <phoneticPr fontId="1" type="noConversion"/>
  </si>
  <si>
    <t>hdohejrin</t>
    <phoneticPr fontId="1" type="noConversion"/>
  </si>
  <si>
    <t>ustali</t>
    <phoneticPr fontId="1" type="noConversion"/>
  </si>
  <si>
    <t>mecaniqu'e mouvmonto</t>
    <phoneticPr fontId="1" type="noConversion"/>
  </si>
  <si>
    <t>mecaniqu'e elênvâg</t>
    <phoneticPr fontId="1" type="noConversion"/>
  </si>
  <si>
    <t>de sermantea efecat</t>
    <phoneticPr fontId="1" type="noConversion"/>
  </si>
  <si>
    <t>reschittono Rocwel</t>
    <phoneticPr fontId="1" type="noConversion"/>
  </si>
  <si>
    <t>0-2-0-4</t>
    <phoneticPr fontId="1" type="noConversion"/>
  </si>
  <si>
    <t>随机变量</t>
    <phoneticPr fontId="1" type="noConversion"/>
  </si>
  <si>
    <t>不定代词</t>
    <phoneticPr fontId="1" type="noConversion"/>
  </si>
  <si>
    <t>一些，一些的</t>
    <phoneticPr fontId="1" type="noConversion"/>
  </si>
  <si>
    <t>任何，任何的</t>
    <phoneticPr fontId="1" type="noConversion"/>
  </si>
  <si>
    <t>某个，某个的</t>
    <phoneticPr fontId="1" type="noConversion"/>
  </si>
  <si>
    <t>所有，所有的</t>
    <phoneticPr fontId="1" type="noConversion"/>
  </si>
  <si>
    <t>jonsa</t>
    <phoneticPr fontId="1" type="noConversion"/>
  </si>
  <si>
    <t>mendqu'e</t>
    <phoneticPr fontId="1" type="noConversion"/>
  </si>
  <si>
    <t>athy</t>
    <phoneticPr fontId="1" type="noConversion"/>
  </si>
  <si>
    <t>qu'elqu'e</t>
    <phoneticPr fontId="1" type="noConversion"/>
  </si>
  <si>
    <t>jonsader</t>
  </si>
  <si>
    <t>jonsascasir</t>
  </si>
  <si>
    <t>jonsacadal</t>
  </si>
  <si>
    <t>jonsaagoredo</t>
  </si>
  <si>
    <t>jonsaplatsia</t>
  </si>
  <si>
    <t>mendqu'eder</t>
  </si>
  <si>
    <t>mendqu'escasir</t>
  </si>
  <si>
    <t>mendqu'ecadal</t>
  </si>
  <si>
    <t>mendqu'eagoredo</t>
  </si>
  <si>
    <t>mendqu'eplatsia</t>
  </si>
  <si>
    <t>athyder</t>
  </si>
  <si>
    <t>athyscasir</t>
  </si>
  <si>
    <t>athycadal</t>
  </si>
  <si>
    <t>athyagoredo</t>
  </si>
  <si>
    <t>athyplatsia</t>
  </si>
  <si>
    <t>qu'elqu'eder</t>
  </si>
  <si>
    <t>qu'elqu'escasir</t>
  </si>
  <si>
    <t>qu'elqu'ecadal</t>
  </si>
  <si>
    <t>qu'elqu'eagoredo</t>
  </si>
  <si>
    <t>qu'elqu'eplatsia</t>
  </si>
  <si>
    <t>nonder</t>
  </si>
  <si>
    <t>nonscasir</t>
  </si>
  <si>
    <t>noncadal</t>
  </si>
  <si>
    <t>nonagoredo</t>
  </si>
  <si>
    <t>nonplatsia</t>
  </si>
  <si>
    <t>一些人</t>
  </si>
  <si>
    <t>一些物</t>
  </si>
  <si>
    <t>一些事</t>
  </si>
  <si>
    <t>一些地方</t>
  </si>
  <si>
    <t>任何人</t>
  </si>
  <si>
    <t>任何物</t>
  </si>
  <si>
    <t>任何事</t>
  </si>
  <si>
    <t>任何地方</t>
  </si>
  <si>
    <t>所有人</t>
  </si>
  <si>
    <t>所有物</t>
  </si>
  <si>
    <t>所有事</t>
  </si>
  <si>
    <t>所有地方</t>
  </si>
  <si>
    <t>某个人，某人</t>
    <phoneticPr fontId="1" type="noConversion"/>
  </si>
  <si>
    <t>某物</t>
    <phoneticPr fontId="1" type="noConversion"/>
  </si>
  <si>
    <t>某事</t>
    <phoneticPr fontId="1" type="noConversion"/>
  </si>
  <si>
    <t>某个事物，某事物</t>
    <phoneticPr fontId="1" type="noConversion"/>
  </si>
  <si>
    <t>一些事物</t>
    <phoneticPr fontId="1" type="noConversion"/>
  </si>
  <si>
    <t>任何事物</t>
    <phoneticPr fontId="1" type="noConversion"/>
  </si>
  <si>
    <t>所有事物</t>
    <phoneticPr fontId="1" type="noConversion"/>
  </si>
  <si>
    <t>某个地方，某地</t>
    <phoneticPr fontId="1" type="noConversion"/>
  </si>
  <si>
    <t>没有人，无人</t>
    <phoneticPr fontId="1" type="noConversion"/>
  </si>
  <si>
    <t>没有物，无物</t>
    <phoneticPr fontId="1" type="noConversion"/>
  </si>
  <si>
    <t>没有事，无事</t>
    <phoneticPr fontId="1" type="noConversion"/>
  </si>
  <si>
    <t>没有事务，无事物</t>
    <phoneticPr fontId="1" type="noConversion"/>
  </si>
  <si>
    <t>没有地方，无地</t>
    <phoneticPr fontId="1" type="noConversion"/>
  </si>
  <si>
    <t>jonsagoredo</t>
    <phoneticPr fontId="1" type="noConversion"/>
  </si>
  <si>
    <t>还；仍旧，仍有；还有（cira., cej.）</t>
    <phoneticPr fontId="1" type="noConversion"/>
  </si>
  <si>
    <t>竟然，居然</t>
    <phoneticPr fontId="1" type="noConversion"/>
  </si>
  <si>
    <t>不久后，不久之后</t>
    <phoneticPr fontId="1" type="noConversion"/>
  </si>
  <si>
    <t>仍，任然，仍旧，依旧</t>
    <phoneticPr fontId="1" type="noConversion"/>
  </si>
  <si>
    <t>也，也是</t>
    <phoneticPr fontId="1" type="noConversion"/>
  </si>
  <si>
    <t>被</t>
    <phoneticPr fontId="1" type="noConversion"/>
  </si>
  <si>
    <t>把，使，使得</t>
  </si>
  <si>
    <t>再，再一次，又一次</t>
  </si>
  <si>
    <t>屡次，一再；数次</t>
  </si>
  <si>
    <t>也不</t>
  </si>
  <si>
    <t>都，全，都是，全部是</t>
  </si>
  <si>
    <t>从来，总是</t>
  </si>
  <si>
    <t>仅仅，仅仅是，不过是</t>
  </si>
  <si>
    <t>能，可以，能够；可能</t>
  </si>
  <si>
    <t>不够</t>
  </si>
  <si>
    <t>首先</t>
  </si>
  <si>
    <t>接着，然后</t>
  </si>
  <si>
    <t>最后</t>
  </si>
  <si>
    <t>最终</t>
  </si>
  <si>
    <t>当然，当然是</t>
  </si>
  <si>
    <t>一定，肯定，一定是，肯定会</t>
  </si>
  <si>
    <t>终于</t>
  </si>
  <si>
    <t>结果，结果是</t>
  </si>
  <si>
    <t>原来，原来是</t>
  </si>
  <si>
    <t>原应，本该，本来会</t>
  </si>
  <si>
    <t>应该，或许是，或许会；应该，该</t>
  </si>
  <si>
    <t>本来会，本来能，本来可以</t>
  </si>
  <si>
    <t>好像，像，像是</t>
  </si>
  <si>
    <t>本会，本可以，表虚拟语气</t>
  </si>
  <si>
    <t>好，完全，完成</t>
  </si>
  <si>
    <t>而已，表示不屑或鄙夷</t>
  </si>
  <si>
    <t>罢了，表示不屑或鄙夷</t>
  </si>
  <si>
    <t>不可</t>
  </si>
  <si>
    <t>不啻，不止于，不亚于</t>
  </si>
  <si>
    <t>也不，或不</t>
  </si>
  <si>
    <t>acor</t>
    <phoneticPr fontId="1" type="noConversion"/>
  </si>
  <si>
    <t>tero</t>
    <phoneticPr fontId="1" type="noConversion"/>
  </si>
  <si>
    <t>sul</t>
    <phoneticPr fontId="1" type="noConversion"/>
  </si>
  <si>
    <t>undan</t>
    <phoneticPr fontId="1" type="noConversion"/>
  </si>
  <si>
    <t>qibad</t>
    <phoneticPr fontId="1" type="noConversion"/>
  </si>
  <si>
    <t>azo</t>
    <phoneticPr fontId="1" type="noConversion"/>
  </si>
  <si>
    <t>tam</t>
    <phoneticPr fontId="1" type="noConversion"/>
  </si>
  <si>
    <t>thany</t>
    <phoneticPr fontId="1" type="noConversion"/>
  </si>
  <si>
    <t>bê</t>
    <phoneticPr fontId="1" type="noConversion"/>
  </si>
  <si>
    <t>bâ</t>
    <phoneticPr fontId="1" type="noConversion"/>
  </si>
  <si>
    <t>numy</t>
    <phoneticPr fontId="1" type="noConversion"/>
  </si>
  <si>
    <t>tumy</t>
    <phoneticPr fontId="1" type="noConversion"/>
  </si>
  <si>
    <t>tamun</t>
    <phoneticPr fontId="1" type="noConversion"/>
  </si>
  <si>
    <t>tamuns</t>
    <phoneticPr fontId="1" type="noConversion"/>
  </si>
  <si>
    <t>om</t>
    <phoneticPr fontId="1" type="noConversion"/>
  </si>
  <si>
    <t>voe</t>
    <phoneticPr fontId="1" type="noConversion"/>
  </si>
  <si>
    <t>beton</t>
    <phoneticPr fontId="1" type="noConversion"/>
  </si>
  <si>
    <t>awis</t>
    <phoneticPr fontId="1" type="noConversion"/>
  </si>
  <si>
    <t>une</t>
    <phoneticPr fontId="1" type="noConversion"/>
  </si>
  <si>
    <t>primi</t>
    <phoneticPr fontId="1" type="noConversion"/>
  </si>
  <si>
    <t>denqu'e</t>
    <phoneticPr fontId="1" type="noConversion"/>
  </si>
  <si>
    <t>ultime</t>
    <phoneticPr fontId="1" type="noConversion"/>
  </si>
  <si>
    <t>certu</t>
    <phoneticPr fontId="1" type="noConversion"/>
  </si>
  <si>
    <t>acortu</t>
    <phoneticPr fontId="1" type="noConversion"/>
  </si>
  <si>
    <t>sigun</t>
    <phoneticPr fontId="1" type="noConversion"/>
  </si>
  <si>
    <t>fin</t>
    <phoneticPr fontId="1" type="noConversion"/>
  </si>
  <si>
    <t>fietumo</t>
    <phoneticPr fontId="1" type="noConversion"/>
  </si>
  <si>
    <t>etheta</t>
    <phoneticPr fontId="1" type="noConversion"/>
  </si>
  <si>
    <t>nuta</t>
    <phoneticPr fontId="1" type="noConversion"/>
  </si>
  <si>
    <t>gra</t>
    <phoneticPr fontId="1" type="noConversion"/>
  </si>
  <si>
    <t>nonti</t>
    <phoneticPr fontId="1" type="noConversion"/>
  </si>
  <si>
    <t>nutati</t>
    <phoneticPr fontId="1" type="noConversion"/>
  </si>
  <si>
    <t>eti</t>
    <phoneticPr fontId="1" type="noConversion"/>
  </si>
  <si>
    <t>beti</t>
    <phoneticPr fontId="1" type="noConversion"/>
  </si>
  <si>
    <t>nonpôts</t>
    <phoneticPr fontId="1" type="noConversion"/>
  </si>
  <si>
    <t>cadha</t>
    <phoneticPr fontId="1" type="noConversion"/>
  </si>
  <si>
    <t>unce</t>
    <phoneticPr fontId="1" type="noConversion"/>
  </si>
  <si>
    <t>xote</t>
    <phoneticPr fontId="1" type="noConversion"/>
  </si>
  <si>
    <t>xople</t>
    <phoneticPr fontId="1" type="noConversion"/>
  </si>
  <si>
    <t>xome</t>
    <phoneticPr fontId="1" type="noConversion"/>
  </si>
  <si>
    <t>certuns</t>
    <phoneticPr fontId="1" type="noConversion"/>
  </si>
  <si>
    <t>deuguns</t>
    <phoneticPr fontId="1" type="noConversion"/>
  </si>
  <si>
    <t>suluns</t>
    <phoneticPr fontId="1" type="noConversion"/>
  </si>
  <si>
    <t>acortuns</t>
    <phoneticPr fontId="1" type="noConversion"/>
  </si>
  <si>
    <t>sho</t>
    <phoneticPr fontId="1" type="noConversion"/>
  </si>
  <si>
    <t>ger</t>
    <phoneticPr fontId="1" type="noConversion"/>
  </si>
  <si>
    <t>cisho</t>
    <phoneticPr fontId="1" type="noConversion"/>
  </si>
  <si>
    <t>nieti</t>
    <phoneticPr fontId="1" type="noConversion"/>
  </si>
  <si>
    <t>sapadi</t>
    <phoneticPr fontId="1" type="noConversion"/>
  </si>
  <si>
    <t>jati</t>
    <phoneticPr fontId="1" type="noConversion"/>
  </si>
  <si>
    <t>geson</t>
    <phoneticPr fontId="1" type="noConversion"/>
  </si>
  <si>
    <t>没办法，不能够</t>
  </si>
  <si>
    <t>当时</t>
  </si>
  <si>
    <t>当场</t>
  </si>
  <si>
    <t>真，真是；真</t>
  </si>
  <si>
    <t>当面</t>
  </si>
  <si>
    <t>当然不</t>
  </si>
  <si>
    <t>不都，不全</t>
  </si>
  <si>
    <t>都不，全不</t>
  </si>
  <si>
    <t>不仅仅</t>
  </si>
  <si>
    <t>仅仅不</t>
  </si>
  <si>
    <t>竟然不，居然不</t>
  </si>
  <si>
    <t>还不，仍不，犹不</t>
  </si>
  <si>
    <t>稍，稍稍，稍微</t>
  </si>
  <si>
    <t>渐渐，渐次，逐渐</t>
  </si>
  <si>
    <t>稍微，稍稍</t>
  </si>
  <si>
    <t>突然</t>
  </si>
  <si>
    <t>马上</t>
  </si>
  <si>
    <t>一下，一下子</t>
  </si>
  <si>
    <t>立刻</t>
  </si>
  <si>
    <t>尽管</t>
  </si>
  <si>
    <t>如果</t>
  </si>
  <si>
    <t>要是</t>
  </si>
  <si>
    <t>更不用说</t>
  </si>
  <si>
    <t>更不要说</t>
  </si>
  <si>
    <t>难道</t>
  </si>
  <si>
    <t>怎么</t>
  </si>
  <si>
    <t>快（人+v.）</t>
  </si>
  <si>
    <t>万一</t>
  </si>
  <si>
    <t>快要，表状态（物+v.）</t>
  </si>
  <si>
    <t>任意</t>
  </si>
  <si>
    <t>敢</t>
  </si>
  <si>
    <t>可能</t>
  </si>
  <si>
    <t>也许</t>
  </si>
  <si>
    <t>些许</t>
  </si>
  <si>
    <t>甚至</t>
  </si>
  <si>
    <t>明显</t>
  </si>
  <si>
    <t>同样</t>
  </si>
  <si>
    <t>永远</t>
  </si>
  <si>
    <t>大概</t>
  </si>
  <si>
    <t>或许</t>
  </si>
  <si>
    <t>有时</t>
  </si>
  <si>
    <t>可能不</t>
  </si>
  <si>
    <t>也会</t>
  </si>
  <si>
    <t>不去（+v.）</t>
  </si>
  <si>
    <t>比不上</t>
    <phoneticPr fontId="1" type="noConversion"/>
  </si>
  <si>
    <t>不会（如何），不会（发生……）</t>
    <phoneticPr fontId="1" type="noConversion"/>
  </si>
  <si>
    <t>……一样</t>
    <phoneticPr fontId="1" type="noConversion"/>
  </si>
  <si>
    <t>……似的</t>
    <phoneticPr fontId="1" type="noConversion"/>
  </si>
  <si>
    <t>随时</t>
    <phoneticPr fontId="1" type="noConversion"/>
  </si>
  <si>
    <t>随处</t>
    <phoneticPr fontId="1" type="noConversion"/>
  </si>
  <si>
    <t>四处</t>
    <phoneticPr fontId="1" type="noConversion"/>
  </si>
  <si>
    <t>有关</t>
    <phoneticPr fontId="1" type="noConversion"/>
  </si>
  <si>
    <t>连……也</t>
    <phoneticPr fontId="1" type="noConversion"/>
  </si>
  <si>
    <t>以后</t>
    <phoneticPr fontId="1" type="noConversion"/>
  </si>
  <si>
    <t>然后</t>
    <phoneticPr fontId="1" type="noConversion"/>
  </si>
  <si>
    <t>非要</t>
    <phoneticPr fontId="1" type="noConversion"/>
  </si>
  <si>
    <t>非……不可</t>
    <phoneticPr fontId="1" type="noConversion"/>
  </si>
  <si>
    <t>随意</t>
    <phoneticPr fontId="1" type="noConversion"/>
  </si>
  <si>
    <t>随便；任……</t>
    <phoneticPr fontId="1" type="noConversion"/>
  </si>
  <si>
    <t>不禁</t>
    <phoneticPr fontId="1" type="noConversion"/>
  </si>
  <si>
    <t>于是</t>
    <phoneticPr fontId="1" type="noConversion"/>
  </si>
  <si>
    <t>尤其，尤</t>
    <phoneticPr fontId="1" type="noConversion"/>
  </si>
  <si>
    <t>唯一，仅有</t>
    <phoneticPr fontId="1" type="noConversion"/>
  </si>
  <si>
    <t>曾</t>
    <phoneticPr fontId="1" type="noConversion"/>
  </si>
  <si>
    <t>未曾，未尝</t>
    <phoneticPr fontId="1" type="noConversion"/>
  </si>
  <si>
    <t>不曾</t>
    <phoneticPr fontId="1" type="noConversion"/>
  </si>
  <si>
    <t>素来，一向</t>
    <phoneticPr fontId="1" type="noConversion"/>
  </si>
  <si>
    <t>迄今</t>
    <phoneticPr fontId="1" type="noConversion"/>
  </si>
  <si>
    <t>如今</t>
    <phoneticPr fontId="1" type="noConversion"/>
  </si>
  <si>
    <t>近来</t>
    <phoneticPr fontId="1" type="noConversion"/>
  </si>
  <si>
    <t>最近</t>
    <phoneticPr fontId="1" type="noConversion"/>
  </si>
  <si>
    <t>一定，肯定，一定是，肯定会</t>
    <phoneticPr fontId="1" type="noConversion"/>
  </si>
  <si>
    <t>暂时</t>
    <phoneticPr fontId="1" type="noConversion"/>
  </si>
  <si>
    <t>不一定</t>
    <phoneticPr fontId="1" type="noConversion"/>
  </si>
  <si>
    <t>一定不</t>
    <phoneticPr fontId="1" type="noConversion"/>
  </si>
  <si>
    <t>果然</t>
    <phoneticPr fontId="1" type="noConversion"/>
  </si>
  <si>
    <t>满心</t>
    <phoneticPr fontId="1" type="noConversion"/>
  </si>
  <si>
    <t>遍</t>
    <phoneticPr fontId="1" type="noConversion"/>
  </si>
  <si>
    <t>满</t>
    <phoneticPr fontId="1" type="noConversion"/>
  </si>
  <si>
    <t>太</t>
    <phoneticPr fontId="1" type="noConversion"/>
  </si>
  <si>
    <t>刚，刚刚</t>
    <phoneticPr fontId="1" type="noConversion"/>
  </si>
  <si>
    <t>过于</t>
    <phoneticPr fontId="1" type="noConversion"/>
  </si>
  <si>
    <t>陪着，陪伴；一起</t>
    <phoneticPr fontId="1" type="noConversion"/>
  </si>
  <si>
    <t>赶快</t>
    <phoneticPr fontId="1" type="noConversion"/>
  </si>
  <si>
    <t>轻易</t>
    <phoneticPr fontId="1" type="noConversion"/>
  </si>
  <si>
    <t>同样</t>
    <phoneticPr fontId="1" type="noConversion"/>
  </si>
  <si>
    <t>凡是，凡，大凡</t>
    <phoneticPr fontId="1" type="noConversion"/>
  </si>
  <si>
    <t>大凡</t>
    <phoneticPr fontId="1" type="noConversion"/>
  </si>
  <si>
    <t>但凡</t>
    <phoneticPr fontId="1" type="noConversion"/>
  </si>
  <si>
    <t>特别</t>
    <phoneticPr fontId="1" type="noConversion"/>
  </si>
  <si>
    <t>特别是</t>
    <phoneticPr fontId="1" type="noConversion"/>
  </si>
  <si>
    <t>和，与</t>
    <phoneticPr fontId="1" type="noConversion"/>
  </si>
  <si>
    <t>或许</t>
    <phoneticPr fontId="1" type="noConversion"/>
  </si>
  <si>
    <t>有的</t>
    <phoneticPr fontId="1" type="noConversion"/>
  </si>
  <si>
    <t>时而</t>
    <phoneticPr fontId="1" type="noConversion"/>
  </si>
  <si>
    <t>的确</t>
    <phoneticPr fontId="1" type="noConversion"/>
  </si>
  <si>
    <t>确实</t>
    <phoneticPr fontId="1" type="noConversion"/>
  </si>
  <si>
    <t>有些</t>
    <phoneticPr fontId="1" type="noConversion"/>
  </si>
  <si>
    <t>有可能</t>
    <phoneticPr fontId="1" type="noConversion"/>
  </si>
  <si>
    <t>愈发</t>
    <phoneticPr fontId="1" type="noConversion"/>
  </si>
  <si>
    <t>如果</t>
    <phoneticPr fontId="1" type="noConversion"/>
  </si>
  <si>
    <t>像</t>
    <phoneticPr fontId="1" type="noConversion"/>
  </si>
  <si>
    <t>就，那么</t>
    <phoneticPr fontId="1" type="noConversion"/>
  </si>
  <si>
    <t>虽然</t>
    <phoneticPr fontId="1" type="noConversion"/>
  </si>
  <si>
    <t>趁</t>
    <phoneticPr fontId="1" type="noConversion"/>
  </si>
  <si>
    <t>各自</t>
    <phoneticPr fontId="1" type="noConversion"/>
  </si>
  <si>
    <t>不好意思</t>
    <phoneticPr fontId="1" type="noConversion"/>
  </si>
  <si>
    <t>可是，然而</t>
    <phoneticPr fontId="1" type="noConversion"/>
  </si>
  <si>
    <t>恐怕</t>
    <phoneticPr fontId="1" type="noConversion"/>
  </si>
  <si>
    <t>一起</t>
    <phoneticPr fontId="1" type="noConversion"/>
  </si>
  <si>
    <t>不全</t>
    <phoneticPr fontId="1" type="noConversion"/>
  </si>
  <si>
    <t>全不</t>
    <phoneticPr fontId="1" type="noConversion"/>
  </si>
  <si>
    <t>抑或</t>
    <phoneticPr fontId="1" type="noConversion"/>
  </si>
  <si>
    <t>没能</t>
    <phoneticPr fontId="1" type="noConversion"/>
  </si>
  <si>
    <t>差点</t>
    <phoneticPr fontId="1" type="noConversion"/>
  </si>
  <si>
    <t>一再</t>
    <phoneticPr fontId="1" type="noConversion"/>
  </si>
  <si>
    <t>要是</t>
    <phoneticPr fontId="1" type="noConversion"/>
  </si>
  <si>
    <t>却，但，可是</t>
    <phoneticPr fontId="1" type="noConversion"/>
  </si>
  <si>
    <t>只有</t>
    <phoneticPr fontId="1" type="noConversion"/>
  </si>
  <si>
    <t>因为</t>
    <phoneticPr fontId="1" type="noConversion"/>
  </si>
  <si>
    <t>要不然</t>
    <phoneticPr fontId="1" type="noConversion"/>
  </si>
  <si>
    <t>既然</t>
    <phoneticPr fontId="1" type="noConversion"/>
  </si>
  <si>
    <t>所以</t>
    <phoneticPr fontId="1" type="noConversion"/>
  </si>
  <si>
    <t>除非</t>
    <phoneticPr fontId="1" type="noConversion"/>
  </si>
  <si>
    <t>总不能</t>
    <phoneticPr fontId="1" type="noConversion"/>
  </si>
  <si>
    <t>万不可</t>
    <phoneticPr fontId="1" type="noConversion"/>
  </si>
  <si>
    <t>一边</t>
    <phoneticPr fontId="1" type="noConversion"/>
  </si>
  <si>
    <t>什么</t>
    <phoneticPr fontId="1" type="noConversion"/>
  </si>
  <si>
    <t>要么</t>
    <phoneticPr fontId="1" type="noConversion"/>
  </si>
  <si>
    <t>因此</t>
    <phoneticPr fontId="1" type="noConversion"/>
  </si>
  <si>
    <t>为什么不</t>
    <phoneticPr fontId="1" type="noConversion"/>
  </si>
  <si>
    <t>否则</t>
    <phoneticPr fontId="1" type="noConversion"/>
  </si>
  <si>
    <t>才</t>
    <phoneticPr fontId="1" type="noConversion"/>
  </si>
  <si>
    <t>只要</t>
    <phoneticPr fontId="1" type="noConversion"/>
  </si>
  <si>
    <t>只能</t>
    <phoneticPr fontId="1" type="noConversion"/>
  </si>
  <si>
    <t>唯，惟，唯独，唯有</t>
    <phoneticPr fontId="1" type="noConversion"/>
  </si>
  <si>
    <t>独，单单，只是</t>
    <phoneticPr fontId="1" type="noConversion"/>
  </si>
  <si>
    <t>不仅</t>
    <phoneticPr fontId="1" type="noConversion"/>
  </si>
  <si>
    <t>而且</t>
    <phoneticPr fontId="1" type="noConversion"/>
  </si>
  <si>
    <t>无论</t>
    <phoneticPr fontId="1" type="noConversion"/>
  </si>
  <si>
    <t>都</t>
    <phoneticPr fontId="1" type="noConversion"/>
  </si>
  <si>
    <t>只好</t>
    <phoneticPr fontId="1" type="noConversion"/>
  </si>
  <si>
    <t>肆意</t>
    <phoneticPr fontId="1" type="noConversion"/>
  </si>
  <si>
    <t>任意</t>
    <phoneticPr fontId="1" type="noConversion"/>
  </si>
  <si>
    <t>任凭</t>
    <phoneticPr fontId="1" type="noConversion"/>
  </si>
  <si>
    <t>既</t>
    <phoneticPr fontId="1" type="noConversion"/>
  </si>
  <si>
    <t>未</t>
    <phoneticPr fontId="1" type="noConversion"/>
  </si>
  <si>
    <t>未可</t>
    <phoneticPr fontId="1" type="noConversion"/>
  </si>
  <si>
    <t>未能</t>
    <phoneticPr fontId="1" type="noConversion"/>
  </si>
  <si>
    <t>依然</t>
    <phoneticPr fontId="1" type="noConversion"/>
  </si>
  <si>
    <t>乃至</t>
    <phoneticPr fontId="1" type="noConversion"/>
  </si>
  <si>
    <t>等等</t>
    <phoneticPr fontId="1" type="noConversion"/>
  </si>
  <si>
    <t>诸</t>
    <phoneticPr fontId="1" type="noConversion"/>
  </si>
  <si>
    <t>按</t>
    <phoneticPr fontId="1" type="noConversion"/>
  </si>
  <si>
    <t>例如</t>
    <phoneticPr fontId="1" type="noConversion"/>
  </si>
  <si>
    <t>不久前</t>
    <phoneticPr fontId="1" type="noConversion"/>
  </si>
  <si>
    <t>相反，反之</t>
    <phoneticPr fontId="1" type="noConversion"/>
  </si>
  <si>
    <t>到底</t>
    <phoneticPr fontId="1" type="noConversion"/>
  </si>
  <si>
    <t>试图</t>
    <phoneticPr fontId="1" type="noConversion"/>
  </si>
  <si>
    <t>随着</t>
    <phoneticPr fontId="1" type="noConversion"/>
  </si>
  <si>
    <t>鉴于</t>
    <phoneticPr fontId="1" type="noConversion"/>
  </si>
  <si>
    <t>大致</t>
    <phoneticPr fontId="1" type="noConversion"/>
  </si>
  <si>
    <t>瞬间，秒</t>
    <phoneticPr fontId="1" type="noConversion"/>
  </si>
  <si>
    <t>分别</t>
    <phoneticPr fontId="1" type="noConversion"/>
  </si>
  <si>
    <t>并</t>
    <phoneticPr fontId="1" type="noConversion"/>
  </si>
  <si>
    <t>逐渐</t>
    <phoneticPr fontId="1" type="noConversion"/>
  </si>
  <si>
    <t>tum</t>
    <phoneticPr fontId="1" type="noConversion"/>
  </si>
  <si>
    <t>meem</t>
    <phoneticPr fontId="1" type="noConversion"/>
  </si>
  <si>
    <t>miogen</t>
    <phoneticPr fontId="1" type="noConversion"/>
  </si>
  <si>
    <t>chago</t>
    <phoneticPr fontId="1" type="noConversion"/>
  </si>
  <si>
    <t>fortse</t>
    <phoneticPr fontId="1" type="noConversion"/>
  </si>
  <si>
    <t>idenz</t>
    <phoneticPr fontId="1" type="noConversion"/>
  </si>
  <si>
    <t>tamti</t>
    <phoneticPr fontId="1" type="noConversion"/>
  </si>
  <si>
    <t>notem</t>
    <phoneticPr fontId="1" type="noConversion"/>
  </si>
  <si>
    <t>nopla</t>
    <phoneticPr fontId="1" type="noConversion"/>
  </si>
  <si>
    <t>athpa</t>
    <phoneticPr fontId="1" type="noConversion"/>
  </si>
  <si>
    <t>âc</t>
    <phoneticPr fontId="1" type="noConversion"/>
  </si>
  <si>
    <t>vindae</t>
    <phoneticPr fontId="1" type="noConversion"/>
  </si>
  <si>
    <t>alous</t>
    <phoneticPr fontId="1" type="noConversion"/>
  </si>
  <si>
    <t>noce</t>
    <phoneticPr fontId="1" type="noConversion"/>
  </si>
  <si>
    <t>nos</t>
    <phoneticPr fontId="1" type="noConversion"/>
  </si>
  <si>
    <t>yumnu</t>
    <phoneticPr fontId="1" type="noConversion"/>
  </si>
  <si>
    <t>dal</t>
    <phoneticPr fontId="1" type="noConversion"/>
  </si>
  <si>
    <t>erita</t>
    <phoneticPr fontId="1" type="noConversion"/>
  </si>
  <si>
    <t>t'ia</t>
    <phoneticPr fontId="1" type="noConversion"/>
  </si>
  <si>
    <t>jama</t>
    <phoneticPr fontId="1" type="noConversion"/>
  </si>
  <si>
    <t>neja</t>
    <phoneticPr fontId="1" type="noConversion"/>
  </si>
  <si>
    <t>neni</t>
    <phoneticPr fontId="1" type="noConversion"/>
  </si>
  <si>
    <t>xeni</t>
    <phoneticPr fontId="1" type="noConversion"/>
  </si>
  <si>
    <t>deamone</t>
    <phoneticPr fontId="1" type="noConversion"/>
  </si>
  <si>
    <t>adhuc</t>
    <phoneticPr fontId="1" type="noConversion"/>
  </si>
  <si>
    <t>eatimn</t>
    <phoneticPr fontId="1" type="noConversion"/>
  </si>
  <si>
    <t>nin</t>
    <phoneticPr fontId="1" type="noConversion"/>
  </si>
  <si>
    <t>haira</t>
    <phoneticPr fontId="1" type="noConversion"/>
  </si>
  <si>
    <t>mora</t>
    <phoneticPr fontId="1" type="noConversion"/>
  </si>
  <si>
    <t>ajut</t>
    <phoneticPr fontId="1" type="noConversion"/>
  </si>
  <si>
    <t>xegun</t>
    <phoneticPr fontId="1" type="noConversion"/>
  </si>
  <si>
    <t>sigonus</t>
    <phoneticPr fontId="1" type="noConversion"/>
  </si>
  <si>
    <t>sina</t>
    <phoneticPr fontId="1" type="noConversion"/>
  </si>
  <si>
    <t>tselanch</t>
    <phoneticPr fontId="1" type="noConversion"/>
  </si>
  <si>
    <t>tlepo</t>
    <phoneticPr fontId="1" type="noConversion"/>
  </si>
  <si>
    <t>pom</t>
    <phoneticPr fontId="1" type="noConversion"/>
  </si>
  <si>
    <t>vamo</t>
    <phoneticPr fontId="1" type="noConversion"/>
  </si>
  <si>
    <t>dhe</t>
    <phoneticPr fontId="1" type="noConversion"/>
  </si>
  <si>
    <t>ce</t>
    <phoneticPr fontId="1" type="noConversion"/>
  </si>
  <si>
    <t>diprot</t>
    <phoneticPr fontId="1" type="noConversion"/>
  </si>
  <si>
    <t>oashte</t>
    <phoneticPr fontId="1" type="noConversion"/>
  </si>
  <si>
    <t>acas</t>
    <phoneticPr fontId="1" type="noConversion"/>
  </si>
  <si>
    <t>azha</t>
    <phoneticPr fontId="1" type="noConversion"/>
  </si>
  <si>
    <t>easi</t>
    <phoneticPr fontId="1" type="noConversion"/>
  </si>
  <si>
    <t>lete</t>
    <phoneticPr fontId="1" type="noConversion"/>
  </si>
  <si>
    <t>nefezi</t>
    <phoneticPr fontId="1" type="noConversion"/>
  </si>
  <si>
    <t>chiut</t>
    <phoneticPr fontId="1" type="noConversion"/>
  </si>
  <si>
    <t>esuli</t>
    <phoneticPr fontId="1" type="noConversion"/>
  </si>
  <si>
    <t>en</t>
    <phoneticPr fontId="1" type="noConversion"/>
  </si>
  <si>
    <t>our</t>
    <phoneticPr fontId="1" type="noConversion"/>
  </si>
  <si>
    <t>wulunti</t>
    <phoneticPr fontId="1" type="noConversion"/>
  </si>
  <si>
    <t>vohosto</t>
    <phoneticPr fontId="1" type="noConversion"/>
  </si>
  <si>
    <t>fidzeas</t>
    <phoneticPr fontId="1" type="noConversion"/>
  </si>
  <si>
    <t>sed</t>
    <phoneticPr fontId="1" type="noConversion"/>
  </si>
  <si>
    <t>est</t>
    <phoneticPr fontId="1" type="noConversion"/>
  </si>
  <si>
    <t>entre</t>
    <phoneticPr fontId="1" type="noConversion"/>
  </si>
  <si>
    <t>car</t>
    <phoneticPr fontId="1" type="noConversion"/>
  </si>
  <si>
    <t>qu'iasti</t>
    <phoneticPr fontId="1" type="noConversion"/>
  </si>
  <si>
    <t>endonqu'e</t>
    <phoneticPr fontId="1" type="noConversion"/>
  </si>
  <si>
    <t>thergo</t>
    <phoneticPr fontId="1" type="noConversion"/>
  </si>
  <si>
    <t>nosê</t>
    <phoneticPr fontId="1" type="noConversion"/>
  </si>
  <si>
    <t>umotês</t>
    <phoneticPr fontId="1" type="noConversion"/>
  </si>
  <si>
    <t>qu'a</t>
    <phoneticPr fontId="1" type="noConversion"/>
  </si>
  <si>
    <t>jasec</t>
    <phoneticPr fontId="1" type="noConversion"/>
  </si>
  <si>
    <t>thate</t>
    <phoneticPr fontId="1" type="noConversion"/>
  </si>
  <si>
    <t>thieyi</t>
    <phoneticPr fontId="1" type="noConversion"/>
  </si>
  <si>
    <t>qu'iacuns</t>
    <phoneticPr fontId="1" type="noConversion"/>
  </si>
  <si>
    <t>matri</t>
    <phoneticPr fontId="1" type="noConversion"/>
  </si>
  <si>
    <t>vonlt</t>
    <phoneticPr fontId="1" type="noConversion"/>
  </si>
  <si>
    <t>qu'incandus</t>
    <phoneticPr fontId="1" type="noConversion"/>
  </si>
  <si>
    <t>nul</t>
    <phoneticPr fontId="1" type="noConversion"/>
  </si>
  <si>
    <t>e'un</t>
    <phoneticPr fontId="1" type="noConversion"/>
  </si>
  <si>
    <t>lavan</t>
    <phoneticPr fontId="1" type="noConversion"/>
  </si>
  <si>
    <t>cun</t>
    <phoneticPr fontId="1" type="noConversion"/>
  </si>
  <si>
    <t>sere</t>
    <phoneticPr fontId="1" type="noConversion"/>
  </si>
  <si>
    <t>deug</t>
    <phoneticPr fontId="1" type="noConversion"/>
  </si>
  <si>
    <t>ence</t>
    <phoneticPr fontId="1" type="noConversion"/>
  </si>
  <si>
    <t>……上，从下到上，从低级到高级</t>
    <phoneticPr fontId="1" type="noConversion"/>
  </si>
  <si>
    <t>……下，解除状态</t>
    <phoneticPr fontId="1" type="noConversion"/>
  </si>
  <si>
    <t>……出，有，出现</t>
    <phoneticPr fontId="1" type="noConversion"/>
  </si>
  <si>
    <t>conj.</t>
    <phoneticPr fontId="1" type="noConversion"/>
  </si>
  <si>
    <t>sdo</t>
    <phoneticPr fontId="1" type="noConversion"/>
  </si>
  <si>
    <t>eat</t>
    <phoneticPr fontId="1" type="noConversion"/>
  </si>
  <si>
    <t>on</t>
    <phoneticPr fontId="1" type="noConversion"/>
  </si>
  <si>
    <t>at</t>
    <phoneticPr fontId="1" type="noConversion"/>
  </si>
  <si>
    <t>us</t>
    <phoneticPr fontId="1" type="noConversion"/>
  </si>
  <si>
    <t>ael</t>
    <phoneticPr fontId="1" type="noConversion"/>
  </si>
  <si>
    <t>in</t>
    <phoneticPr fontId="1" type="noConversion"/>
  </si>
  <si>
    <t>eu</t>
    <phoneticPr fontId="1" type="noConversion"/>
  </si>
  <si>
    <t>ut</t>
    <phoneticPr fontId="1" type="noConversion"/>
  </si>
  <si>
    <t>eb</t>
    <phoneticPr fontId="1" type="noConversion"/>
  </si>
  <si>
    <t>ul</t>
    <phoneticPr fontId="1" type="noConversion"/>
  </si>
  <si>
    <t>aic</t>
    <phoneticPr fontId="1" type="noConversion"/>
  </si>
  <si>
    <t>ue</t>
    <phoneticPr fontId="1" type="noConversion"/>
  </si>
  <si>
    <t>oa</t>
    <phoneticPr fontId="1" type="noConversion"/>
  </si>
  <si>
    <t>ar</t>
    <phoneticPr fontId="1" type="noConversion"/>
  </si>
  <si>
    <t>aur</t>
    <phoneticPr fontId="1" type="noConversion"/>
  </si>
  <si>
    <t>ia</t>
    <phoneticPr fontId="1" type="noConversion"/>
  </si>
  <si>
    <t>ish</t>
    <phoneticPr fontId="1" type="noConversion"/>
  </si>
  <si>
    <t>io</t>
    <phoneticPr fontId="1" type="noConversion"/>
  </si>
  <si>
    <t>uo</t>
    <phoneticPr fontId="1" type="noConversion"/>
  </si>
  <si>
    <t>oi</t>
    <phoneticPr fontId="1" type="noConversion"/>
  </si>
  <si>
    <t>ob</t>
    <phoneticPr fontId="1" type="noConversion"/>
  </si>
  <si>
    <t>it</t>
    <phoneticPr fontId="1" type="noConversion"/>
  </si>
  <si>
    <t>ic</t>
    <phoneticPr fontId="1" type="noConversion"/>
  </si>
  <si>
    <t>or</t>
    <phoneticPr fontId="1" type="noConversion"/>
  </si>
  <si>
    <t>od</t>
    <phoneticPr fontId="1" type="noConversion"/>
  </si>
  <si>
    <t>ac</t>
    <phoneticPr fontId="1" type="noConversion"/>
  </si>
  <si>
    <t>ith</t>
    <phoneticPr fontId="1" type="noConversion"/>
  </si>
  <si>
    <t>ea</t>
    <phoneticPr fontId="1" type="noConversion"/>
  </si>
  <si>
    <t>ec</t>
    <phoneticPr fontId="1" type="noConversion"/>
  </si>
  <si>
    <t>ep</t>
    <phoneticPr fontId="1" type="noConversion"/>
  </si>
  <si>
    <t>ua</t>
    <phoneticPr fontId="1" type="noConversion"/>
  </si>
  <si>
    <t>ei</t>
    <phoneticPr fontId="1" type="noConversion"/>
  </si>
  <si>
    <t>id</t>
    <phoneticPr fontId="1" type="noConversion"/>
  </si>
  <si>
    <t>ag</t>
    <phoneticPr fontId="1" type="noConversion"/>
  </si>
  <si>
    <t>um</t>
    <phoneticPr fontId="1" type="noConversion"/>
  </si>
  <si>
    <t>esc</t>
    <phoneticPr fontId="1" type="noConversion"/>
  </si>
  <si>
    <t>eal</t>
    <phoneticPr fontId="1" type="noConversion"/>
  </si>
  <si>
    <t>pati.</t>
  </si>
  <si>
    <t>动助词</t>
    <phoneticPr fontId="1" type="noConversion"/>
  </si>
  <si>
    <t>……上，开始并继续</t>
    <phoneticPr fontId="1" type="noConversion"/>
  </si>
  <si>
    <t>……上，达到某种状态</t>
    <phoneticPr fontId="1" type="noConversion"/>
  </si>
  <si>
    <t>ur</t>
    <phoneticPr fontId="1" type="noConversion"/>
  </si>
  <si>
    <t>isc</t>
    <phoneticPr fontId="1" type="noConversion"/>
  </si>
  <si>
    <t>……开，从关闭、闭塞到打开、开放</t>
    <phoneticPr fontId="1" type="noConversion"/>
  </si>
  <si>
    <t>……起，抬起</t>
    <phoneticPr fontId="1" type="noConversion"/>
  </si>
  <si>
    <t>……住，从动到停止</t>
    <phoneticPr fontId="1" type="noConversion"/>
  </si>
  <si>
    <t>……中，恰好走到</t>
    <phoneticPr fontId="1" type="noConversion"/>
  </si>
  <si>
    <t>……进，从外到内</t>
    <phoneticPr fontId="1" type="noConversion"/>
  </si>
  <si>
    <t>……出去，从内到外</t>
    <phoneticPr fontId="1" type="noConversion"/>
  </si>
  <si>
    <t>……下来，从上到下，从高级到低级</t>
    <phoneticPr fontId="1" type="noConversion"/>
  </si>
  <si>
    <t>……偏，有偏差</t>
    <phoneticPr fontId="1" type="noConversion"/>
  </si>
  <si>
    <t>……来，从远处来到眼下，周遭</t>
    <phoneticPr fontId="1" type="noConversion"/>
  </si>
  <si>
    <t>……得，成功</t>
    <phoneticPr fontId="1" type="noConversion"/>
  </si>
  <si>
    <t>……掉，从有到无，强调变少</t>
    <phoneticPr fontId="1" type="noConversion"/>
  </si>
  <si>
    <t>……过，越过，穿过，经过</t>
    <phoneticPr fontId="1" type="noConversion"/>
  </si>
  <si>
    <t>……及，与……有关</t>
    <phoneticPr fontId="1" type="noConversion"/>
  </si>
  <si>
    <t>……完，结束，停止</t>
    <phoneticPr fontId="1" type="noConversion"/>
  </si>
  <si>
    <t>……光，从有到无，强调动作进行后现已没有</t>
    <phoneticPr fontId="1" type="noConversion"/>
  </si>
  <si>
    <t>……开，发散，铺展</t>
    <phoneticPr fontId="1" type="noConversion"/>
  </si>
  <si>
    <t>……平，使平坦，清除，现已没有</t>
    <phoneticPr fontId="1" type="noConversion"/>
  </si>
  <si>
    <t>……倒，倒下，使不能站立、立足</t>
    <phoneticPr fontId="1" type="noConversion"/>
  </si>
  <si>
    <t>……去，离开现有状态</t>
    <phoneticPr fontId="1" type="noConversion"/>
  </si>
  <si>
    <t>……于，限制范围内</t>
    <phoneticPr fontId="1" type="noConversion"/>
  </si>
  <si>
    <t>……成，完成，做成</t>
    <phoneticPr fontId="1" type="noConversion"/>
  </si>
  <si>
    <t>……除，清除，变少，强调过程</t>
    <phoneticPr fontId="1" type="noConversion"/>
  </si>
  <si>
    <t>……到，达到某种状态</t>
    <phoneticPr fontId="1" type="noConversion"/>
  </si>
  <si>
    <t>……明白，清晰了解</t>
    <phoneticPr fontId="1" type="noConversion"/>
  </si>
  <si>
    <t>……空，使空虚</t>
    <phoneticPr fontId="1" type="noConversion"/>
  </si>
  <si>
    <t>……好，动作效果好</t>
    <phoneticPr fontId="1" type="noConversion"/>
  </si>
  <si>
    <t>……错，施加错误动作</t>
    <phoneticPr fontId="1" type="noConversion"/>
  </si>
  <si>
    <t>……足，全面、足够、充分</t>
    <phoneticPr fontId="1" type="noConversion"/>
  </si>
  <si>
    <t>……走，消失</t>
    <phoneticPr fontId="1" type="noConversion"/>
  </si>
  <si>
    <t>……正，端正</t>
    <phoneticPr fontId="1" type="noConversion"/>
  </si>
  <si>
    <t>，干涸、干枯、干旱</t>
    <phoneticPr fontId="1" type="noConversion"/>
  </si>
  <si>
    <t>……翻，使……剧烈变化</t>
    <phoneticPr fontId="1" type="noConversion"/>
  </si>
  <si>
    <t>……动，表示运动</t>
    <phoneticPr fontId="1" type="noConversion"/>
  </si>
  <si>
    <t>……回，回到原有状态</t>
    <phoneticPr fontId="1" type="noConversion"/>
  </si>
  <si>
    <t>……出，从内到外</t>
    <phoneticPr fontId="1" type="noConversion"/>
  </si>
  <si>
    <t>互相……，复数主语相互之间做……动作</t>
    <phoneticPr fontId="1" type="noConversion"/>
  </si>
  <si>
    <t>……全，……齐，完善，完备</t>
    <phoneticPr fontId="1" type="noConversion"/>
  </si>
  <si>
    <t>……爆，力量过大而使失控</t>
    <phoneticPr fontId="1" type="noConversion"/>
  </si>
  <si>
    <t>……一下，强调动作程度小、轻微</t>
    <phoneticPr fontId="1" type="noConversion"/>
  </si>
  <si>
    <t>……平，使平衡</t>
    <phoneticPr fontId="1" type="noConversion"/>
  </si>
  <si>
    <t>……倒，颠倒次序</t>
    <phoneticPr fontId="1" type="noConversion"/>
  </si>
  <si>
    <t>……得，能够</t>
    <phoneticPr fontId="1" type="noConversion"/>
  </si>
  <si>
    <t>……开，分离，分开</t>
    <phoneticPr fontId="1" type="noConversion"/>
  </si>
  <si>
    <t>……下，容纳下</t>
    <phoneticPr fontId="1" type="noConversion"/>
  </si>
  <si>
    <t>……下来，动作完成结果</t>
    <phoneticPr fontId="1" type="noConversion"/>
  </si>
  <si>
    <t>……下来，状态出现并继续发展</t>
    <phoneticPr fontId="1" type="noConversion"/>
  </si>
  <si>
    <t>……下来，过去继续到现在，开始继续到最后</t>
    <phoneticPr fontId="1" type="noConversion"/>
  </si>
  <si>
    <t>ni</t>
    <phoneticPr fontId="1" type="noConversion"/>
  </si>
  <si>
    <t>cos</t>
    <phoneticPr fontId="1" type="noConversion"/>
  </si>
  <si>
    <t>之，的，用于主谓之间，取消句子的独立性</t>
    <phoneticPr fontId="1" type="noConversion"/>
  </si>
  <si>
    <t>不，用于主谓之间，构成否定句</t>
    <phoneticPr fontId="1" type="noConversion"/>
  </si>
  <si>
    <t>用于引导从句（比如主语从句、宾语从句、定语从句）</t>
    <phoneticPr fontId="1" type="noConversion"/>
  </si>
  <si>
    <t>的，常用于形容词后，构成定语、表语</t>
    <phoneticPr fontId="1" type="noConversion"/>
  </si>
  <si>
    <t>结构助词</t>
    <phoneticPr fontId="1" type="noConversion"/>
  </si>
  <si>
    <t>ladwat</t>
    <phoneticPr fontId="1" type="noConversion"/>
  </si>
  <si>
    <t>topologio</t>
    <phoneticPr fontId="1" type="noConversion"/>
  </si>
  <si>
    <t>semin</t>
    <phoneticPr fontId="1" type="noConversion"/>
  </si>
  <si>
    <t>teren</t>
    <phoneticPr fontId="1" type="noConversion"/>
  </si>
  <si>
    <t>relivo</t>
    <phoneticPr fontId="1" type="noConversion"/>
  </si>
  <si>
    <t>steto</t>
    <phoneticPr fontId="1" type="noConversion"/>
  </si>
  <si>
    <t>ociano</t>
    <phoneticPr fontId="1" type="noConversion"/>
  </si>
  <si>
    <t>more</t>
    <phoneticPr fontId="1" type="noConversion"/>
  </si>
  <si>
    <t>masabalu</t>
    <phoneticPr fontId="1" type="noConversion"/>
  </si>
  <si>
    <t>masabatois</t>
    <phoneticPr fontId="1" type="noConversion"/>
  </si>
  <si>
    <t>wadi</t>
    <phoneticPr fontId="1" type="noConversion"/>
  </si>
  <si>
    <t>nescpet</t>
    <phoneticPr fontId="1" type="noConversion"/>
  </si>
  <si>
    <t>sorgifit</t>
    <phoneticPr fontId="1" type="noConversion"/>
  </si>
  <si>
    <t>creste</t>
    <phoneticPr fontId="1" type="noConversion"/>
  </si>
  <si>
    <t>labosen</t>
    <phoneticPr fontId="1" type="noConversion"/>
  </si>
  <si>
    <t>canel</t>
    <phoneticPr fontId="1" type="noConversion"/>
  </si>
  <si>
    <t>ithmus</t>
    <phoneticPr fontId="1" type="noConversion"/>
  </si>
  <si>
    <t>isludan</t>
    <phoneticPr fontId="1" type="noConversion"/>
  </si>
  <si>
    <t>patady</t>
    <phoneticPr fontId="1" type="noConversion"/>
  </si>
  <si>
    <t>mergens</t>
    <phoneticPr fontId="1" type="noConversion"/>
  </si>
  <si>
    <t>cormel</t>
    <phoneticPr fontId="1" type="noConversion"/>
  </si>
  <si>
    <t>hilcadu</t>
    <phoneticPr fontId="1" type="noConversion"/>
  </si>
  <si>
    <t>plutyau</t>
    <phoneticPr fontId="1" type="noConversion"/>
  </si>
  <si>
    <t>crutau</t>
    <phoneticPr fontId="1" type="noConversion"/>
  </si>
  <si>
    <t>juocentre</t>
    <phoneticPr fontId="1" type="noConversion"/>
  </si>
  <si>
    <t>saliodinemo</t>
    <phoneticPr fontId="1" type="noConversion"/>
  </si>
  <si>
    <t>govi</t>
    <phoneticPr fontId="1" type="noConversion"/>
  </si>
  <si>
    <t>dinemo</t>
    <phoneticPr fontId="1" type="noConversion"/>
  </si>
  <si>
    <t>dunhg'v</t>
    <phoneticPr fontId="1" type="noConversion"/>
  </si>
  <si>
    <t>costare</t>
    <phoneticPr fontId="1" type="noConversion"/>
  </si>
  <si>
    <t>teroc</t>
    <phoneticPr fontId="1" type="noConversion"/>
  </si>
  <si>
    <t>tengh'ess</t>
    <phoneticPr fontId="1" type="noConversion"/>
  </si>
  <si>
    <t>cihimmel</t>
    <phoneticPr fontId="1" type="noConversion"/>
  </si>
  <si>
    <t>celest</t>
    <phoneticPr fontId="1" type="noConversion"/>
  </si>
  <si>
    <t>riho</t>
    <phoneticPr fontId="1" type="noConversion"/>
  </si>
  <si>
    <t>laqu'uns</t>
    <phoneticPr fontId="1" type="noConversion"/>
  </si>
  <si>
    <t>alvuern</t>
    <phoneticPr fontId="1" type="noConversion"/>
  </si>
  <si>
    <t>wolfado</t>
    <phoneticPr fontId="1" type="noConversion"/>
  </si>
  <si>
    <t>cpacno</t>
    <phoneticPr fontId="1" type="noConversion"/>
  </si>
  <si>
    <t>creoci</t>
    <phoneticPr fontId="1" type="noConversion"/>
  </si>
  <si>
    <t>gtsaunpo</t>
    <phoneticPr fontId="1" type="noConversion"/>
  </si>
  <si>
    <t>jeomc'</t>
    <phoneticPr fontId="1" type="noConversion"/>
  </si>
  <si>
    <t>baendosh</t>
    <phoneticPr fontId="1" type="noConversion"/>
  </si>
  <si>
    <t>goalerwa</t>
    <phoneticPr fontId="1" type="noConversion"/>
  </si>
  <si>
    <t>abumya</t>
    <phoneticPr fontId="1" type="noConversion"/>
  </si>
  <si>
    <t>merabu</t>
    <phoneticPr fontId="1" type="noConversion"/>
  </si>
  <si>
    <t>feramcar</t>
    <phoneticPr fontId="1" type="noConversion"/>
  </si>
  <si>
    <t>ozônshte</t>
    <phoneticPr fontId="1" type="noConversion"/>
  </si>
  <si>
    <t>eucura</t>
    <phoneticPr fontId="1" type="noConversion"/>
  </si>
  <si>
    <t>fiord</t>
    <phoneticPr fontId="1" type="noConversion"/>
  </si>
  <si>
    <t>fliuseom</t>
    <phoneticPr fontId="1" type="noConversion"/>
  </si>
  <si>
    <t>vulcanic</t>
    <phoneticPr fontId="1" type="noConversion"/>
  </si>
  <si>
    <t>seumpte</t>
    <phoneticPr fontId="1" type="noConversion"/>
  </si>
  <si>
    <t>walmca</t>
    <phoneticPr fontId="1" type="noConversion"/>
  </si>
  <si>
    <t>sioharivadny</t>
    <phoneticPr fontId="1" type="noConversion"/>
  </si>
  <si>
    <t>suanêmaril</t>
    <phoneticPr fontId="1" type="noConversion"/>
  </si>
  <si>
    <t>qu</t>
    <phoneticPr fontId="1" type="noConversion"/>
  </si>
  <si>
    <t>quqaun</t>
    <phoneticPr fontId="1" type="noConversion"/>
  </si>
  <si>
    <t>mtso</t>
    <phoneticPr fontId="1" type="noConversion"/>
  </si>
  <si>
    <t>rgyamtso</t>
    <phoneticPr fontId="1" type="noConversion"/>
  </si>
  <si>
    <t>de salio turbir</t>
    <phoneticPr fontId="1" type="noConversion"/>
  </si>
  <si>
    <t>grurpibate</t>
    <phoneticPr fontId="1" type="noConversion"/>
  </si>
  <si>
    <t>laguna</t>
    <phoneticPr fontId="1" type="noConversion"/>
  </si>
  <si>
    <t>ultasan</t>
    <phoneticPr fontId="1" type="noConversion"/>
  </si>
  <si>
    <t>gilidinemo</t>
    <phoneticPr fontId="1" type="noConversion"/>
  </si>
  <si>
    <t>domunpedinemo</t>
    <phoneticPr fontId="1" type="noConversion"/>
  </si>
  <si>
    <t>jusâmf</t>
    <phoneticPr fontId="1" type="noConversion"/>
  </si>
  <si>
    <t>votfouchesca</t>
    <phoneticPr fontId="1" type="noConversion"/>
  </si>
  <si>
    <t>bosamqu'</t>
    <phoneticPr fontId="1" type="noConversion"/>
  </si>
  <si>
    <t>cyclone</t>
    <phoneticPr fontId="1" type="noConversion"/>
  </si>
  <si>
    <t>地形，地形学</t>
  </si>
  <si>
    <t>地势</t>
  </si>
  <si>
    <t>海峡</t>
  </si>
  <si>
    <t>海沟</t>
  </si>
  <si>
    <t>海洋</t>
  </si>
  <si>
    <t>河口，入海口；入湖口</t>
  </si>
  <si>
    <t>山</t>
  </si>
  <si>
    <t>三角洲</t>
  </si>
  <si>
    <t>山脉</t>
  </si>
  <si>
    <t>山谷</t>
  </si>
  <si>
    <t>洼地</t>
  </si>
  <si>
    <t>山峰</t>
  </si>
  <si>
    <t>山脊</t>
  </si>
  <si>
    <t>盆地</t>
  </si>
  <si>
    <t>运河</t>
  </si>
  <si>
    <t>地峡</t>
  </si>
  <si>
    <t>岛屿</t>
  </si>
  <si>
    <t>平原</t>
  </si>
  <si>
    <t>山区，山地</t>
  </si>
  <si>
    <t>丘陵</t>
  </si>
  <si>
    <t>丘</t>
  </si>
  <si>
    <t>高原</t>
  </si>
  <si>
    <t>地壳</t>
  </si>
  <si>
    <t>地心</t>
  </si>
  <si>
    <t>沙漠</t>
  </si>
  <si>
    <t>沙漠，荒漠</t>
  </si>
  <si>
    <t>（蒙古）戈壁</t>
  </si>
  <si>
    <t>地</t>
  </si>
  <si>
    <t>沙丘</t>
  </si>
  <si>
    <t>海岸</t>
  </si>
  <si>
    <t>陆地</t>
  </si>
  <si>
    <t>海</t>
  </si>
  <si>
    <t>（蒙古）大海</t>
  </si>
  <si>
    <t>天空</t>
  </si>
  <si>
    <t>河流</t>
  </si>
  <si>
    <t>湖</t>
  </si>
  <si>
    <t>水库</t>
  </si>
  <si>
    <t>瀑布</t>
  </si>
  <si>
    <t>温泉</t>
  </si>
  <si>
    <t>小溪</t>
  </si>
  <si>
    <t>（藏）藏布，河流</t>
  </si>
  <si>
    <t>江</t>
  </si>
  <si>
    <t>半岛</t>
  </si>
  <si>
    <t>冰山</t>
  </si>
  <si>
    <t>雾</t>
  </si>
  <si>
    <t>海雾</t>
  </si>
  <si>
    <t>海浩，海雾</t>
  </si>
  <si>
    <t>大气层</t>
  </si>
  <si>
    <t>臭氧层</t>
  </si>
  <si>
    <t>峡谷</t>
  </si>
  <si>
    <t>峡湾</t>
  </si>
  <si>
    <t>气流</t>
  </si>
  <si>
    <t>气团</t>
  </si>
  <si>
    <t>寒潮</t>
  </si>
  <si>
    <t>火山</t>
  </si>
  <si>
    <t>沼泽</t>
  </si>
  <si>
    <t>森林</t>
  </si>
  <si>
    <t>淡水</t>
  </si>
  <si>
    <t>咸水</t>
  </si>
  <si>
    <t>海子</t>
  </si>
  <si>
    <t>（藏）河流，曲</t>
  </si>
  <si>
    <t>（藏）错，嘉措，湖</t>
  </si>
  <si>
    <t>盐碱地</t>
  </si>
  <si>
    <t>泥坑</t>
  </si>
  <si>
    <t>潟湖</t>
  </si>
  <si>
    <t>草地</t>
  </si>
  <si>
    <t>耕地</t>
  </si>
  <si>
    <t>农场</t>
  </si>
  <si>
    <t>湿地</t>
  </si>
  <si>
    <t>土壤</t>
  </si>
  <si>
    <t>气旋</t>
  </si>
  <si>
    <t>沟</t>
  </si>
  <si>
    <t>山峪</t>
  </si>
  <si>
    <t>海岭</t>
  </si>
  <si>
    <t>海山</t>
  </si>
  <si>
    <t>海盆</t>
  </si>
  <si>
    <t>海丘</t>
  </si>
  <si>
    <t>大洋中脊</t>
  </si>
  <si>
    <t>洋流</t>
  </si>
  <si>
    <t>暖流</t>
  </si>
  <si>
    <t>寒流</t>
  </si>
  <si>
    <t>漩涡</t>
  </si>
  <si>
    <t>海角，岬角</t>
  </si>
  <si>
    <t>海滩</t>
  </si>
  <si>
    <t>地表</t>
  </si>
  <si>
    <t>径流</t>
  </si>
  <si>
    <t>地幔</t>
  </si>
  <si>
    <t>绿洲</t>
  </si>
  <si>
    <t>咸水湖</t>
  </si>
  <si>
    <t>淡水湖</t>
  </si>
  <si>
    <t>海湾</t>
  </si>
  <si>
    <t>冰盖</t>
  </si>
  <si>
    <t>冰川</t>
  </si>
  <si>
    <t>海床</t>
  </si>
  <si>
    <t>古登堡面</t>
  </si>
  <si>
    <t>莫霍洛维奇面</t>
  </si>
  <si>
    <t>环礁</t>
  </si>
  <si>
    <t>群岛</t>
  </si>
  <si>
    <t>岛链</t>
  </si>
  <si>
    <t>海脊</t>
  </si>
  <si>
    <t>大气组成</t>
  </si>
  <si>
    <t>上层大气</t>
  </si>
  <si>
    <t>中层大气</t>
  </si>
  <si>
    <t>下层大气</t>
  </si>
  <si>
    <t>电离层</t>
  </si>
  <si>
    <t>气温</t>
  </si>
  <si>
    <t>对流层</t>
  </si>
  <si>
    <t>平流层</t>
  </si>
  <si>
    <t>大气辐射</t>
  </si>
  <si>
    <t>大气吸收</t>
  </si>
  <si>
    <t>等压线</t>
  </si>
  <si>
    <t>气压梯度</t>
  </si>
  <si>
    <t>科里奥利力，地转偏向力</t>
  </si>
  <si>
    <t>地转偏向力</t>
  </si>
  <si>
    <t>voertax</t>
    <phoneticPr fontId="1" type="noConversion"/>
  </si>
  <si>
    <t>carolamape</t>
    <phoneticPr fontId="1" type="noConversion"/>
  </si>
  <si>
    <t>ibadech</t>
    <phoneticPr fontId="1" type="noConversion"/>
  </si>
  <si>
    <t>sûtulie</t>
    <phoneticPr fontId="1" type="noConversion"/>
  </si>
  <si>
    <t>jaunopald</t>
    <phoneticPr fontId="1" type="noConversion"/>
  </si>
  <si>
    <t>mantelus</t>
    <phoneticPr fontId="1" type="noConversion"/>
  </si>
  <si>
    <t>oasis</t>
    <phoneticPr fontId="1" type="noConversion"/>
  </si>
  <si>
    <t>de suanêmaril laqu'uns</t>
    <phoneticPr fontId="1" type="noConversion"/>
  </si>
  <si>
    <t>de sioharivadny laqu'uns</t>
    <phoneticPr fontId="1" type="noConversion"/>
  </si>
  <si>
    <t>golfa</t>
    <phoneticPr fontId="1" type="noConversion"/>
  </si>
  <si>
    <t>lucengrepovre</t>
    <phoneticPr fontId="1" type="noConversion"/>
  </si>
  <si>
    <t>grâtser</t>
    <phoneticPr fontId="1" type="noConversion"/>
  </si>
  <si>
    <t>mertelad</t>
    <phoneticPr fontId="1" type="noConversion"/>
  </si>
  <si>
    <t>de Gutenborg ducent</t>
    <phoneticPr fontId="1" type="noConversion"/>
  </si>
  <si>
    <t>de Mohaw ducent</t>
    <phoneticPr fontId="1" type="noConversion"/>
  </si>
  <si>
    <t>de Mohawrovich ducent</t>
    <phoneticPr fontId="1" type="noConversion"/>
  </si>
  <si>
    <t>atolma</t>
    <phoneticPr fontId="1" type="noConversion"/>
  </si>
  <si>
    <t>achepego</t>
    <phoneticPr fontId="1" type="noConversion"/>
  </si>
  <si>
    <t>sanhomban</t>
    <phoneticPr fontId="1" type="noConversion"/>
  </si>
  <si>
    <t>ibong</t>
    <phoneticPr fontId="1" type="noConversion"/>
  </si>
  <si>
    <t>de feramcar cemsecion</t>
    <phoneticPr fontId="1" type="noConversion"/>
  </si>
  <si>
    <t>qien de feramcar</t>
    <phoneticPr fontId="1" type="noConversion"/>
  </si>
  <si>
    <t>mescan de feramcar</t>
    <phoneticPr fontId="1" type="noConversion"/>
  </si>
  <si>
    <t>zui de feramcar</t>
    <phoneticPr fontId="1" type="noConversion"/>
  </si>
  <si>
    <t>ionshte</t>
    <phoneticPr fontId="1" type="noConversion"/>
  </si>
  <si>
    <t>de guânz temperatur</t>
    <phoneticPr fontId="1" type="noConversion"/>
  </si>
  <si>
    <t>troposhte</t>
    <phoneticPr fontId="1" type="noConversion"/>
  </si>
  <si>
    <t>stratoshte</t>
    <phoneticPr fontId="1" type="noConversion"/>
  </si>
  <si>
    <t>de feramcar radiorin</t>
    <phoneticPr fontId="1" type="noConversion"/>
  </si>
  <si>
    <t>de feramcar abciesort</t>
    <phoneticPr fontId="1" type="noConversion"/>
  </si>
  <si>
    <t>Coriolis frala</t>
    <phoneticPr fontId="1" type="noConversion"/>
  </si>
  <si>
    <t>htsaibonol de clarastana</t>
    <phoneticPr fontId="1" type="noConversion"/>
  </si>
  <si>
    <t>evubehômorin</t>
    <phoneticPr fontId="1" type="noConversion"/>
  </si>
  <si>
    <t>de syl feramcar</t>
    <phoneticPr fontId="1" type="noConversion"/>
  </si>
  <si>
    <t>de syl vindu</t>
    <phoneticPr fontId="1" type="noConversion"/>
  </si>
  <si>
    <t>fotoshte</t>
    <phoneticPr fontId="1" type="noConversion"/>
  </si>
  <si>
    <t>cloroshte</t>
    <phoneticPr fontId="1" type="noConversion"/>
  </si>
  <si>
    <t>de syl activnost</t>
    <phoneticPr fontId="1" type="noConversion"/>
  </si>
  <si>
    <t>水循环</t>
  </si>
  <si>
    <t>蒸发作用</t>
  </si>
  <si>
    <t>太阳大气</t>
  </si>
  <si>
    <t>太阳风</t>
  </si>
  <si>
    <t>光球层</t>
  </si>
  <si>
    <t>色球层</t>
  </si>
  <si>
    <t>日冕</t>
  </si>
  <si>
    <t>太阳活动</t>
  </si>
  <si>
    <t>太阳黑子</t>
  </si>
  <si>
    <t>日珥</t>
  </si>
  <si>
    <t>化石</t>
  </si>
  <si>
    <t>蓝藻</t>
  </si>
  <si>
    <t>叠层石</t>
  </si>
  <si>
    <t>降水</t>
  </si>
  <si>
    <t>下渗</t>
  </si>
  <si>
    <t>盐度</t>
  </si>
  <si>
    <t>喀斯特地貌，岩溶地貌</t>
  </si>
  <si>
    <t>热带</t>
  </si>
  <si>
    <t>副热带</t>
  </si>
  <si>
    <t>潮汐</t>
  </si>
  <si>
    <t>潮间带</t>
  </si>
  <si>
    <t>曲流</t>
  </si>
  <si>
    <t>白道</t>
  </si>
  <si>
    <t>农耕区</t>
  </si>
  <si>
    <t>畜牧区</t>
  </si>
  <si>
    <t>耕作业</t>
  </si>
  <si>
    <t>果业</t>
  </si>
  <si>
    <t>林业</t>
  </si>
  <si>
    <t>乳牧业</t>
  </si>
  <si>
    <t>垦殖</t>
  </si>
  <si>
    <t>海潮</t>
  </si>
  <si>
    <t>腹地</t>
  </si>
  <si>
    <t>潮水</t>
  </si>
  <si>
    <t>种植业</t>
  </si>
  <si>
    <t>游牧业</t>
  </si>
  <si>
    <t>副业</t>
  </si>
  <si>
    <t>渔业</t>
  </si>
  <si>
    <t>自贸区</t>
  </si>
  <si>
    <t>河谷</t>
  </si>
  <si>
    <t>冲积平原</t>
  </si>
  <si>
    <t>信风</t>
  </si>
  <si>
    <t>季风</t>
  </si>
  <si>
    <t>副极地</t>
  </si>
  <si>
    <t>黄道</t>
  </si>
  <si>
    <t>赤道</t>
  </si>
  <si>
    <t>沉积物</t>
  </si>
  <si>
    <t>向斜</t>
  </si>
  <si>
    <t>背斜</t>
  </si>
  <si>
    <t>热带雨林</t>
  </si>
  <si>
    <t>梯田</t>
  </si>
  <si>
    <t>板块</t>
  </si>
  <si>
    <t>岛弧</t>
  </si>
  <si>
    <t>裂谷</t>
  </si>
  <si>
    <t>隧道</t>
  </si>
  <si>
    <t>滩涂</t>
  </si>
  <si>
    <t>聚落</t>
  </si>
  <si>
    <t>干线</t>
  </si>
  <si>
    <t>地中海气候</t>
  </si>
  <si>
    <t>草坪</t>
  </si>
  <si>
    <t>龙卷风</t>
  </si>
  <si>
    <t>曙光</t>
  </si>
  <si>
    <t>石笋</t>
  </si>
  <si>
    <t>石柱</t>
  </si>
  <si>
    <t>礁石</t>
  </si>
  <si>
    <t>陡崖</t>
  </si>
  <si>
    <t>偃松树</t>
  </si>
  <si>
    <t>张裂</t>
  </si>
  <si>
    <t>断裂</t>
  </si>
  <si>
    <t>海拔</t>
  </si>
  <si>
    <t>山麓</t>
  </si>
  <si>
    <t>基带</t>
  </si>
  <si>
    <t>泥火山</t>
  </si>
  <si>
    <t>阶地</t>
  </si>
  <si>
    <t>halotono</t>
    <phoneticPr fontId="1" type="noConversion"/>
  </si>
  <si>
    <t>monsun</t>
    <phoneticPr fontId="1" type="noConversion"/>
  </si>
  <si>
    <t>ecliptiqu'e</t>
    <phoneticPr fontId="1" type="noConversion"/>
  </si>
  <si>
    <t>ecqu'atore</t>
    <phoneticPr fontId="1" type="noConversion"/>
  </si>
  <si>
    <t>hustaâc de vindu</t>
    <phoneticPr fontId="1" type="noConversion"/>
  </si>
  <si>
    <t>pluvo</t>
    <phoneticPr fontId="1" type="noConversion"/>
  </si>
  <si>
    <t>terasa</t>
    <phoneticPr fontId="1" type="noConversion"/>
  </si>
  <si>
    <t>plato</t>
    <phoneticPr fontId="1" type="noConversion"/>
  </si>
  <si>
    <t>fauteu</t>
    <phoneticPr fontId="1" type="noConversion"/>
  </si>
  <si>
    <t>rifto</t>
    <phoneticPr fontId="1" type="noConversion"/>
  </si>
  <si>
    <t>tunelo</t>
    <phoneticPr fontId="1" type="noConversion"/>
  </si>
  <si>
    <t>vadero</t>
    <phoneticPr fontId="1" type="noConversion"/>
  </si>
  <si>
    <t>loga</t>
    <phoneticPr fontId="1" type="noConversion"/>
  </si>
  <si>
    <t>asechou</t>
    <phoneticPr fontId="1" type="noConversion"/>
  </si>
  <si>
    <t>mer</t>
    <phoneticPr fontId="1" type="noConversion"/>
  </si>
  <si>
    <t>2-0-4</t>
    <phoneticPr fontId="1" type="noConversion"/>
  </si>
  <si>
    <t>\</t>
    <phoneticPr fontId="1" type="noConversion"/>
  </si>
  <si>
    <t>平年</t>
  </si>
  <si>
    <t>闰年</t>
  </si>
  <si>
    <t>地震波</t>
  </si>
  <si>
    <t>图片</t>
  </si>
  <si>
    <t>图幅</t>
  </si>
  <si>
    <t>地图</t>
  </si>
  <si>
    <t>比例尺</t>
  </si>
  <si>
    <t>陡坡</t>
  </si>
  <si>
    <t>山岗，山冈</t>
  </si>
  <si>
    <t>闰月</t>
  </si>
  <si>
    <t>闰日</t>
  </si>
  <si>
    <t>闰时</t>
  </si>
  <si>
    <t>闰分</t>
  </si>
  <si>
    <t>闰秒</t>
  </si>
  <si>
    <t>天球</t>
  </si>
  <si>
    <t>天赤道</t>
  </si>
  <si>
    <t>地区</t>
  </si>
  <si>
    <t>昼长</t>
  </si>
  <si>
    <t>夜长</t>
  </si>
  <si>
    <t>壶穴</t>
  </si>
  <si>
    <t>天坑</t>
  </si>
  <si>
    <t>含油层</t>
  </si>
  <si>
    <t>洄游</t>
  </si>
  <si>
    <t>库容</t>
  </si>
  <si>
    <t>补偿流</t>
  </si>
  <si>
    <t>风海流</t>
  </si>
  <si>
    <t>密度流</t>
  </si>
  <si>
    <t>极锋</t>
  </si>
  <si>
    <t>基流</t>
  </si>
  <si>
    <t>基流指数</t>
  </si>
  <si>
    <t>水渍</t>
  </si>
  <si>
    <t>渗漏</t>
  </si>
  <si>
    <t>渗水层</t>
  </si>
  <si>
    <t>沟壑</t>
  </si>
  <si>
    <t>山峦</t>
  </si>
  <si>
    <t>暮光</t>
    <phoneticPr fontId="1" type="noConversion"/>
  </si>
  <si>
    <t>山坡</t>
  </si>
  <si>
    <t>迎风坡</t>
  </si>
  <si>
    <t>背风坡</t>
  </si>
  <si>
    <t>离岸风</t>
  </si>
  <si>
    <t>向岸风</t>
  </si>
  <si>
    <t>人口迁移</t>
  </si>
  <si>
    <t>人口老龄化</t>
  </si>
  <si>
    <t>风景区</t>
  </si>
  <si>
    <t>恒星年</t>
  </si>
  <si>
    <t>熟作制度</t>
  </si>
  <si>
    <t>气象</t>
  </si>
  <si>
    <t>人造卫星</t>
  </si>
  <si>
    <t>气象参数</t>
  </si>
  <si>
    <t>大气预报</t>
  </si>
  <si>
    <t>服务业</t>
  </si>
  <si>
    <t>季雨林</t>
  </si>
  <si>
    <t>市场</t>
  </si>
  <si>
    <t>石冰川</t>
  </si>
  <si>
    <t>地堑</t>
  </si>
  <si>
    <t>牛轭湖</t>
  </si>
  <si>
    <t>离堆山</t>
  </si>
  <si>
    <t>阳坡</t>
  </si>
  <si>
    <t>阴坡</t>
  </si>
  <si>
    <t>光伏发电</t>
  </si>
  <si>
    <t>台地</t>
  </si>
  <si>
    <t>气象学</t>
  </si>
  <si>
    <t>矿藏</t>
  </si>
  <si>
    <t>生态</t>
  </si>
  <si>
    <t>干热盐</t>
  </si>
  <si>
    <t>热交换器</t>
  </si>
  <si>
    <t>雪线</t>
  </si>
  <si>
    <t>林线</t>
  </si>
  <si>
    <t>地质</t>
  </si>
  <si>
    <t>地震学</t>
  </si>
  <si>
    <t>地质学</t>
  </si>
  <si>
    <t>水文学</t>
  </si>
  <si>
    <t>多极化</t>
  </si>
  <si>
    <t>分水岭</t>
  </si>
  <si>
    <t>河网</t>
  </si>
  <si>
    <t>冲积扇</t>
  </si>
  <si>
    <t>洪积扇</t>
  </si>
  <si>
    <t>脊线</t>
  </si>
  <si>
    <t>槽线</t>
  </si>
  <si>
    <t>锋</t>
  </si>
  <si>
    <t>冷锋</t>
  </si>
  <si>
    <t>暖锋</t>
  </si>
  <si>
    <t>锢囚锋</t>
  </si>
  <si>
    <t>准静止锋</t>
  </si>
  <si>
    <t>海风锋</t>
  </si>
  <si>
    <t>辐合</t>
  </si>
  <si>
    <t>辐散</t>
  </si>
  <si>
    <t>水能</t>
  </si>
  <si>
    <t>沉降</t>
  </si>
  <si>
    <t>作物</t>
  </si>
  <si>
    <t>牧业</t>
  </si>
  <si>
    <t>外流区</t>
  </si>
  <si>
    <t>内流区</t>
  </si>
  <si>
    <t>内陆国</t>
  </si>
  <si>
    <t>岛国</t>
  </si>
  <si>
    <t>两重内陆国</t>
  </si>
  <si>
    <t>池塘</t>
  </si>
  <si>
    <t>排水</t>
  </si>
  <si>
    <t>采光</t>
  </si>
  <si>
    <t>通风</t>
  </si>
  <si>
    <t>泄洪</t>
  </si>
  <si>
    <t>行洪</t>
  </si>
  <si>
    <t>裁弯取直</t>
  </si>
  <si>
    <t>胡焕庸线</t>
  </si>
  <si>
    <t>奇策线</t>
  </si>
  <si>
    <t>阳关线</t>
  </si>
  <si>
    <t>死亡谷</t>
  </si>
  <si>
    <t>咸潮</t>
  </si>
  <si>
    <t>太阳方位角</t>
  </si>
  <si>
    <t>太阳高度角</t>
  </si>
  <si>
    <t>水利工程</t>
  </si>
  <si>
    <t>光照</t>
  </si>
  <si>
    <t>有机碳</t>
  </si>
  <si>
    <t>供应商</t>
  </si>
  <si>
    <t>成土母质</t>
  </si>
  <si>
    <t>枯水期</t>
  </si>
  <si>
    <t>丰水期</t>
  </si>
  <si>
    <t>气藏</t>
  </si>
  <si>
    <t>落户</t>
  </si>
  <si>
    <t>揭河底</t>
  </si>
  <si>
    <t>半城市化</t>
  </si>
  <si>
    <t>卫星城</t>
  </si>
  <si>
    <t>冰面期</t>
  </si>
  <si>
    <t>环流</t>
  </si>
  <si>
    <t>冰下河</t>
  </si>
  <si>
    <t>环境资源承载力</t>
  </si>
  <si>
    <t>海事</t>
  </si>
  <si>
    <t>工业化</t>
  </si>
  <si>
    <t>集群</t>
  </si>
  <si>
    <t>丝织业</t>
  </si>
  <si>
    <t>蛇曲</t>
  </si>
  <si>
    <t>凸岸</t>
  </si>
  <si>
    <t>凹岸</t>
  </si>
  <si>
    <t>稀疏草原</t>
  </si>
  <si>
    <t>洛可可风</t>
  </si>
  <si>
    <t>干洁大气</t>
  </si>
  <si>
    <t>凝结核</t>
  </si>
  <si>
    <t>零点</t>
  </si>
  <si>
    <t>零点温度</t>
  </si>
  <si>
    <t>霜冻</t>
  </si>
  <si>
    <t>霾</t>
  </si>
  <si>
    <t>（河）泛滥</t>
  </si>
  <si>
    <t>泛道</t>
  </si>
  <si>
    <t>支流</t>
  </si>
  <si>
    <t>泛区</t>
  </si>
  <si>
    <t>故道</t>
  </si>
  <si>
    <t>湖沼</t>
  </si>
  <si>
    <t>盐沼</t>
  </si>
  <si>
    <t>盐淖</t>
  </si>
  <si>
    <t>滩坝</t>
  </si>
  <si>
    <t>沙坝</t>
  </si>
  <si>
    <t>连岛沙洲</t>
  </si>
  <si>
    <t>淤泥</t>
  </si>
  <si>
    <t>淤泥海岸</t>
  </si>
  <si>
    <t>防波堤</t>
  </si>
  <si>
    <t>海岸线</t>
  </si>
  <si>
    <t>离岸流</t>
  </si>
  <si>
    <t>冰斗</t>
  </si>
  <si>
    <t>中碛垄</t>
  </si>
  <si>
    <t>断头河</t>
  </si>
  <si>
    <t>袭夺</t>
  </si>
  <si>
    <t>袭夺河</t>
  </si>
  <si>
    <t>被袭夺河</t>
  </si>
  <si>
    <t>切穿</t>
  </si>
  <si>
    <t>侧蚀</t>
  </si>
  <si>
    <t>溯源侵蚀</t>
  </si>
  <si>
    <t>下切</t>
  </si>
  <si>
    <t>砂砾堤</t>
  </si>
  <si>
    <t>灌丛沙堆</t>
  </si>
  <si>
    <t>地层</t>
  </si>
  <si>
    <t>地质时期</t>
  </si>
  <si>
    <t>极光</t>
  </si>
  <si>
    <t>臭氧层空洞</t>
  </si>
  <si>
    <t>磁暴</t>
  </si>
  <si>
    <t>汐</t>
  </si>
  <si>
    <t>天文单位</t>
  </si>
  <si>
    <t>弦月</t>
  </si>
  <si>
    <t>新月</t>
  </si>
  <si>
    <t>圆月</t>
  </si>
  <si>
    <t>消落带</t>
  </si>
  <si>
    <t>海蚀门</t>
  </si>
  <si>
    <t>震极</t>
  </si>
  <si>
    <t>锋前</t>
  </si>
  <si>
    <t>锋后</t>
  </si>
  <si>
    <t>云层</t>
  </si>
  <si>
    <t>天体</t>
  </si>
  <si>
    <t>海平面</t>
  </si>
  <si>
    <t>领海基线</t>
  </si>
  <si>
    <t>内水</t>
  </si>
  <si>
    <t>水体</t>
  </si>
  <si>
    <t>冲积岛</t>
  </si>
  <si>
    <t>大陆岛</t>
  </si>
  <si>
    <t>火山岛</t>
  </si>
  <si>
    <t>珊瑚岛</t>
  </si>
  <si>
    <t>珊瑚礁</t>
  </si>
  <si>
    <t>崩解</t>
  </si>
  <si>
    <t>极圈</t>
  </si>
  <si>
    <t>涨潮</t>
  </si>
  <si>
    <t>落潮</t>
  </si>
  <si>
    <t>凌汛</t>
  </si>
  <si>
    <t>固碳</t>
  </si>
  <si>
    <t>红树林</t>
  </si>
  <si>
    <t>支柱根</t>
  </si>
  <si>
    <t>板状根</t>
  </si>
  <si>
    <t>呼吸根</t>
  </si>
  <si>
    <t>腺体</t>
  </si>
  <si>
    <t>风蚀柱</t>
  </si>
  <si>
    <t>茎花</t>
  </si>
  <si>
    <t>河泥</t>
  </si>
  <si>
    <t>河沙</t>
  </si>
  <si>
    <t>砾质土</t>
  </si>
  <si>
    <t>腐殖质</t>
  </si>
  <si>
    <t>谷坡</t>
  </si>
  <si>
    <t>谷底</t>
  </si>
  <si>
    <t>流石滩</t>
  </si>
  <si>
    <t>干盐滩</t>
  </si>
  <si>
    <t>热力环流</t>
  </si>
  <si>
    <t>阵雨</t>
  </si>
  <si>
    <t>干热风</t>
  </si>
  <si>
    <t>干热河谷</t>
  </si>
  <si>
    <t>布拉风</t>
  </si>
  <si>
    <t>圣安娜风</t>
  </si>
  <si>
    <t>石头厝</t>
  </si>
  <si>
    <t>合掌造</t>
  </si>
  <si>
    <t>暖温带</t>
  </si>
  <si>
    <t>中温带</t>
  </si>
  <si>
    <t>寒温带</t>
  </si>
  <si>
    <t>雨季</t>
  </si>
  <si>
    <t>旱季</t>
  </si>
  <si>
    <t>梅雨</t>
  </si>
  <si>
    <t>伏旱</t>
  </si>
  <si>
    <t>仓储业</t>
  </si>
  <si>
    <t>物流业</t>
  </si>
  <si>
    <t>仓储区</t>
  </si>
  <si>
    <t>文教区</t>
  </si>
  <si>
    <t>文化区</t>
  </si>
  <si>
    <t>商业区</t>
  </si>
  <si>
    <t>中心商务区，CBD</t>
  </si>
  <si>
    <t>居住区</t>
  </si>
  <si>
    <t>工业区</t>
  </si>
  <si>
    <t>补给区</t>
  </si>
  <si>
    <t>承压区</t>
  </si>
  <si>
    <t>排泄区</t>
  </si>
  <si>
    <t>自流井</t>
  </si>
  <si>
    <t>隔水层</t>
  </si>
  <si>
    <t>含水层</t>
  </si>
  <si>
    <t>淀积层</t>
  </si>
  <si>
    <t>母岩层</t>
  </si>
  <si>
    <t>水稻土</t>
  </si>
  <si>
    <t>黑土</t>
  </si>
  <si>
    <t>黄土</t>
  </si>
  <si>
    <t>红壤</t>
  </si>
  <si>
    <t>紫土</t>
  </si>
  <si>
    <t>砖红壤</t>
  </si>
  <si>
    <t>燥红壤</t>
  </si>
  <si>
    <t>高程</t>
  </si>
  <si>
    <t>径流系数</t>
  </si>
  <si>
    <t>碟形湖</t>
  </si>
  <si>
    <t>总产流</t>
  </si>
  <si>
    <t>盐湖</t>
  </si>
  <si>
    <t>区划</t>
  </si>
  <si>
    <t>耕作层</t>
  </si>
  <si>
    <t>犁底层</t>
  </si>
  <si>
    <t>垄作</t>
  </si>
  <si>
    <t>香格里拉</t>
  </si>
  <si>
    <t>桃花源</t>
  </si>
  <si>
    <t>卡律布狄斯漩涡；窘境</t>
  </si>
  <si>
    <t>罗塞塔；启示性发现</t>
  </si>
  <si>
    <t>土墩，mound</t>
  </si>
  <si>
    <t>城堡丘陵，motte</t>
  </si>
  <si>
    <t>海程</t>
  </si>
  <si>
    <t>海滨</t>
  </si>
  <si>
    <t>海疆</t>
  </si>
  <si>
    <t>海进</t>
  </si>
  <si>
    <t>海况</t>
  </si>
  <si>
    <t>海盗</t>
  </si>
  <si>
    <t>海难</t>
  </si>
  <si>
    <t>海禁</t>
  </si>
  <si>
    <t>海内</t>
  </si>
  <si>
    <t>海区</t>
  </si>
  <si>
    <t>海兽</t>
  </si>
  <si>
    <t>海堤</t>
  </si>
  <si>
    <t>海图</t>
  </si>
  <si>
    <t>航海</t>
  </si>
  <si>
    <t>海退</t>
  </si>
  <si>
    <t>海外</t>
  </si>
  <si>
    <t>海鲜</t>
  </si>
  <si>
    <t>海啸</t>
  </si>
  <si>
    <t>海战</t>
  </si>
  <si>
    <t>沛，水草丛生的沼泽地</t>
  </si>
  <si>
    <t>垭</t>
  </si>
  <si>
    <t>堰</t>
  </si>
  <si>
    <t>涌潮</t>
  </si>
  <si>
    <t>涌流</t>
  </si>
  <si>
    <t>浟，水流动</t>
  </si>
  <si>
    <t>嶟，山石高陡峭</t>
  </si>
  <si>
    <t>溜，迅速的水流</t>
  </si>
  <si>
    <t>流沙</t>
  </si>
  <si>
    <t>砾漠</t>
  </si>
  <si>
    <t>崚嶒，山高</t>
  </si>
  <si>
    <t>澳，可停船地</t>
  </si>
  <si>
    <t>墺，可居住地</t>
  </si>
  <si>
    <t>岙，山间平地</t>
  </si>
  <si>
    <t>屯</t>
  </si>
  <si>
    <t>坂，山坡，斜坡</t>
  </si>
  <si>
    <t>板结</t>
  </si>
  <si>
    <t>山包</t>
  </si>
  <si>
    <t>浍，田间大沟渠</t>
  </si>
  <si>
    <t>岊，山曲折隐密处</t>
  </si>
  <si>
    <t>湝湝，水盛大的样子</t>
  </si>
  <si>
    <t>漉，（人）使干枯</t>
  </si>
  <si>
    <t>干涸</t>
  </si>
  <si>
    <t>略，疆界</t>
  </si>
  <si>
    <t>霡，小雨</t>
  </si>
  <si>
    <t>夷，东方少数民族；少数民族；外国人</t>
  </si>
  <si>
    <t>蛮</t>
  </si>
  <si>
    <t>戎</t>
  </si>
  <si>
    <t>胡</t>
  </si>
  <si>
    <t>决，疏通水道</t>
  </si>
  <si>
    <t>疏浚</t>
  </si>
  <si>
    <t>埵，堁，小土堆</t>
  </si>
  <si>
    <t>廅，山旁洞穴</t>
  </si>
  <si>
    <t>崆峒，山洞</t>
  </si>
  <si>
    <t>嶱嵑，高峻</t>
  </si>
  <si>
    <t>浰，水流急</t>
  </si>
  <si>
    <t>潋，水边</t>
  </si>
  <si>
    <t>溓，水静</t>
  </si>
  <si>
    <t>溓溓，薄冰</t>
  </si>
  <si>
    <t>澰，浸渍</t>
  </si>
  <si>
    <t>墣，土块</t>
  </si>
  <si>
    <t>浦，小河流入江海入口处</t>
  </si>
  <si>
    <t>碛，浅水中沙石</t>
  </si>
  <si>
    <t>畦，田间小区</t>
  </si>
  <si>
    <t>屺，不长草木的山</t>
  </si>
  <si>
    <t>津渡</t>
  </si>
  <si>
    <t>湿湿，（波涛）开合</t>
  </si>
  <si>
    <t>湜湜，（水流）清澈</t>
  </si>
  <si>
    <t>汰，水波（诗）</t>
  </si>
  <si>
    <t>炱，煤烟</t>
  </si>
  <si>
    <t>隰，水边的低湿地方</t>
  </si>
  <si>
    <t>隰，原野</t>
  </si>
  <si>
    <t>潟，盐碱地</t>
  </si>
  <si>
    <t>硖，两山夹水处</t>
  </si>
  <si>
    <t>险，不平坦</t>
  </si>
  <si>
    <t>岘，小而险的山</t>
  </si>
  <si>
    <t>氿，泉水从侧面流出</t>
  </si>
  <si>
    <t>氿滥，小泉</t>
  </si>
  <si>
    <t>洸洸，水波荡漾反光</t>
  </si>
  <si>
    <t>滉滉，（波涛）汹涌</t>
  </si>
  <si>
    <t>垓，八极内广大的土地</t>
  </si>
  <si>
    <t>九垓，九重天</t>
  </si>
  <si>
    <t>埏，地的边际</t>
  </si>
  <si>
    <t>田埂</t>
  </si>
  <si>
    <t>洑，水伏流地下</t>
  </si>
  <si>
    <t>洑，回流，漩涡</t>
  </si>
  <si>
    <t>岪，山势曲折</t>
  </si>
  <si>
    <t>岪郁，山势曲折险要</t>
  </si>
  <si>
    <t>坟</t>
  </si>
  <si>
    <t>坟冢</t>
  </si>
  <si>
    <t>冢（包括坟冢，衣冠冢）</t>
  </si>
  <si>
    <t>坟墓</t>
  </si>
  <si>
    <t>墓地</t>
  </si>
  <si>
    <t>公墓</t>
  </si>
  <si>
    <t>墓藏</t>
  </si>
  <si>
    <t>墦，坟墓</t>
  </si>
  <si>
    <t>渎，小水沟，小沟渠</t>
  </si>
  <si>
    <t>臭水沟</t>
  </si>
  <si>
    <t>雨点</t>
  </si>
  <si>
    <t>埭，堵水土壤</t>
  </si>
  <si>
    <t>嵯峨，山势高峻</t>
  </si>
  <si>
    <t>墓穴</t>
  </si>
  <si>
    <t>墓道</t>
  </si>
  <si>
    <t>墓园</t>
  </si>
  <si>
    <t>漘，水边</t>
  </si>
  <si>
    <t>昶，白天长</t>
  </si>
  <si>
    <t>场，空旷地</t>
  </si>
  <si>
    <t>位势米</t>
  </si>
  <si>
    <t>潺，水慢慢流动</t>
  </si>
  <si>
    <t>巉，险峻</t>
  </si>
  <si>
    <t>坟堆</t>
  </si>
  <si>
    <t>坟头</t>
  </si>
  <si>
    <t>坟茔</t>
  </si>
  <si>
    <t>坟地</t>
  </si>
  <si>
    <t>乱葬岗</t>
  </si>
  <si>
    <t>乱石岗</t>
  </si>
  <si>
    <t>归葬</t>
  </si>
  <si>
    <t>墓葬</t>
  </si>
  <si>
    <t>下葬</t>
  </si>
  <si>
    <t>安葬</t>
  </si>
  <si>
    <t>挖土为坟</t>
  </si>
  <si>
    <t>葬礼</t>
  </si>
  <si>
    <t>埋葬</t>
  </si>
  <si>
    <t>砧云</t>
  </si>
  <si>
    <t>卷云</t>
  </si>
  <si>
    <t>乌云</t>
  </si>
  <si>
    <t>叠浪云</t>
  </si>
  <si>
    <t>迷雾</t>
    <phoneticPr fontId="1" type="noConversion"/>
  </si>
  <si>
    <t>蓝洞</t>
    <phoneticPr fontId="1" type="noConversion"/>
  </si>
  <si>
    <t>xithleoanosin</t>
    <phoneticPr fontId="1" type="noConversion"/>
  </si>
  <si>
    <t>seredmy de anosin</t>
    <phoneticPr fontId="1" type="noConversion"/>
  </si>
  <si>
    <t>leoanosin</t>
    <phoneticPr fontId="1" type="noConversion"/>
  </si>
  <si>
    <t>de teremotus wabêlis</t>
    <phoneticPr fontId="1" type="noConversion"/>
  </si>
  <si>
    <t>leacerd</t>
    <phoneticPr fontId="1" type="noConversion"/>
  </si>
  <si>
    <t>criftend</t>
    <phoneticPr fontId="1" type="noConversion"/>
  </si>
  <si>
    <t>mapa</t>
    <phoneticPr fontId="1" type="noConversion"/>
  </si>
  <si>
    <t>leomons</t>
    <phoneticPr fontId="1" type="noConversion"/>
  </si>
  <si>
    <t>leodir</t>
    <phoneticPr fontId="1" type="noConversion"/>
  </si>
  <si>
    <t>leolehr</t>
    <phoneticPr fontId="1" type="noConversion"/>
  </si>
  <si>
    <t>leominut</t>
    <phoneticPr fontId="1" type="noConversion"/>
  </si>
  <si>
    <t>leoet'itun</t>
    <phoneticPr fontId="1" type="noConversion"/>
  </si>
  <si>
    <t>celestbul</t>
    <phoneticPr fontId="1" type="noConversion"/>
  </si>
  <si>
    <t>celeshte</t>
    <phoneticPr fontId="1" type="noConversion"/>
  </si>
  <si>
    <t>celestequ'atore</t>
    <phoneticPr fontId="1" type="noConversion"/>
  </si>
  <si>
    <t>3-0-6</t>
    <phoneticPr fontId="1" type="noConversion"/>
  </si>
  <si>
    <t>rabajnist jalindon</t>
    <phoneticPr fontId="1" type="noConversion"/>
  </si>
  <si>
    <t>劳动力，人力资源</t>
    <phoneticPr fontId="1" type="noConversion"/>
  </si>
  <si>
    <t>rabajnistder</t>
    <phoneticPr fontId="1" type="noConversion"/>
  </si>
  <si>
    <t>minrescasirr</t>
    <phoneticPr fontId="1" type="noConversion"/>
  </si>
  <si>
    <t>snielincav</t>
    <phoneticPr fontId="1" type="noConversion"/>
  </si>
  <si>
    <t>walmcalincav</t>
    <phoneticPr fontId="1" type="noConversion"/>
  </si>
  <si>
    <t>dzerlincav</t>
    <phoneticPr fontId="1" type="noConversion"/>
  </si>
  <si>
    <t>teremotustica</t>
    <phoneticPr fontId="1" type="noConversion"/>
  </si>
  <si>
    <t>de lincav Ju Juanyoun</t>
    <phoneticPr fontId="1" type="noConversion"/>
  </si>
  <si>
    <t>0-1-2-4-1</t>
    <phoneticPr fontId="1" type="noConversion"/>
  </si>
  <si>
    <t>wadi vu duct</t>
    <phoneticPr fontId="1" type="noConversion"/>
  </si>
  <si>
    <t>duct-wadi</t>
    <phoneticPr fontId="1" type="noConversion"/>
  </si>
  <si>
    <t>de syl postatum-angleot</t>
    <phoneticPr fontId="1" type="noConversion"/>
  </si>
  <si>
    <t>sylarin</t>
    <phoneticPr fontId="1" type="noConversion"/>
  </si>
  <si>
    <t>guânzscasir</t>
    <phoneticPr fontId="1" type="noConversion"/>
  </si>
  <si>
    <t>naturalny-guânzscasir</t>
    <phoneticPr fontId="1" type="noConversion"/>
  </si>
  <si>
    <t>mercadal</t>
    <phoneticPr fontId="1" type="noConversion"/>
  </si>
  <si>
    <t>tonsaulhelta</t>
    <phoneticPr fontId="1" type="noConversion"/>
  </si>
  <si>
    <t>tonsaulheltarin</t>
    <phoneticPr fontId="1" type="noConversion"/>
  </si>
  <si>
    <t>groetus</t>
    <phoneticPr fontId="1" type="noConversion"/>
  </si>
  <si>
    <t>de tonsaul groetus</t>
    <phoneticPr fontId="1" type="noConversion"/>
  </si>
  <si>
    <t>talspota</t>
    <phoneticPr fontId="1" type="noConversion"/>
  </si>
  <si>
    <t>talspota temperatur</t>
    <phoneticPr fontId="1" type="noConversion"/>
  </si>
  <si>
    <t>7-7</t>
    <phoneticPr fontId="1" type="noConversion"/>
  </si>
  <si>
    <t>7-7-1</t>
    <phoneticPr fontId="1" type="noConversion"/>
  </si>
  <si>
    <t>frelorin</t>
    <phoneticPr fontId="1" type="noConversion"/>
  </si>
  <si>
    <t>de costare lincav</t>
    <phoneticPr fontId="1" type="noConversion"/>
  </si>
  <si>
    <t>curos-storja</t>
    <phoneticPr fontId="1" type="noConversion"/>
  </si>
  <si>
    <t>celestcadal</t>
    <phoneticPr fontId="1" type="noConversion"/>
  </si>
  <si>
    <t>wadi-bohax</t>
    <phoneticPr fontId="1" type="noConversion"/>
  </si>
  <si>
    <t>de wadi bohax</t>
    <phoneticPr fontId="1" type="noConversion"/>
  </si>
  <si>
    <t>0-1-3</t>
    <phoneticPr fontId="1" type="noConversion"/>
  </si>
  <si>
    <t>stovgra</t>
    <phoneticPr fontId="1" type="noConversion"/>
  </si>
  <si>
    <t>stovgra de laqu'un</t>
    <phoneticPr fontId="1" type="noConversion"/>
  </si>
  <si>
    <t>shangri-la</t>
    <phoneticPr fontId="1" type="noConversion"/>
  </si>
  <si>
    <t>charybdis</t>
    <phoneticPr fontId="1" type="noConversion"/>
  </si>
  <si>
    <t>rosetta</t>
    <phoneticPr fontId="1" type="noConversion"/>
  </si>
  <si>
    <t>tsat</t>
    <phoneticPr fontId="1" type="noConversion"/>
  </si>
  <si>
    <t>tmia</t>
    <phoneticPr fontId="1" type="noConversion"/>
  </si>
  <si>
    <t>met</t>
    <phoneticPr fontId="1" type="noConversion"/>
  </si>
  <si>
    <t>uj</t>
    <phoneticPr fontId="1" type="noConversion"/>
  </si>
  <si>
    <t>susade</t>
    <phoneticPr fontId="1" type="noConversion"/>
  </si>
  <si>
    <t>susade garden</t>
    <phoneticPr fontId="1" type="noConversion"/>
  </si>
  <si>
    <t>susadedinemo</t>
    <phoneticPr fontId="1" type="noConversion"/>
  </si>
  <si>
    <t>beasam</t>
    <phoneticPr fontId="1" type="noConversion"/>
  </si>
  <si>
    <t>var</t>
    <phoneticPr fontId="1" type="noConversion"/>
  </si>
  <si>
    <t>bonut</t>
    <phoneticPr fontId="1" type="noConversion"/>
  </si>
  <si>
    <t>duenv</t>
    <phoneticPr fontId="1" type="noConversion"/>
  </si>
  <si>
    <t>paran</t>
    <phoneticPr fontId="1" type="noConversion"/>
  </si>
  <si>
    <t>shipota</t>
    <phoneticPr fontId="1" type="noConversion"/>
  </si>
  <si>
    <t>4-7</t>
    <phoneticPr fontId="1" type="noConversion"/>
  </si>
  <si>
    <t>nudat</t>
    <phoneticPr fontId="1" type="noConversion"/>
  </si>
  <si>
    <t>cuasnl</t>
    <phoneticPr fontId="1" type="noConversion"/>
  </si>
  <si>
    <t>gau</t>
    <phoneticPr fontId="1" type="noConversion"/>
  </si>
  <si>
    <t>saoma</t>
    <phoneticPr fontId="1" type="noConversion"/>
  </si>
  <si>
    <t>nmav</t>
    <phoneticPr fontId="1" type="noConversion"/>
  </si>
  <si>
    <t>cercuz</t>
    <phoneticPr fontId="1" type="noConversion"/>
  </si>
  <si>
    <t>punza</t>
    <phoneticPr fontId="1" type="noConversion"/>
  </si>
  <si>
    <t>vlarn</t>
    <phoneticPr fontId="1" type="noConversion"/>
  </si>
  <si>
    <t>sat</t>
    <phoneticPr fontId="1" type="noConversion"/>
  </si>
  <si>
    <t>hbash</t>
    <phoneticPr fontId="1" type="noConversion"/>
  </si>
  <si>
    <t>b'cemc</t>
    <phoneticPr fontId="1" type="noConversion"/>
  </si>
  <si>
    <t>cosh</t>
    <phoneticPr fontId="1" type="noConversion"/>
  </si>
  <si>
    <t>vashcvoed</t>
    <phoneticPr fontId="1" type="noConversion"/>
  </si>
  <si>
    <t>iansga</t>
    <phoneticPr fontId="1" type="noConversion"/>
  </si>
  <si>
    <t>graevsh</t>
    <phoneticPr fontId="1" type="noConversion"/>
  </si>
  <si>
    <t>nonagraevsh</t>
    <phoneticPr fontId="1" type="noConversion"/>
  </si>
  <si>
    <t>rh'atr</t>
    <phoneticPr fontId="1" type="noConversion"/>
  </si>
  <si>
    <t>suaca</t>
    <phoneticPr fontId="1" type="noConversion"/>
  </si>
  <si>
    <t>de tubir suaca</t>
    <phoneticPr fontId="1" type="noConversion"/>
  </si>
  <si>
    <t>de dinemo suaca</t>
    <phoneticPr fontId="1" type="noConversion"/>
  </si>
  <si>
    <t>de domunpedinemo suaca</t>
    <phoneticPr fontId="1" type="noConversion"/>
  </si>
  <si>
    <t>twumt</t>
    <phoneticPr fontId="1" type="noConversion"/>
  </si>
  <si>
    <t>rirb</t>
    <phoneticPr fontId="1" type="noConversion"/>
  </si>
  <si>
    <t>bmuaih</t>
    <phoneticPr fontId="1" type="noConversion"/>
  </si>
  <si>
    <t>shodheuih</t>
    <phoneticPr fontId="1" type="noConversion"/>
  </si>
  <si>
    <t>waensh</t>
    <phoneticPr fontId="1" type="noConversion"/>
  </si>
  <si>
    <t>cirdebn</t>
    <phoneticPr fontId="1" type="noConversion"/>
  </si>
  <si>
    <t>menc</t>
    <phoneticPr fontId="1" type="noConversion"/>
  </si>
  <si>
    <t>deom</t>
    <phoneticPr fontId="1" type="noConversion"/>
  </si>
  <si>
    <t>cimedhi</t>
    <phoneticPr fontId="1" type="noConversion"/>
  </si>
  <si>
    <t>burcindinemo</t>
    <phoneticPr fontId="1" type="noConversion"/>
  </si>
  <si>
    <t>zasgdinemo</t>
    <phoneticPr fontId="1" type="noConversion"/>
  </si>
  <si>
    <t>mebomio</t>
    <phoneticPr fontId="1" type="noConversion"/>
  </si>
  <si>
    <t>guhucimedhi</t>
    <phoneticPr fontId="1" type="noConversion"/>
  </si>
  <si>
    <t>guhudeom</t>
    <phoneticPr fontId="1" type="noConversion"/>
  </si>
  <si>
    <t>0-4-2</t>
    <phoneticPr fontId="1" type="noConversion"/>
  </si>
  <si>
    <t>0-1-2</t>
    <phoneticPr fontId="1" type="noConversion"/>
  </si>
  <si>
    <t>风化壳</t>
  </si>
  <si>
    <t>过渡区</t>
  </si>
  <si>
    <t>脱盐</t>
  </si>
  <si>
    <t>地方病</t>
  </si>
  <si>
    <t>绿肥作物</t>
  </si>
  <si>
    <t>绿氢</t>
  </si>
  <si>
    <t>灰氢</t>
  </si>
  <si>
    <t>蓝氢</t>
  </si>
  <si>
    <t>试验站</t>
  </si>
  <si>
    <t>破冰船</t>
  </si>
  <si>
    <t>海绵城市</t>
  </si>
  <si>
    <t>雨水花园</t>
  </si>
  <si>
    <t>地面硬化</t>
  </si>
  <si>
    <t>霞光</t>
  </si>
  <si>
    <t>水利</t>
  </si>
  <si>
    <t>台风眼</t>
  </si>
  <si>
    <t>水产</t>
  </si>
  <si>
    <t>水产养殖</t>
  </si>
  <si>
    <t>养殖业</t>
  </si>
  <si>
    <t>地应力</t>
  </si>
  <si>
    <t>等震线</t>
  </si>
  <si>
    <t>地震线</t>
  </si>
  <si>
    <t>火山地震带</t>
  </si>
  <si>
    <t>堰塞湖</t>
  </si>
  <si>
    <t>淤塞</t>
  </si>
  <si>
    <t>地震台</t>
  </si>
  <si>
    <t>监测</t>
  </si>
  <si>
    <t>铁索桥</t>
  </si>
  <si>
    <t>烈度</t>
  </si>
  <si>
    <t>地震预警</t>
  </si>
  <si>
    <t>防护林</t>
  </si>
  <si>
    <t>用材林</t>
  </si>
  <si>
    <t>经济林</t>
  </si>
  <si>
    <t>溜索</t>
  </si>
  <si>
    <t>吊箱</t>
  </si>
  <si>
    <t>余震</t>
  </si>
  <si>
    <t>避难所</t>
  </si>
  <si>
    <t>防空洞</t>
  </si>
  <si>
    <t>雨量站</t>
  </si>
  <si>
    <t>地形图</t>
  </si>
  <si>
    <t>星座</t>
  </si>
  <si>
    <t>授时</t>
  </si>
  <si>
    <t>定位</t>
  </si>
  <si>
    <t>导航</t>
  </si>
  <si>
    <t>遥感</t>
  </si>
  <si>
    <t>航空器</t>
  </si>
  <si>
    <t>航天器</t>
  </si>
  <si>
    <t>闸门</t>
  </si>
  <si>
    <t>风暴潮</t>
  </si>
  <si>
    <t>登陆</t>
  </si>
  <si>
    <t>干涸河</t>
  </si>
  <si>
    <t>赤道辐合带</t>
  </si>
  <si>
    <t>海中断崖</t>
  </si>
  <si>
    <t>流星</t>
  </si>
  <si>
    <t>污染物</t>
  </si>
  <si>
    <t>软流层</t>
  </si>
  <si>
    <t>不连续面</t>
  </si>
  <si>
    <t>成煤期</t>
  </si>
  <si>
    <t>成矿期</t>
  </si>
  <si>
    <t>地质年代</t>
  </si>
  <si>
    <t>地质年代表</t>
  </si>
  <si>
    <t>地形区</t>
  </si>
  <si>
    <t>日冕物质抛射</t>
  </si>
  <si>
    <t>同温层</t>
  </si>
  <si>
    <t>星际空间</t>
  </si>
  <si>
    <t>旋臂</t>
  </si>
  <si>
    <t>光源</t>
  </si>
  <si>
    <t>尘埃</t>
  </si>
  <si>
    <t>星际尘埃</t>
  </si>
  <si>
    <t>月相</t>
  </si>
  <si>
    <t>轨道倾角</t>
  </si>
  <si>
    <t>射电望远镜</t>
  </si>
  <si>
    <t>星环</t>
  </si>
  <si>
    <t>天文望远镜</t>
  </si>
  <si>
    <t>空间望远镜</t>
  </si>
  <si>
    <t>空间望远镜阵</t>
  </si>
  <si>
    <t>肉眼</t>
  </si>
  <si>
    <t>视星等</t>
  </si>
  <si>
    <t>生物量</t>
  </si>
  <si>
    <t>圈层</t>
  </si>
  <si>
    <t>管道</t>
  </si>
  <si>
    <t>纵剖面</t>
  </si>
  <si>
    <t>浮游生物</t>
  </si>
  <si>
    <t>营养盐</t>
  </si>
  <si>
    <t>流冰</t>
  </si>
  <si>
    <t>科考</t>
  </si>
  <si>
    <t>大气逆辐射</t>
  </si>
  <si>
    <t>保温作用</t>
  </si>
  <si>
    <t>亢旱</t>
  </si>
  <si>
    <t>磡</t>
  </si>
  <si>
    <t>墈</t>
  </si>
  <si>
    <t>坎</t>
  </si>
  <si>
    <t>坎儿井</t>
  </si>
  <si>
    <t>勘测</t>
  </si>
  <si>
    <t>勘察</t>
  </si>
  <si>
    <t>勘界</t>
  </si>
  <si>
    <t>国界</t>
  </si>
  <si>
    <t>勘探</t>
  </si>
  <si>
    <t>锖色</t>
  </si>
  <si>
    <t>强渡</t>
  </si>
  <si>
    <t>巅峰</t>
  </si>
  <si>
    <t>山崩</t>
  </si>
  <si>
    <t>山歌</t>
  </si>
  <si>
    <t>沙碛</t>
  </si>
  <si>
    <t>沙壤土</t>
  </si>
  <si>
    <t>山河</t>
  </si>
  <si>
    <t>山岚</t>
  </si>
  <si>
    <t>山间</t>
  </si>
  <si>
    <t>山涧</t>
  </si>
  <si>
    <t>山路</t>
  </si>
  <si>
    <t>山难</t>
  </si>
  <si>
    <t>山炮</t>
  </si>
  <si>
    <t>山泉</t>
  </si>
  <si>
    <t>山水</t>
  </si>
  <si>
    <t>山头</t>
  </si>
  <si>
    <t>山坳</t>
  </si>
  <si>
    <t>山险</t>
  </si>
  <si>
    <t>山响</t>
  </si>
  <si>
    <t>山野</t>
  </si>
  <si>
    <t>山腰</t>
  </si>
  <si>
    <t>山月</t>
  </si>
  <si>
    <t>山岳</t>
  </si>
  <si>
    <t>山庄</t>
  </si>
  <si>
    <t>假山</t>
  </si>
  <si>
    <t>水族</t>
  </si>
  <si>
    <t>水渠</t>
  </si>
  <si>
    <t>水情</t>
  </si>
  <si>
    <t>水面</t>
  </si>
  <si>
    <t>水雷</t>
  </si>
  <si>
    <t>水泵</t>
  </si>
  <si>
    <t>抽水机</t>
  </si>
  <si>
    <t>水道</t>
  </si>
  <si>
    <t>水分</t>
  </si>
  <si>
    <t>水感</t>
  </si>
  <si>
    <t>水垢</t>
  </si>
  <si>
    <t>水害</t>
  </si>
  <si>
    <t>水力</t>
  </si>
  <si>
    <t>枢纽</t>
  </si>
  <si>
    <t>水轮机</t>
  </si>
  <si>
    <t>水阀</t>
  </si>
  <si>
    <t>水平仪</t>
  </si>
  <si>
    <t>水橇</t>
  </si>
  <si>
    <t>水马</t>
  </si>
  <si>
    <t>疍户</t>
  </si>
  <si>
    <t>疍民</t>
  </si>
  <si>
    <t>水筲</t>
  </si>
  <si>
    <t>水蛇</t>
  </si>
  <si>
    <t>水藻</t>
  </si>
  <si>
    <t>水准</t>
  </si>
  <si>
    <t>水准仪</t>
  </si>
  <si>
    <t>水质</t>
  </si>
  <si>
    <t>水塔</t>
  </si>
  <si>
    <t>水蚀</t>
  </si>
  <si>
    <t>干流</t>
  </si>
  <si>
    <t>水线</t>
  </si>
  <si>
    <t>水性</t>
  </si>
  <si>
    <t>天际</t>
  </si>
  <si>
    <t>天波</t>
  </si>
  <si>
    <t>天窗</t>
  </si>
  <si>
    <t>天地</t>
  </si>
  <si>
    <t>天兵</t>
  </si>
  <si>
    <t>天罡</t>
  </si>
  <si>
    <t>天方</t>
  </si>
  <si>
    <t>天宫</t>
  </si>
  <si>
    <t>天官</t>
  </si>
  <si>
    <t>天河</t>
  </si>
  <si>
    <t>天火</t>
  </si>
  <si>
    <t>天极</t>
  </si>
  <si>
    <t>天井</t>
  </si>
  <si>
    <t>天籁</t>
  </si>
  <si>
    <t>天门</t>
  </si>
  <si>
    <t>天气图</t>
  </si>
  <si>
    <t>天堑</t>
  </si>
  <si>
    <t>天穹</t>
  </si>
  <si>
    <t>天青</t>
  </si>
  <si>
    <t>天球仪</t>
  </si>
  <si>
    <t>天日</t>
  </si>
  <si>
    <t>天时</t>
  </si>
  <si>
    <t>天庭</t>
  </si>
  <si>
    <t>天文表</t>
  </si>
  <si>
    <t>天涯</t>
  </si>
  <si>
    <t>天象</t>
  </si>
  <si>
    <t>天下</t>
  </si>
  <si>
    <t>天葬</t>
  </si>
  <si>
    <t>天赋</t>
  </si>
  <si>
    <t>田畴</t>
  </si>
  <si>
    <t>田塍</t>
  </si>
  <si>
    <t>佃户</t>
  </si>
  <si>
    <t>田舍，田舎</t>
  </si>
  <si>
    <t>田亩</t>
  </si>
  <si>
    <t>田园</t>
  </si>
  <si>
    <t>庄园</t>
  </si>
  <si>
    <t>乌托邦</t>
  </si>
  <si>
    <t>秧田</t>
  </si>
  <si>
    <t>雪原</t>
  </si>
  <si>
    <t>咉咽</t>
  </si>
  <si>
    <t>垟</t>
  </si>
  <si>
    <t>泱泱</t>
  </si>
  <si>
    <t>绝巘</t>
  </si>
  <si>
    <t>月度</t>
  </si>
  <si>
    <t>年度</t>
  </si>
  <si>
    <t>月宫</t>
  </si>
  <si>
    <t>月初</t>
  </si>
  <si>
    <t>月底</t>
  </si>
  <si>
    <t>年初</t>
  </si>
  <si>
    <t>年底</t>
  </si>
  <si>
    <t>月黑夜</t>
  </si>
  <si>
    <t>月华</t>
  </si>
  <si>
    <t>月令</t>
  </si>
  <si>
    <t>月杪</t>
  </si>
  <si>
    <t>月球站</t>
  </si>
  <si>
    <t>月球车</t>
  </si>
  <si>
    <t>月晕</t>
  </si>
  <si>
    <t>锁钥</t>
  </si>
  <si>
    <t>畇畇</t>
  </si>
  <si>
    <t>陨石</t>
  </si>
  <si>
    <t>陨铁</t>
  </si>
  <si>
    <t>陨落</t>
  </si>
  <si>
    <t>陨灭</t>
  </si>
  <si>
    <t>贼星</t>
  </si>
  <si>
    <t>泽国</t>
  </si>
  <si>
    <t>太阳历，阳历</t>
  </si>
  <si>
    <t>太阴历，阴历</t>
  </si>
  <si>
    <t>农历</t>
  </si>
  <si>
    <t>节气</t>
  </si>
  <si>
    <t>伊甸园</t>
  </si>
  <si>
    <t>险巇</t>
  </si>
  <si>
    <t>溪壑</t>
  </si>
  <si>
    <t>溪涧</t>
  </si>
  <si>
    <t>溪卡</t>
  </si>
  <si>
    <t>溪流</t>
  </si>
  <si>
    <t>稀散元素</t>
  </si>
  <si>
    <t>晞，干燥</t>
  </si>
  <si>
    <t>浍</t>
  </si>
  <si>
    <t>崛起</t>
  </si>
  <si>
    <t>绝顶</t>
  </si>
  <si>
    <t>关卡</t>
  </si>
  <si>
    <t>海关</t>
  </si>
  <si>
    <t>关照</t>
  </si>
  <si>
    <t>护照</t>
  </si>
  <si>
    <t>淏</t>
  </si>
  <si>
    <t>浩瀚</t>
  </si>
  <si>
    <t>（蒙古）浩特</t>
  </si>
  <si>
    <t>城濠，护城河</t>
  </si>
  <si>
    <t>壕沟</t>
  </si>
  <si>
    <t>堑壕</t>
  </si>
  <si>
    <t>暗礁</t>
  </si>
  <si>
    <t>岸标</t>
  </si>
  <si>
    <t>埯</t>
  </si>
  <si>
    <t>霭</t>
  </si>
  <si>
    <t>隘口</t>
  </si>
  <si>
    <t>支线</t>
  </si>
  <si>
    <t>甘泉，醴泉</t>
  </si>
  <si>
    <t>日晕</t>
  </si>
  <si>
    <t>风圈</t>
  </si>
  <si>
    <t>风水</t>
  </si>
  <si>
    <t>风级</t>
  </si>
  <si>
    <t>风景</t>
  </si>
  <si>
    <t>风口</t>
  </si>
  <si>
    <t>风向标</t>
  </si>
  <si>
    <t>风干</t>
  </si>
  <si>
    <t>风耗</t>
  </si>
  <si>
    <t>风充</t>
  </si>
  <si>
    <t>瀵泉</t>
  </si>
  <si>
    <t>风害</t>
  </si>
  <si>
    <t>风暴</t>
  </si>
  <si>
    <t>滨</t>
  </si>
  <si>
    <t>河槽</t>
  </si>
  <si>
    <t>河汊</t>
  </si>
  <si>
    <t>河段</t>
  </si>
  <si>
    <t>河防</t>
  </si>
  <si>
    <t>河套</t>
  </si>
  <si>
    <t>河沿</t>
  </si>
  <si>
    <t>垙</t>
  </si>
  <si>
    <t>关城</t>
  </si>
  <si>
    <t>关防</t>
  </si>
  <si>
    <t>山口</t>
  </si>
  <si>
    <t>关隘</t>
  </si>
  <si>
    <t>山泊</t>
  </si>
  <si>
    <t>芦苇荡</t>
  </si>
  <si>
    <t>湖荡</t>
  </si>
  <si>
    <t>走廊</t>
  </si>
  <si>
    <t>洋盆</t>
  </si>
  <si>
    <t>等潜水位</t>
  </si>
  <si>
    <t>经纬网</t>
  </si>
  <si>
    <t>指向标</t>
  </si>
  <si>
    <t>透明度</t>
  </si>
  <si>
    <t>本初子午线</t>
  </si>
  <si>
    <t>地方时</t>
  </si>
  <si>
    <t>区时</t>
  </si>
  <si>
    <t>岩性</t>
  </si>
  <si>
    <t>残丘</t>
  </si>
  <si>
    <t>冲淤</t>
  </si>
  <si>
    <t>冰期</t>
  </si>
  <si>
    <t>间冰期</t>
  </si>
  <si>
    <t>冰斗湖</t>
  </si>
  <si>
    <t>悬谷</t>
  </si>
  <si>
    <t>中碛</t>
  </si>
  <si>
    <t>冰蚀湖</t>
  </si>
  <si>
    <t>岩坎</t>
  </si>
  <si>
    <t>陡峭</t>
  </si>
  <si>
    <t>陡坎</t>
  </si>
  <si>
    <t>天生桥</t>
  </si>
  <si>
    <t>石幔</t>
  </si>
  <si>
    <t>地下走道</t>
  </si>
  <si>
    <t>地下湖</t>
  </si>
  <si>
    <t>石钟乳</t>
  </si>
  <si>
    <t>竖井</t>
  </si>
  <si>
    <t>喷泉</t>
  </si>
  <si>
    <t>石芽</t>
  </si>
  <si>
    <t>坡立谷</t>
  </si>
  <si>
    <t>石林</t>
  </si>
  <si>
    <t>育谷</t>
  </si>
  <si>
    <t>溶蚀漏斗</t>
  </si>
  <si>
    <t>石盘</t>
  </si>
  <si>
    <t>孤峰</t>
  </si>
  <si>
    <t>峰丛</t>
  </si>
  <si>
    <t>洞穴</t>
  </si>
  <si>
    <t>裂隙</t>
  </si>
  <si>
    <t>溶沟</t>
  </si>
  <si>
    <t>溶蚀平原</t>
  </si>
  <si>
    <t>软糊表层土</t>
  </si>
  <si>
    <t>潜育层</t>
  </si>
  <si>
    <t>流域</t>
  </si>
  <si>
    <t>人流量</t>
  </si>
  <si>
    <t>暴风雨</t>
  </si>
  <si>
    <t>暴风雪</t>
  </si>
  <si>
    <t>山火</t>
  </si>
  <si>
    <t>断陷湖</t>
  </si>
  <si>
    <t>碳汇</t>
  </si>
  <si>
    <t>碳库</t>
  </si>
  <si>
    <t>不整合面</t>
  </si>
  <si>
    <t>入掩</t>
  </si>
  <si>
    <t>出掩</t>
  </si>
  <si>
    <t>撮罗昂库</t>
  </si>
  <si>
    <t>虹吸效应</t>
  </si>
  <si>
    <t>宅基地</t>
  </si>
  <si>
    <t>水足迹</t>
  </si>
  <si>
    <t>碳足迹</t>
  </si>
  <si>
    <t>棕壤</t>
  </si>
  <si>
    <t>黄棕壤</t>
  </si>
  <si>
    <t>褐棕壤</t>
  </si>
  <si>
    <t>沙障</t>
  </si>
  <si>
    <t>草方格</t>
  </si>
  <si>
    <t>热带急流</t>
  </si>
  <si>
    <t>矶</t>
  </si>
  <si>
    <t>比例系数</t>
  </si>
  <si>
    <t>炸弹气旋</t>
  </si>
  <si>
    <t>总氮（TN）</t>
  </si>
  <si>
    <t>白水滩</t>
  </si>
  <si>
    <t>沙嘴，沙咀</t>
  </si>
  <si>
    <t>国中国</t>
  </si>
  <si>
    <t>加工业</t>
  </si>
  <si>
    <t>外溢效应</t>
  </si>
  <si>
    <t>城市收缩</t>
  </si>
  <si>
    <t>绿色GDP</t>
  </si>
  <si>
    <t>码头</t>
  </si>
  <si>
    <t>港口</t>
  </si>
  <si>
    <t>栈道</t>
  </si>
  <si>
    <t>栈桥</t>
  </si>
  <si>
    <t>陉，山脉中断的地方</t>
  </si>
  <si>
    <t>坡位</t>
  </si>
  <si>
    <t>冰沼土</t>
  </si>
  <si>
    <t>栗钙土</t>
  </si>
  <si>
    <t>森林土</t>
  </si>
  <si>
    <t>草甸土</t>
  </si>
  <si>
    <t>棕钙土</t>
  </si>
  <si>
    <t>砾石漠</t>
  </si>
  <si>
    <t>红层</t>
  </si>
  <si>
    <t>造型石</t>
  </si>
  <si>
    <t>节理</t>
  </si>
  <si>
    <t>大湖效应</t>
  </si>
  <si>
    <t>冻雨</t>
  </si>
  <si>
    <t>风场</t>
  </si>
  <si>
    <t>黄道带</t>
  </si>
  <si>
    <t>寰球</t>
  </si>
  <si>
    <t>寰宇</t>
  </si>
  <si>
    <t>岵，多草木山</t>
  </si>
  <si>
    <t>浒，水边</t>
  </si>
  <si>
    <t>湖滩</t>
  </si>
  <si>
    <t>湖泽</t>
  </si>
  <si>
    <t>江防</t>
  </si>
  <si>
    <t>江天</t>
  </si>
  <si>
    <t>江山</t>
  </si>
  <si>
    <t>江南</t>
  </si>
  <si>
    <t>江东</t>
  </si>
  <si>
    <t>江北</t>
  </si>
  <si>
    <t>洿池，（低洼）</t>
  </si>
  <si>
    <t>嵁，高流不平山</t>
  </si>
  <si>
    <t>崮</t>
  </si>
  <si>
    <t>嵅（山间平地）</t>
  </si>
  <si>
    <t>甸，郊外地方</t>
  </si>
  <si>
    <t>甸子，放牧草地</t>
  </si>
  <si>
    <t>漈，水边</t>
  </si>
  <si>
    <t>瀱，泉涌出</t>
  </si>
  <si>
    <t>墚</t>
  </si>
  <si>
    <t>塬</t>
  </si>
  <si>
    <t>漻，水清而深</t>
  </si>
  <si>
    <t>泡，小湖</t>
  </si>
  <si>
    <t>崦嵫</t>
  </si>
  <si>
    <t>涯际</t>
  </si>
  <si>
    <t>羌</t>
  </si>
  <si>
    <t>微</t>
  </si>
  <si>
    <t>卢</t>
  </si>
  <si>
    <t>彭</t>
  </si>
  <si>
    <t>濮</t>
  </si>
  <si>
    <t>庸</t>
  </si>
  <si>
    <t>髣</t>
  </si>
  <si>
    <t>袤，南北的长度</t>
  </si>
  <si>
    <t>湄，岸边水草相接处</t>
  </si>
  <si>
    <t>天色昏暗</t>
  </si>
  <si>
    <t>濛澒，濛鸿</t>
  </si>
  <si>
    <t>濛，微雨</t>
  </si>
  <si>
    <t>溟，海</t>
  </si>
  <si>
    <t>瞑，日落</t>
  </si>
  <si>
    <t>淹没</t>
  </si>
  <si>
    <t>嵘，嵲，高山，山高峻处</t>
  </si>
  <si>
    <t>涷雨，暴雨</t>
  </si>
  <si>
    <t>岧，峣，高峻</t>
  </si>
  <si>
    <t>岧，嵽，高</t>
  </si>
  <si>
    <t>町，田界</t>
  </si>
  <si>
    <t>划分由地</t>
  </si>
  <si>
    <t>渟，水流停滞而聚积</t>
  </si>
  <si>
    <t>渟瀯，池小水少</t>
  </si>
  <si>
    <t>渟瀯，水流回旋</t>
  </si>
  <si>
    <t>洿，停积不流的水</t>
  </si>
  <si>
    <t>涴演，水势四曲</t>
  </si>
  <si>
    <t>芜，田地荒废</t>
  </si>
  <si>
    <t>冷涡</t>
  </si>
  <si>
    <t>沃，灌溉</t>
  </si>
  <si>
    <t>沃，用水淹</t>
  </si>
  <si>
    <t>涬溟，混浊充气</t>
  </si>
  <si>
    <t>夐，远</t>
  </si>
  <si>
    <t>洫，水门</t>
  </si>
  <si>
    <t>洫，田间水道</t>
  </si>
  <si>
    <t>洫，护城河</t>
  </si>
  <si>
    <t>岫，山洞</t>
  </si>
  <si>
    <t>岫，峰峦</t>
  </si>
  <si>
    <t>屹，山势高耸</t>
  </si>
  <si>
    <t>埸，边界</t>
  </si>
  <si>
    <t>埸，田界</t>
  </si>
  <si>
    <t>泆，水激荡溢出</t>
  </si>
  <si>
    <t>氤氲</t>
  </si>
  <si>
    <t>闉，瓮城</t>
  </si>
  <si>
    <t>堙，攻城的小山</t>
  </si>
  <si>
    <t>垠，岸</t>
  </si>
  <si>
    <t>河岸</t>
  </si>
  <si>
    <t>渝 ，流滥</t>
  </si>
  <si>
    <t>岳，嶽，高大的山</t>
  </si>
  <si>
    <t>源泉</t>
  </si>
  <si>
    <t>嶂，屏障一样的山峰</t>
  </si>
  <si>
    <t>培塿，小土丘</t>
  </si>
  <si>
    <t>霈，雨水大</t>
  </si>
  <si>
    <t>湓，水上涌</t>
  </si>
  <si>
    <t>澎湃，波涛冲击</t>
  </si>
  <si>
    <t>霹雳</t>
  </si>
  <si>
    <t>坏，土丘，一重山</t>
  </si>
  <si>
    <t>埤，低温地方</t>
  </si>
  <si>
    <t>测，水深</t>
  </si>
  <si>
    <t>涔，连续下雨，积水成涝</t>
  </si>
  <si>
    <t>岑，小而高的山</t>
  </si>
  <si>
    <t>沧海</t>
  </si>
  <si>
    <t>漕，运输河道</t>
  </si>
  <si>
    <t>漕运，水远</t>
  </si>
  <si>
    <t>浡，涌出</t>
  </si>
  <si>
    <t>渤，水波腾涌</t>
  </si>
  <si>
    <t>僰</t>
  </si>
  <si>
    <t>陂，水边，水岸</t>
  </si>
  <si>
    <t>卑，地势低</t>
  </si>
  <si>
    <t>陂，山坡</t>
  </si>
  <si>
    <t>陂，池塘，水泽</t>
  </si>
  <si>
    <t>陂，倾斜，不平</t>
  </si>
  <si>
    <t>晻，霭，阴暗</t>
  </si>
  <si>
    <t>磝，多小石的山</t>
  </si>
  <si>
    <t>磝磝，山多石</t>
  </si>
  <si>
    <t>磝磝，坚硬瘠薄之地</t>
  </si>
  <si>
    <t>叆叇，天气烟浓盛</t>
  </si>
  <si>
    <t>叆靅，云盛而昏暗</t>
  </si>
  <si>
    <t>巑岏，山峰峻峭</t>
  </si>
  <si>
    <t>隘，险要地方</t>
  </si>
  <si>
    <t>洚，大水泛滥</t>
  </si>
  <si>
    <t>沮，低湿地带</t>
  </si>
  <si>
    <t>岨，戴土的山</t>
  </si>
  <si>
    <t>注入</t>
  </si>
  <si>
    <t>迤逦，曲折绵延</t>
  </si>
  <si>
    <t>沚，水中小洲</t>
  </si>
  <si>
    <t>畛，田沟上的路</t>
  </si>
  <si>
    <t>潴，水停聚</t>
  </si>
  <si>
    <t>潴，陂塘</t>
  </si>
  <si>
    <t>渚，小洲</t>
  </si>
  <si>
    <t>垦荒</t>
  </si>
  <si>
    <t>开垦</t>
  </si>
  <si>
    <t>开荒</t>
  </si>
  <si>
    <t>菑，开荒</t>
  </si>
  <si>
    <t>陵，土山</t>
  </si>
  <si>
    <t>陵墓</t>
  </si>
  <si>
    <t>陬，角落</t>
  </si>
  <si>
    <t>崒，高耸而险峻</t>
  </si>
  <si>
    <t>隅，角落</t>
  </si>
  <si>
    <t>油然，云气上升</t>
  </si>
  <si>
    <t>漾，水流长</t>
  </si>
  <si>
    <t>澥，海湾</t>
  </si>
  <si>
    <t>潇潇，风雨急暴</t>
  </si>
  <si>
    <t>崴嵬，山势高峻不平</t>
  </si>
  <si>
    <t>淇，河流解冻时流冰</t>
  </si>
  <si>
    <t>汜，主流分流再回流主流的河</t>
  </si>
  <si>
    <t>澍，及时雨水</t>
  </si>
  <si>
    <t>海市蜃楼</t>
  </si>
  <si>
    <t>穊，密植</t>
  </si>
  <si>
    <t>洄，曲折水道</t>
  </si>
  <si>
    <t>澴，水流回方涌起</t>
  </si>
  <si>
    <t>ahecusethe</t>
    <phoneticPr fontId="1" type="noConversion"/>
  </si>
  <si>
    <t>sovirca</t>
    <phoneticPr fontId="1" type="noConversion"/>
  </si>
  <si>
    <t>lonjoen</t>
    <phoneticPr fontId="1" type="noConversion"/>
  </si>
  <si>
    <t>shorten</t>
    <phoneticPr fontId="1" type="noConversion"/>
  </si>
  <si>
    <t>grandaen</t>
    <phoneticPr fontId="1" type="noConversion"/>
  </si>
  <si>
    <t>petolsen</t>
    <phoneticPr fontId="1" type="noConversion"/>
  </si>
  <si>
    <t>探究</t>
  </si>
  <si>
    <t>举例</t>
  </si>
  <si>
    <t>指引</t>
  </si>
  <si>
    <t>导引</t>
  </si>
  <si>
    <t>接照</t>
  </si>
  <si>
    <t>得到</t>
  </si>
  <si>
    <t>获取</t>
  </si>
  <si>
    <t>下载</t>
  </si>
  <si>
    <t>加载</t>
  </si>
  <si>
    <t>点赞</t>
  </si>
  <si>
    <t>打赏</t>
  </si>
  <si>
    <t>相交</t>
  </si>
  <si>
    <t>放置</t>
  </si>
  <si>
    <t>安厝（骨灰）</t>
  </si>
  <si>
    <t>补充</t>
  </si>
  <si>
    <t>说明</t>
  </si>
  <si>
    <t>论证</t>
  </si>
  <si>
    <t>像，好像</t>
  </si>
  <si>
    <t>战斗</t>
  </si>
  <si>
    <t>支撑</t>
  </si>
  <si>
    <t>承诺</t>
  </si>
  <si>
    <t>影响</t>
  </si>
  <si>
    <t>创新</t>
  </si>
  <si>
    <t>意识到</t>
  </si>
  <si>
    <t>使意识到</t>
  </si>
  <si>
    <t>醒</t>
  </si>
  <si>
    <t>振动</t>
  </si>
  <si>
    <t>细化</t>
  </si>
  <si>
    <t>一般化</t>
  </si>
  <si>
    <t>模糊化</t>
  </si>
  <si>
    <t>同化</t>
  </si>
  <si>
    <t>异化</t>
  </si>
  <si>
    <t>指定</t>
  </si>
  <si>
    <t>装饰，修饰；修饰（分子结构）</t>
  </si>
  <si>
    <t>讨好</t>
  </si>
  <si>
    <t>挖苦</t>
  </si>
  <si>
    <t>讽刺</t>
  </si>
  <si>
    <t>揶揄</t>
  </si>
  <si>
    <t>对待</t>
  </si>
  <si>
    <t>照顾</t>
  </si>
  <si>
    <t>出租</t>
  </si>
  <si>
    <t>贮藏</t>
  </si>
  <si>
    <t>加热</t>
  </si>
  <si>
    <t>割草，刍</t>
  </si>
  <si>
    <t>弄糟</t>
  </si>
  <si>
    <t>穿过</t>
  </si>
  <si>
    <t>到期；（刑）满期，学期期满</t>
  </si>
  <si>
    <t>展开</t>
  </si>
  <si>
    <t>救</t>
  </si>
  <si>
    <t>浮现</t>
  </si>
  <si>
    <t>搭载</t>
  </si>
  <si>
    <t>报道，签到</t>
  </si>
  <si>
    <t>画卯，签到</t>
  </si>
  <si>
    <t>核对</t>
  </si>
  <si>
    <t>查明，查出</t>
  </si>
  <si>
    <t>结账</t>
  </si>
  <si>
    <t>问出</t>
  </si>
  <si>
    <t>分配</t>
  </si>
  <si>
    <t>指派</t>
  </si>
  <si>
    <t>系上</t>
  </si>
  <si>
    <t>附加；附属；附件</t>
  </si>
  <si>
    <t>降落</t>
  </si>
  <si>
    <t>登陆，登上陆地</t>
  </si>
  <si>
    <t>扩张</t>
  </si>
  <si>
    <t>殖民</t>
  </si>
  <si>
    <t>感谢</t>
  </si>
  <si>
    <t>忍耐</t>
  </si>
  <si>
    <t>服从</t>
  </si>
  <si>
    <t>顺从</t>
  </si>
  <si>
    <t>递（东西）</t>
  </si>
  <si>
    <t>加工</t>
  </si>
  <si>
    <t>误会，误解</t>
  </si>
  <si>
    <t>放在</t>
  </si>
  <si>
    <t>达到</t>
  </si>
  <si>
    <t>保留</t>
  </si>
  <si>
    <t>预订；注定会</t>
  </si>
  <si>
    <t>预定，预订</t>
  </si>
  <si>
    <t>诱惑</t>
  </si>
  <si>
    <t>增大</t>
  </si>
  <si>
    <t>感恩</t>
  </si>
  <si>
    <t>感恩节</t>
  </si>
  <si>
    <t>吓唬</t>
  </si>
  <si>
    <t>犯罪</t>
  </si>
  <si>
    <t>经历</t>
  </si>
  <si>
    <t>走，步</t>
  </si>
  <si>
    <t>走下</t>
  </si>
  <si>
    <t>点亮</t>
  </si>
  <si>
    <t>驻扎</t>
  </si>
  <si>
    <t>居住</t>
  </si>
  <si>
    <t>铭刻</t>
  </si>
  <si>
    <t>装潢</t>
  </si>
  <si>
    <t>装饰</t>
  </si>
  <si>
    <t>吸引</t>
  </si>
  <si>
    <t>引起</t>
  </si>
  <si>
    <t>反对</t>
  </si>
  <si>
    <t>反抗</t>
  </si>
  <si>
    <t>劝说</t>
  </si>
  <si>
    <t>说服</t>
  </si>
  <si>
    <t>使确信，使信服</t>
  </si>
  <si>
    <t>答应</t>
  </si>
  <si>
    <t>懂得</t>
  </si>
  <si>
    <t>模仿</t>
  </si>
  <si>
    <t>仿效</t>
  </si>
  <si>
    <t>制造</t>
  </si>
  <si>
    <t>宁愿；更喜欢</t>
  </si>
  <si>
    <t>表示</t>
  </si>
  <si>
    <t>迷住</t>
  </si>
  <si>
    <t>欺骗</t>
  </si>
  <si>
    <t>诱骗</t>
  </si>
  <si>
    <t>鼓舞</t>
  </si>
  <si>
    <t>企图</t>
  </si>
  <si>
    <t>打扮</t>
  </si>
  <si>
    <t>呼啸</t>
  </si>
  <si>
    <t>强烈要求</t>
  </si>
  <si>
    <t>大叫</t>
  </si>
  <si>
    <t>遗憾</t>
  </si>
  <si>
    <t>抱歉</t>
  </si>
  <si>
    <t>后悔</t>
  </si>
  <si>
    <t>上传</t>
  </si>
  <si>
    <t>害怕</t>
  </si>
  <si>
    <t>助长</t>
  </si>
  <si>
    <t>贡献</t>
  </si>
  <si>
    <t>感激</t>
  </si>
  <si>
    <t>欣赏</t>
  </si>
  <si>
    <t>折磨</t>
  </si>
  <si>
    <t>心安，满足</t>
  </si>
  <si>
    <t>乐于，爱好</t>
  </si>
  <si>
    <t>使迷惑</t>
  </si>
  <si>
    <t>使茫然</t>
  </si>
  <si>
    <t>触摸</t>
  </si>
  <si>
    <t>涉及，谈及</t>
  </si>
  <si>
    <t>（水）暴涨</t>
  </si>
  <si>
    <t>代表</t>
  </si>
  <si>
    <t>剃（须）</t>
  </si>
  <si>
    <t>刮（脸）</t>
  </si>
  <si>
    <t>修面</t>
  </si>
  <si>
    <t>切断</t>
  </si>
  <si>
    <t>中断</t>
  </si>
  <si>
    <t>砍掉</t>
  </si>
  <si>
    <t>凿穿</t>
  </si>
  <si>
    <t>剪开</t>
  </si>
  <si>
    <t>梳头</t>
  </si>
  <si>
    <t>编织</t>
  </si>
  <si>
    <t>织（布）</t>
  </si>
  <si>
    <t>编，用绳子或枝条串</t>
  </si>
  <si>
    <t>攻击</t>
  </si>
  <si>
    <t>攻打</t>
  </si>
  <si>
    <t>攻克</t>
  </si>
  <si>
    <t>攻陷</t>
  </si>
  <si>
    <t>动摇（立场）</t>
  </si>
  <si>
    <t>射箭</t>
  </si>
  <si>
    <t>射击</t>
  </si>
  <si>
    <t>（肩）扛</t>
  </si>
  <si>
    <t>同情</t>
  </si>
  <si>
    <t>怜悯</t>
  </si>
  <si>
    <t>磨</t>
  </si>
  <si>
    <t>诋毁</t>
  </si>
  <si>
    <t>游玩</t>
  </si>
  <si>
    <t>游逛</t>
  </si>
  <si>
    <t>蒙蔽</t>
  </si>
  <si>
    <t>关门</t>
  </si>
  <si>
    <t>过河</t>
  </si>
  <si>
    <t>等待</t>
  </si>
  <si>
    <t>抬起</t>
  </si>
  <si>
    <t>抬</t>
  </si>
  <si>
    <t>抬高</t>
  </si>
  <si>
    <t>升高</t>
  </si>
  <si>
    <t>拴</t>
  </si>
  <si>
    <t>系（绳子）</t>
  </si>
  <si>
    <t>遨游，云游</t>
  </si>
  <si>
    <t>烤干</t>
  </si>
  <si>
    <t>煎干</t>
  </si>
  <si>
    <t>烘干</t>
  </si>
  <si>
    <t>烤</t>
  </si>
  <si>
    <t>煎</t>
  </si>
  <si>
    <t>烘</t>
  </si>
  <si>
    <t>烩</t>
  </si>
  <si>
    <t>蒸</t>
  </si>
  <si>
    <t>翱翔</t>
  </si>
  <si>
    <t>鏖战</t>
  </si>
  <si>
    <t>枕</t>
  </si>
  <si>
    <t>提防</t>
  </si>
  <si>
    <t>防御</t>
  </si>
  <si>
    <t>御敌</t>
  </si>
  <si>
    <t>拒敌</t>
  </si>
  <si>
    <t>拒绝</t>
  </si>
  <si>
    <t>躲藏</t>
  </si>
  <si>
    <t>躲</t>
  </si>
  <si>
    <t>藏</t>
  </si>
  <si>
    <t>放纵</t>
  </si>
  <si>
    <t>抑制</t>
  </si>
  <si>
    <t>登上，陟</t>
  </si>
  <si>
    <t>刷洗，澳</t>
  </si>
  <si>
    <t>在草丛中住宿，茇</t>
  </si>
  <si>
    <t>拔起，拔出</t>
  </si>
  <si>
    <t>祭祀路神，軷</t>
  </si>
  <si>
    <t>踏草而行，軷</t>
  </si>
  <si>
    <t>翻山越岭；走山路；经历重重困难</t>
  </si>
  <si>
    <t>焚烧</t>
  </si>
  <si>
    <t>打败</t>
  </si>
  <si>
    <t>持</t>
  </si>
  <si>
    <t>罢免</t>
  </si>
  <si>
    <t>停止</t>
  </si>
  <si>
    <t>升官</t>
  </si>
  <si>
    <t>平调</t>
  </si>
  <si>
    <t>贬官，贬职，左迁，迁谪</t>
  </si>
  <si>
    <t>出仕，入朝为官</t>
  </si>
  <si>
    <t>入仕，做官</t>
  </si>
  <si>
    <t>搔痒</t>
  </si>
  <si>
    <t>把守（地方）；阻拦</t>
  </si>
  <si>
    <t>爬行</t>
  </si>
  <si>
    <t>离散，散</t>
  </si>
  <si>
    <t>称霸</t>
  </si>
  <si>
    <t>做诸侯盟主</t>
  </si>
  <si>
    <t>浮，罚酒</t>
  </si>
  <si>
    <t>处罚</t>
  </si>
  <si>
    <t>掰</t>
  </si>
  <si>
    <t>掰开</t>
  </si>
  <si>
    <t>掸，用手分开横击</t>
  </si>
  <si>
    <t>捭阖</t>
  </si>
  <si>
    <t>毁坏，败坏</t>
  </si>
  <si>
    <t>变质；（食物）变质</t>
  </si>
  <si>
    <t>釂，饮尽</t>
  </si>
  <si>
    <t>衰落</t>
  </si>
  <si>
    <t>凋残</t>
  </si>
  <si>
    <t>凋谢</t>
  </si>
  <si>
    <t>拜（神）</t>
  </si>
  <si>
    <t>谒见，拜见</t>
  </si>
  <si>
    <t>授予（官职）</t>
  </si>
  <si>
    <t>赏赐，颁赐</t>
  </si>
  <si>
    <t>颁布</t>
  </si>
  <si>
    <t>颁发</t>
  </si>
  <si>
    <t>赐予</t>
  </si>
  <si>
    <t>公布</t>
  </si>
  <si>
    <t>颁奖</t>
  </si>
  <si>
    <t>赏赐</t>
  </si>
  <si>
    <t>分玉</t>
  </si>
  <si>
    <t>摊开</t>
  </si>
  <si>
    <t>排列</t>
  </si>
  <si>
    <t>等同，混同</t>
  </si>
  <si>
    <t>返回，返，反</t>
  </si>
  <si>
    <t>旋转，般</t>
  </si>
  <si>
    <t>游乐</t>
  </si>
  <si>
    <t>分给</t>
  </si>
  <si>
    <t>分布</t>
  </si>
  <si>
    <t>（土地）板结</t>
  </si>
  <si>
    <t>因劳致病，卒，瘅</t>
  </si>
  <si>
    <t>筑墙</t>
  </si>
  <si>
    <t>办理</t>
  </si>
  <si>
    <t>惩办</t>
  </si>
  <si>
    <t>治理</t>
  </si>
  <si>
    <t>备办，做成</t>
  </si>
  <si>
    <t>剖开</t>
  </si>
  <si>
    <t>剖析</t>
  </si>
  <si>
    <t>注册</t>
  </si>
  <si>
    <t>搅</t>
  </si>
  <si>
    <t>搅和，掺和</t>
  </si>
  <si>
    <t>绊，用绳子拴马足</t>
  </si>
  <si>
    <t>约束</t>
  </si>
  <si>
    <t>牵制</t>
  </si>
  <si>
    <t>套</t>
  </si>
  <si>
    <t>推理</t>
  </si>
  <si>
    <t>榜，捶击，捶打；榜</t>
  </si>
  <si>
    <t>箠，鞭打</t>
  </si>
  <si>
    <t>划船</t>
  </si>
  <si>
    <t>张贴告示</t>
  </si>
  <si>
    <t>棓，以棒打人</t>
  </si>
  <si>
    <t>靠近</t>
  </si>
  <si>
    <t>依附</t>
  </si>
  <si>
    <t>辅佐</t>
  </si>
  <si>
    <t>依仗</t>
  </si>
  <si>
    <t>谤，公开指责别人的过失</t>
  </si>
  <si>
    <t>裹</t>
  </si>
  <si>
    <t>包括，包容</t>
  </si>
  <si>
    <t>（草木）茂盛</t>
  </si>
  <si>
    <t>绝交</t>
  </si>
  <si>
    <t>赞扬</t>
  </si>
  <si>
    <t>视为珍宝，珍视</t>
  </si>
  <si>
    <t>珍爱</t>
  </si>
  <si>
    <t>珍视</t>
  </si>
  <si>
    <t>珍惜</t>
  </si>
  <si>
    <t>抱（孩子）</t>
  </si>
  <si>
    <t>安抚</t>
  </si>
  <si>
    <t>安定</t>
  </si>
  <si>
    <t>平定</t>
  </si>
  <si>
    <t>坑杀</t>
  </si>
  <si>
    <t>担保</t>
  </si>
  <si>
    <t>保证</t>
  </si>
  <si>
    <t>保持</t>
  </si>
  <si>
    <t>竭尽</t>
  </si>
  <si>
    <t>被雇佣</t>
  </si>
  <si>
    <t>断案</t>
  </si>
  <si>
    <t>判决</t>
  </si>
  <si>
    <t>报答</t>
  </si>
  <si>
    <t>报复</t>
  </si>
  <si>
    <t>报效</t>
  </si>
  <si>
    <t>完结，结束</t>
  </si>
  <si>
    <t>收割</t>
  </si>
  <si>
    <t>怜惜</t>
  </si>
  <si>
    <t>吝惜，舍不得</t>
  </si>
  <si>
    <t>遮蔽</t>
  </si>
  <si>
    <t>腐臭</t>
  </si>
  <si>
    <t>腐烂</t>
  </si>
  <si>
    <t>说梦话，梦呓</t>
  </si>
  <si>
    <t>缄默不言</t>
  </si>
  <si>
    <t>曲意迎合</t>
  </si>
  <si>
    <t>掀起头巾</t>
  </si>
  <si>
    <t>按压，摁</t>
  </si>
  <si>
    <t>按照</t>
  </si>
  <si>
    <t>考察</t>
  </si>
  <si>
    <t>追究</t>
  </si>
  <si>
    <t>查办</t>
  </si>
  <si>
    <t>巡视</t>
  </si>
  <si>
    <t>巡行</t>
  </si>
  <si>
    <t>抑</t>
  </si>
  <si>
    <t>道歉</t>
  </si>
  <si>
    <t>报告</t>
  </si>
  <si>
    <t>告知</t>
  </si>
  <si>
    <t>回信</t>
  </si>
  <si>
    <t>酬劳</t>
  </si>
  <si>
    <t>怀有（忧虑）</t>
  </si>
  <si>
    <t>挟持</t>
  </si>
  <si>
    <t>环绕</t>
  </si>
  <si>
    <t>晒</t>
  </si>
  <si>
    <t>暴露</t>
  </si>
  <si>
    <t>欺凌</t>
  </si>
  <si>
    <t>损害</t>
  </si>
  <si>
    <t>危害</t>
  </si>
  <si>
    <t>欺负</t>
  </si>
  <si>
    <t>徒手搏击</t>
  </si>
  <si>
    <t>徒手行猎</t>
  </si>
  <si>
    <t>打猎</t>
  </si>
  <si>
    <t>暴虐</t>
  </si>
  <si>
    <t>倾斜</t>
  </si>
  <si>
    <t>贬低</t>
  </si>
  <si>
    <t>衰微</t>
  </si>
  <si>
    <t>衰弱</t>
  </si>
  <si>
    <t>观测</t>
  </si>
  <si>
    <t>败北</t>
  </si>
  <si>
    <t>北，打败仗往回跑</t>
  </si>
  <si>
    <t>呗，赞叹</t>
  </si>
  <si>
    <t>诵经</t>
  </si>
  <si>
    <t>悖，相冲突；相冲突的</t>
  </si>
  <si>
    <t>背叛</t>
  </si>
  <si>
    <t>叛乱</t>
  </si>
  <si>
    <t>兴起</t>
  </si>
  <si>
    <t>违背</t>
  </si>
  <si>
    <t>离开</t>
  </si>
  <si>
    <t>背对着</t>
  </si>
  <si>
    <t>正对着</t>
  </si>
  <si>
    <t>违反</t>
  </si>
  <si>
    <t>背（包）</t>
  </si>
  <si>
    <t>背诵</t>
  </si>
  <si>
    <t>背弃</t>
  </si>
  <si>
    <t>鞴，把鞍、辔等套在马上；鞴</t>
  </si>
  <si>
    <t>完备，齐全</t>
  </si>
  <si>
    <t>准备</t>
  </si>
  <si>
    <t>防备</t>
  </si>
  <si>
    <t>疲惫</t>
  </si>
  <si>
    <t>寄居</t>
  </si>
  <si>
    <t>加倍</t>
  </si>
  <si>
    <t>蒙受</t>
  </si>
  <si>
    <t>遭受</t>
  </si>
  <si>
    <t>披</t>
  </si>
  <si>
    <t>逃跑</t>
  </si>
  <si>
    <t>逃亡</t>
  </si>
  <si>
    <t>私奔</t>
  </si>
  <si>
    <t>奔走</t>
  </si>
  <si>
    <t>勾结</t>
  </si>
  <si>
    <t>奔</t>
  </si>
  <si>
    <t>亡国</t>
  </si>
  <si>
    <t>倒塌</t>
  </si>
  <si>
    <t>崩，（山）倒塌</t>
  </si>
  <si>
    <t>崩溃</t>
  </si>
  <si>
    <t>帝王死，驾崩</t>
  </si>
  <si>
    <t>诸侯死，薨</t>
  </si>
  <si>
    <t>大夫死，卒</t>
  </si>
  <si>
    <t>交错</t>
  </si>
  <si>
    <t>继续</t>
  </si>
  <si>
    <t>散乱</t>
  </si>
  <si>
    <t>唪，高声朗诵</t>
  </si>
  <si>
    <t>传颂</t>
  </si>
  <si>
    <t>朗诵</t>
  </si>
  <si>
    <t>走散</t>
  </si>
  <si>
    <t>喷射</t>
  </si>
  <si>
    <t>排除</t>
  </si>
  <si>
    <t>强迫</t>
  </si>
  <si>
    <t>威胁</t>
  </si>
  <si>
    <t>接近，迫近</t>
  </si>
  <si>
    <t>函，插入</t>
  </si>
  <si>
    <t>并列</t>
  </si>
  <si>
    <t>挨着</t>
  </si>
  <si>
    <t>结合</t>
  </si>
  <si>
    <t>比较</t>
  </si>
  <si>
    <t>比照</t>
  </si>
  <si>
    <t>认为和一样</t>
  </si>
  <si>
    <t>以自比</t>
  </si>
  <si>
    <t>讽，用含蓄的话说明</t>
  </si>
  <si>
    <t>玩弄手段，用阴谋达成自己的目的</t>
  </si>
  <si>
    <t>记载</t>
  </si>
  <si>
    <t>斜视</t>
  </si>
  <si>
    <t>轻视</t>
  </si>
  <si>
    <t>效法（古代）</t>
  </si>
  <si>
    <t>完全肯定</t>
  </si>
  <si>
    <t>青睐，青眼</t>
  </si>
  <si>
    <t>芳香</t>
  </si>
  <si>
    <t>涌出</t>
  </si>
  <si>
    <t>告诫</t>
  </si>
  <si>
    <t>操劳</t>
  </si>
  <si>
    <t>隐藏</t>
  </si>
  <si>
    <t>（马）肥壮</t>
  </si>
  <si>
    <t>用尽</t>
  </si>
  <si>
    <t>竭尽（心力）</t>
  </si>
  <si>
    <t>跸，帝王出行开路，清道</t>
  </si>
  <si>
    <t>闩，闩上</t>
  </si>
  <si>
    <t>堵塞</t>
  </si>
  <si>
    <t>杜绝</t>
  </si>
  <si>
    <t>堵车</t>
  </si>
  <si>
    <t>剪下</t>
  </si>
  <si>
    <t>麻木</t>
  </si>
  <si>
    <t>掩饰</t>
  </si>
  <si>
    <t>概括</t>
  </si>
  <si>
    <t>祈求</t>
  </si>
  <si>
    <t>活动</t>
  </si>
  <si>
    <t>感叹</t>
  </si>
  <si>
    <t>抽</t>
  </si>
  <si>
    <t>雇佣</t>
  </si>
  <si>
    <t>垮台</t>
  </si>
  <si>
    <t>muzbecerethe</t>
    <phoneticPr fontId="1" type="noConversion"/>
  </si>
  <si>
    <t>cadimgathe</t>
    <phoneticPr fontId="1" type="noConversion"/>
  </si>
  <si>
    <t>asetontethe</t>
    <phoneticPr fontId="1" type="noConversion"/>
  </si>
  <si>
    <t>yavlecisethe</t>
    <phoneticPr fontId="1" type="noConversion"/>
  </si>
  <si>
    <t>saracyathe</t>
    <phoneticPr fontId="1" type="noConversion"/>
  </si>
  <si>
    <t>ferliannathe</t>
    <phoneticPr fontId="1" type="noConversion"/>
  </si>
  <si>
    <t>risinthe</t>
    <phoneticPr fontId="1" type="noConversion"/>
  </si>
  <si>
    <t>shapvosasethe</t>
    <phoneticPr fontId="1" type="noConversion"/>
  </si>
  <si>
    <t>shapvosasetheen</t>
    <phoneticPr fontId="1" type="noConversion"/>
  </si>
  <si>
    <t>sovrensir</t>
    <phoneticPr fontId="1" type="noConversion"/>
  </si>
  <si>
    <t>choqu'ethe</t>
    <phoneticPr fontId="1" type="noConversion"/>
  </si>
  <si>
    <t>molodyhelta</t>
    <phoneticPr fontId="1" type="noConversion"/>
  </si>
  <si>
    <t>seredmyhelta</t>
    <phoneticPr fontId="1" type="noConversion"/>
  </si>
  <si>
    <t>meguz'helta</t>
    <phoneticPr fontId="1" type="noConversion"/>
  </si>
  <si>
    <t>meguzen</t>
    <phoneticPr fontId="1" type="noConversion"/>
  </si>
  <si>
    <t>idenzichhelta</t>
    <phoneticPr fontId="1" type="noConversion"/>
  </si>
  <si>
    <t>specify</t>
    <phoneticPr fontId="1" type="noConversion"/>
  </si>
  <si>
    <t>yasamtos</t>
    <phoneticPr fontId="1" type="noConversion"/>
  </si>
  <si>
    <t>nomvinr</t>
    <phoneticPr fontId="1" type="noConversion"/>
  </si>
  <si>
    <t>tacorin</t>
    <phoneticPr fontId="1" type="noConversion"/>
  </si>
  <si>
    <t>mapolis</t>
    <phoneticPr fontId="1" type="noConversion"/>
  </si>
  <si>
    <t>sarcasmo</t>
    <phoneticPr fontId="1" type="noConversion"/>
  </si>
  <si>
    <t>haj</t>
    <phoneticPr fontId="1" type="noConversion"/>
  </si>
  <si>
    <t>mitson</t>
    <phoneticPr fontId="1" type="noConversion"/>
  </si>
  <si>
    <t>sartir</t>
    <phoneticPr fontId="1" type="noConversion"/>
  </si>
  <si>
    <t>yasubellimus</t>
    <phoneticPr fontId="1" type="noConversion"/>
  </si>
  <si>
    <t>do'rleumhelta</t>
    <phoneticPr fontId="1" type="noConversion"/>
  </si>
  <si>
    <t>yohif</t>
    <phoneticPr fontId="1" type="noConversion"/>
  </si>
  <si>
    <t>macer</t>
    <phoneticPr fontId="1" type="noConversion"/>
  </si>
  <si>
    <t>trâtor</t>
    <phoneticPr fontId="1" type="noConversion"/>
  </si>
  <si>
    <t>cretedsen</t>
    <phoneticPr fontId="1" type="noConversion"/>
  </si>
  <si>
    <t>vcrialt</t>
    <phoneticPr fontId="1" type="noConversion"/>
  </si>
  <si>
    <t>galpa</t>
    <phoneticPr fontId="1" type="noConversion"/>
  </si>
  <si>
    <t>tafonja</t>
    <phoneticPr fontId="1" type="noConversion"/>
  </si>
  <si>
    <t>mashu</t>
    <phoneticPr fontId="1" type="noConversion"/>
  </si>
  <si>
    <t>otcu</t>
    <phoneticPr fontId="1" type="noConversion"/>
  </si>
  <si>
    <t>gûnama</t>
    <phoneticPr fontId="1" type="noConversion"/>
  </si>
  <si>
    <t>erasab</t>
    <phoneticPr fontId="1" type="noConversion"/>
  </si>
  <si>
    <t>veas</t>
    <phoneticPr fontId="1" type="noConversion"/>
  </si>
  <si>
    <t>reolent</t>
    <phoneticPr fontId="1" type="noConversion"/>
  </si>
  <si>
    <t>porrel</t>
    <phoneticPr fontId="1" type="noConversion"/>
  </si>
  <si>
    <t>ctovinf</t>
    <phoneticPr fontId="1" type="noConversion"/>
  </si>
  <si>
    <t>ahmut</t>
    <phoneticPr fontId="1" type="noConversion"/>
  </si>
  <si>
    <t>raqi</t>
    <phoneticPr fontId="1" type="noConversion"/>
  </si>
  <si>
    <t>siarivujor</t>
    <phoneticPr fontId="1" type="noConversion"/>
  </si>
  <si>
    <t>combax</t>
    <phoneticPr fontId="1" type="noConversion"/>
  </si>
  <si>
    <t>ihentwa</t>
    <phoneticPr fontId="1" type="noConversion"/>
  </si>
  <si>
    <t>lecandaj</t>
    <phoneticPr fontId="1" type="noConversion"/>
  </si>
  <si>
    <t>exlecte</t>
    <phoneticPr fontId="1" type="noConversion"/>
  </si>
  <si>
    <t>deguacon</t>
    <phoneticPr fontId="1" type="noConversion"/>
  </si>
  <si>
    <t>muap</t>
    <phoneticPr fontId="1" type="noConversion"/>
  </si>
  <si>
    <t>cestan</t>
    <phoneticPr fontId="1" type="noConversion"/>
  </si>
  <si>
    <t>texeov</t>
    <phoneticPr fontId="1" type="noConversion"/>
  </si>
  <si>
    <t>zemvo</t>
    <phoneticPr fontId="1" type="noConversion"/>
  </si>
  <si>
    <t>meyia</t>
    <phoneticPr fontId="1" type="noConversion"/>
  </si>
  <si>
    <t>aronponien</t>
    <phoneticPr fontId="1" type="noConversion"/>
  </si>
  <si>
    <t>sharcon</t>
    <phoneticPr fontId="1" type="noConversion"/>
  </si>
  <si>
    <t>cetson</t>
    <phoneticPr fontId="1" type="noConversion"/>
  </si>
  <si>
    <t>tacorsiae</t>
    <phoneticPr fontId="1" type="noConversion"/>
  </si>
  <si>
    <t>tetadjer</t>
    <phoneticPr fontId="1" type="noConversion"/>
  </si>
  <si>
    <t>culmur</t>
    <phoneticPr fontId="1" type="noConversion"/>
  </si>
  <si>
    <t>cmaelea</t>
    <phoneticPr fontId="1" type="noConversion"/>
  </si>
  <si>
    <t>vameranpater</t>
    <phoneticPr fontId="1" type="noConversion"/>
  </si>
  <si>
    <t>abetiual</t>
    <phoneticPr fontId="1" type="noConversion"/>
  </si>
  <si>
    <t>wendor</t>
    <phoneticPr fontId="1" type="noConversion"/>
  </si>
  <si>
    <t>vevetatus</t>
    <phoneticPr fontId="1" type="noConversion"/>
  </si>
  <si>
    <t>adesern</t>
    <phoneticPr fontId="1" type="noConversion"/>
  </si>
  <si>
    <t>yaudur</t>
    <phoneticPr fontId="1" type="noConversion"/>
  </si>
  <si>
    <t>asoctan</t>
    <phoneticPr fontId="1" type="noConversion"/>
  </si>
  <si>
    <t>wuchsen</t>
    <phoneticPr fontId="1" type="noConversion"/>
  </si>
  <si>
    <t>jocveya</t>
    <phoneticPr fontId="1" type="noConversion"/>
  </si>
  <si>
    <t>enyaser</t>
    <phoneticPr fontId="1" type="noConversion"/>
  </si>
  <si>
    <t>câzid</t>
    <phoneticPr fontId="1" type="noConversion"/>
  </si>
  <si>
    <t>miraganjone</t>
    <phoneticPr fontId="1" type="noConversion"/>
  </si>
  <si>
    <t>迅速旋转</t>
    <phoneticPr fontId="1" type="noConversion"/>
  </si>
  <si>
    <t>储备；积累</t>
    <phoneticPr fontId="1" type="noConversion"/>
  </si>
  <si>
    <t>dir miraganjone</t>
    <phoneticPr fontId="1" type="noConversion"/>
  </si>
  <si>
    <t>aresiveus</t>
    <phoneticPr fontId="1" type="noConversion"/>
  </si>
  <si>
    <t>yeimfen</t>
    <phoneticPr fontId="1" type="noConversion"/>
  </si>
  <si>
    <t>cualaya</t>
    <phoneticPr fontId="1" type="noConversion"/>
  </si>
  <si>
    <t>alit</t>
    <phoneticPr fontId="1" type="noConversion"/>
  </si>
  <si>
    <t>gtepen</t>
    <phoneticPr fontId="1" type="noConversion"/>
  </si>
  <si>
    <t>lachifar</t>
    <phoneticPr fontId="1" type="noConversion"/>
  </si>
  <si>
    <t>wzaunt</t>
    <phoneticPr fontId="1" type="noConversion"/>
  </si>
  <si>
    <t>racswen</t>
    <phoneticPr fontId="1" type="noConversion"/>
  </si>
  <si>
    <t>sampamal</t>
    <phoneticPr fontId="1" type="noConversion"/>
  </si>
  <si>
    <t>shaendo</t>
    <phoneticPr fontId="1" type="noConversion"/>
  </si>
  <si>
    <t>tumainc</t>
    <phoneticPr fontId="1" type="noConversion"/>
  </si>
  <si>
    <t>acesteyiduda</t>
    <phoneticPr fontId="1" type="noConversion"/>
  </si>
  <si>
    <t>damahlin</t>
    <phoneticPr fontId="1" type="noConversion"/>
  </si>
  <si>
    <t>vohamoya</t>
    <phoneticPr fontId="1" type="noConversion"/>
  </si>
  <si>
    <t>bavomarj</t>
    <phoneticPr fontId="1" type="noConversion"/>
  </si>
  <si>
    <t>semolayer</t>
    <phoneticPr fontId="1" type="noConversion"/>
  </si>
  <si>
    <t>suadir</t>
    <phoneticPr fontId="1" type="noConversion"/>
  </si>
  <si>
    <t>haginvena</t>
    <phoneticPr fontId="1" type="noConversion"/>
  </si>
  <si>
    <t>promess</t>
    <phoneticPr fontId="1" type="noConversion"/>
  </si>
  <si>
    <t>sconala</t>
    <phoneticPr fontId="1" type="noConversion"/>
  </si>
  <si>
    <t>imitovotsono</t>
    <phoneticPr fontId="1" type="noConversion"/>
  </si>
  <si>
    <t>opawat</t>
    <phoneticPr fontId="1" type="noConversion"/>
  </si>
  <si>
    <t>malevisca</t>
    <phoneticPr fontId="1" type="noConversion"/>
  </si>
  <si>
    <t>ipanya</t>
    <phoneticPr fontId="1" type="noConversion"/>
  </si>
  <si>
    <t>xeponoe</t>
    <phoneticPr fontId="1" type="noConversion"/>
  </si>
  <si>
    <t>belânia</t>
    <phoneticPr fontId="1" type="noConversion"/>
  </si>
  <si>
    <t>bratur</t>
    <phoneticPr fontId="1" type="noConversion"/>
  </si>
  <si>
    <t>epancire</t>
    <phoneticPr fontId="1" type="noConversion"/>
  </si>
  <si>
    <t>getelraunis</t>
    <phoneticPr fontId="1" type="noConversion"/>
  </si>
  <si>
    <t>g'salubis</t>
    <phoneticPr fontId="1" type="noConversion"/>
  </si>
  <si>
    <t>uluwact</t>
    <phoneticPr fontId="1" type="noConversion"/>
  </si>
  <si>
    <t>scricezon</t>
    <phoneticPr fontId="1" type="noConversion"/>
  </si>
  <si>
    <t>cliecan</t>
    <phoneticPr fontId="1" type="noConversion"/>
  </si>
  <si>
    <t>imitovot</t>
    <phoneticPr fontId="1" type="noConversion"/>
  </si>
  <si>
    <t>napogayont</t>
    <phoneticPr fontId="1" type="noConversion"/>
  </si>
  <si>
    <t>yentham</t>
    <phoneticPr fontId="1" type="noConversion"/>
  </si>
  <si>
    <t>potudesol</t>
    <phoneticPr fontId="1" type="noConversion"/>
  </si>
  <si>
    <t>sanpoenet</t>
    <phoneticPr fontId="1" type="noConversion"/>
  </si>
  <si>
    <t>prezcalin</t>
    <phoneticPr fontId="1" type="noConversion"/>
  </si>
  <si>
    <t>zalodor</t>
    <phoneticPr fontId="1" type="noConversion"/>
  </si>
  <si>
    <t>camoech</t>
    <phoneticPr fontId="1" type="noConversion"/>
  </si>
  <si>
    <t>pwetichem</t>
    <phoneticPr fontId="1" type="noConversion"/>
  </si>
  <si>
    <t>ch'ahajil</t>
    <phoneticPr fontId="1" type="noConversion"/>
  </si>
  <si>
    <t>goatia</t>
    <phoneticPr fontId="1" type="noConversion"/>
  </si>
  <si>
    <t>agpencheo</t>
    <phoneticPr fontId="1" type="noConversion"/>
  </si>
  <si>
    <t>theutuer</t>
    <phoneticPr fontId="1" type="noConversion"/>
  </si>
  <si>
    <t>mansute</t>
    <phoneticPr fontId="1" type="noConversion"/>
  </si>
  <si>
    <t>anniray</t>
    <phoneticPr fontId="1" type="noConversion"/>
  </si>
  <si>
    <t>tunlem</t>
    <phoneticPr fontId="1" type="noConversion"/>
  </si>
  <si>
    <t>cinaream</t>
    <phoneticPr fontId="1" type="noConversion"/>
  </si>
  <si>
    <t>bastah</t>
    <phoneticPr fontId="1" type="noConversion"/>
  </si>
  <si>
    <t>tangeuwa</t>
    <phoneticPr fontId="1" type="noConversion"/>
  </si>
  <si>
    <t>scanayouetir</t>
    <phoneticPr fontId="1" type="noConversion"/>
  </si>
  <si>
    <t>revur</t>
    <phoneticPr fontId="1" type="noConversion"/>
  </si>
  <si>
    <t>shrascar</t>
    <phoneticPr fontId="1" type="noConversion"/>
  </si>
  <si>
    <t>rulac</t>
    <phoneticPr fontId="1" type="noConversion"/>
  </si>
  <si>
    <t>scehe</t>
    <phoneticPr fontId="1" type="noConversion"/>
  </si>
  <si>
    <t>catae</t>
    <phoneticPr fontId="1" type="noConversion"/>
  </si>
  <si>
    <t>prever</t>
    <phoneticPr fontId="1" type="noConversion"/>
  </si>
  <si>
    <t>beiqu'ic</t>
    <phoneticPr fontId="1" type="noConversion"/>
  </si>
  <si>
    <t>gubjaten</t>
    <phoneticPr fontId="1" type="noConversion"/>
  </si>
  <si>
    <t>snela</t>
    <phoneticPr fontId="1" type="noConversion"/>
  </si>
  <si>
    <t>sietaran</t>
    <phoneticPr fontId="1" type="noConversion"/>
  </si>
  <si>
    <t>wetis</t>
    <phoneticPr fontId="1" type="noConversion"/>
  </si>
  <si>
    <t>tcachan</t>
    <phoneticPr fontId="1" type="noConversion"/>
  </si>
  <si>
    <t>racasamrir</t>
    <phoneticPr fontId="1" type="noConversion"/>
  </si>
  <si>
    <t>vahun</t>
    <phoneticPr fontId="1" type="noConversion"/>
  </si>
  <si>
    <t>atasum</t>
    <phoneticPr fontId="1" type="noConversion"/>
  </si>
  <si>
    <t>zayoct</t>
    <phoneticPr fontId="1" type="noConversion"/>
  </si>
  <si>
    <t>capier</t>
    <phoneticPr fontId="1" type="noConversion"/>
  </si>
  <si>
    <t>shantund</t>
    <phoneticPr fontId="1" type="noConversion"/>
  </si>
  <si>
    <t>gh'arnutie</t>
    <phoneticPr fontId="1" type="noConversion"/>
  </si>
  <si>
    <t>nir</t>
    <phoneticPr fontId="1" type="noConversion"/>
  </si>
  <si>
    <t>apil</t>
    <phoneticPr fontId="1" type="noConversion"/>
  </si>
  <si>
    <t>carfate</t>
    <phoneticPr fontId="1" type="noConversion"/>
  </si>
  <si>
    <t>ceinpte</t>
    <phoneticPr fontId="1" type="noConversion"/>
  </si>
  <si>
    <t>pmounl</t>
    <phoneticPr fontId="1" type="noConversion"/>
  </si>
  <si>
    <t>spâsis</t>
    <phoneticPr fontId="1" type="noConversion"/>
  </si>
  <si>
    <t>jwin</t>
    <phoneticPr fontId="1" type="noConversion"/>
  </si>
  <si>
    <t>desuvede</t>
    <phoneticPr fontId="1" type="noConversion"/>
  </si>
  <si>
    <t>ebuar</t>
    <phoneticPr fontId="1" type="noConversion"/>
  </si>
  <si>
    <t>papolv</t>
    <phoneticPr fontId="1" type="noConversion"/>
  </si>
  <si>
    <t>ceavelefman</t>
    <phoneticPr fontId="1" type="noConversion"/>
  </si>
  <si>
    <t>rozna</t>
    <phoneticPr fontId="1" type="noConversion"/>
  </si>
  <si>
    <t>lefer</t>
    <phoneticPr fontId="1" type="noConversion"/>
  </si>
  <si>
    <t>n're</t>
    <phoneticPr fontId="1" type="noConversion"/>
  </si>
  <si>
    <t>niozehen</t>
    <phoneticPr fontId="1" type="noConversion"/>
  </si>
  <si>
    <t>elhaut</t>
    <phoneticPr fontId="1" type="noConversion"/>
  </si>
  <si>
    <t>buncen</t>
    <phoneticPr fontId="1" type="noConversion"/>
  </si>
  <si>
    <t>teden</t>
    <phoneticPr fontId="1" type="noConversion"/>
  </si>
  <si>
    <t>vayatha</t>
    <phoneticPr fontId="1" type="noConversion"/>
  </si>
  <si>
    <t>trobran</t>
    <phoneticPr fontId="1" type="noConversion"/>
  </si>
  <si>
    <t>mqiseran</t>
    <phoneticPr fontId="1" type="noConversion"/>
  </si>
  <si>
    <t>tâhoran</t>
    <phoneticPr fontId="1" type="noConversion"/>
  </si>
  <si>
    <t>trobre</t>
    <phoneticPr fontId="1" type="noConversion"/>
  </si>
  <si>
    <t>mqisere</t>
    <phoneticPr fontId="1" type="noConversion"/>
  </si>
  <si>
    <t>tâhore</t>
    <phoneticPr fontId="1" type="noConversion"/>
  </si>
  <si>
    <t>tichon</t>
    <phoneticPr fontId="1" type="noConversion"/>
  </si>
  <si>
    <t>soatger</t>
    <phoneticPr fontId="1" type="noConversion"/>
  </si>
  <si>
    <t>hetefeshaper</t>
    <phoneticPr fontId="1" type="noConversion"/>
  </si>
  <si>
    <t>erstac</t>
    <phoneticPr fontId="1" type="noConversion"/>
  </si>
  <si>
    <t>pachnacasden</t>
    <phoneticPr fontId="1" type="noConversion"/>
  </si>
  <si>
    <t>difen</t>
    <phoneticPr fontId="1" type="noConversion"/>
  </si>
  <si>
    <t>yauleman</t>
    <phoneticPr fontId="1" type="noConversion"/>
  </si>
  <si>
    <t>morbem</t>
    <phoneticPr fontId="1" type="noConversion"/>
  </si>
  <si>
    <t>hyelonen</t>
    <phoneticPr fontId="1" type="noConversion"/>
  </si>
  <si>
    <t>refuzo</t>
    <phoneticPr fontId="1" type="noConversion"/>
  </si>
  <si>
    <t>pijshiha</t>
    <phoneticPr fontId="1" type="noConversion"/>
  </si>
  <si>
    <t>demal</t>
    <phoneticPr fontId="1" type="noConversion"/>
  </si>
  <si>
    <t>cirjoebis</t>
    <phoneticPr fontId="1" type="noConversion"/>
  </si>
  <si>
    <t>modheul</t>
    <phoneticPr fontId="1" type="noConversion"/>
  </si>
  <si>
    <t>inbimin</t>
    <phoneticPr fontId="1" type="noConversion"/>
  </si>
  <si>
    <t>brun</t>
    <phoneticPr fontId="1" type="noConversion"/>
  </si>
  <si>
    <t>meit</t>
    <phoneticPr fontId="1" type="noConversion"/>
  </si>
  <si>
    <t>shuat</t>
    <phoneticPr fontId="1" type="noConversion"/>
  </si>
  <si>
    <t>purp</t>
    <phoneticPr fontId="1" type="noConversion"/>
  </si>
  <si>
    <t>lih</t>
    <phoneticPr fontId="1" type="noConversion"/>
  </si>
  <si>
    <t>ceanb</t>
    <phoneticPr fontId="1" type="noConversion"/>
  </si>
  <si>
    <t>thaunrp</t>
    <phoneticPr fontId="1" type="noConversion"/>
  </si>
  <si>
    <t>jondien</t>
    <phoneticPr fontId="1" type="noConversion"/>
  </si>
  <si>
    <t>rehj</t>
    <phoneticPr fontId="1" type="noConversion"/>
  </si>
  <si>
    <t>heultus</t>
    <phoneticPr fontId="1" type="noConversion"/>
  </si>
  <si>
    <t>osmadpon</t>
    <phoneticPr fontId="1" type="noConversion"/>
  </si>
  <si>
    <t>zuefe</t>
    <phoneticPr fontId="1" type="noConversion"/>
  </si>
  <si>
    <t>unfo</t>
    <phoneticPr fontId="1" type="noConversion"/>
  </si>
  <si>
    <t>tonoansan</t>
    <phoneticPr fontId="1" type="noConversion"/>
  </si>
  <si>
    <t>demontanric</t>
    <phoneticPr fontId="1" type="noConversion"/>
  </si>
  <si>
    <t>obonesegoch</t>
    <phoneticPr fontId="1" type="noConversion"/>
  </si>
  <si>
    <t>ofegotsen</t>
    <phoneticPr fontId="1" type="noConversion"/>
  </si>
  <si>
    <t>staol</t>
    <phoneticPr fontId="1" type="noConversion"/>
  </si>
  <si>
    <t>chron</t>
    <phoneticPr fontId="1" type="noConversion"/>
  </si>
  <si>
    <t>ponlic</t>
    <phoneticPr fontId="1" type="noConversion"/>
  </si>
  <si>
    <t>beanjez</t>
    <phoneticPr fontId="1" type="noConversion"/>
  </si>
  <si>
    <t>heacûsim</t>
    <phoneticPr fontId="1" type="noConversion"/>
  </si>
  <si>
    <t>heacûaze</t>
    <phoneticPr fontId="1" type="noConversion"/>
  </si>
  <si>
    <t>heocaportin</t>
    <phoneticPr fontId="1" type="noConversion"/>
  </si>
  <si>
    <t>reocantusa</t>
    <phoneticPr fontId="1" type="noConversion"/>
  </si>
  <si>
    <t>hoei</t>
    <phoneticPr fontId="1" type="noConversion"/>
  </si>
  <si>
    <t>oroata</t>
    <phoneticPr fontId="1" type="noConversion"/>
  </si>
  <si>
    <t>feace</t>
    <phoneticPr fontId="1" type="noConversion"/>
  </si>
  <si>
    <t>soha</t>
    <phoneticPr fontId="1" type="noConversion"/>
  </si>
  <si>
    <t>hajonch</t>
    <phoneticPr fontId="1" type="noConversion"/>
  </si>
  <si>
    <t>rompido</t>
    <phoneticPr fontId="1" type="noConversion"/>
  </si>
  <si>
    <t>mapatuhpogolon</t>
    <phoneticPr fontId="1" type="noConversion"/>
  </si>
  <si>
    <t>molv</t>
    <phoneticPr fontId="1" type="noConversion"/>
  </si>
  <si>
    <t>coheot</t>
    <phoneticPr fontId="1" type="noConversion"/>
  </si>
  <si>
    <t>nescitja</t>
    <phoneticPr fontId="1" type="noConversion"/>
  </si>
  <si>
    <t>jombottenis</t>
    <phoneticPr fontId="1" type="noConversion"/>
  </si>
  <si>
    <t>snaent</t>
    <phoneticPr fontId="1" type="noConversion"/>
  </si>
  <si>
    <t>ioneme</t>
    <phoneticPr fontId="1" type="noConversion"/>
  </si>
  <si>
    <t>doznuts</t>
    <phoneticPr fontId="1" type="noConversion"/>
  </si>
  <si>
    <t>cumulgata</t>
    <phoneticPr fontId="1" type="noConversion"/>
  </si>
  <si>
    <t>êljanton</t>
    <phoneticPr fontId="1" type="noConversion"/>
  </si>
  <si>
    <t>felcujan</t>
    <phoneticPr fontId="1" type="noConversion"/>
  </si>
  <si>
    <t>suota</t>
    <phoneticPr fontId="1" type="noConversion"/>
  </si>
  <si>
    <t>hanondicie</t>
    <phoneticPr fontId="1" type="noConversion"/>
  </si>
  <si>
    <t>prenan</t>
    <phoneticPr fontId="1" type="noConversion"/>
  </si>
  <si>
    <t>jayit</t>
    <phoneticPr fontId="1" type="noConversion"/>
  </si>
  <si>
    <t>punjuec</t>
    <phoneticPr fontId="1" type="noConversion"/>
  </si>
  <si>
    <t>yataspir</t>
    <phoneticPr fontId="1" type="noConversion"/>
  </si>
  <si>
    <t>roeg</t>
    <phoneticPr fontId="1" type="noConversion"/>
  </si>
  <si>
    <t>dât</t>
    <phoneticPr fontId="1" type="noConversion"/>
  </si>
  <si>
    <t>dorev</t>
    <phoneticPr fontId="1" type="noConversion"/>
  </si>
  <si>
    <t>tourja</t>
    <phoneticPr fontId="1" type="noConversion"/>
  </si>
  <si>
    <t>imusti</t>
    <phoneticPr fontId="1" type="noConversion"/>
  </si>
  <si>
    <t>versbir</t>
    <phoneticPr fontId="1" type="noConversion"/>
  </si>
  <si>
    <t>bunrahe</t>
    <phoneticPr fontId="1" type="noConversion"/>
  </si>
  <si>
    <t>ducar</t>
    <phoneticPr fontId="1" type="noConversion"/>
  </si>
  <si>
    <t>ciyar</t>
    <phoneticPr fontId="1" type="noConversion"/>
  </si>
  <si>
    <t>bogitsun</t>
    <phoneticPr fontId="1" type="noConversion"/>
  </si>
  <si>
    <t>harbtar</t>
    <phoneticPr fontId="1" type="noConversion"/>
  </si>
  <si>
    <t>bantuha</t>
    <phoneticPr fontId="1" type="noConversion"/>
  </si>
  <si>
    <t>qu'antrir</t>
    <phoneticPr fontId="1" type="noConversion"/>
  </si>
  <si>
    <t>ucan</t>
    <phoneticPr fontId="1" type="noConversion"/>
  </si>
  <si>
    <t>cirepon</t>
    <phoneticPr fontId="1" type="noConversion"/>
  </si>
  <si>
    <t>gantoncu</t>
    <phoneticPr fontId="1" type="noConversion"/>
  </si>
  <si>
    <t>deoncu</t>
    <phoneticPr fontId="1" type="noConversion"/>
  </si>
  <si>
    <t>csayter</t>
    <phoneticPr fontId="1" type="noConversion"/>
  </si>
  <si>
    <t>feiy</t>
    <phoneticPr fontId="1" type="noConversion"/>
  </si>
  <si>
    <t>yance</t>
    <phoneticPr fontId="1" type="noConversion"/>
  </si>
  <si>
    <t>yezwe</t>
    <phoneticPr fontId="1" type="noConversion"/>
  </si>
  <si>
    <t>culuan</t>
    <phoneticPr fontId="1" type="noConversion"/>
  </si>
  <si>
    <t>juob</t>
    <phoneticPr fontId="1" type="noConversion"/>
  </si>
  <si>
    <t>ponb</t>
    <phoneticPr fontId="1" type="noConversion"/>
  </si>
  <si>
    <t>pxit</t>
    <phoneticPr fontId="1" type="noConversion"/>
  </si>
  <si>
    <t>punglesta</t>
    <phoneticPr fontId="1" type="noConversion"/>
  </si>
  <si>
    <t>wriespe</t>
    <phoneticPr fontId="1" type="noConversion"/>
  </si>
  <si>
    <t>athov</t>
    <phoneticPr fontId="1" type="noConversion"/>
  </si>
  <si>
    <t>jocho</t>
    <phoneticPr fontId="1" type="noConversion"/>
  </si>
  <si>
    <t>rufonc</t>
    <phoneticPr fontId="1" type="noConversion"/>
  </si>
  <si>
    <t>cunp</t>
    <phoneticPr fontId="1" type="noConversion"/>
  </si>
  <si>
    <t>wrom</t>
    <phoneticPr fontId="1" type="noConversion"/>
  </si>
  <si>
    <t>combancho</t>
    <phoneticPr fontId="1" type="noConversion"/>
  </si>
  <si>
    <t>meucarir</t>
    <phoneticPr fontId="1" type="noConversion"/>
  </si>
  <si>
    <t>hon'ei</t>
    <phoneticPr fontId="1" type="noConversion"/>
  </si>
  <si>
    <t>flear</t>
    <phoneticPr fontId="1" type="noConversion"/>
  </si>
  <si>
    <t>pujts</t>
    <phoneticPr fontId="1" type="noConversion"/>
  </si>
  <si>
    <t>tseg</t>
    <phoneticPr fontId="1" type="noConversion"/>
  </si>
  <si>
    <t>cheunpa</t>
    <phoneticPr fontId="1" type="noConversion"/>
  </si>
  <si>
    <t>bluje</t>
    <phoneticPr fontId="1" type="noConversion"/>
  </si>
  <si>
    <t>uocat</t>
    <phoneticPr fontId="1" type="noConversion"/>
  </si>
  <si>
    <t>shoensanl</t>
    <phoneticPr fontId="1" type="noConversion"/>
  </si>
  <si>
    <t>sajb</t>
    <phoneticPr fontId="1" type="noConversion"/>
  </si>
  <si>
    <t>terish</t>
    <phoneticPr fontId="1" type="noConversion"/>
  </si>
  <si>
    <t>qu'itre</t>
    <phoneticPr fontId="1" type="noConversion"/>
  </si>
  <si>
    <t>yezchê</t>
    <phoneticPr fontId="1" type="noConversion"/>
  </si>
  <si>
    <t>hôdam</t>
    <phoneticPr fontId="1" type="noConversion"/>
  </si>
  <si>
    <t>shûqu'uncemitan</t>
    <phoneticPr fontId="1" type="noConversion"/>
  </si>
  <si>
    <t>spenêctazde</t>
    <phoneticPr fontId="1" type="noConversion"/>
  </si>
  <si>
    <t>machû</t>
    <phoneticPr fontId="1" type="noConversion"/>
  </si>
  <si>
    <t>nanuom</t>
    <phoneticPr fontId="1" type="noConversion"/>
  </si>
  <si>
    <t>ontis</t>
    <phoneticPr fontId="1" type="noConversion"/>
  </si>
  <si>
    <t>vioposh</t>
    <phoneticPr fontId="1" type="noConversion"/>
  </si>
  <si>
    <t>m'bojvus</t>
    <phoneticPr fontId="1" type="noConversion"/>
  </si>
  <si>
    <t>hanrancula</t>
    <phoneticPr fontId="1" type="noConversion"/>
  </si>
  <si>
    <t>asuro</t>
    <phoneticPr fontId="1" type="noConversion"/>
  </si>
  <si>
    <t>zadfait</t>
    <phoneticPr fontId="1" type="noConversion"/>
  </si>
  <si>
    <t>fescip</t>
    <phoneticPr fontId="1" type="noConversion"/>
  </si>
  <si>
    <t>bunedepovenir</t>
    <phoneticPr fontId="1" type="noConversion"/>
  </si>
  <si>
    <t>tzid'rsht</t>
    <phoneticPr fontId="1" type="noConversion"/>
  </si>
  <si>
    <t>hucem</t>
    <phoneticPr fontId="1" type="noConversion"/>
  </si>
  <si>
    <t>elbadad</t>
    <phoneticPr fontId="1" type="noConversion"/>
  </si>
  <si>
    <t>hovetcmar</t>
    <phoneticPr fontId="1" type="noConversion"/>
  </si>
  <si>
    <t>paguaba</t>
    <phoneticPr fontId="1" type="noConversion"/>
  </si>
  <si>
    <t>fasaj</t>
    <phoneticPr fontId="1" type="noConversion"/>
  </si>
  <si>
    <t>mosol</t>
    <phoneticPr fontId="1" type="noConversion"/>
  </si>
  <si>
    <t>保住；保全；守住</t>
    <phoneticPr fontId="1" type="noConversion"/>
  </si>
  <si>
    <t>shavaqu'a</t>
    <phoneticPr fontId="1" type="noConversion"/>
  </si>
  <si>
    <t>dzoc'rti</t>
    <phoneticPr fontId="1" type="noConversion"/>
  </si>
  <si>
    <t>syedinar</t>
    <phoneticPr fontId="1" type="noConversion"/>
  </si>
  <si>
    <t>rancede</t>
    <phoneticPr fontId="1" type="noConversion"/>
  </si>
  <si>
    <t>galbuf</t>
    <phoneticPr fontId="1" type="noConversion"/>
  </si>
  <si>
    <t>snabanidzis</t>
    <phoneticPr fontId="1" type="noConversion"/>
  </si>
  <si>
    <t>melah'n</t>
    <phoneticPr fontId="1" type="noConversion"/>
  </si>
  <si>
    <t>nodishmab</t>
    <phoneticPr fontId="1" type="noConversion"/>
  </si>
  <si>
    <t>pridne</t>
    <phoneticPr fontId="1" type="noConversion"/>
  </si>
  <si>
    <t>mispas</t>
    <phoneticPr fontId="1" type="noConversion"/>
  </si>
  <si>
    <t>sencetazh</t>
    <phoneticPr fontId="1" type="noConversion"/>
  </si>
  <si>
    <t>nieschotnie</t>
    <phoneticPr fontId="1" type="noConversion"/>
  </si>
  <si>
    <t>gachen</t>
    <phoneticPr fontId="1" type="noConversion"/>
  </si>
  <si>
    <t>despachoilleto</t>
    <phoneticPr fontId="1" type="noConversion"/>
  </si>
  <si>
    <t>patrilbt</t>
    <phoneticPr fontId="1" type="noConversion"/>
  </si>
  <si>
    <t>reunvt</t>
    <phoneticPr fontId="1" type="noConversion"/>
  </si>
  <si>
    <t>desopizveretur</t>
    <phoneticPr fontId="1" type="noConversion"/>
  </si>
  <si>
    <t>ricershir</t>
    <phoneticPr fontId="1" type="noConversion"/>
  </si>
  <si>
    <t>coporferat</t>
    <phoneticPr fontId="1" type="noConversion"/>
  </si>
  <si>
    <t>qu'ojonde</t>
    <phoneticPr fontId="1" type="noConversion"/>
  </si>
  <si>
    <t>回复；答复</t>
    <phoneticPr fontId="1" type="noConversion"/>
  </si>
  <si>
    <t>regamy</t>
    <phoneticPr fontId="1" type="noConversion"/>
  </si>
  <si>
    <t>sarcman</t>
    <phoneticPr fontId="1" type="noConversion"/>
  </si>
  <si>
    <t>ptuc</t>
    <phoneticPr fontId="1" type="noConversion"/>
  </si>
  <si>
    <t>crucaul</t>
    <phoneticPr fontId="1" type="noConversion"/>
  </si>
  <si>
    <t>vagor</t>
    <phoneticPr fontId="1" type="noConversion"/>
  </si>
  <si>
    <t>moloteru</t>
    <phoneticPr fontId="1" type="noConversion"/>
  </si>
  <si>
    <t>cacunut</t>
    <phoneticPr fontId="1" type="noConversion"/>
  </si>
  <si>
    <t>damnarattar</t>
    <phoneticPr fontId="1" type="noConversion"/>
  </si>
  <si>
    <t>vinzjeta</t>
    <phoneticPr fontId="1" type="noConversion"/>
  </si>
  <si>
    <t>mnanto</t>
    <phoneticPr fontId="1" type="noConversion"/>
  </si>
  <si>
    <t>caramalbatselo</t>
    <phoneticPr fontId="1" type="noConversion"/>
  </si>
  <si>
    <t>lumrocas</t>
    <phoneticPr fontId="1" type="noConversion"/>
  </si>
  <si>
    <t>timanupsi</t>
    <phoneticPr fontId="1" type="noConversion"/>
  </si>
  <si>
    <t>licinb</t>
    <phoneticPr fontId="1" type="noConversion"/>
  </si>
  <si>
    <t>vah'litin</t>
    <phoneticPr fontId="1" type="noConversion"/>
  </si>
  <si>
    <t>tongbohan</t>
    <phoneticPr fontId="1" type="noConversion"/>
  </si>
  <si>
    <t>hsaibana</t>
    <phoneticPr fontId="1" type="noConversion"/>
  </si>
  <si>
    <t>havalno</t>
    <phoneticPr fontId="1" type="noConversion"/>
  </si>
  <si>
    <t>tapoc</t>
    <phoneticPr fontId="1" type="noConversion"/>
  </si>
  <si>
    <t>tumpc</t>
    <phoneticPr fontId="1" type="noConversion"/>
  </si>
  <si>
    <t>lurnm</t>
    <phoneticPr fontId="1" type="noConversion"/>
  </si>
  <si>
    <t>junta</t>
    <phoneticPr fontId="1" type="noConversion"/>
  </si>
  <si>
    <t>paladun</t>
    <phoneticPr fontId="1" type="noConversion"/>
  </si>
  <si>
    <t>dactun</t>
    <phoneticPr fontId="1" type="noConversion"/>
  </si>
  <si>
    <t>tpoh'bnac</t>
    <phoneticPr fontId="1" type="noConversion"/>
  </si>
  <si>
    <t>tans</t>
    <phoneticPr fontId="1" type="noConversion"/>
  </si>
  <si>
    <t>jovascaban</t>
    <phoneticPr fontId="1" type="noConversion"/>
  </si>
  <si>
    <t>joldoctraz</t>
    <phoneticPr fontId="1" type="noConversion"/>
  </si>
  <si>
    <t>tarcl</t>
    <phoneticPr fontId="1" type="noConversion"/>
  </si>
  <si>
    <t>edrs</t>
    <phoneticPr fontId="1" type="noConversion"/>
  </si>
  <si>
    <t>creane</t>
    <phoneticPr fontId="1" type="noConversion"/>
  </si>
  <si>
    <t>tacuqi</t>
    <phoneticPr fontId="1" type="noConversion"/>
  </si>
  <si>
    <t>hatarmo</t>
    <phoneticPr fontId="1" type="noConversion"/>
  </si>
  <si>
    <t>背负（重任）</t>
    <phoneticPr fontId="1" type="noConversion"/>
  </si>
  <si>
    <t>laustsu</t>
    <phoneticPr fontId="1" type="noConversion"/>
  </si>
  <si>
    <t>tocid</t>
    <phoneticPr fontId="1" type="noConversion"/>
  </si>
  <si>
    <t>puclomal</t>
    <phoneticPr fontId="1" type="noConversion"/>
  </si>
  <si>
    <t>mitseld</t>
    <phoneticPr fontId="1" type="noConversion"/>
  </si>
  <si>
    <t>suepemjor</t>
    <phoneticPr fontId="1" type="noConversion"/>
  </si>
  <si>
    <t>izpers</t>
    <phoneticPr fontId="1" type="noConversion"/>
  </si>
  <si>
    <t>olsojon</t>
    <phoneticPr fontId="1" type="noConversion"/>
  </si>
  <si>
    <t>dysantesh</t>
    <phoneticPr fontId="1" type="noConversion"/>
  </si>
  <si>
    <t>svueffe</t>
    <phoneticPr fontId="1" type="noConversion"/>
  </si>
  <si>
    <t>cuain</t>
    <phoneticPr fontId="1" type="noConversion"/>
  </si>
  <si>
    <t>juonpois</t>
    <phoneticPr fontId="1" type="noConversion"/>
  </si>
  <si>
    <t>iscpaet</t>
    <phoneticPr fontId="1" type="noConversion"/>
  </si>
  <si>
    <t>elocamen</t>
    <phoneticPr fontId="1" type="noConversion"/>
  </si>
  <si>
    <t>mutecom</t>
    <phoneticPr fontId="1" type="noConversion"/>
  </si>
  <si>
    <t>vost</t>
    <phoneticPr fontId="1" type="noConversion"/>
  </si>
  <si>
    <t>bolleshep</t>
    <phoneticPr fontId="1" type="noConversion"/>
  </si>
  <si>
    <t>jencef</t>
    <phoneticPr fontId="1" type="noConversion"/>
  </si>
  <si>
    <t>aleftadrany</t>
    <phoneticPr fontId="1" type="noConversion"/>
  </si>
  <si>
    <t>shcetr</t>
    <phoneticPr fontId="1" type="noConversion"/>
  </si>
  <si>
    <t>hrom</t>
    <phoneticPr fontId="1" type="noConversion"/>
  </si>
  <si>
    <t>shempais</t>
    <phoneticPr fontId="1" type="noConversion"/>
  </si>
  <si>
    <t>hguolmes</t>
    <phoneticPr fontId="1" type="noConversion"/>
  </si>
  <si>
    <t>feandl</t>
    <phoneticPr fontId="1" type="noConversion"/>
  </si>
  <si>
    <t>pavn</t>
    <phoneticPr fontId="1" type="noConversion"/>
  </si>
  <si>
    <t>inleteshoj</t>
    <phoneticPr fontId="1" type="noConversion"/>
  </si>
  <si>
    <t>luct</t>
    <phoneticPr fontId="1" type="noConversion"/>
  </si>
  <si>
    <t>jaczho</t>
    <phoneticPr fontId="1" type="noConversion"/>
  </si>
  <si>
    <t>orragertus</t>
    <phoneticPr fontId="1" type="noConversion"/>
  </si>
  <si>
    <t>condzuin</t>
    <phoneticPr fontId="1" type="noConversion"/>
  </si>
  <si>
    <t>charpl</t>
    <phoneticPr fontId="1" type="noConversion"/>
  </si>
  <si>
    <t>censda</t>
    <phoneticPr fontId="1" type="noConversion"/>
  </si>
  <si>
    <t>ryatna</t>
    <phoneticPr fontId="1" type="noConversion"/>
  </si>
  <si>
    <t>dcoh</t>
    <phoneticPr fontId="1" type="noConversion"/>
  </si>
  <si>
    <t>funqia</t>
    <phoneticPr fontId="1" type="noConversion"/>
  </si>
  <si>
    <t>parjôs</t>
    <phoneticPr fontId="1" type="noConversion"/>
  </si>
  <si>
    <t>ânitsau</t>
    <phoneticPr fontId="1" type="noConversion"/>
  </si>
  <si>
    <t>mâbor</t>
    <phoneticPr fontId="1" type="noConversion"/>
  </si>
  <si>
    <t>fyntôre</t>
    <phoneticPr fontId="1" type="noConversion"/>
  </si>
  <si>
    <t>cirpât</t>
    <phoneticPr fontId="1" type="noConversion"/>
  </si>
  <si>
    <t>nipdôs</t>
    <phoneticPr fontId="1" type="noConversion"/>
  </si>
  <si>
    <t>furcta</t>
    <phoneticPr fontId="1" type="noConversion"/>
  </si>
  <si>
    <t>ceyml</t>
    <phoneticPr fontId="1" type="noConversion"/>
  </si>
  <si>
    <t>qu'hela</t>
    <phoneticPr fontId="1" type="noConversion"/>
  </si>
  <si>
    <t>furtr</t>
    <phoneticPr fontId="1" type="noConversion"/>
  </si>
  <si>
    <t>janabel</t>
    <phoneticPr fontId="1" type="noConversion"/>
  </si>
  <si>
    <t>necpas</t>
    <phoneticPr fontId="1" type="noConversion"/>
  </si>
  <si>
    <t>mae</t>
    <phoneticPr fontId="1" type="noConversion"/>
  </si>
  <si>
    <t>baayacrje</t>
    <phoneticPr fontId="1" type="noConversion"/>
  </si>
  <si>
    <t>compariza</t>
    <phoneticPr fontId="1" type="noConversion"/>
  </si>
  <si>
    <t>seepje</t>
    <phoneticPr fontId="1" type="noConversion"/>
  </si>
  <si>
    <t>naishecho</t>
    <phoneticPr fontId="1" type="noConversion"/>
  </si>
  <si>
    <t>aclemina</t>
    <phoneticPr fontId="1" type="noConversion"/>
  </si>
  <si>
    <t>vang</t>
    <phoneticPr fontId="1" type="noConversion"/>
  </si>
  <si>
    <t>tutrualuc</t>
    <phoneticPr fontId="1" type="noConversion"/>
  </si>
  <si>
    <t>savjetro</t>
    <phoneticPr fontId="1" type="noConversion"/>
  </si>
  <si>
    <t>banchtom</t>
    <phoneticPr fontId="1" type="noConversion"/>
  </si>
  <si>
    <t>mih'ton</t>
    <phoneticPr fontId="1" type="noConversion"/>
  </si>
  <si>
    <t>eacapatma</t>
    <phoneticPr fontId="1" type="noConversion"/>
  </si>
  <si>
    <t>cushamitlic</t>
    <phoneticPr fontId="1" type="noConversion"/>
  </si>
  <si>
    <t>bauch</t>
    <phoneticPr fontId="1" type="noConversion"/>
  </si>
  <si>
    <t>edhac</t>
    <phoneticPr fontId="1" type="noConversion"/>
  </si>
  <si>
    <t>pahavnam</t>
    <phoneticPr fontId="1" type="noConversion"/>
  </si>
  <si>
    <t>chafan</t>
    <phoneticPr fontId="1" type="noConversion"/>
  </si>
  <si>
    <t>rahacpit</t>
    <phoneticPr fontId="1" type="noConversion"/>
  </si>
  <si>
    <t>thacarqu'</t>
    <phoneticPr fontId="1" type="noConversion"/>
  </si>
  <si>
    <t>paenth</t>
    <phoneticPr fontId="1" type="noConversion"/>
  </si>
  <si>
    <t>cipfar</t>
    <phoneticPr fontId="1" type="noConversion"/>
  </si>
  <si>
    <t>brenchl</t>
    <phoneticPr fontId="1" type="noConversion"/>
  </si>
  <si>
    <t>lainsvet</t>
    <phoneticPr fontId="1" type="noConversion"/>
  </si>
  <si>
    <t>cjefuot</t>
    <phoneticPr fontId="1" type="noConversion"/>
  </si>
  <si>
    <t>traham</t>
    <phoneticPr fontId="1" type="noConversion"/>
  </si>
  <si>
    <t>cibdehan</t>
    <phoneticPr fontId="1" type="noConversion"/>
  </si>
  <si>
    <t>salagealm</t>
    <phoneticPr fontId="1" type="noConversion"/>
  </si>
  <si>
    <t>mashtefis</t>
    <phoneticPr fontId="1" type="noConversion"/>
  </si>
  <si>
    <t>pacinetma</t>
    <phoneticPr fontId="1" type="noConversion"/>
  </si>
  <si>
    <t>hvizhemra</t>
    <phoneticPr fontId="1" type="noConversion"/>
  </si>
  <si>
    <t>vosoapaton</t>
    <phoneticPr fontId="1" type="noConversion"/>
  </si>
  <si>
    <t>mantue</t>
    <phoneticPr fontId="1" type="noConversion"/>
  </si>
  <si>
    <t>murunar</t>
    <phoneticPr fontId="1" type="noConversion"/>
  </si>
  <si>
    <t>gotan</t>
    <phoneticPr fontId="1" type="noConversion"/>
  </si>
  <si>
    <t>t'renar</t>
    <phoneticPr fontId="1" type="noConversion"/>
  </si>
  <si>
    <t>stane</t>
    <phoneticPr fontId="1" type="noConversion"/>
  </si>
  <si>
    <t>seh</t>
    <phoneticPr fontId="1" type="noConversion"/>
  </si>
  <si>
    <t>mutalare</t>
    <phoneticPr fontId="1" type="noConversion"/>
  </si>
  <si>
    <t>recd</t>
    <phoneticPr fontId="1" type="noConversion"/>
  </si>
  <si>
    <t>bmohonev</t>
    <phoneticPr fontId="1" type="noConversion"/>
  </si>
  <si>
    <t>shamje</t>
    <phoneticPr fontId="1" type="noConversion"/>
  </si>
  <si>
    <t>tahqu'ie</t>
    <phoneticPr fontId="1" type="noConversion"/>
  </si>
  <si>
    <t>cuieaft</t>
    <phoneticPr fontId="1" type="noConversion"/>
  </si>
  <si>
    <t>meistecen</t>
    <phoneticPr fontId="1" type="noConversion"/>
  </si>
  <si>
    <t>xelbemaraje</t>
    <phoneticPr fontId="1" type="noConversion"/>
  </si>
  <si>
    <t>nistad</t>
    <phoneticPr fontId="1" type="noConversion"/>
  </si>
  <si>
    <t>shtathop</t>
    <phoneticPr fontId="1" type="noConversion"/>
  </si>
  <si>
    <t>dhaum</t>
    <phoneticPr fontId="1" type="noConversion"/>
  </si>
  <si>
    <t>vispjalct</t>
    <phoneticPr fontId="1" type="noConversion"/>
  </si>
  <si>
    <t>qieldin</t>
    <phoneticPr fontId="1" type="noConversion"/>
  </si>
  <si>
    <t>pretamsqu'</t>
    <phoneticPr fontId="1" type="noConversion"/>
  </si>
  <si>
    <t>czasrar</t>
    <phoneticPr fontId="1" type="noConversion"/>
  </si>
  <si>
    <t>hausldef</t>
    <phoneticPr fontId="1" type="noConversion"/>
  </si>
  <si>
    <t>fcalms</t>
    <phoneticPr fontId="1" type="noConversion"/>
  </si>
  <si>
    <t>tyold</t>
    <phoneticPr fontId="1" type="noConversion"/>
  </si>
  <si>
    <t>paths</t>
    <phoneticPr fontId="1" type="noConversion"/>
  </si>
  <si>
    <t>lanjc</t>
    <phoneticPr fontId="1" type="noConversion"/>
  </si>
  <si>
    <t>dhasctan</t>
    <phoneticPr fontId="1" type="noConversion"/>
  </si>
  <si>
    <t>jrat</t>
    <phoneticPr fontId="1" type="noConversion"/>
  </si>
  <si>
    <t>hgriadar</t>
    <phoneticPr fontId="1" type="noConversion"/>
  </si>
  <si>
    <t>ecpunctur</t>
    <phoneticPr fontId="1" type="noConversion"/>
  </si>
  <si>
    <t>nicauwe</t>
    <phoneticPr fontId="1" type="noConversion"/>
  </si>
  <si>
    <t>edcdowensta</t>
    <phoneticPr fontId="1" type="noConversion"/>
  </si>
  <si>
    <t>bunus</t>
    <phoneticPr fontId="1" type="noConversion"/>
  </si>
  <si>
    <t>corofa</t>
    <phoneticPr fontId="1" type="noConversion"/>
  </si>
  <si>
    <t>yurg</t>
    <phoneticPr fontId="1" type="noConversion"/>
  </si>
  <si>
    <t>qu'aih'm</t>
    <phoneticPr fontId="1" type="noConversion"/>
  </si>
  <si>
    <t>iyacompan</t>
    <phoneticPr fontId="1" type="noConversion"/>
  </si>
  <si>
    <t>zasg</t>
    <phoneticPr fontId="1" type="noConversion"/>
  </si>
  <si>
    <t>burdcin</t>
    <phoneticPr fontId="1" type="noConversion"/>
  </si>
  <si>
    <t>dafin</t>
    <phoneticPr fontId="1" type="noConversion"/>
  </si>
  <si>
    <t>dirmt</t>
    <phoneticPr fontId="1" type="noConversion"/>
  </si>
  <si>
    <t>descuhwa</t>
    <phoneticPr fontId="1" type="noConversion"/>
  </si>
  <si>
    <t>hnec</t>
    <phoneticPr fontId="1" type="noConversion"/>
  </si>
  <si>
    <t>tamfer</t>
    <phoneticPr fontId="1" type="noConversion"/>
  </si>
  <si>
    <t>zbazry</t>
    <phoneticPr fontId="1" type="noConversion"/>
  </si>
  <si>
    <t>hsmunvid</t>
    <phoneticPr fontId="1" type="noConversion"/>
  </si>
  <si>
    <t>obodfonsa</t>
    <phoneticPr fontId="1" type="noConversion"/>
  </si>
  <si>
    <t>obonivasht</t>
    <phoneticPr fontId="1" type="noConversion"/>
  </si>
  <si>
    <t>forvtorcus</t>
    <phoneticPr fontId="1" type="noConversion"/>
  </si>
  <si>
    <t>neljochien</t>
    <phoneticPr fontId="1" type="noConversion"/>
  </si>
  <si>
    <t>neolema</t>
    <phoneticPr fontId="1" type="noConversion"/>
  </si>
  <si>
    <t>ascriupondloc</t>
    <phoneticPr fontId="1" type="noConversion"/>
  </si>
  <si>
    <t>ftsil</t>
    <phoneticPr fontId="1" type="noConversion"/>
  </si>
  <si>
    <t>tamvl</t>
    <phoneticPr fontId="1" type="noConversion"/>
  </si>
  <si>
    <t>geandaensus</t>
    <phoneticPr fontId="1" type="noConversion"/>
  </si>
  <si>
    <t>belwyd</t>
    <phoneticPr fontId="1" type="noConversion"/>
  </si>
  <si>
    <t>arsmaw</t>
    <phoneticPr fontId="1" type="noConversion"/>
  </si>
  <si>
    <t>gracl</t>
    <phoneticPr fontId="1" type="noConversion"/>
  </si>
  <si>
    <t>maietaf</t>
    <phoneticPr fontId="1" type="noConversion"/>
  </si>
  <si>
    <t>sbeanreh</t>
    <phoneticPr fontId="1" type="noConversion"/>
  </si>
  <si>
    <t>apt'asfea</t>
    <phoneticPr fontId="1" type="noConversion"/>
  </si>
  <si>
    <t>twoeloscaf</t>
    <phoneticPr fontId="1" type="noConversion"/>
  </si>
  <si>
    <t>cebat</t>
    <phoneticPr fontId="1" type="noConversion"/>
  </si>
  <si>
    <t>m'biealh</t>
    <phoneticPr fontId="1" type="noConversion"/>
  </si>
  <si>
    <t>mcarnwil</t>
    <phoneticPr fontId="1" type="noConversion"/>
  </si>
  <si>
    <t>ceardelpen</t>
    <phoneticPr fontId="1" type="noConversion"/>
  </si>
  <si>
    <t>leovs</t>
    <phoneticPr fontId="1" type="noConversion"/>
  </si>
  <si>
    <t>farsqu'</t>
    <phoneticPr fontId="1" type="noConversion"/>
  </si>
  <si>
    <t>tcarg</t>
    <phoneticPr fontId="1" type="noConversion"/>
  </si>
  <si>
    <t>ferrqu'ipt</t>
    <phoneticPr fontId="1" type="noConversion"/>
  </si>
  <si>
    <t>fothus</t>
    <phoneticPr fontId="1" type="noConversion"/>
  </si>
  <si>
    <t>fansqu'emd</t>
    <phoneticPr fontId="1" type="noConversion"/>
  </si>
  <si>
    <t>svenc</t>
    <phoneticPr fontId="1" type="noConversion"/>
  </si>
  <si>
    <t>bieatric</t>
    <phoneticPr fontId="1" type="noConversion"/>
  </si>
  <si>
    <t>g'msald</t>
    <phoneticPr fontId="1" type="noConversion"/>
  </si>
  <si>
    <t>beatms</t>
    <phoneticPr fontId="1" type="noConversion"/>
  </si>
  <si>
    <t>lcyam</t>
    <phoneticPr fontId="1" type="noConversion"/>
  </si>
  <si>
    <t>mlif</t>
    <phoneticPr fontId="1" type="noConversion"/>
  </si>
  <si>
    <t>pruadr</t>
    <phoneticPr fontId="1" type="noConversion"/>
  </si>
  <si>
    <t>teu</t>
    <phoneticPr fontId="1" type="noConversion"/>
  </si>
  <si>
    <t>beunscom</t>
    <phoneticPr fontId="1" type="noConversion"/>
  </si>
  <si>
    <t>dairub</t>
    <phoneticPr fontId="1" type="noConversion"/>
  </si>
  <si>
    <t>dherut</t>
    <phoneticPr fontId="1" type="noConversion"/>
  </si>
  <si>
    <t>goanr</t>
    <phoneticPr fontId="1" type="noConversion"/>
  </si>
  <si>
    <t>menda</t>
    <phoneticPr fontId="1" type="noConversion"/>
  </si>
  <si>
    <t>lanux</t>
    <phoneticPr fontId="1" type="noConversion"/>
  </si>
  <si>
    <t>hadiug</t>
    <phoneticPr fontId="1" type="noConversion"/>
  </si>
  <si>
    <t>halv</t>
    <phoneticPr fontId="1" type="noConversion"/>
  </si>
  <si>
    <t>wedecim</t>
    <phoneticPr fontId="1" type="noConversion"/>
  </si>
  <si>
    <t>twafe</t>
    <phoneticPr fontId="1" type="noConversion"/>
  </si>
  <si>
    <t>ferndua</t>
    <phoneticPr fontId="1" type="noConversion"/>
  </si>
  <si>
    <t>sermewar</t>
    <phoneticPr fontId="1" type="noConversion"/>
  </si>
  <si>
    <t>uratur</t>
    <phoneticPr fontId="1" type="noConversion"/>
  </si>
  <si>
    <t>amislub</t>
    <phoneticPr fontId="1" type="noConversion"/>
  </si>
  <si>
    <t>hqifate</t>
    <phoneticPr fontId="1" type="noConversion"/>
  </si>
  <si>
    <t>traitan</t>
    <phoneticPr fontId="1" type="noConversion"/>
  </si>
  <si>
    <t>pogu</t>
    <phoneticPr fontId="1" type="noConversion"/>
  </si>
  <si>
    <t>nontsbo</t>
    <phoneticPr fontId="1" type="noConversion"/>
  </si>
  <si>
    <t>teoguj</t>
    <phoneticPr fontId="1" type="noConversion"/>
  </si>
  <si>
    <t>vjorad</t>
    <phoneticPr fontId="1" type="noConversion"/>
  </si>
  <si>
    <t>ceajilotra</t>
    <phoneticPr fontId="1" type="noConversion"/>
  </si>
  <si>
    <t>tews</t>
    <phoneticPr fontId="1" type="noConversion"/>
  </si>
  <si>
    <t>cyabte</t>
    <phoneticPr fontId="1" type="noConversion"/>
  </si>
  <si>
    <t>uplaem</t>
    <phoneticPr fontId="1" type="noConversion"/>
  </si>
  <si>
    <t>telpof</t>
    <phoneticPr fontId="1" type="noConversion"/>
  </si>
  <si>
    <t>jeohom</t>
    <phoneticPr fontId="1" type="noConversion"/>
  </si>
  <si>
    <t>sthav</t>
    <phoneticPr fontId="1" type="noConversion"/>
  </si>
  <si>
    <t>abcô</t>
    <phoneticPr fontId="1" type="noConversion"/>
  </si>
  <si>
    <t>ite</t>
    <phoneticPr fontId="1" type="noConversion"/>
  </si>
  <si>
    <t>caedhâs</t>
    <phoneticPr fontId="1" type="noConversion"/>
  </si>
  <si>
    <t>creire</t>
    <phoneticPr fontId="1" type="noConversion"/>
  </si>
  <si>
    <t>batsam</t>
    <phoneticPr fontId="1" type="noConversion"/>
  </si>
  <si>
    <t>honvon</t>
    <phoneticPr fontId="1" type="noConversion"/>
  </si>
  <si>
    <t>hiro</t>
    <phoneticPr fontId="1" type="noConversion"/>
  </si>
  <si>
    <t>gribjzeon</t>
    <phoneticPr fontId="1" type="noConversion"/>
  </si>
  <si>
    <t>nibcar</t>
    <phoneticPr fontId="1" type="noConversion"/>
  </si>
  <si>
    <t>trogois</t>
    <phoneticPr fontId="1" type="noConversion"/>
  </si>
  <si>
    <t>poru</t>
    <phoneticPr fontId="1" type="noConversion"/>
  </si>
  <si>
    <t>daesa</t>
    <phoneticPr fontId="1" type="noConversion"/>
  </si>
  <si>
    <t>pran</t>
    <phoneticPr fontId="1" type="noConversion"/>
  </si>
  <si>
    <t>rax</t>
    <phoneticPr fontId="1" type="noConversion"/>
  </si>
  <si>
    <t>xwis</t>
    <phoneticPr fontId="1" type="noConversion"/>
  </si>
  <si>
    <t>caphit</t>
    <phoneticPr fontId="1" type="noConversion"/>
  </si>
  <si>
    <t>mataera</t>
    <phoneticPr fontId="1" type="noConversion"/>
  </si>
  <si>
    <t>bacd</t>
    <phoneticPr fontId="1" type="noConversion"/>
  </si>
  <si>
    <t>mauvc</t>
    <phoneticPr fontId="1" type="noConversion"/>
  </si>
  <si>
    <t>cazpera</t>
    <phoneticPr fontId="1" type="noConversion"/>
  </si>
  <si>
    <t>caderir</t>
    <phoneticPr fontId="1" type="noConversion"/>
  </si>
  <si>
    <t>supersa</t>
    <phoneticPr fontId="1" type="noConversion"/>
  </si>
  <si>
    <t>sûscâs</t>
    <phoneticPr fontId="1" type="noConversion"/>
  </si>
  <si>
    <t>inconfa</t>
    <phoneticPr fontId="1" type="noConversion"/>
  </si>
  <si>
    <t>mposc</t>
    <phoneticPr fontId="1" type="noConversion"/>
  </si>
  <si>
    <t>bonga</t>
    <phoneticPr fontId="1" type="noConversion"/>
  </si>
  <si>
    <t>tlan</t>
    <phoneticPr fontId="1" type="noConversion"/>
  </si>
  <si>
    <t>hbelg</t>
    <phoneticPr fontId="1" type="noConversion"/>
  </si>
  <si>
    <t>tolo</t>
    <phoneticPr fontId="1" type="noConversion"/>
  </si>
  <si>
    <t>default</t>
    <phoneticPr fontId="1" type="noConversion"/>
  </si>
  <si>
    <t>ert</t>
    <phoneticPr fontId="1" type="noConversion"/>
  </si>
  <si>
    <t>zcarrsmor</t>
    <phoneticPr fontId="1" type="noConversion"/>
  </si>
  <si>
    <t>shivm</t>
    <phoneticPr fontId="1" type="noConversion"/>
  </si>
  <si>
    <t>hoyr</t>
    <phoneticPr fontId="1" type="noConversion"/>
  </si>
  <si>
    <t>vtotsumasht</t>
    <phoneticPr fontId="1" type="noConversion"/>
  </si>
  <si>
    <t>ectenda</t>
    <phoneticPr fontId="1" type="noConversion"/>
  </si>
  <si>
    <t>praedicama</t>
    <phoneticPr fontId="1" type="noConversion"/>
  </si>
  <si>
    <t>duan</t>
    <phoneticPr fontId="1" type="noConversion"/>
  </si>
  <si>
    <t>shaan</t>
    <phoneticPr fontId="1" type="noConversion"/>
  </si>
  <si>
    <t>thcuts</t>
    <phoneticPr fontId="1" type="noConversion"/>
  </si>
  <si>
    <t>t'humcn</t>
    <phoneticPr fontId="1" type="noConversion"/>
  </si>
  <si>
    <t>mitrab</t>
    <phoneticPr fontId="1" type="noConversion"/>
  </si>
  <si>
    <t>conde</t>
    <phoneticPr fontId="1" type="noConversion"/>
  </si>
  <si>
    <t>pshag</t>
    <phoneticPr fontId="1" type="noConversion"/>
  </si>
  <si>
    <t>mnoag</t>
    <phoneticPr fontId="1" type="noConversion"/>
  </si>
  <si>
    <t>subcat</t>
    <phoneticPr fontId="1" type="noConversion"/>
  </si>
  <si>
    <t>ch'rasa</t>
    <phoneticPr fontId="1" type="noConversion"/>
  </si>
  <si>
    <t>juaila</t>
    <phoneticPr fontId="1" type="noConversion"/>
  </si>
  <si>
    <t>terne</t>
    <phoneticPr fontId="1" type="noConversion"/>
  </si>
  <si>
    <t>yaecosh</t>
    <phoneticPr fontId="1" type="noConversion"/>
  </si>
  <si>
    <t>mqiade</t>
    <phoneticPr fontId="1" type="noConversion"/>
  </si>
  <si>
    <t>tarba</t>
    <phoneticPr fontId="1" type="noConversion"/>
  </si>
  <si>
    <t>drecais</t>
    <phoneticPr fontId="1" type="noConversion"/>
  </si>
  <si>
    <t>ucr</t>
    <phoneticPr fontId="1" type="noConversion"/>
  </si>
  <si>
    <t>gina</t>
    <phoneticPr fontId="1" type="noConversion"/>
  </si>
  <si>
    <t>sâti</t>
    <phoneticPr fontId="1" type="noConversion"/>
  </si>
  <si>
    <t>teave</t>
    <phoneticPr fontId="1" type="noConversion"/>
  </si>
  <si>
    <t>merpt</t>
    <phoneticPr fontId="1" type="noConversion"/>
  </si>
  <si>
    <t>thalaj</t>
    <phoneticPr fontId="1" type="noConversion"/>
  </si>
  <si>
    <t>cormthap</t>
    <phoneticPr fontId="1" type="noConversion"/>
  </si>
  <si>
    <t>nixeot</t>
    <phoneticPr fontId="1" type="noConversion"/>
  </si>
  <si>
    <t>eachlan</t>
    <phoneticPr fontId="1" type="noConversion"/>
  </si>
  <si>
    <t>yâlos</t>
    <phoneticPr fontId="1" type="noConversion"/>
  </si>
  <si>
    <t>pdanlae</t>
    <phoneticPr fontId="1" type="noConversion"/>
  </si>
  <si>
    <t>chyatpea</t>
    <phoneticPr fontId="1" type="noConversion"/>
  </si>
  <si>
    <t>deexfan</t>
    <phoneticPr fontId="1" type="noConversion"/>
  </si>
  <si>
    <t>meingua</t>
    <phoneticPr fontId="1" type="noConversion"/>
  </si>
  <si>
    <t>sencia</t>
    <phoneticPr fontId="1" type="noConversion"/>
  </si>
  <si>
    <t>hmux</t>
    <phoneticPr fontId="1" type="noConversion"/>
  </si>
  <si>
    <t>barcem</t>
    <phoneticPr fontId="1" type="noConversion"/>
  </si>
  <si>
    <t>yahco</t>
    <phoneticPr fontId="1" type="noConversion"/>
  </si>
  <si>
    <t>omt</t>
    <phoneticPr fontId="1" type="noConversion"/>
  </si>
  <si>
    <t>albua</t>
    <phoneticPr fontId="1" type="noConversion"/>
  </si>
  <si>
    <t>wuc</t>
    <phoneticPr fontId="1" type="noConversion"/>
  </si>
  <si>
    <t>aqu'it</t>
    <phoneticPr fontId="1" type="noConversion"/>
  </si>
  <si>
    <t>nemcâ</t>
    <phoneticPr fontId="1" type="noConversion"/>
  </si>
  <si>
    <t>taimsah</t>
    <phoneticPr fontId="1" type="noConversion"/>
  </si>
  <si>
    <t>jaidec</t>
    <phoneticPr fontId="1" type="noConversion"/>
  </si>
  <si>
    <t>sheant</t>
    <phoneticPr fontId="1" type="noConversion"/>
  </si>
  <si>
    <t>mee</t>
    <phoneticPr fontId="1" type="noConversion"/>
  </si>
  <si>
    <t>raj</t>
    <phoneticPr fontId="1" type="noConversion"/>
  </si>
  <si>
    <t>sagunt</t>
    <phoneticPr fontId="1" type="noConversion"/>
  </si>
  <si>
    <t>nalh</t>
    <phoneticPr fontId="1" type="noConversion"/>
  </si>
  <si>
    <t>swuc</t>
    <phoneticPr fontId="1" type="noConversion"/>
  </si>
  <si>
    <t>upt</t>
    <phoneticPr fontId="1" type="noConversion"/>
  </si>
  <si>
    <t>muscebdea</t>
    <phoneticPr fontId="1" type="noConversion"/>
  </si>
  <si>
    <t>cennen</t>
    <phoneticPr fontId="1" type="noConversion"/>
  </si>
  <si>
    <t>renoiz</t>
    <phoneticPr fontId="1" type="noConversion"/>
  </si>
  <si>
    <t>tatig</t>
    <phoneticPr fontId="1" type="noConversion"/>
  </si>
  <si>
    <t>btaug</t>
    <phoneticPr fontId="1" type="noConversion"/>
  </si>
  <si>
    <t>qialt</t>
    <phoneticPr fontId="1" type="noConversion"/>
  </si>
  <si>
    <t>eormj</t>
    <phoneticPr fontId="1" type="noConversion"/>
  </si>
  <si>
    <t>nsua</t>
    <phoneticPr fontId="1" type="noConversion"/>
  </si>
  <si>
    <t>chema</t>
    <phoneticPr fontId="1" type="noConversion"/>
  </si>
  <si>
    <t>yundo</t>
    <phoneticPr fontId="1" type="noConversion"/>
  </si>
  <si>
    <t>tsada</t>
    <phoneticPr fontId="1" type="noConversion"/>
  </si>
  <si>
    <t>strid</t>
    <phoneticPr fontId="1" type="noConversion"/>
  </si>
  <si>
    <t>txjojium</t>
    <phoneticPr fontId="1" type="noConversion"/>
  </si>
  <si>
    <t>cthajmun</t>
    <phoneticPr fontId="1" type="noConversion"/>
  </si>
  <si>
    <t>conomosas</t>
    <phoneticPr fontId="1" type="noConversion"/>
  </si>
  <si>
    <t>muejlan</t>
    <phoneticPr fontId="1" type="noConversion"/>
  </si>
  <si>
    <t>crampan</t>
    <phoneticPr fontId="1" type="noConversion"/>
  </si>
  <si>
    <t>henstjo</t>
    <phoneticPr fontId="1" type="noConversion"/>
  </si>
  <si>
    <t>bivudonse</t>
    <phoneticPr fontId="1" type="noConversion"/>
  </si>
  <si>
    <t>pouzoda</t>
    <phoneticPr fontId="1" type="noConversion"/>
  </si>
  <si>
    <t>juajesat</t>
    <phoneticPr fontId="1" type="noConversion"/>
  </si>
  <si>
    <t>swucshe</t>
    <phoneticPr fontId="1" type="noConversion"/>
  </si>
  <si>
    <t>chara</t>
    <phoneticPr fontId="1" type="noConversion"/>
  </si>
  <si>
    <t>faulqu'e</t>
    <phoneticPr fontId="1" type="noConversion"/>
  </si>
  <si>
    <t>d'risxa</t>
    <phoneticPr fontId="1" type="noConversion"/>
  </si>
  <si>
    <t>shsem</t>
    <phoneticPr fontId="1" type="noConversion"/>
  </si>
  <si>
    <t>tacrif</t>
    <phoneticPr fontId="1" type="noConversion"/>
  </si>
  <si>
    <t>taush</t>
    <phoneticPr fontId="1" type="noConversion"/>
  </si>
  <si>
    <t>jesmac</t>
    <phoneticPr fontId="1" type="noConversion"/>
  </si>
  <si>
    <t>onjco</t>
    <phoneticPr fontId="1" type="noConversion"/>
  </si>
  <si>
    <t>shjanqu'arte</t>
    <phoneticPr fontId="1" type="noConversion"/>
  </si>
  <si>
    <t>nveotsaoj</t>
    <phoneticPr fontId="1" type="noConversion"/>
  </si>
  <si>
    <t>ahqisa</t>
    <phoneticPr fontId="1" type="noConversion"/>
  </si>
  <si>
    <t>naensoj</t>
    <phoneticPr fontId="1" type="noConversion"/>
  </si>
  <si>
    <t>ybiss</t>
    <phoneticPr fontId="1" type="noConversion"/>
  </si>
  <si>
    <t>gseo</t>
    <phoneticPr fontId="1" type="noConversion"/>
  </si>
  <si>
    <t>cjeabt</t>
    <phoneticPr fontId="1" type="noConversion"/>
  </si>
  <si>
    <t>hjact</t>
    <phoneticPr fontId="1" type="noConversion"/>
  </si>
  <si>
    <t>xaj</t>
    <phoneticPr fontId="1" type="noConversion"/>
  </si>
  <si>
    <t>aertfe</t>
    <phoneticPr fontId="1" type="noConversion"/>
  </si>
  <si>
    <t>posbodoa</t>
    <phoneticPr fontId="1" type="noConversion"/>
  </si>
  <si>
    <t>zaepoc</t>
    <phoneticPr fontId="1" type="noConversion"/>
  </si>
  <si>
    <t>ztâslus</t>
    <phoneticPr fontId="1" type="noConversion"/>
  </si>
  <si>
    <t>tlergben</t>
    <phoneticPr fontId="1" type="noConversion"/>
  </si>
  <si>
    <t>myeumtwag</t>
    <phoneticPr fontId="1" type="noConversion"/>
  </si>
  <si>
    <t>jrauiltag</t>
    <phoneticPr fontId="1" type="noConversion"/>
  </si>
  <si>
    <t>lfem</t>
    <phoneticPr fontId="1" type="noConversion"/>
  </si>
  <si>
    <t>wualt</t>
    <phoneticPr fontId="1" type="noConversion"/>
  </si>
  <si>
    <t>peajav</t>
    <phoneticPr fontId="1" type="noConversion"/>
  </si>
  <si>
    <t>hchimb</t>
    <phoneticPr fontId="1" type="noConversion"/>
  </si>
  <si>
    <t>doezt</t>
    <phoneticPr fontId="1" type="noConversion"/>
  </si>
  <si>
    <t>tovt</t>
    <phoneticPr fontId="1" type="noConversion"/>
  </si>
  <si>
    <t>dumôt</t>
    <phoneticPr fontId="1" type="noConversion"/>
  </si>
  <si>
    <t>dumêt</t>
    <phoneticPr fontId="1" type="noConversion"/>
  </si>
  <si>
    <t>caôl</t>
    <phoneticPr fontId="1" type="noConversion"/>
  </si>
  <si>
    <t>hmuczen</t>
    <phoneticPr fontId="1" type="noConversion"/>
  </si>
  <si>
    <t>talfulnevazor</t>
    <phoneticPr fontId="1" type="noConversion"/>
  </si>
  <si>
    <t>npridl</t>
    <phoneticPr fontId="1" type="noConversion"/>
  </si>
  <si>
    <t>tsuthm</t>
    <phoneticPr fontId="1" type="noConversion"/>
  </si>
  <si>
    <t>yopaj</t>
    <phoneticPr fontId="1" type="noConversion"/>
  </si>
  <si>
    <t>moada</t>
    <phoneticPr fontId="1" type="noConversion"/>
  </si>
  <si>
    <t>seansua</t>
    <phoneticPr fontId="1" type="noConversion"/>
  </si>
  <si>
    <t>lonra</t>
    <phoneticPr fontId="1" type="noConversion"/>
  </si>
  <si>
    <t>prodhoj</t>
    <phoneticPr fontId="1" type="noConversion"/>
  </si>
  <si>
    <t>qu'adu</t>
    <phoneticPr fontId="1" type="noConversion"/>
  </si>
  <si>
    <t>sabru</t>
    <phoneticPr fontId="1" type="noConversion"/>
  </si>
  <si>
    <t>eorchqu'</t>
    <phoneticPr fontId="1" type="noConversion"/>
  </si>
  <si>
    <t>hpelraca</t>
    <phoneticPr fontId="1" type="noConversion"/>
  </si>
  <si>
    <t>chafpo</t>
    <phoneticPr fontId="1" type="noConversion"/>
  </si>
  <si>
    <t>panju</t>
    <phoneticPr fontId="1" type="noConversion"/>
  </si>
  <si>
    <t>heoro</t>
    <phoneticPr fontId="1" type="noConversion"/>
  </si>
  <si>
    <t>gonjon</t>
    <phoneticPr fontId="1" type="noConversion"/>
  </si>
  <si>
    <t>eudepeoca</t>
    <phoneticPr fontId="1" type="noConversion"/>
  </si>
  <si>
    <t>asraca</t>
    <phoneticPr fontId="1" type="noConversion"/>
  </si>
  <si>
    <t>heocato</t>
    <phoneticPr fontId="1" type="noConversion"/>
  </si>
  <si>
    <t>cothyo</t>
    <phoneticPr fontId="1" type="noConversion"/>
  </si>
  <si>
    <t>dop</t>
    <phoneticPr fontId="1" type="noConversion"/>
  </si>
  <si>
    <t>btronran</t>
    <phoneticPr fontId="1" type="noConversion"/>
  </si>
  <si>
    <t>beondhi</t>
    <phoneticPr fontId="1" type="noConversion"/>
  </si>
  <si>
    <t>agaubdu</t>
    <phoneticPr fontId="1" type="noConversion"/>
  </si>
  <si>
    <t>moaehan</t>
    <phoneticPr fontId="1" type="noConversion"/>
  </si>
  <si>
    <t>latanja</t>
    <phoneticPr fontId="1" type="noConversion"/>
  </si>
  <si>
    <t>janzcanu</t>
    <phoneticPr fontId="1" type="noConversion"/>
  </si>
  <si>
    <t>londa</t>
    <phoneticPr fontId="1" type="noConversion"/>
  </si>
  <si>
    <t>zjonlan</t>
    <phoneticPr fontId="1" type="noConversion"/>
  </si>
  <si>
    <t>meuli</t>
    <phoneticPr fontId="1" type="noConversion"/>
  </si>
  <si>
    <t>meito</t>
    <phoneticPr fontId="1" type="noConversion"/>
  </si>
  <si>
    <t>tecarn</t>
    <phoneticPr fontId="1" type="noConversion"/>
  </si>
  <si>
    <t>netagdo</t>
    <phoneticPr fontId="1" type="noConversion"/>
  </si>
  <si>
    <t>leichan</t>
    <phoneticPr fontId="1" type="noConversion"/>
  </si>
  <si>
    <t>ovayasc</t>
    <phoneticPr fontId="1" type="noConversion"/>
  </si>
  <si>
    <t>mejzû</t>
    <phoneticPr fontId="1" type="noConversion"/>
  </si>
  <si>
    <t>antanch</t>
    <phoneticPr fontId="1" type="noConversion"/>
  </si>
  <si>
    <t>danetanch</t>
    <phoneticPr fontId="1" type="noConversion"/>
  </si>
  <si>
    <t>pnengen</t>
    <phoneticPr fontId="1" type="noConversion"/>
  </si>
  <si>
    <t>canpav</t>
    <phoneticPr fontId="1" type="noConversion"/>
  </si>
  <si>
    <t>trucan</t>
    <phoneticPr fontId="1" type="noConversion"/>
  </si>
  <si>
    <t>hoson</t>
    <phoneticPr fontId="1" type="noConversion"/>
  </si>
  <si>
    <t>cabuo</t>
    <phoneticPr fontId="1" type="noConversion"/>
  </si>
  <si>
    <t>stanchis</t>
    <phoneticPr fontId="1" type="noConversion"/>
  </si>
  <si>
    <t>trashan</t>
    <phoneticPr fontId="1" type="noConversion"/>
  </si>
  <si>
    <t>viaonthon</t>
    <phoneticPr fontId="1" type="noConversion"/>
  </si>
  <si>
    <t>vaguard</t>
    <phoneticPr fontId="1" type="noConversion"/>
  </si>
  <si>
    <t>mochon</t>
    <phoneticPr fontId="1" type="noConversion"/>
  </si>
  <si>
    <t>jachois</t>
    <phoneticPr fontId="1" type="noConversion"/>
  </si>
  <si>
    <t>snitron</t>
    <phoneticPr fontId="1" type="noConversion"/>
  </si>
  <si>
    <t>rocis</t>
    <phoneticPr fontId="1" type="noConversion"/>
  </si>
  <si>
    <t>netosh</t>
    <phoneticPr fontId="1" type="noConversion"/>
  </si>
  <si>
    <t>zhyus</t>
    <phoneticPr fontId="1" type="noConversion"/>
  </si>
  <si>
    <t>cdahoj</t>
    <phoneticPr fontId="1" type="noConversion"/>
  </si>
  <si>
    <t>vipshanl</t>
    <phoneticPr fontId="1" type="noConversion"/>
  </si>
  <si>
    <t>rids</t>
    <phoneticPr fontId="1" type="noConversion"/>
  </si>
  <si>
    <t>necdo</t>
    <phoneticPr fontId="1" type="noConversion"/>
  </si>
  <si>
    <t>jidao</t>
    <phoneticPr fontId="1" type="noConversion"/>
  </si>
  <si>
    <t>dosôtin</t>
    <phoneticPr fontId="1" type="noConversion"/>
  </si>
  <si>
    <t>tuch'in</t>
    <phoneticPr fontId="1" type="noConversion"/>
  </si>
  <si>
    <t>damrap</t>
    <phoneticPr fontId="1" type="noConversion"/>
  </si>
  <si>
    <t>nalchent</t>
    <phoneticPr fontId="1" type="noConversion"/>
  </si>
  <si>
    <t>cuotoc</t>
    <phoneticPr fontId="1" type="noConversion"/>
  </si>
  <si>
    <t>huzh</t>
    <phoneticPr fontId="1" type="noConversion"/>
  </si>
  <si>
    <t>corgo</t>
    <phoneticPr fontId="1" type="noConversion"/>
  </si>
  <si>
    <t>cirmeorrs</t>
    <phoneticPr fontId="1" type="noConversion"/>
  </si>
  <si>
    <t>meohtun</t>
    <phoneticPr fontId="1" type="noConversion"/>
  </si>
  <si>
    <t>deofis</t>
    <phoneticPr fontId="1" type="noConversion"/>
  </si>
  <si>
    <t>saimau</t>
    <phoneticPr fontId="1" type="noConversion"/>
  </si>
  <si>
    <t>chitse</t>
    <phoneticPr fontId="1" type="noConversion"/>
  </si>
  <si>
    <t>guenman</t>
    <phoneticPr fontId="1" type="noConversion"/>
  </si>
  <si>
    <t>jaimsh</t>
    <phoneticPr fontId="1" type="noConversion"/>
  </si>
  <si>
    <t>chajmp</t>
    <phoneticPr fontId="1" type="noConversion"/>
  </si>
  <si>
    <t>rifuth</t>
    <phoneticPr fontId="1" type="noConversion"/>
  </si>
  <si>
    <t>chusus</t>
    <phoneticPr fontId="1" type="noConversion"/>
  </si>
  <si>
    <t>sinco</t>
    <phoneticPr fontId="1" type="noConversion"/>
  </si>
  <si>
    <t>ch'indih</t>
    <phoneticPr fontId="1" type="noConversion"/>
  </si>
  <si>
    <t>munfa</t>
    <phoneticPr fontId="1" type="noConversion"/>
  </si>
  <si>
    <t>maellef</t>
    <phoneticPr fontId="1" type="noConversion"/>
  </si>
  <si>
    <t>delba</t>
    <phoneticPr fontId="1" type="noConversion"/>
  </si>
  <si>
    <t>maecel</t>
    <phoneticPr fontId="1" type="noConversion"/>
  </si>
  <si>
    <t>niteleut</t>
    <phoneticPr fontId="1" type="noConversion"/>
  </si>
  <si>
    <t>ngequ's</t>
    <phoneticPr fontId="1" type="noConversion"/>
  </si>
  <si>
    <t>poseren</t>
    <phoneticPr fontId="1" type="noConversion"/>
  </si>
  <si>
    <t>ptocor</t>
    <phoneticPr fontId="1" type="noConversion"/>
  </si>
  <si>
    <t>neucuan</t>
    <phoneticPr fontId="1" type="noConversion"/>
  </si>
  <si>
    <t>hsulae</t>
    <phoneticPr fontId="1" type="noConversion"/>
  </si>
  <si>
    <t>bachfond</t>
    <phoneticPr fontId="1" type="noConversion"/>
  </si>
  <si>
    <t>byinlscus</t>
    <phoneticPr fontId="1" type="noConversion"/>
  </si>
  <si>
    <t>acosmod</t>
    <phoneticPr fontId="1" type="noConversion"/>
  </si>
  <si>
    <t>adechiefender</t>
    <phoneticPr fontId="1" type="noConversion"/>
  </si>
  <si>
    <t>hsav</t>
    <phoneticPr fontId="1" type="noConversion"/>
  </si>
  <si>
    <t>hgeoro</t>
    <phoneticPr fontId="1" type="noConversion"/>
  </si>
  <si>
    <t>petencarr</t>
    <phoneticPr fontId="1" type="noConversion"/>
  </si>
  <si>
    <t>enqu'asdar</t>
    <phoneticPr fontId="1" type="noConversion"/>
  </si>
  <si>
    <t>neqia</t>
    <phoneticPr fontId="1" type="noConversion"/>
  </si>
  <si>
    <t>nefeosdar</t>
    <phoneticPr fontId="1" type="noConversion"/>
  </si>
  <si>
    <t>solqu'ar</t>
    <phoneticPr fontId="1" type="noConversion"/>
  </si>
  <si>
    <t>leosqu'ar</t>
    <phoneticPr fontId="1" type="noConversion"/>
  </si>
  <si>
    <t>tascom</t>
    <phoneticPr fontId="1" type="noConversion"/>
  </si>
  <si>
    <t>colisar</t>
    <phoneticPr fontId="1" type="noConversion"/>
  </si>
  <si>
    <t>biosan</t>
    <phoneticPr fontId="1" type="noConversion"/>
  </si>
  <si>
    <t>ogair</t>
    <phoneticPr fontId="1" type="noConversion"/>
  </si>
  <si>
    <t>salgt</t>
    <phoneticPr fontId="1" type="noConversion"/>
  </si>
  <si>
    <t>yor</t>
    <phoneticPr fontId="1" type="noConversion"/>
  </si>
  <si>
    <t>tunjinz</t>
    <phoneticPr fontId="1" type="noConversion"/>
  </si>
  <si>
    <t>haeyiz</t>
    <phoneticPr fontId="1" type="noConversion"/>
  </si>
  <si>
    <t>yucsol</t>
    <phoneticPr fontId="1" type="noConversion"/>
  </si>
  <si>
    <t>jeondar</t>
    <phoneticPr fontId="1" type="noConversion"/>
  </si>
  <si>
    <t>beaqieu</t>
    <phoneticPr fontId="1" type="noConversion"/>
  </si>
  <si>
    <t>ecanyeo</t>
    <phoneticPr fontId="1" type="noConversion"/>
  </si>
  <si>
    <t>eorchtay</t>
    <phoneticPr fontId="1" type="noConversion"/>
  </si>
  <si>
    <t>puersecir</t>
    <phoneticPr fontId="1" type="noConversion"/>
  </si>
  <si>
    <t>guailsanl</t>
    <phoneticPr fontId="1" type="noConversion"/>
  </si>
  <si>
    <t>mediqila</t>
    <phoneticPr fontId="1" type="noConversion"/>
  </si>
  <si>
    <t>samcedor</t>
    <phoneticPr fontId="1" type="noConversion"/>
  </si>
  <si>
    <t>beosgar</t>
    <phoneticPr fontId="1" type="noConversion"/>
  </si>
  <si>
    <t>terlar</t>
    <phoneticPr fontId="1" type="noConversion"/>
  </si>
  <si>
    <t>awclagash</t>
    <phoneticPr fontId="1" type="noConversion"/>
  </si>
  <si>
    <t>jubqir</t>
    <phoneticPr fontId="1" type="noConversion"/>
  </si>
  <si>
    <t>coengentuo</t>
    <phoneticPr fontId="1" type="noConversion"/>
  </si>
  <si>
    <t>puendoz</t>
    <phoneticPr fontId="1" type="noConversion"/>
  </si>
  <si>
    <t>galp</t>
    <phoneticPr fontId="1" type="noConversion"/>
  </si>
  <si>
    <t>belsum</t>
    <phoneticPr fontId="1" type="noConversion"/>
  </si>
  <si>
    <t>leagar</t>
    <phoneticPr fontId="1" type="noConversion"/>
  </si>
  <si>
    <t>ridcio</t>
    <phoneticPr fontId="1" type="noConversion"/>
  </si>
  <si>
    <t>tamjo</t>
    <phoneticPr fontId="1" type="noConversion"/>
  </si>
  <si>
    <t>obtescon</t>
    <phoneticPr fontId="1" type="noConversion"/>
  </si>
  <si>
    <t>tawelbor</t>
    <phoneticPr fontId="1" type="noConversion"/>
  </si>
  <si>
    <t>jeamsqu'o</t>
    <phoneticPr fontId="1" type="noConversion"/>
  </si>
  <si>
    <t>hawtgusr</t>
    <phoneticPr fontId="1" type="noConversion"/>
  </si>
  <si>
    <t>shimh'da</t>
    <phoneticPr fontId="1" type="noConversion"/>
  </si>
  <si>
    <t>relar</t>
    <phoneticPr fontId="1" type="noConversion"/>
  </si>
  <si>
    <t>lat'rir</t>
    <phoneticPr fontId="1" type="noConversion"/>
  </si>
  <si>
    <t>ihda</t>
    <phoneticPr fontId="1" type="noConversion"/>
  </si>
  <si>
    <t>descar</t>
    <phoneticPr fontId="1" type="noConversion"/>
  </si>
  <si>
    <t>abencor</t>
    <phoneticPr fontId="1" type="noConversion"/>
  </si>
  <si>
    <t>desqu'b</t>
    <phoneticPr fontId="1" type="noConversion"/>
  </si>
  <si>
    <t>befur</t>
    <phoneticPr fontId="1" type="noConversion"/>
  </si>
  <si>
    <t>spiqu'int</t>
    <phoneticPr fontId="1" type="noConversion"/>
  </si>
  <si>
    <t>jeacomt</t>
    <phoneticPr fontId="1" type="noConversion"/>
  </si>
  <si>
    <t>preshinct</t>
    <phoneticPr fontId="1" type="noConversion"/>
  </si>
  <si>
    <t>pret</t>
    <phoneticPr fontId="1" type="noConversion"/>
  </si>
  <si>
    <t>ygunftaj</t>
    <phoneticPr fontId="1" type="noConversion"/>
  </si>
  <si>
    <t>conderrada</t>
    <phoneticPr fontId="1" type="noConversion"/>
  </si>
  <si>
    <t>muyeoham</t>
    <phoneticPr fontId="1" type="noConversion"/>
  </si>
  <si>
    <t>heiordmy</t>
    <phoneticPr fontId="1" type="noConversion"/>
  </si>
  <si>
    <t>oynjarq</t>
    <phoneticPr fontId="1" type="noConversion"/>
  </si>
  <si>
    <t>rijisto</t>
    <phoneticPr fontId="1" type="noConversion"/>
  </si>
  <si>
    <t>nogsir</t>
    <phoneticPr fontId="1" type="noConversion"/>
  </si>
  <si>
    <t>hunmvie</t>
    <phoneticPr fontId="1" type="noConversion"/>
  </si>
  <si>
    <t>gmusp</t>
    <phoneticPr fontId="1" type="noConversion"/>
  </si>
  <si>
    <t>fyuspo</t>
    <phoneticPr fontId="1" type="noConversion"/>
  </si>
  <si>
    <t>teoamaf</t>
    <phoneticPr fontId="1" type="noConversion"/>
  </si>
  <si>
    <t>banrta</t>
    <phoneticPr fontId="1" type="noConversion"/>
  </si>
  <si>
    <t>pravil</t>
    <phoneticPr fontId="1" type="noConversion"/>
  </si>
  <si>
    <t>fawto</t>
    <phoneticPr fontId="1" type="noConversion"/>
  </si>
  <si>
    <t>eorqu'edz</t>
    <phoneticPr fontId="1" type="noConversion"/>
  </si>
  <si>
    <t>wulnjoz</t>
    <phoneticPr fontId="1" type="noConversion"/>
  </si>
  <si>
    <t>grylcto</t>
    <phoneticPr fontId="1" type="noConversion"/>
  </si>
  <si>
    <t>ulbiymt</t>
    <phoneticPr fontId="1" type="noConversion"/>
  </si>
  <si>
    <t>enfawn</t>
    <phoneticPr fontId="1" type="noConversion"/>
  </si>
  <si>
    <t>hpeo</t>
    <phoneticPr fontId="1" type="noConversion"/>
  </si>
  <si>
    <t>nxcar</t>
    <phoneticPr fontId="1" type="noConversion"/>
  </si>
  <si>
    <t>demcash</t>
    <phoneticPr fontId="1" type="noConversion"/>
  </si>
  <si>
    <t>zheusnun</t>
    <phoneticPr fontId="1" type="noConversion"/>
  </si>
  <si>
    <t>tryosvol</t>
    <phoneticPr fontId="1" type="noConversion"/>
  </si>
  <si>
    <t>pegstur</t>
    <phoneticPr fontId="1" type="noConversion"/>
  </si>
  <si>
    <t>sadruq</t>
    <phoneticPr fontId="1" type="noConversion"/>
  </si>
  <si>
    <t>nreyonfer</t>
    <phoneticPr fontId="1" type="noConversion"/>
  </si>
  <si>
    <t>sujtor</t>
    <phoneticPr fontId="1" type="noConversion"/>
  </si>
  <si>
    <t>imzgar</t>
    <phoneticPr fontId="1" type="noConversion"/>
  </si>
  <si>
    <t>celltor</t>
    <phoneticPr fontId="1" type="noConversion"/>
  </si>
  <si>
    <t>yaba</t>
    <phoneticPr fontId="1" type="noConversion"/>
  </si>
  <si>
    <t>catr</t>
    <phoneticPr fontId="1" type="noConversion"/>
  </si>
  <si>
    <t>airspeor</t>
    <phoneticPr fontId="1" type="noConversion"/>
  </si>
  <si>
    <t>tronq</t>
    <phoneticPr fontId="1" type="noConversion"/>
  </si>
  <si>
    <t>poj</t>
    <phoneticPr fontId="1" type="noConversion"/>
  </si>
  <si>
    <t>pojshe</t>
    <phoneticPr fontId="1" type="noConversion"/>
  </si>
  <si>
    <t>meuges</t>
    <phoneticPr fontId="1" type="noConversion"/>
  </si>
  <si>
    <t>bauny</t>
    <phoneticPr fontId="1" type="noConversion"/>
  </si>
  <si>
    <t>derma</t>
    <phoneticPr fontId="1" type="noConversion"/>
  </si>
  <si>
    <t>respeto</t>
    <phoneticPr fontId="1" type="noConversion"/>
  </si>
  <si>
    <t>ctolam</t>
    <phoneticPr fontId="1" type="noConversion"/>
  </si>
  <si>
    <t>lorvicar</t>
    <phoneticPr fontId="1" type="noConversion"/>
  </si>
  <si>
    <t>permos</t>
    <phoneticPr fontId="1" type="noConversion"/>
  </si>
  <si>
    <t>hmoscofe</t>
    <phoneticPr fontId="1" type="noConversion"/>
  </si>
  <si>
    <t>pasntoj</t>
    <phoneticPr fontId="1" type="noConversion"/>
  </si>
  <si>
    <t>favorl</t>
    <phoneticPr fontId="1" type="noConversion"/>
  </si>
  <si>
    <t>schenpenchuar</t>
    <phoneticPr fontId="1" type="noConversion"/>
  </si>
  <si>
    <t>mcheins</t>
    <phoneticPr fontId="1" type="noConversion"/>
  </si>
  <si>
    <t>ptsaqin</t>
    <phoneticPr fontId="1" type="noConversion"/>
  </si>
  <si>
    <t>biohda</t>
    <phoneticPr fontId="1" type="noConversion"/>
  </si>
  <si>
    <t>gulit</t>
    <phoneticPr fontId="1" type="noConversion"/>
  </si>
  <si>
    <t>mgô</t>
    <phoneticPr fontId="1" type="noConversion"/>
  </si>
  <si>
    <t>enrtor</t>
    <phoneticPr fontId="1" type="noConversion"/>
  </si>
  <si>
    <t>ofwain</t>
    <phoneticPr fontId="1" type="noConversion"/>
  </si>
  <si>
    <t>boyzaon</t>
    <phoneticPr fontId="1" type="noConversion"/>
  </si>
  <si>
    <t>shocalar</t>
    <phoneticPr fontId="1" type="noConversion"/>
  </si>
  <si>
    <t>galac</t>
    <phoneticPr fontId="1" type="noConversion"/>
  </si>
  <si>
    <t>psheqim</t>
    <phoneticPr fontId="1" type="noConversion"/>
  </si>
  <si>
    <t>vaer</t>
    <phoneticPr fontId="1" type="noConversion"/>
  </si>
  <si>
    <t>perdar</t>
    <phoneticPr fontId="1" type="noConversion"/>
  </si>
  <si>
    <t>caldaq</t>
    <phoneticPr fontId="1" type="noConversion"/>
  </si>
  <si>
    <t>ushlaem</t>
    <phoneticPr fontId="1" type="noConversion"/>
  </si>
  <si>
    <t>aunqu'asto</t>
    <phoneticPr fontId="1" type="noConversion"/>
  </si>
  <si>
    <t>pagunl</t>
    <phoneticPr fontId="1" type="noConversion"/>
  </si>
  <si>
    <t>lihevto</t>
    <phoneticPr fontId="1" type="noConversion"/>
  </si>
  <si>
    <t>porjot</t>
    <phoneticPr fontId="1" type="noConversion"/>
  </si>
  <si>
    <t>rjat</t>
    <phoneticPr fontId="1" type="noConversion"/>
  </si>
  <si>
    <t>seigmt</t>
    <phoneticPr fontId="1" type="noConversion"/>
  </si>
  <si>
    <t>sotdal</t>
    <phoneticPr fontId="1" type="noConversion"/>
  </si>
  <si>
    <t>reagswoud</t>
    <phoneticPr fontId="1" type="noConversion"/>
  </si>
  <si>
    <t>meobaqu'a</t>
    <phoneticPr fontId="1" type="noConversion"/>
  </si>
  <si>
    <t>daenfs</t>
    <phoneticPr fontId="1" type="noConversion"/>
  </si>
  <si>
    <t>tachha</t>
    <phoneticPr fontId="1" type="noConversion"/>
  </si>
  <si>
    <t>haengerd</t>
    <phoneticPr fontId="1" type="noConversion"/>
  </si>
  <si>
    <t>orunsb</t>
    <phoneticPr fontId="1" type="noConversion"/>
  </si>
  <si>
    <t>tiembder</t>
    <phoneticPr fontId="1" type="noConversion"/>
  </si>
  <si>
    <t>geaobor</t>
    <phoneticPr fontId="1" type="noConversion"/>
  </si>
  <si>
    <t>bas</t>
    <phoneticPr fontId="1" type="noConversion"/>
  </si>
  <si>
    <t>bid</t>
    <phoneticPr fontId="1" type="noConversion"/>
  </si>
  <si>
    <t>ictus</t>
    <phoneticPr fontId="1" type="noConversion"/>
  </si>
  <si>
    <t>tahbe</t>
    <phoneticPr fontId="1" type="noConversion"/>
  </si>
  <si>
    <t>dertor</t>
    <phoneticPr fontId="1" type="noConversion"/>
  </si>
  <si>
    <t>sli</t>
    <phoneticPr fontId="1" type="noConversion"/>
  </si>
  <si>
    <t>vearsdhar</t>
    <phoneticPr fontId="1" type="noConversion"/>
  </si>
  <si>
    <t>viscar</t>
    <phoneticPr fontId="1" type="noConversion"/>
  </si>
  <si>
    <t>locraw</t>
    <phoneticPr fontId="1" type="noConversion"/>
  </si>
  <si>
    <t>searn</t>
    <phoneticPr fontId="1" type="noConversion"/>
  </si>
  <si>
    <t>jotsm</t>
    <phoneticPr fontId="1" type="noConversion"/>
  </si>
  <si>
    <t>avepsqie</t>
    <phoneticPr fontId="1" type="noConversion"/>
  </si>
  <si>
    <t>toard</t>
    <phoneticPr fontId="1" type="noConversion"/>
  </si>
  <si>
    <t>terrnl</t>
    <phoneticPr fontId="1" type="noConversion"/>
  </si>
  <si>
    <t>hurct</t>
    <phoneticPr fontId="1" type="noConversion"/>
  </si>
  <si>
    <t>reducire</t>
    <phoneticPr fontId="1" type="noConversion"/>
  </si>
  <si>
    <t>byrd</t>
    <phoneticPr fontId="1" type="noConversion"/>
  </si>
  <si>
    <t>bcjamtor</t>
    <phoneticPr fontId="1" type="noConversion"/>
  </si>
  <si>
    <t>plumyer</t>
    <phoneticPr fontId="1" type="noConversion"/>
  </si>
  <si>
    <t>rytsios</t>
    <phoneticPr fontId="1" type="noConversion"/>
  </si>
  <si>
    <t>taonver</t>
    <phoneticPr fontId="1" type="noConversion"/>
  </si>
  <si>
    <t>bmocar</t>
    <phoneticPr fontId="1" type="noConversion"/>
  </si>
  <si>
    <t>aqu'umul</t>
    <phoneticPr fontId="1" type="noConversion"/>
  </si>
  <si>
    <t>frustmeor</t>
    <phoneticPr fontId="1" type="noConversion"/>
  </si>
  <si>
    <t>hmentfen</t>
    <phoneticPr fontId="1" type="noConversion"/>
  </si>
  <si>
    <t>gtsur</t>
    <phoneticPr fontId="1" type="noConversion"/>
  </si>
  <si>
    <t>tearqir</t>
    <phoneticPr fontId="1" type="noConversion"/>
  </si>
  <si>
    <t>leanvte</t>
    <phoneticPr fontId="1" type="noConversion"/>
  </si>
  <si>
    <t>gyeat</t>
    <phoneticPr fontId="1" type="noConversion"/>
  </si>
  <si>
    <t>tbem</t>
    <phoneticPr fontId="1" type="noConversion"/>
  </si>
  <si>
    <t>snte</t>
    <phoneticPr fontId="1" type="noConversion"/>
  </si>
  <si>
    <t>strenre</t>
    <phoneticPr fontId="1" type="noConversion"/>
  </si>
  <si>
    <t>aermoj</t>
    <phoneticPr fontId="1" type="noConversion"/>
  </si>
  <si>
    <t>trapjer</t>
    <phoneticPr fontId="1" type="noConversion"/>
  </si>
  <si>
    <t>yaxen</t>
    <phoneticPr fontId="1" type="noConversion"/>
  </si>
  <si>
    <t>yacsen</t>
    <phoneticPr fontId="1" type="noConversion"/>
  </si>
  <si>
    <t>discper</t>
    <phoneticPr fontId="1" type="noConversion"/>
  </si>
  <si>
    <t>laensor</t>
    <phoneticPr fontId="1" type="noConversion"/>
  </si>
  <si>
    <t>henyash</t>
    <phoneticPr fontId="1" type="noConversion"/>
  </si>
  <si>
    <t>suspenjo</t>
    <phoneticPr fontId="1" type="noConversion"/>
  </si>
  <si>
    <t>temvea</t>
    <phoneticPr fontId="1" type="noConversion"/>
  </si>
  <si>
    <t>forgâl</t>
    <phoneticPr fontId="1" type="noConversion"/>
  </si>
  <si>
    <t>temczer</t>
    <phoneticPr fontId="1" type="noConversion"/>
  </si>
  <si>
    <t>calsiner</t>
    <phoneticPr fontId="1" type="noConversion"/>
  </si>
  <si>
    <t>ftapir</t>
    <phoneticPr fontId="1" type="noConversion"/>
  </si>
  <si>
    <t>wufel</t>
    <phoneticPr fontId="1" type="noConversion"/>
  </si>
  <si>
    <t>buand</t>
    <phoneticPr fontId="1" type="noConversion"/>
  </si>
  <si>
    <t>ryclus</t>
    <phoneticPr fontId="1" type="noConversion"/>
  </si>
  <si>
    <t>deuscaj</t>
    <phoneticPr fontId="1" type="noConversion"/>
  </si>
  <si>
    <t>fyolto</t>
    <phoneticPr fontId="1" type="noConversion"/>
  </si>
  <si>
    <t>starteo</t>
    <phoneticPr fontId="1" type="noConversion"/>
  </si>
  <si>
    <t>culmt</t>
    <phoneticPr fontId="1" type="noConversion"/>
  </si>
  <si>
    <t>saltcap</t>
    <phoneticPr fontId="1" type="noConversion"/>
  </si>
  <si>
    <t>sdunlt</t>
    <phoneticPr fontId="1" type="noConversion"/>
  </si>
  <si>
    <t>trapstis</t>
    <phoneticPr fontId="1" type="noConversion"/>
  </si>
  <si>
    <t>frangente</t>
    <phoneticPr fontId="1" type="noConversion"/>
  </si>
  <si>
    <t>snovict</t>
    <phoneticPr fontId="1" type="noConversion"/>
  </si>
  <si>
    <t>ten</t>
    <phoneticPr fontId="1" type="noConversion"/>
  </si>
  <si>
    <t>snmaer</t>
    <phoneticPr fontId="1" type="noConversion"/>
  </si>
  <si>
    <t>da</t>
    <phoneticPr fontId="1" type="noConversion"/>
  </si>
  <si>
    <t>gu</t>
    <phoneticPr fontId="1" type="noConversion"/>
  </si>
  <si>
    <t>ofre</t>
    <phoneticPr fontId="1" type="noConversion"/>
  </si>
  <si>
    <t>dmun</t>
    <phoneticPr fontId="1" type="noConversion"/>
  </si>
  <si>
    <t>acmulsg</t>
    <phoneticPr fontId="1" type="noConversion"/>
  </si>
  <si>
    <t>taeshair</t>
    <phoneticPr fontId="1" type="noConversion"/>
  </si>
  <si>
    <t>nelcren</t>
    <phoneticPr fontId="1" type="noConversion"/>
  </si>
  <si>
    <t>faidieus</t>
    <phoneticPr fontId="1" type="noConversion"/>
  </si>
  <si>
    <t>shaotxin</t>
    <phoneticPr fontId="1" type="noConversion"/>
  </si>
  <si>
    <t>omta</t>
    <phoneticPr fontId="1" type="noConversion"/>
  </si>
  <si>
    <t>trebozh</t>
    <phoneticPr fontId="1" type="noConversion"/>
  </si>
  <si>
    <t>alp</t>
    <phoneticPr fontId="1" type="noConversion"/>
  </si>
  <si>
    <t>ord</t>
    <phoneticPr fontId="1" type="noConversion"/>
  </si>
  <si>
    <t>mureg</t>
    <phoneticPr fontId="1" type="noConversion"/>
  </si>
  <si>
    <t>ider</t>
    <phoneticPr fontId="1" type="noConversion"/>
  </si>
  <si>
    <t>spiuns</t>
    <phoneticPr fontId="1" type="noConversion"/>
  </si>
  <si>
    <t>ripro</t>
    <phoneticPr fontId="1" type="noConversion"/>
  </si>
  <si>
    <t>puamc</t>
    <phoneticPr fontId="1" type="noConversion"/>
  </si>
  <si>
    <t>sherze</t>
    <phoneticPr fontId="1" type="noConversion"/>
  </si>
  <si>
    <t>pôvor</t>
    <phoneticPr fontId="1" type="noConversion"/>
  </si>
  <si>
    <t>psûvne</t>
    <phoneticPr fontId="1" type="noConversion"/>
  </si>
  <si>
    <t>palgre</t>
    <phoneticPr fontId="1" type="noConversion"/>
  </si>
  <si>
    <t>sxit</t>
    <phoneticPr fontId="1" type="noConversion"/>
  </si>
  <si>
    <t>scsit</t>
    <phoneticPr fontId="1" type="noConversion"/>
  </si>
  <si>
    <t>caomver</t>
    <phoneticPr fontId="1" type="noConversion"/>
  </si>
  <si>
    <t>munsav</t>
    <phoneticPr fontId="1" type="noConversion"/>
  </si>
  <si>
    <t>duaver</t>
    <phoneticPr fontId="1" type="noConversion"/>
  </si>
  <si>
    <t>ronb</t>
    <phoneticPr fontId="1" type="noConversion"/>
  </si>
  <si>
    <t>naitsb</t>
    <phoneticPr fontId="1" type="noConversion"/>
  </si>
  <si>
    <t>yarbaha</t>
    <phoneticPr fontId="1" type="noConversion"/>
  </si>
  <si>
    <t>serc</t>
    <phoneticPr fontId="1" type="noConversion"/>
  </si>
  <si>
    <t>ya</t>
    <phoneticPr fontId="1" type="noConversion"/>
  </si>
  <si>
    <t>ehoig</t>
    <phoneticPr fontId="1" type="noConversion"/>
  </si>
  <si>
    <t>tsuab</t>
    <phoneticPr fontId="1" type="noConversion"/>
  </si>
  <si>
    <t>ciep</t>
    <phoneticPr fontId="1" type="noConversion"/>
  </si>
  <si>
    <t>vimcon</t>
    <phoneticPr fontId="1" type="noConversion"/>
  </si>
  <si>
    <t>fruns</t>
    <phoneticPr fontId="1" type="noConversion"/>
  </si>
  <si>
    <t>bisat</t>
    <phoneticPr fontId="1" type="noConversion"/>
  </si>
  <si>
    <t>surle</t>
    <phoneticPr fontId="1" type="noConversion"/>
  </si>
  <si>
    <t>calva</t>
    <phoneticPr fontId="1" type="noConversion"/>
  </si>
  <si>
    <t>perfon</t>
    <phoneticPr fontId="1" type="noConversion"/>
  </si>
  <si>
    <t>exilo</t>
    <phoneticPr fontId="1" type="noConversion"/>
  </si>
  <si>
    <t>tenfest</t>
    <phoneticPr fontId="1" type="noConversion"/>
  </si>
  <si>
    <t>chatho</t>
    <phoneticPr fontId="1" type="noConversion"/>
  </si>
  <si>
    <t>voiseteci</t>
    <phoneticPr fontId="1" type="noConversion"/>
  </si>
  <si>
    <t>xjogate</t>
    <phoneticPr fontId="1" type="noConversion"/>
  </si>
  <si>
    <t>sro</t>
    <phoneticPr fontId="1" type="noConversion"/>
  </si>
  <si>
    <t>urasde</t>
    <phoneticPr fontId="1" type="noConversion"/>
  </si>
  <si>
    <t>sesan</t>
    <phoneticPr fontId="1" type="noConversion"/>
  </si>
  <si>
    <t>pâda</t>
    <phoneticPr fontId="1" type="noConversion"/>
  </si>
  <si>
    <t>ogenzh</t>
    <phoneticPr fontId="1" type="noConversion"/>
  </si>
  <si>
    <t>jivan</t>
    <phoneticPr fontId="1" type="noConversion"/>
  </si>
  <si>
    <t>hciwqa</t>
    <phoneticPr fontId="1" type="noConversion"/>
  </si>
  <si>
    <t>chodni</t>
    <phoneticPr fontId="1" type="noConversion"/>
  </si>
  <si>
    <t>chassa</t>
    <phoneticPr fontId="1" type="noConversion"/>
  </si>
  <si>
    <t>brosci</t>
    <phoneticPr fontId="1" type="noConversion"/>
  </si>
  <si>
    <t>c'haevam</t>
    <phoneticPr fontId="1" type="noConversion"/>
  </si>
  <si>
    <t>svo</t>
    <phoneticPr fontId="1" type="noConversion"/>
  </si>
  <si>
    <t>fisu</t>
    <phoneticPr fontId="1" type="noConversion"/>
  </si>
  <si>
    <t>psetce</t>
    <phoneticPr fontId="1" type="noConversion"/>
  </si>
  <si>
    <t>cefshe</t>
    <phoneticPr fontId="1" type="noConversion"/>
  </si>
  <si>
    <t>zshe</t>
    <phoneticPr fontId="1" type="noConversion"/>
  </si>
  <si>
    <t>vhebam</t>
    <phoneticPr fontId="1" type="noConversion"/>
  </si>
  <si>
    <t>zia</t>
    <phoneticPr fontId="1" type="noConversion"/>
  </si>
  <si>
    <t>ofarlt</t>
    <phoneticPr fontId="1" type="noConversion"/>
  </si>
  <si>
    <t>monitor</t>
    <phoneticPr fontId="1" type="noConversion"/>
  </si>
  <si>
    <t>paemel</t>
    <phoneticPr fontId="1" type="noConversion"/>
  </si>
  <si>
    <t>hadrani</t>
    <phoneticPr fontId="1" type="noConversion"/>
  </si>
  <si>
    <t>otita</t>
    <phoneticPr fontId="1" type="noConversion"/>
  </si>
  <si>
    <t>zuixia</t>
    <phoneticPr fontId="1" type="noConversion"/>
  </si>
  <si>
    <t>jahma</t>
    <phoneticPr fontId="1" type="noConversion"/>
  </si>
  <si>
    <t>jahlun</t>
    <phoneticPr fontId="1" type="noConversion"/>
  </si>
  <si>
    <t>constu</t>
    <phoneticPr fontId="1" type="noConversion"/>
  </si>
  <si>
    <t>sna</t>
    <phoneticPr fontId="1" type="noConversion"/>
  </si>
  <si>
    <t>jmae</t>
    <phoneticPr fontId="1" type="noConversion"/>
  </si>
  <si>
    <t>usdna</t>
    <phoneticPr fontId="1" type="noConversion"/>
  </si>
  <si>
    <t>ubamo</t>
    <phoneticPr fontId="1" type="noConversion"/>
  </si>
  <si>
    <t>shebroun</t>
    <phoneticPr fontId="1" type="noConversion"/>
  </si>
  <si>
    <t>getur</t>
    <phoneticPr fontId="1" type="noConversion"/>
  </si>
  <si>
    <t>shim</t>
    <phoneticPr fontId="1" type="noConversion"/>
  </si>
  <si>
    <t>pozau</t>
    <phoneticPr fontId="1" type="noConversion"/>
  </si>
  <si>
    <t>wricsir</t>
    <phoneticPr fontId="1" type="noConversion"/>
  </si>
  <si>
    <t>parti</t>
    <phoneticPr fontId="1" type="noConversion"/>
  </si>
  <si>
    <t>fogne</t>
    <phoneticPr fontId="1" type="noConversion"/>
  </si>
  <si>
    <t>honz</t>
    <phoneticPr fontId="1" type="noConversion"/>
  </si>
  <si>
    <t>doroi</t>
    <phoneticPr fontId="1" type="noConversion"/>
  </si>
  <si>
    <t>hartsa</t>
    <phoneticPr fontId="1" type="noConversion"/>
  </si>
  <si>
    <t>hargil</t>
    <phoneticPr fontId="1" type="noConversion"/>
  </si>
  <si>
    <t>humet</t>
    <phoneticPr fontId="1" type="noConversion"/>
  </si>
  <si>
    <t>juoz</t>
    <phoneticPr fontId="1" type="noConversion"/>
  </si>
  <si>
    <t>jtom</t>
    <phoneticPr fontId="1" type="noConversion"/>
  </si>
  <si>
    <t>senzensir</t>
    <phoneticPr fontId="1" type="noConversion"/>
  </si>
  <si>
    <t>snoz</t>
    <phoneticPr fontId="1" type="noConversion"/>
  </si>
  <si>
    <t>zhenti</t>
    <phoneticPr fontId="1" type="noConversion"/>
  </si>
  <si>
    <t>zhenb</t>
    <phoneticPr fontId="1" type="noConversion"/>
  </si>
  <si>
    <t>harado</t>
    <phoneticPr fontId="1" type="noConversion"/>
  </si>
  <si>
    <t>podha</t>
    <phoneticPr fontId="1" type="noConversion"/>
  </si>
  <si>
    <t>wusca</t>
    <phoneticPr fontId="1" type="noConversion"/>
  </si>
  <si>
    <t>epole</t>
    <phoneticPr fontId="1" type="noConversion"/>
  </si>
  <si>
    <t>doste</t>
    <phoneticPr fontId="1" type="noConversion"/>
  </si>
  <si>
    <t>hali</t>
    <phoneticPr fontId="1" type="noConversion"/>
  </si>
  <si>
    <t>ndapa</t>
    <phoneticPr fontId="1" type="noConversion"/>
  </si>
  <si>
    <t>petar</t>
    <phoneticPr fontId="1" type="noConversion"/>
  </si>
  <si>
    <t>hcoho</t>
    <phoneticPr fontId="1" type="noConversion"/>
  </si>
  <si>
    <t>shlatye</t>
    <phoneticPr fontId="1" type="noConversion"/>
  </si>
  <si>
    <t>pisni</t>
    <phoneticPr fontId="1" type="noConversion"/>
  </si>
  <si>
    <t>yeha</t>
    <phoneticPr fontId="1" type="noConversion"/>
  </si>
  <si>
    <t>biften</t>
    <phoneticPr fontId="1" type="noConversion"/>
  </si>
  <si>
    <t>sirhe</t>
    <phoneticPr fontId="1" type="noConversion"/>
  </si>
  <si>
    <t>alda</t>
    <phoneticPr fontId="1" type="noConversion"/>
  </si>
  <si>
    <t>zarte</t>
    <phoneticPr fontId="1" type="noConversion"/>
  </si>
  <si>
    <t>thuhat</t>
    <phoneticPr fontId="1" type="noConversion"/>
  </si>
  <si>
    <t>hela</t>
    <phoneticPr fontId="1" type="noConversion"/>
  </si>
  <si>
    <t>ban'lhon</t>
    <phoneticPr fontId="1" type="noConversion"/>
  </si>
  <si>
    <t>maltuc</t>
    <phoneticPr fontId="1" type="noConversion"/>
  </si>
  <si>
    <t>hodo</t>
    <phoneticPr fontId="1" type="noConversion"/>
  </si>
  <si>
    <t>ridhet</t>
    <phoneticPr fontId="1" type="noConversion"/>
  </si>
  <si>
    <t>ximjo</t>
    <phoneticPr fontId="1" type="noConversion"/>
  </si>
  <si>
    <t>djahi</t>
    <phoneticPr fontId="1" type="noConversion"/>
  </si>
  <si>
    <t>hdusher</t>
    <phoneticPr fontId="1" type="noConversion"/>
  </si>
  <si>
    <t>cpotel</t>
    <phoneticPr fontId="1" type="noConversion"/>
  </si>
  <si>
    <t>hlacrun</t>
    <phoneticPr fontId="1" type="noConversion"/>
  </si>
  <si>
    <t>gabron</t>
    <phoneticPr fontId="1" type="noConversion"/>
  </si>
  <si>
    <t>transicion</t>
    <phoneticPr fontId="1" type="noConversion"/>
  </si>
  <si>
    <t>mimicry</t>
    <phoneticPr fontId="1" type="noConversion"/>
  </si>
  <si>
    <t>beitê</t>
    <phoneticPr fontId="1" type="noConversion"/>
  </si>
  <si>
    <t>giyc'ha</t>
    <phoneticPr fontId="1" type="noConversion"/>
  </si>
  <si>
    <t>piniul</t>
    <phoneticPr fontId="1" type="noConversion"/>
  </si>
  <si>
    <t>dhazum</t>
    <phoneticPr fontId="1" type="noConversion"/>
  </si>
  <si>
    <t>vaheste</t>
    <phoneticPr fontId="1" type="noConversion"/>
  </si>
  <si>
    <t>poan</t>
    <phoneticPr fontId="1" type="noConversion"/>
  </si>
  <si>
    <t>raqu'uam</t>
    <phoneticPr fontId="1" type="noConversion"/>
  </si>
  <si>
    <t>harsal</t>
    <phoneticPr fontId="1" type="noConversion"/>
  </si>
  <si>
    <t>ginden</t>
    <phoneticPr fontId="1" type="noConversion"/>
  </si>
  <si>
    <t>epathe</t>
    <phoneticPr fontId="1" type="noConversion"/>
  </si>
  <si>
    <t>bnolen</t>
    <phoneticPr fontId="1" type="noConversion"/>
  </si>
  <si>
    <t>cohan</t>
    <phoneticPr fontId="1" type="noConversion"/>
  </si>
  <si>
    <t>libe</t>
    <phoneticPr fontId="1" type="noConversion"/>
  </si>
  <si>
    <t>psadvet</t>
    <phoneticPr fontId="1" type="noConversion"/>
  </si>
  <si>
    <t>spresh</t>
    <phoneticPr fontId="1" type="noConversion"/>
  </si>
  <si>
    <t>stâ</t>
    <phoneticPr fontId="1" type="noConversion"/>
  </si>
  <si>
    <t>gitin</t>
    <phoneticPr fontId="1" type="noConversion"/>
  </si>
  <si>
    <t>ztramca</t>
    <phoneticPr fontId="1" type="noConversion"/>
  </si>
  <si>
    <t>vlgan</t>
    <phoneticPr fontId="1" type="noConversion"/>
  </si>
  <si>
    <t>geren</t>
    <phoneticPr fontId="1" type="noConversion"/>
  </si>
  <si>
    <t>vmij</t>
    <phoneticPr fontId="1" type="noConversion"/>
  </si>
  <si>
    <t>veargalc</t>
    <phoneticPr fontId="1" type="noConversion"/>
  </si>
  <si>
    <t>trug</t>
    <phoneticPr fontId="1" type="noConversion"/>
  </si>
  <si>
    <t>nasense</t>
    <phoneticPr fontId="1" type="noConversion"/>
  </si>
  <si>
    <t>gerb't</t>
    <phoneticPr fontId="1" type="noConversion"/>
  </si>
  <si>
    <t>jitnia</t>
    <phoneticPr fontId="1" type="noConversion"/>
  </si>
  <si>
    <t>jan</t>
    <phoneticPr fontId="1" type="noConversion"/>
  </si>
  <si>
    <t>hinduct</t>
    <phoneticPr fontId="1" type="noConversion"/>
  </si>
  <si>
    <t>dersh</t>
    <phoneticPr fontId="1" type="noConversion"/>
  </si>
  <si>
    <t>bui</t>
    <phoneticPr fontId="1" type="noConversion"/>
  </si>
  <si>
    <t>stril</t>
    <phoneticPr fontId="1" type="noConversion"/>
  </si>
  <si>
    <t>fresb</t>
    <phoneticPr fontId="1" type="noConversion"/>
  </si>
  <si>
    <t>ers</t>
    <phoneticPr fontId="1" type="noConversion"/>
  </si>
  <si>
    <t>buihanmt</t>
    <phoneticPr fontId="1" type="noConversion"/>
  </si>
  <si>
    <t>shete</t>
    <phoneticPr fontId="1" type="noConversion"/>
  </si>
  <si>
    <t>ocanto</t>
    <phoneticPr fontId="1" type="noConversion"/>
  </si>
  <si>
    <t>jimgju</t>
    <phoneticPr fontId="1" type="noConversion"/>
  </si>
  <si>
    <t>gju</t>
    <phoneticPr fontId="1" type="noConversion"/>
  </si>
  <si>
    <t>bie</t>
    <phoneticPr fontId="1" type="noConversion"/>
  </si>
  <si>
    <t>biegju</t>
    <phoneticPr fontId="1" type="noConversion"/>
  </si>
  <si>
    <t>hantron</t>
    <phoneticPr fontId="1" type="noConversion"/>
  </si>
  <si>
    <t>ichyo</t>
    <phoneticPr fontId="1" type="noConversion"/>
  </si>
  <si>
    <t>tsij</t>
    <phoneticPr fontId="1" type="noConversion"/>
  </si>
  <si>
    <t>mixot</t>
    <phoneticPr fontId="1" type="noConversion"/>
  </si>
  <si>
    <t>pason</t>
    <phoneticPr fontId="1" type="noConversion"/>
  </si>
  <si>
    <t>paunu</t>
    <phoneticPr fontId="1" type="noConversion"/>
  </si>
  <si>
    <t>domuin</t>
    <phoneticPr fontId="1" type="noConversion"/>
  </si>
  <si>
    <t>acmhat</t>
    <phoneticPr fontId="1" type="noConversion"/>
  </si>
  <si>
    <t>sebe</t>
    <phoneticPr fontId="1" type="noConversion"/>
  </si>
  <si>
    <t>stet</t>
    <phoneticPr fontId="1" type="noConversion"/>
  </si>
  <si>
    <t>cansna</t>
    <phoneticPr fontId="1" type="noConversion"/>
  </si>
  <si>
    <t>theca</t>
    <phoneticPr fontId="1" type="noConversion"/>
  </si>
  <si>
    <t>rajanve</t>
    <phoneticPr fontId="1" type="noConversion"/>
  </si>
  <si>
    <t>hramsa</t>
    <phoneticPr fontId="1" type="noConversion"/>
  </si>
  <si>
    <t>rislu</t>
    <phoneticPr fontId="1" type="noConversion"/>
  </si>
  <si>
    <t>donjet</t>
    <phoneticPr fontId="1" type="noConversion"/>
  </si>
  <si>
    <t>monihte</t>
    <phoneticPr fontId="1" type="noConversion"/>
  </si>
  <si>
    <t>snab</t>
    <phoneticPr fontId="1" type="noConversion"/>
  </si>
  <si>
    <t>caida</t>
    <phoneticPr fontId="1" type="noConversion"/>
  </si>
  <si>
    <t>fali</t>
    <phoneticPr fontId="1" type="noConversion"/>
  </si>
  <si>
    <t>justeben</t>
    <phoneticPr fontId="1" type="noConversion"/>
  </si>
  <si>
    <t>tsuimes</t>
    <phoneticPr fontId="1" type="noConversion"/>
  </si>
  <si>
    <t>gushaban</t>
    <phoneticPr fontId="1" type="noConversion"/>
  </si>
  <si>
    <t>susoa</t>
    <phoneticPr fontId="1" type="noConversion"/>
  </si>
  <si>
    <t>chelyo</t>
    <phoneticPr fontId="1" type="noConversion"/>
  </si>
  <si>
    <t>coldose</t>
    <phoneticPr fontId="1" type="noConversion"/>
  </si>
  <si>
    <t>giushfe</t>
    <phoneticPr fontId="1" type="noConversion"/>
  </si>
  <si>
    <t>evacyas</t>
    <phoneticPr fontId="1" type="noConversion"/>
  </si>
  <si>
    <t>suglop</t>
    <phoneticPr fontId="1" type="noConversion"/>
  </si>
  <si>
    <t>origine</t>
    <phoneticPr fontId="1" type="noConversion"/>
  </si>
  <si>
    <t>eder</t>
    <phoneticPr fontId="1" type="noConversion"/>
  </si>
  <si>
    <t>onhesti</t>
    <phoneticPr fontId="1" type="noConversion"/>
  </si>
  <si>
    <t>nanost</t>
    <phoneticPr fontId="1" type="noConversion"/>
  </si>
  <si>
    <t>vevefa</t>
    <phoneticPr fontId="1" type="noConversion"/>
  </si>
  <si>
    <t>qu'est</t>
    <phoneticPr fontId="1" type="noConversion"/>
  </si>
  <si>
    <t>nitva</t>
    <phoneticPr fontId="1" type="noConversion"/>
  </si>
  <si>
    <t>sumpele</t>
    <phoneticPr fontId="1" type="noConversion"/>
  </si>
  <si>
    <t>tarica</t>
    <phoneticPr fontId="1" type="noConversion"/>
  </si>
  <si>
    <t>tecifa</t>
    <phoneticPr fontId="1" type="noConversion"/>
  </si>
  <si>
    <t>fuvora</t>
    <phoneticPr fontId="1" type="noConversion"/>
  </si>
  <si>
    <t>yacshiz</t>
    <phoneticPr fontId="1" type="noConversion"/>
  </si>
  <si>
    <t>因伤病身体倒下，毙</t>
  </si>
  <si>
    <t>枪毙</t>
  </si>
  <si>
    <t>纠正</t>
  </si>
  <si>
    <t>辅助</t>
  </si>
  <si>
    <t>赠送</t>
  </si>
  <si>
    <t>复召</t>
  </si>
  <si>
    <t>征召</t>
  </si>
  <si>
    <t>避免</t>
  </si>
  <si>
    <t>退走；败走</t>
  </si>
  <si>
    <t>开辟</t>
  </si>
  <si>
    <t>消除</t>
  </si>
  <si>
    <t>安扎军营</t>
  </si>
  <si>
    <t>擗，捶胸</t>
  </si>
  <si>
    <t>裂开</t>
  </si>
  <si>
    <t>分裂</t>
  </si>
  <si>
    <t>破裂</t>
  </si>
  <si>
    <t>损伤</t>
  </si>
  <si>
    <t>宠爱</t>
  </si>
  <si>
    <t>叠衣服</t>
  </si>
  <si>
    <t>抄叠</t>
  </si>
  <si>
    <t>对折</t>
  </si>
  <si>
    <t>（腿）瘸</t>
  </si>
  <si>
    <t>仆例</t>
  </si>
  <si>
    <t>篦，篦子；用篦子梳（头）；极尽剥削</t>
  </si>
  <si>
    <t>接壤</t>
  </si>
  <si>
    <t>砭；用石针刺穴治病</t>
  </si>
  <si>
    <t>编写</t>
  </si>
  <si>
    <t>交织</t>
  </si>
  <si>
    <t>编排</t>
  </si>
  <si>
    <t>督促</t>
  </si>
  <si>
    <t>鞭打；鞭</t>
  </si>
  <si>
    <t>窆，将棺木下入墓穴</t>
  </si>
  <si>
    <t>抃，鼓掌</t>
  </si>
  <si>
    <t>发生事变</t>
  </si>
  <si>
    <t xml:space="preserve">发生灾异 </t>
  </si>
  <si>
    <t>辨别</t>
  </si>
  <si>
    <t>辩论</t>
  </si>
  <si>
    <t>应付</t>
  </si>
  <si>
    <t>申诉</t>
  </si>
  <si>
    <t>申辩</t>
  </si>
  <si>
    <t>拉开</t>
  </si>
  <si>
    <t>打击</t>
  </si>
  <si>
    <t>露出</t>
  </si>
  <si>
    <t>标明</t>
  </si>
  <si>
    <t>写明</t>
  </si>
  <si>
    <t>闪光</t>
  </si>
  <si>
    <t>缓行</t>
  </si>
  <si>
    <t>疾走</t>
  </si>
  <si>
    <t>狂奔</t>
  </si>
  <si>
    <t>锄草</t>
  </si>
  <si>
    <t>蓘，给庄稼培土</t>
  </si>
  <si>
    <t>表白，表明心志</t>
  </si>
  <si>
    <t>表明</t>
  </si>
  <si>
    <t>表现</t>
  </si>
  <si>
    <t>表彰</t>
  </si>
  <si>
    <t>上表</t>
  </si>
  <si>
    <t>上表推荐</t>
  </si>
  <si>
    <t>落</t>
  </si>
  <si>
    <t>高举</t>
  </si>
  <si>
    <t>告别</t>
  </si>
  <si>
    <t>离别</t>
  </si>
  <si>
    <t>用心尽力</t>
  </si>
  <si>
    <t>排斥；专指人的排斥</t>
  </si>
  <si>
    <t>抛弃</t>
  </si>
  <si>
    <t>纷乱</t>
  </si>
  <si>
    <t>繁多</t>
  </si>
  <si>
    <t xml:space="preserve">陈列 </t>
  </si>
  <si>
    <t>摆放</t>
  </si>
  <si>
    <t>敬</t>
  </si>
  <si>
    <t>接引宾客</t>
  </si>
  <si>
    <t>停放灵柩</t>
  </si>
  <si>
    <t>膑，剔膝盖骨</t>
  </si>
  <si>
    <t>举</t>
  </si>
  <si>
    <t>用兵器伤人</t>
  </si>
  <si>
    <t>点燃</t>
  </si>
  <si>
    <t>坚持</t>
  </si>
  <si>
    <t>承受</t>
  </si>
  <si>
    <t>禀，下对上报告</t>
  </si>
  <si>
    <t>廪，给予谷物</t>
  </si>
  <si>
    <t>合并</t>
  </si>
  <si>
    <t>吞并</t>
  </si>
  <si>
    <t>分散</t>
  </si>
  <si>
    <t>屏住（呼吸）</t>
  </si>
  <si>
    <t>兼并</t>
  </si>
  <si>
    <t>压制</t>
  </si>
  <si>
    <t>病情加重</t>
  </si>
  <si>
    <t>生病；生病</t>
  </si>
  <si>
    <t>精疲力尽</t>
  </si>
  <si>
    <t>失败</t>
  </si>
  <si>
    <t>去掉</t>
  </si>
  <si>
    <t>除去</t>
  </si>
  <si>
    <t>拨开</t>
  </si>
  <si>
    <t>弹拨</t>
  </si>
  <si>
    <t>拨动</t>
  </si>
  <si>
    <t>折断</t>
  </si>
  <si>
    <t>剥落</t>
  </si>
  <si>
    <t>去皮</t>
  </si>
  <si>
    <t>搜刮</t>
  </si>
  <si>
    <t>剥削</t>
  </si>
  <si>
    <t>脱落</t>
  </si>
  <si>
    <t>播（种）</t>
  </si>
  <si>
    <t>散布，传播</t>
  </si>
  <si>
    <t>传扬</t>
  </si>
  <si>
    <t>舍弃</t>
  </si>
  <si>
    <t>迁移</t>
  </si>
  <si>
    <t>流亡</t>
  </si>
  <si>
    <t>停泊</t>
  </si>
  <si>
    <t>驳斥</t>
  </si>
  <si>
    <t>反驳</t>
  </si>
  <si>
    <t>混杂</t>
  </si>
  <si>
    <t>松驰</t>
  </si>
  <si>
    <t>恼怒</t>
  </si>
  <si>
    <t>换取</t>
  </si>
  <si>
    <t>讨取</t>
  </si>
  <si>
    <t>搏斗</t>
  </si>
  <si>
    <t>扑</t>
  </si>
  <si>
    <t>揉</t>
  </si>
  <si>
    <t>捕捉</t>
  </si>
  <si>
    <t>拾取</t>
  </si>
  <si>
    <t>在大腿上打节拍</t>
  </si>
  <si>
    <t>陈尸</t>
  </si>
  <si>
    <t>减轻</t>
  </si>
  <si>
    <t>跌倒</t>
  </si>
  <si>
    <t>颠覆（政权）</t>
  </si>
  <si>
    <t>毁坏</t>
  </si>
  <si>
    <t>颠覆（认知）</t>
  </si>
  <si>
    <t xml:space="preserve"> 杀人后陈尸</t>
  </si>
  <si>
    <t>颠簸</t>
  </si>
  <si>
    <t>筹划</t>
  </si>
  <si>
    <t>筹备</t>
  </si>
  <si>
    <t>谋划</t>
  </si>
  <si>
    <t>欠交（税赋）</t>
  </si>
  <si>
    <t>拖欠（钱款）</t>
  </si>
  <si>
    <t>拖延</t>
  </si>
  <si>
    <t>餔，申时食（下午二点）；晡时；申时</t>
  </si>
  <si>
    <t>喂（人）；给人喂食</t>
  </si>
  <si>
    <t>估计</t>
  </si>
  <si>
    <t>预料</t>
  </si>
  <si>
    <t>预测</t>
  </si>
  <si>
    <t>卜</t>
  </si>
  <si>
    <t>筮</t>
  </si>
  <si>
    <t>占</t>
  </si>
  <si>
    <t>补（衣服）</t>
  </si>
  <si>
    <t>修整（破损东西）</t>
  </si>
  <si>
    <t>弥补（过错）</t>
  </si>
  <si>
    <t>填补官职空缺</t>
  </si>
  <si>
    <t>滋补</t>
  </si>
  <si>
    <t>补助</t>
  </si>
  <si>
    <t>喂养，养育</t>
  </si>
  <si>
    <t>宣告</t>
  </si>
  <si>
    <t>恐吓</t>
  </si>
  <si>
    <t>统率</t>
  </si>
  <si>
    <t>指挥</t>
  </si>
  <si>
    <t>覆盖</t>
  </si>
  <si>
    <t>登记</t>
  </si>
  <si>
    <t>使抖动</t>
  </si>
  <si>
    <t>盛（饭）</t>
  </si>
  <si>
    <t>忌恨</t>
  </si>
  <si>
    <t>裁决</t>
  </si>
  <si>
    <t>使到来；引发</t>
  </si>
  <si>
    <t>丢失</t>
  </si>
  <si>
    <t>成就</t>
  </si>
  <si>
    <t>采集</t>
  </si>
  <si>
    <t>摘取</t>
  </si>
  <si>
    <t>选择</t>
  </si>
  <si>
    <t>采取</t>
  </si>
  <si>
    <t>理睬</t>
  </si>
  <si>
    <t>理会</t>
  </si>
  <si>
    <t>流放</t>
  </si>
  <si>
    <t>参加</t>
  </si>
  <si>
    <t>参与</t>
  </si>
  <si>
    <t>参，反复比较检验</t>
  </si>
  <si>
    <t>参谒</t>
  </si>
  <si>
    <t>检验</t>
  </si>
  <si>
    <t>参见（上级）</t>
  </si>
  <si>
    <t>骖乘，在车右边陪乘；陪乘者</t>
  </si>
  <si>
    <t>餐，吃（饭）；一顿饭</t>
  </si>
  <si>
    <t>杀害</t>
  </si>
  <si>
    <t>伤害</t>
  </si>
  <si>
    <t>消灭</t>
  </si>
  <si>
    <t>毁灭</t>
  </si>
  <si>
    <t>（口）衔v.</t>
  </si>
  <si>
    <t>鸧，（金属事物）好看</t>
  </si>
  <si>
    <t>掌握</t>
  </si>
  <si>
    <t>操作</t>
  </si>
  <si>
    <t>漕，通过水道运粮</t>
  </si>
  <si>
    <t>faunts</t>
    <phoneticPr fontId="1" type="noConversion"/>
  </si>
  <si>
    <t>weerh'b</t>
    <phoneticPr fontId="1" type="noConversion"/>
  </si>
  <si>
    <t>feapyomx</t>
    <phoneticPr fontId="1" type="noConversion"/>
  </si>
  <si>
    <t>wathan</t>
    <phoneticPr fontId="1" type="noConversion"/>
  </si>
  <si>
    <t>搓</t>
    <phoneticPr fontId="1" type="noConversion"/>
  </si>
  <si>
    <t>刺；铲除</t>
  </si>
  <si>
    <t>殖，种植</t>
  </si>
  <si>
    <t>起草，草拟</t>
  </si>
  <si>
    <t>封，册封</t>
  </si>
  <si>
    <t xml:space="preserve">厕，置身于 </t>
  </si>
  <si>
    <t>倾斜；对优待</t>
  </si>
  <si>
    <t>侧目，斜眼看</t>
  </si>
  <si>
    <t>测，测水深浅</t>
  </si>
  <si>
    <t>测量</t>
  </si>
  <si>
    <t>挥动</t>
  </si>
  <si>
    <t>驾驶；控制</t>
  </si>
  <si>
    <t>拄（拐杖）</t>
  </si>
  <si>
    <t>策问</t>
  </si>
  <si>
    <t>对策，应考的人按对策上的问题陈述自己的见解</t>
  </si>
  <si>
    <t>谋利，牟利</t>
  </si>
  <si>
    <t>预知</t>
  </si>
  <si>
    <t>挟制</t>
  </si>
  <si>
    <t>钳制</t>
  </si>
  <si>
    <t>寂静</t>
  </si>
  <si>
    <t>重叠</t>
  </si>
  <si>
    <t>失势</t>
  </si>
  <si>
    <t>遭遇挫折</t>
  </si>
  <si>
    <t>刺杀</t>
  </si>
  <si>
    <t>相差</t>
  </si>
  <si>
    <t>差遣</t>
  </si>
  <si>
    <t>瘥，病好</t>
  </si>
  <si>
    <t>蹉跌，失足跌倒；遭受挫折</t>
  </si>
  <si>
    <t>槎，用刀，斧砍</t>
  </si>
  <si>
    <t>耽误</t>
  </si>
  <si>
    <t>错过</t>
  </si>
  <si>
    <t>看清晰；辨明品质</t>
  </si>
  <si>
    <t>明察，辨明</t>
  </si>
  <si>
    <t>详审，仔细观察</t>
  </si>
  <si>
    <t>考察后推举</t>
  </si>
  <si>
    <t>诳骗，诓骗，骗</t>
  </si>
  <si>
    <t>对感到惊讶，诧异</t>
  </si>
  <si>
    <t>柴，烧柴祭祀</t>
  </si>
  <si>
    <t>祡，烧柴祭天</t>
  </si>
  <si>
    <t>佔佔，低语</t>
  </si>
  <si>
    <t>占有</t>
  </si>
  <si>
    <t>偷看；偷窥</t>
  </si>
  <si>
    <t>侦察</t>
  </si>
  <si>
    <t>牵引；带动，引导，引领</t>
  </si>
  <si>
    <t>牵连</t>
  </si>
  <si>
    <t>刺死</t>
  </si>
  <si>
    <t>谗，说别人坏话</t>
  </si>
  <si>
    <t>儳，插嘴</t>
  </si>
  <si>
    <t>开凿；开辟；凿子</t>
  </si>
  <si>
    <t>用针刺</t>
  </si>
  <si>
    <t>飘落</t>
  </si>
  <si>
    <t>流泪</t>
  </si>
  <si>
    <t>盘绕</t>
  </si>
  <si>
    <t>扎（束），扎束</t>
  </si>
  <si>
    <t>躔，行进中停留</t>
  </si>
  <si>
    <t>躔，日月五星在黄道上运行</t>
  </si>
  <si>
    <t>躔，日月五星运行时经过天空某一区域</t>
  </si>
  <si>
    <t>生育；产生</t>
  </si>
  <si>
    <t>生长</t>
  </si>
  <si>
    <t>产生；诞生</t>
  </si>
  <si>
    <t>发生</t>
  </si>
  <si>
    <t>出产；生产；生育</t>
  </si>
  <si>
    <t>出土</t>
  </si>
  <si>
    <t>铲平（草）；毁坏</t>
  </si>
  <si>
    <t>丳，串串儿；用串贯穿，穿串</t>
  </si>
  <si>
    <t>巴结</t>
  </si>
  <si>
    <t>阿谀奉承</t>
  </si>
  <si>
    <t>公开</t>
  </si>
  <si>
    <t>公开；公共</t>
  </si>
  <si>
    <t>显露；（特指坏品质）显露</t>
  </si>
  <si>
    <t>阐明</t>
  </si>
  <si>
    <t>解放</t>
  </si>
  <si>
    <t>完成</t>
  </si>
  <si>
    <t>掺杂</t>
  </si>
  <si>
    <t>掺和</t>
  </si>
  <si>
    <t>昌盛</t>
  </si>
  <si>
    <t>（政权）倾覆</t>
  </si>
  <si>
    <t>擅长</t>
  </si>
  <si>
    <t>成长</t>
  </si>
  <si>
    <t>增长</t>
  </si>
  <si>
    <t>嫁给</t>
  </si>
  <si>
    <t>娶</t>
  </si>
  <si>
    <t>结婚</t>
  </si>
  <si>
    <t>与... 结婚</t>
  </si>
  <si>
    <t>做首领</t>
  </si>
  <si>
    <t>长大</t>
  </si>
  <si>
    <t>成年</t>
  </si>
  <si>
    <t>品尝</t>
  </si>
  <si>
    <t>试探</t>
  </si>
  <si>
    <t>暗中试探</t>
  </si>
  <si>
    <t>尝试</t>
  </si>
  <si>
    <t>经历；遭遇</t>
  </si>
  <si>
    <t>偿还</t>
  </si>
  <si>
    <t>赔偿</t>
  </si>
  <si>
    <t>抵偿</t>
  </si>
  <si>
    <t>实现</t>
  </si>
  <si>
    <t>责备</t>
  </si>
  <si>
    <t>徜徉</t>
  </si>
  <si>
    <t>徘徊</t>
  </si>
  <si>
    <t>效法</t>
  </si>
  <si>
    <t>失意；不顺心，不顺遂</t>
  </si>
  <si>
    <t>流畅</t>
  </si>
  <si>
    <t>敞开；开放；不设防，坦诚</t>
  </si>
  <si>
    <t>不称心</t>
  </si>
  <si>
    <t>韔，把方放在弓套里</t>
  </si>
  <si>
    <t>畅通</t>
  </si>
  <si>
    <t>旺盛</t>
  </si>
  <si>
    <t>领唱；领导</t>
  </si>
  <si>
    <t>带头</t>
  </si>
  <si>
    <t>倡导</t>
  </si>
  <si>
    <t xml:space="preserve">高声报，大声念 </t>
  </si>
  <si>
    <t>称诵，（所有人）赞扬</t>
  </si>
  <si>
    <t>宣讲</t>
  </si>
  <si>
    <t>谈论</t>
  </si>
  <si>
    <t>掠夺</t>
  </si>
  <si>
    <t>抄，用瓢、勺取物</t>
  </si>
  <si>
    <t>抄，从侧面路过去</t>
  </si>
  <si>
    <t>强取</t>
  </si>
  <si>
    <t>入迷</t>
  </si>
  <si>
    <t>陈列</t>
  </si>
  <si>
    <t>陈述</t>
  </si>
  <si>
    <t>陈兵</t>
  </si>
  <si>
    <t>相信</t>
  </si>
  <si>
    <t>踔，跳着走</t>
  </si>
  <si>
    <t>龀，换牙</t>
  </si>
  <si>
    <t>举起</t>
  </si>
  <si>
    <t>推举</t>
  </si>
  <si>
    <t>举兵</t>
  </si>
  <si>
    <t>称，称赞</t>
  </si>
  <si>
    <t>赞许，大加赞赏</t>
  </si>
  <si>
    <t>号称</t>
  </si>
  <si>
    <t>声称</t>
  </si>
  <si>
    <t>合称</t>
  </si>
  <si>
    <t>瞠，瞪着眼睛直视</t>
  </si>
  <si>
    <t>使完成</t>
  </si>
  <si>
    <t>成全，帮助达成目标</t>
  </si>
  <si>
    <t>讲和</t>
  </si>
  <si>
    <t>和解</t>
  </si>
  <si>
    <t>议和</t>
  </si>
  <si>
    <t>城，修筑城墙</t>
  </si>
  <si>
    <t>容纳</t>
  </si>
  <si>
    <t>秉承</t>
  </si>
  <si>
    <t>救；拯救；救命！</t>
  </si>
  <si>
    <t>呈现，显现</t>
  </si>
  <si>
    <t>显出</t>
  </si>
  <si>
    <t>呈上</t>
  </si>
  <si>
    <t>衡量</t>
  </si>
  <si>
    <t>裎，裸体</t>
  </si>
  <si>
    <t>徒，赤脚</t>
  </si>
  <si>
    <t>起身</t>
  </si>
  <si>
    <t>碰撞</t>
  </si>
  <si>
    <t>触犯</t>
  </si>
  <si>
    <t>触怒，使愤怒</t>
  </si>
  <si>
    <t>得罪</t>
  </si>
  <si>
    <t>渍，浸泡</t>
  </si>
  <si>
    <t>侑 ，双人进食</t>
  </si>
  <si>
    <t>捧着</t>
  </si>
  <si>
    <t>继承</t>
  </si>
  <si>
    <t>接续；继承</t>
  </si>
  <si>
    <t>驾车</t>
  </si>
  <si>
    <t>乘船</t>
  </si>
  <si>
    <t>登（台）</t>
  </si>
  <si>
    <t>凭借</t>
  </si>
  <si>
    <t>追逐</t>
  </si>
  <si>
    <t>计算</t>
  </si>
  <si>
    <t>计量</t>
  </si>
  <si>
    <t>快步行走</t>
  </si>
  <si>
    <t>惩，因受打击不再干</t>
  </si>
  <si>
    <t>乘坐</t>
  </si>
  <si>
    <t>澂，使清</t>
  </si>
  <si>
    <t>沉淀 ；积累，凝聚</t>
  </si>
  <si>
    <t>放任</t>
  </si>
  <si>
    <t>放肆</t>
  </si>
  <si>
    <t>满足</t>
  </si>
  <si>
    <t>骋，纵马奔跑 ；做...事，工作</t>
  </si>
  <si>
    <t>逞，尽情施展</t>
  </si>
  <si>
    <t>经受</t>
  </si>
  <si>
    <t>欺侮</t>
  </si>
  <si>
    <t>讥笑；嘲笑；讽刺</t>
  </si>
  <si>
    <t>笞，用竹板荆条打 ；谴责，控诉 ；笞</t>
  </si>
  <si>
    <t>舒展；舒适，安逸</t>
  </si>
  <si>
    <t>迷恋，痴迷；爱慕</t>
  </si>
  <si>
    <t>铺陈</t>
  </si>
  <si>
    <t>停滞不动</t>
  </si>
  <si>
    <t>传布</t>
  </si>
  <si>
    <t>弛，放松弓弦</t>
  </si>
  <si>
    <t>shasnan</t>
    <phoneticPr fontId="1" type="noConversion"/>
  </si>
  <si>
    <t>getecarn</t>
    <phoneticPr fontId="1" type="noConversion"/>
  </si>
  <si>
    <t>猖狂</t>
    <phoneticPr fontId="1" type="noConversion"/>
  </si>
  <si>
    <t>猖獗</t>
  </si>
  <si>
    <t>喘气；休息</t>
    <phoneticPr fontId="1" type="noConversion"/>
  </si>
  <si>
    <t>放松</t>
  </si>
  <si>
    <t>松懈</t>
  </si>
  <si>
    <t>延缓；缓慢</t>
  </si>
  <si>
    <t>改变日期</t>
  </si>
  <si>
    <t>解除</t>
  </si>
  <si>
    <t>废弛，荒废，松懈</t>
  </si>
  <si>
    <t>使劲赶马</t>
  </si>
  <si>
    <t>驱马进击</t>
  </si>
  <si>
    <t>（车、马）疾行</t>
  </si>
  <si>
    <t>向往；令人向往</t>
  </si>
  <si>
    <t>执行</t>
  </si>
  <si>
    <t>对立</t>
  </si>
  <si>
    <t>对峙</t>
  </si>
  <si>
    <t>犹豫</t>
  </si>
  <si>
    <t>录用</t>
  </si>
  <si>
    <t>录制</t>
  </si>
  <si>
    <t>录音</t>
  </si>
  <si>
    <t>浪费</t>
  </si>
  <si>
    <t>胣，把腹破开掏出肠子</t>
  </si>
  <si>
    <t>革除</t>
  </si>
  <si>
    <t>褫，夺去衣带</t>
  </si>
  <si>
    <t>剥夺</t>
  </si>
  <si>
    <t>夺去</t>
  </si>
  <si>
    <t>行，慢步行走</t>
  </si>
  <si>
    <t>叱，大声喝斥，大声呵叱</t>
  </si>
  <si>
    <t>呼斥</t>
  </si>
  <si>
    <t>呼喊</t>
  </si>
  <si>
    <t>呼喝，吆喝</t>
  </si>
  <si>
    <t>怒喝</t>
  </si>
  <si>
    <t>开拓</t>
  </si>
  <si>
    <t>拿出</t>
  </si>
  <si>
    <t>探测</t>
  </si>
  <si>
    <t>光着、裸露（身子）</t>
  </si>
  <si>
    <t>飞跃</t>
  </si>
  <si>
    <t>遮挡，遮拦</t>
  </si>
  <si>
    <t>整顿</t>
  </si>
  <si>
    <t>整治，治理</t>
  </si>
  <si>
    <t>装饰，化妆，打扮</t>
  </si>
  <si>
    <t>嘱咐</t>
  </si>
  <si>
    <t>饎，烹煮</t>
  </si>
  <si>
    <t>爨，烧火做饭</t>
  </si>
  <si>
    <t>向上冲</t>
  </si>
  <si>
    <t>冲击，巨大的打击、震撼</t>
  </si>
  <si>
    <t>刺</t>
  </si>
  <si>
    <t>瞭望</t>
  </si>
  <si>
    <t>舂，舂谷，舂米，捣</t>
  </si>
  <si>
    <t>推崇</t>
  </si>
  <si>
    <t>尊崇，尊敬</t>
  </si>
  <si>
    <t>充满</t>
  </si>
  <si>
    <t>使荣耀</t>
  </si>
  <si>
    <t>宠溺</t>
  </si>
  <si>
    <t>宠幸，宠爱；临幸</t>
  </si>
  <si>
    <t>受宠</t>
  </si>
  <si>
    <t>抽出，拔出</t>
  </si>
  <si>
    <t>（植物）出芽，出穗</t>
  </si>
  <si>
    <t>提拔</t>
  </si>
  <si>
    <t>抒发</t>
  </si>
  <si>
    <t>抽引</t>
  </si>
  <si>
    <t>翩，急飞</t>
  </si>
  <si>
    <t>缠绕</t>
  </si>
  <si>
    <t>献酒</t>
  </si>
  <si>
    <t>酬酒</t>
  </si>
  <si>
    <t>应酬</t>
  </si>
  <si>
    <t>发愁</t>
  </si>
  <si>
    <t>忧虑</t>
  </si>
  <si>
    <t>卖出</t>
  </si>
  <si>
    <t>应答</t>
  </si>
  <si>
    <t>校对</t>
  </si>
  <si>
    <t>憎恶</t>
  </si>
  <si>
    <t>发出</t>
  </si>
  <si>
    <t>缴纳</t>
  </si>
  <si>
    <t>释放</t>
  </si>
  <si>
    <t>放出</t>
  </si>
  <si>
    <t>刍，用草料喂牲口</t>
  </si>
  <si>
    <t>反刍</t>
  </si>
  <si>
    <t>修整</t>
  </si>
  <si>
    <t>任命</t>
  </si>
  <si>
    <t>停留</t>
  </si>
  <si>
    <t>处于</t>
  </si>
  <si>
    <t>占据</t>
  </si>
  <si>
    <t>处理</t>
  </si>
  <si>
    <t>安排</t>
  </si>
  <si>
    <t>杵，捣，捶；杵</t>
  </si>
  <si>
    <t>储存</t>
  </si>
  <si>
    <t>积蓄</t>
  </si>
  <si>
    <t>打</t>
  </si>
  <si>
    <t>警惕</t>
  </si>
  <si>
    <t>引诱</t>
  </si>
  <si>
    <t>罢黜</t>
  </si>
  <si>
    <t>培土</t>
  </si>
  <si>
    <t>从容自得</t>
  </si>
  <si>
    <t>仇恨</t>
  </si>
  <si>
    <t>减少</t>
  </si>
  <si>
    <t>筑</t>
  </si>
  <si>
    <t>畜养</t>
  </si>
  <si>
    <t>养育；（土地）滋养（人）</t>
  </si>
  <si>
    <t>抽搐</t>
  </si>
  <si>
    <t>汇聚；积聚；积累</t>
  </si>
  <si>
    <t>受困</t>
  </si>
  <si>
    <t>（水）聚积</t>
  </si>
  <si>
    <t>（气）郁结，郁积</t>
  </si>
  <si>
    <t>勃然变色，突然大怒</t>
  </si>
  <si>
    <t>用角顶撞；顶撞，反抗</t>
  </si>
  <si>
    <t>高耸</t>
  </si>
  <si>
    <t>矗立</t>
  </si>
  <si>
    <t>直通，直达</t>
  </si>
  <si>
    <t>（蚊子）叮</t>
  </si>
  <si>
    <t>吞，吞食；囫囵吞枣地理解；吞并</t>
  </si>
  <si>
    <t>穿透</t>
  </si>
  <si>
    <t>穿破（纸、布、纱）</t>
  </si>
  <si>
    <t>穿过（孔、洞）</t>
  </si>
  <si>
    <t>通过（隧道、路）</t>
  </si>
  <si>
    <t>惩戒</t>
  </si>
  <si>
    <t>吹奏（乐器）</t>
  </si>
  <si>
    <t>悬挂，垂挂，垂下来</t>
  </si>
  <si>
    <t>悬挂</t>
  </si>
  <si>
    <t>流传</t>
  </si>
  <si>
    <t>（用棍、棒）捶；捶子</t>
  </si>
  <si>
    <t>锻打；锻炼（身体、脑力）</t>
  </si>
  <si>
    <t>炼，锻炼（钢铁）</t>
  </si>
  <si>
    <t>煅烧</t>
  </si>
  <si>
    <t>槌打，槌</t>
  </si>
  <si>
    <t>敲击</t>
  </si>
  <si>
    <t>耘田</t>
  </si>
  <si>
    <t>捆</t>
  </si>
  <si>
    <t>灌</t>
  </si>
  <si>
    <t>应和</t>
  </si>
  <si>
    <t>翰，高飞</t>
  </si>
  <si>
    <t>寘，放置</t>
  </si>
  <si>
    <t>动乱</t>
  </si>
  <si>
    <t>跳跃</t>
  </si>
  <si>
    <t>蠢，（昆虫）慢慢爬动</t>
  </si>
  <si>
    <t>超越</t>
  </si>
  <si>
    <t>疵，吹毛求疵；挑毛病；小毛病</t>
  </si>
  <si>
    <t>祠，春祭</t>
  </si>
  <si>
    <t>禴，夏祭</t>
  </si>
  <si>
    <t>烝，冬祭</t>
  </si>
  <si>
    <t>尝，秋祭</t>
  </si>
  <si>
    <t>祭祀</t>
  </si>
  <si>
    <t>茨，用芦苇、茅草覆盖；茨，茅草</t>
  </si>
  <si>
    <t>堆积</t>
  </si>
  <si>
    <t>解说</t>
  </si>
  <si>
    <t>推辞</t>
  </si>
  <si>
    <t>雌黄，更改（文字）</t>
  </si>
  <si>
    <t>信口雌黄</t>
  </si>
  <si>
    <t>泚笔，蘸墨</t>
  </si>
  <si>
    <t>次，临时驻扎、住宿</t>
  </si>
  <si>
    <t>命令</t>
  </si>
  <si>
    <t>按序排列</t>
  </si>
  <si>
    <t>帮助</t>
  </si>
  <si>
    <t>刺探</t>
  </si>
  <si>
    <t>斥责</t>
  </si>
  <si>
    <t>撑（船）</t>
  </si>
  <si>
    <t>鏦，用矛撞刺；小矛</t>
  </si>
  <si>
    <t>跟随</t>
  </si>
  <si>
    <t>任凭</t>
  </si>
  <si>
    <t>怂恿</t>
  </si>
  <si>
    <t>（水）交汇</t>
  </si>
  <si>
    <t>会聚（光线）</t>
  </si>
  <si>
    <t>发散（光线）</t>
  </si>
  <si>
    <t>会合</t>
  </si>
  <si>
    <t>会师</t>
  </si>
  <si>
    <t>凑，奔向</t>
  </si>
  <si>
    <t>凑（数字），使接近</t>
  </si>
  <si>
    <t>往</t>
  </si>
  <si>
    <t>催促</t>
  </si>
  <si>
    <t>促成</t>
  </si>
  <si>
    <t>踢</t>
  </si>
  <si>
    <t>逼近</t>
  </si>
  <si>
    <t>矉，颦，皱眉头</t>
  </si>
  <si>
    <t>踏</t>
  </si>
  <si>
    <t>踩</t>
  </si>
  <si>
    <t>攒，（殆）停棺待葬</t>
  </si>
  <si>
    <t>穿孔</t>
  </si>
  <si>
    <t>qu'ordag</t>
    <phoneticPr fontId="1" type="noConversion"/>
  </si>
  <si>
    <t>decor</t>
    <phoneticPr fontId="1" type="noConversion"/>
  </si>
  <si>
    <t>巧饰</t>
    <phoneticPr fontId="1" type="noConversion"/>
  </si>
  <si>
    <t>放逐</t>
  </si>
  <si>
    <t>删改，删补</t>
  </si>
  <si>
    <t>涂抹；掩饰：涂改，涂乙</t>
  </si>
  <si>
    <t>篡，非法夺取</t>
  </si>
  <si>
    <t>篡位，篡权</t>
  </si>
  <si>
    <t>摧折</t>
  </si>
  <si>
    <t>落泪</t>
  </si>
  <si>
    <t>淬火；锻炼</t>
  </si>
  <si>
    <t>染；浸染</t>
  </si>
  <si>
    <t>染色</t>
  </si>
  <si>
    <t>印染</t>
  </si>
  <si>
    <t>染发</t>
  </si>
  <si>
    <t>烫发</t>
  </si>
  <si>
    <t>憔悴</t>
  </si>
  <si>
    <t>破碎；失败，落空</t>
  </si>
  <si>
    <t>掘（地）</t>
  </si>
  <si>
    <t>发掘</t>
  </si>
  <si>
    <t>挖掘</t>
  </si>
  <si>
    <t>发现</t>
  </si>
  <si>
    <t>皴法（一种国画技法）；皮肤皴裂；龟裂</t>
  </si>
  <si>
    <t>皴，皮肤皱裂</t>
  </si>
  <si>
    <t>思念，怀念</t>
  </si>
  <si>
    <t>（身体，肉体上）死亡</t>
  </si>
  <si>
    <t>神灭，精神上灭亡</t>
  </si>
  <si>
    <t>灭族</t>
  </si>
  <si>
    <t>团灭</t>
  </si>
  <si>
    <t>灭亡</t>
  </si>
  <si>
    <t>灭绝</t>
  </si>
  <si>
    <t>灭火</t>
  </si>
  <si>
    <t>看望，拜访</t>
  </si>
  <si>
    <t>探望，探亲</t>
  </si>
  <si>
    <t>监视，监测</t>
  </si>
  <si>
    <t>问候，问候语</t>
  </si>
  <si>
    <t>寒暄</t>
  </si>
  <si>
    <t>抚恤，抚慰</t>
  </si>
  <si>
    <t>蹲</t>
  </si>
  <si>
    <t>揣度，揣测</t>
  </si>
  <si>
    <t>思量</t>
  </si>
  <si>
    <t>思考</t>
  </si>
  <si>
    <t>抚慰</t>
  </si>
  <si>
    <t>托孤</t>
  </si>
  <si>
    <t>跪</t>
  </si>
  <si>
    <t>五体投地</t>
  </si>
  <si>
    <t>跽</t>
  </si>
  <si>
    <t>跪坐</t>
  </si>
  <si>
    <t>磕头</t>
  </si>
  <si>
    <t>单膝跪地</t>
  </si>
  <si>
    <t>半蹲</t>
  </si>
  <si>
    <t>侧蹲</t>
  </si>
  <si>
    <t>沉蹲，深蹲</t>
  </si>
  <si>
    <t>忖度，考虑</t>
  </si>
  <si>
    <t>切（脉），把（脉）</t>
  </si>
  <si>
    <t>切磋，PK，对决</t>
  </si>
  <si>
    <t>切磋，共同商讨、探究</t>
  </si>
  <si>
    <t>差误，失误，差错</t>
  </si>
  <si>
    <t>蹉跌，失足跌倒；失误</t>
  </si>
  <si>
    <t>失足，一不小心干错事</t>
  </si>
  <si>
    <t>蹉跎，虚度光阴</t>
  </si>
  <si>
    <t>爪子；用爪子取粒状物；抓取</t>
  </si>
  <si>
    <t>提取；提取精华，提炼；汲取</t>
  </si>
  <si>
    <t>摘录，摘抄，记录</t>
  </si>
  <si>
    <t>摘抄</t>
  </si>
  <si>
    <t>抄袭</t>
  </si>
  <si>
    <t>抄写</t>
  </si>
  <si>
    <t>传抄</t>
  </si>
  <si>
    <t>聚合；聚合，聚拢</t>
  </si>
  <si>
    <t>团聚</t>
  </si>
  <si>
    <t>聚会；政党</t>
  </si>
  <si>
    <t>（天）荐瘥，（天）天疫病，（天）降灾祸</t>
  </si>
  <si>
    <t>折损（刀刃）</t>
  </si>
  <si>
    <t>搓磨（东西）</t>
  </si>
  <si>
    <t>铡碎；彻底清除</t>
  </si>
  <si>
    <t>铡（草）</t>
  </si>
  <si>
    <t>镇压</t>
  </si>
  <si>
    <t>安厝，安置，厝置；厝（房屋）</t>
  </si>
  <si>
    <t>厝，把棺材浅埋等待改葬</t>
  </si>
  <si>
    <t>交叉</t>
  </si>
  <si>
    <t>交错相通</t>
  </si>
  <si>
    <t>交错纵横</t>
  </si>
  <si>
    <t>相切</t>
  </si>
  <si>
    <t>相离</t>
  </si>
  <si>
    <t>内切</t>
  </si>
  <si>
    <t>外切</t>
  </si>
  <si>
    <t>重合</t>
  </si>
  <si>
    <t>剒，把犀牛角雕刻成器物</t>
  </si>
  <si>
    <t>雕刻</t>
  </si>
  <si>
    <t>镂空雕</t>
  </si>
  <si>
    <t>篆刻</t>
  </si>
  <si>
    <t>施行</t>
  </si>
  <si>
    <t>施为，施展才能</t>
  </si>
  <si>
    <t>挤压</t>
  </si>
  <si>
    <t>施压</t>
  </si>
  <si>
    <t>施法</t>
  </si>
  <si>
    <t>放弃</t>
  </si>
  <si>
    <t>放缓</t>
  </si>
  <si>
    <t>丢弃</t>
  </si>
  <si>
    <t>错，镶嵌</t>
  </si>
  <si>
    <t>镶</t>
  </si>
  <si>
    <t>嵌入</t>
  </si>
  <si>
    <t>嵌</t>
  </si>
  <si>
    <t>（人之间）不合</t>
  </si>
  <si>
    <t>不合群</t>
  </si>
  <si>
    <t>吻合</t>
  </si>
  <si>
    <t>（道路）相通；（方法）行得通</t>
  </si>
  <si>
    <t>通晓</t>
  </si>
  <si>
    <t>传达</t>
  </si>
  <si>
    <t>通达</t>
  </si>
  <si>
    <t>得志</t>
  </si>
  <si>
    <t>显贵</t>
  </si>
  <si>
    <t>鞭挞</t>
  </si>
  <si>
    <t>重视</t>
  </si>
  <si>
    <t>平安</t>
  </si>
  <si>
    <t>代替</t>
  </si>
  <si>
    <t>交替</t>
  </si>
  <si>
    <t>轮流，一一做</t>
  </si>
  <si>
    <t>（父子）相继，父死子继</t>
  </si>
  <si>
    <t>（兄弟）相继，兄终弟及</t>
  </si>
  <si>
    <t>施予</t>
  </si>
  <si>
    <t>宽恕，原谅</t>
  </si>
  <si>
    <t>哄骗</t>
  </si>
  <si>
    <t>轻慢</t>
  </si>
  <si>
    <t>兼任</t>
  </si>
  <si>
    <t>兼管，兼掌</t>
  </si>
  <si>
    <t>代理</t>
  </si>
  <si>
    <t>代购</t>
  </si>
  <si>
    <t>代销</t>
  </si>
  <si>
    <t>代驾</t>
  </si>
  <si>
    <t>代玩</t>
  </si>
  <si>
    <t>代笔</t>
  </si>
  <si>
    <t>衰落，堕落</t>
  </si>
  <si>
    <t>沦落</t>
  </si>
  <si>
    <t>沦陷</t>
  </si>
  <si>
    <t>沦为</t>
  </si>
  <si>
    <t>巡查</t>
  </si>
  <si>
    <t>巡逻</t>
  </si>
  <si>
    <t>革命</t>
  </si>
  <si>
    <t>维新</t>
  </si>
  <si>
    <t>变法</t>
  </si>
  <si>
    <t>改革</t>
  </si>
  <si>
    <t>跃迁，跃跹</t>
  </si>
  <si>
    <t>拟态</t>
  </si>
  <si>
    <t>走失</t>
  </si>
  <si>
    <t>审判</t>
  </si>
  <si>
    <t>判罪</t>
  </si>
  <si>
    <t>刑拘</t>
  </si>
  <si>
    <t>拘留</t>
  </si>
  <si>
    <t>把握</t>
  </si>
  <si>
    <t>把守</t>
  </si>
  <si>
    <t>驻守</t>
  </si>
  <si>
    <t>近乎，近于，几乎</t>
  </si>
  <si>
    <t>带，被环绕</t>
  </si>
  <si>
    <t>招待</t>
  </si>
  <si>
    <t>逮捕</t>
  </si>
  <si>
    <t>捉拿</t>
  </si>
  <si>
    <t>戴</t>
  </si>
  <si>
    <t>爱戴</t>
  </si>
  <si>
    <t>拥戴</t>
  </si>
  <si>
    <t>拥护</t>
  </si>
  <si>
    <t>拥立</t>
  </si>
  <si>
    <t>喻，说明白；明白展现出来</t>
  </si>
  <si>
    <t>惮，惊恐</t>
  </si>
  <si>
    <t>注视</t>
  </si>
  <si>
    <t>凝视</t>
  </si>
  <si>
    <t>担，肩挑</t>
  </si>
  <si>
    <t>涂改，涂乙</t>
  </si>
  <si>
    <t>涂鸦</t>
  </si>
  <si>
    <t>诈，骗</t>
  </si>
  <si>
    <t>诞生</t>
  </si>
  <si>
    <t>出生；诞生；发轫，滥觞</t>
  </si>
  <si>
    <t>啖，给什么吃</t>
  </si>
  <si>
    <t>利诱</t>
  </si>
  <si>
    <t>怛，使害怕</t>
  </si>
  <si>
    <t>弹（小球）</t>
  </si>
  <si>
    <t>弹，用弹弓射；弹弓</t>
  </si>
  <si>
    <t>弹，用手指轻敲、轻弹</t>
  </si>
  <si>
    <t>抨击</t>
  </si>
  <si>
    <t>弹劾</t>
  </si>
  <si>
    <t>检举，检举揭发</t>
  </si>
  <si>
    <t>弹奏</t>
  </si>
  <si>
    <t>砭，针灸；以针砭治病</t>
  </si>
  <si>
    <t>波动</t>
  </si>
  <si>
    <t>波及</t>
  </si>
  <si>
    <t>（海波）荡漾</t>
  </si>
  <si>
    <t>支配</t>
  </si>
  <si>
    <t>摆布，控制</t>
  </si>
  <si>
    <t>播迁</t>
  </si>
  <si>
    <t>播发</t>
  </si>
  <si>
    <t>富足</t>
  </si>
  <si>
    <t>面对</t>
  </si>
  <si>
    <t>挡住</t>
  </si>
  <si>
    <t>抵挡</t>
  </si>
  <si>
    <t>阻挡</t>
  </si>
  <si>
    <t>占，占有，占领</t>
  </si>
  <si>
    <t>当作</t>
  </si>
  <si>
    <t>抵押</t>
  </si>
  <si>
    <t>溢出，溢</t>
  </si>
  <si>
    <t>震颤</t>
  </si>
  <si>
    <t>使惊动，震动</t>
  </si>
  <si>
    <t>洗除（污垢）；除掉（坏习惯）</t>
  </si>
  <si>
    <t>流动</t>
  </si>
  <si>
    <t>跌倒，跌落</t>
  </si>
  <si>
    <t>消除，清除</t>
  </si>
  <si>
    <t>涂抹</t>
  </si>
  <si>
    <t>唠叨</t>
  </si>
  <si>
    <t>疏通</t>
  </si>
  <si>
    <t>疏导</t>
  </si>
  <si>
    <t>疏散</t>
  </si>
  <si>
    <t>开发</t>
  </si>
  <si>
    <t>开导</t>
  </si>
  <si>
    <t>启发</t>
  </si>
  <si>
    <t>启示</t>
  </si>
  <si>
    <t>启蒙</t>
  </si>
  <si>
    <t>舂，舂（谷），舂（米）</t>
  </si>
  <si>
    <t>祈祷</t>
  </si>
  <si>
    <t>跺脚，顿足，踏地</t>
  </si>
  <si>
    <t>踏上（征途）</t>
  </si>
  <si>
    <t>奔赴（战场）</t>
  </si>
  <si>
    <t>实行</t>
  </si>
  <si>
    <t>遵循</t>
  </si>
  <si>
    <t>颠倒</t>
  </si>
  <si>
    <t>盗窃</t>
  </si>
  <si>
    <t>偷</t>
  </si>
  <si>
    <t>掏</t>
  </si>
  <si>
    <t>主张</t>
  </si>
  <si>
    <t>引导</t>
  </si>
  <si>
    <t>获得</t>
  </si>
  <si>
    <t>登；升</t>
  </si>
  <si>
    <t>进献</t>
  </si>
  <si>
    <t>登基</t>
  </si>
  <si>
    <t>承祧</t>
  </si>
  <si>
    <t>稔，（庄稼）成熟</t>
  </si>
  <si>
    <t>等，区分（等级、次序）</t>
  </si>
  <si>
    <t>堤，堤坝；筑堤</t>
  </si>
  <si>
    <t>奔窜，流窜</t>
    <phoneticPr fontId="1" type="noConversion"/>
  </si>
  <si>
    <t>撮；撮取</t>
    <phoneticPr fontId="1" type="noConversion"/>
  </si>
  <si>
    <t>wasnbo</t>
    <phoneticPr fontId="1" type="noConversion"/>
  </si>
  <si>
    <t>panhan</t>
    <phoneticPr fontId="1" type="noConversion"/>
  </si>
  <si>
    <t>发源，起源，发轫；血统是；血统；籍贯；籍贯是</t>
    <phoneticPr fontId="1" type="noConversion"/>
  </si>
  <si>
    <t>mastidir</t>
    <phoneticPr fontId="1" type="noConversion"/>
  </si>
  <si>
    <t>baryacrie</t>
    <phoneticPr fontId="1" type="noConversion"/>
  </si>
  <si>
    <t>buedlacer</t>
    <phoneticPr fontId="1" type="noConversion"/>
  </si>
  <si>
    <t>paconetmi</t>
    <phoneticPr fontId="1" type="noConversion"/>
  </si>
  <si>
    <t>hanstean</t>
    <phoneticPr fontId="1" type="noConversion"/>
  </si>
  <si>
    <t>唆使</t>
    <phoneticPr fontId="1" type="noConversion"/>
  </si>
  <si>
    <t>ch'in</t>
    <phoneticPr fontId="1" type="noConversion"/>
  </si>
  <si>
    <t>侮辱</t>
    <phoneticPr fontId="1" type="noConversion"/>
  </si>
  <si>
    <t>puojcener</t>
    <phoneticPr fontId="1" type="noConversion"/>
  </si>
  <si>
    <t>地理</t>
    <phoneticPr fontId="1" type="noConversion"/>
  </si>
  <si>
    <t>经济，社会物质生产、流通、分配等活动的总称</t>
    <phoneticPr fontId="1" type="noConversion"/>
  </si>
  <si>
    <t>政治，围绕国家政权展开的各种活动、关系和治理行为</t>
    <phoneticPr fontId="1" type="noConversion"/>
  </si>
  <si>
    <t>污染，有害物质进入环境或物体，使其原有状态被破坏</t>
    <phoneticPr fontId="1" type="noConversion"/>
  </si>
  <si>
    <t>障碍物，阻挡事物前进、通行的物体或事物</t>
    <phoneticPr fontId="1" type="noConversion"/>
  </si>
  <si>
    <t>模版，模板，供模仿、参照的标准样式或范本</t>
    <phoneticPr fontId="1" type="noConversion"/>
  </si>
  <si>
    <t>方式，做事情的方法、形式；方案，解决问题的具体计划、办法</t>
    <phoneticPr fontId="1" type="noConversion"/>
  </si>
  <si>
    <t>模式，事物的标准样式、固定结构或运行方式</t>
    <phoneticPr fontId="1" type="noConversion"/>
  </si>
  <si>
    <t>交易，双方或多方进行的商品、服务、资产等的交换活动</t>
    <phoneticPr fontId="1" type="noConversion"/>
  </si>
  <si>
    <t>贸易，国与国、地区与地区之间的商品、服务交换活动</t>
    <phoneticPr fontId="1" type="noConversion"/>
  </si>
  <si>
    <t>金融，围绕货币发行、流通、回笼，以及信贷、投资、保险、证券等的经济活动总称</t>
    <phoneticPr fontId="1" type="noConversion"/>
  </si>
  <si>
    <t>股票，股份公司发行的所有权凭证，持有者凭此享有公司分红、表决等权利</t>
    <phoneticPr fontId="1" type="noConversion"/>
  </si>
  <si>
    <t>证书，证明身份、资格、成就、事实等的正式文件</t>
    <phoneticPr fontId="1" type="noConversion"/>
  </si>
  <si>
    <t>证据，能够证明事实、客观情况的材料以判断真伪</t>
    <phoneticPr fontId="1" type="noConversion"/>
  </si>
  <si>
    <t>声明，公开表明立场、态度、事实</t>
    <phoneticPr fontId="1" type="noConversion"/>
  </si>
  <si>
    <t>宣誓，对特定对象庄严说出承诺，表决心、守义务的行为</t>
    <phoneticPr fontId="1" type="noConversion"/>
  </si>
  <si>
    <t>承诺，作出的应允；答应做某事或承担某种责任</t>
    <phoneticPr fontId="1" type="noConversion"/>
  </si>
  <si>
    <t>系统，由相互联系、相互作用的部分组成的有机整体</t>
    <phoneticPr fontId="1" type="noConversion"/>
  </si>
  <si>
    <t>设备，进行生产、工作、生活所需各类器械、装置的总称</t>
    <phoneticPr fontId="1" type="noConversion"/>
  </si>
  <si>
    <t>机器，能实现能量转换或完成特定工作的装置</t>
    <phoneticPr fontId="1" type="noConversion"/>
  </si>
  <si>
    <t>机器人，能自动执行预定程序或任务的智能机械装置，可替代人类完成各类工作</t>
    <phoneticPr fontId="1" type="noConversion"/>
  </si>
  <si>
    <t>音频，指声音的电子信号或相关文件</t>
    <phoneticPr fontId="1" type="noConversion"/>
  </si>
  <si>
    <t>代表大会，由选举产生，行使议事、决策权利；代表大会组织</t>
    <phoneticPr fontId="1" type="noConversion"/>
  </si>
  <si>
    <t>会议，有组织、有目的的多人集会，用于商议、决策、交流；会社，以共同兴趣、目标组成的团体</t>
    <phoneticPr fontId="1" type="noConversion"/>
  </si>
  <si>
    <t>仪式，为表达特定意义、遵循特定程序举行的正式活动</t>
    <phoneticPr fontId="1" type="noConversion"/>
  </si>
  <si>
    <t>讨论，多人就某一问题交换意见、进行探讨的行为</t>
    <phoneticPr fontId="1" type="noConversion"/>
  </si>
  <si>
    <t>视频，由连续图像帧组成，配合音频的动态画面</t>
    <phoneticPr fontId="1" type="noConversion"/>
  </si>
  <si>
    <t>博览会，展示产品、技术、成果的大型综合性展会</t>
    <phoneticPr fontId="1" type="noConversion"/>
  </si>
  <si>
    <t>基本，根本的、主要的；基础，事物发展的根本或起点</t>
    <phoneticPr fontId="1" type="noConversion"/>
  </si>
  <si>
    <t>关键，对事物发展起决定作用的部分、环节或因素</t>
    <phoneticPr fontId="1" type="noConversion"/>
  </si>
  <si>
    <t>公司，依照法定程序设立的，以营利为目的的企业法人组织</t>
    <phoneticPr fontId="1" type="noConversion"/>
  </si>
  <si>
    <t>道，道理、规律、道德；方法</t>
    <phoneticPr fontId="1" type="noConversion"/>
  </si>
  <si>
    <t>路，物理道路、人生发展方向；方法</t>
    <phoneticPr fontId="1" type="noConversion"/>
  </si>
  <si>
    <t>新闻，通过媒体传播的新近发生、有价值的信息</t>
    <phoneticPr fontId="1" type="noConversion"/>
  </si>
  <si>
    <t>目录，书籍、文件中按顺序列出的标题、条目及页码</t>
    <phoneticPr fontId="1" type="noConversion"/>
  </si>
  <si>
    <t>部分，整体中的一个组成单元，与 “整体” 相对</t>
    <phoneticPr fontId="1" type="noConversion"/>
  </si>
  <si>
    <t>章节，书籍、文章按内容划分的大单元</t>
    <phoneticPr fontId="1" type="noConversion"/>
  </si>
  <si>
    <t>计划，先制定的行动目标、步骤和措施</t>
    <phoneticPr fontId="1" type="noConversion"/>
  </si>
  <si>
    <t>地位，人或事物在社会、群体、系统中所处的等级和重要性</t>
    <phoneticPr fontId="1" type="noConversion"/>
  </si>
  <si>
    <t>学业，指在校学习的功课、成绩和整体学习情况</t>
    <phoneticPr fontId="1" type="noConversion"/>
  </si>
  <si>
    <t>社会，以一定的生产关系为基础，由人群组成的有机整体</t>
    <phoneticPr fontId="1" type="noConversion"/>
  </si>
  <si>
    <t>标准，衡量事物的准则、尺度</t>
    <phoneticPr fontId="1" type="noConversion"/>
  </si>
  <si>
    <t>社区，小区，聚居在一定地域内，有共同生活设施、人际关系和管理组织的社会群体</t>
    <phoneticPr fontId="1" type="noConversion"/>
  </si>
  <si>
    <t>设计，规划构思的结果</t>
    <phoneticPr fontId="1" type="noConversion"/>
  </si>
  <si>
    <t>国防，国家为防备和抵抗侵略、保卫国家主权、领土完整和安全而进行的军事及相关建设</t>
    <phoneticPr fontId="1" type="noConversion"/>
  </si>
  <si>
    <t>军事，与军队、战争、国防相关的一切事务</t>
    <phoneticPr fontId="1" type="noConversion"/>
  </si>
  <si>
    <t>指挥，对队伍、活动、工作等进行调度、安排和领导</t>
    <phoneticPr fontId="1" type="noConversion"/>
  </si>
  <si>
    <t>情报，关于对方情况、局势的机密或重要信息；泛指有价值的信息</t>
    <phoneticPr fontId="1" type="noConversion"/>
  </si>
  <si>
    <t>侦查，为查明事实、收集证据而进行的调查活动</t>
    <phoneticPr fontId="1" type="noConversion"/>
  </si>
  <si>
    <t>资源，可被人类开发、利用的天然或人工物质、能量及各类条件</t>
    <phoneticPr fontId="1" type="noConversion"/>
  </si>
  <si>
    <t>价格，价值</t>
    <phoneticPr fontId="1" type="noConversion"/>
  </si>
  <si>
    <t>代价，为达到某种目的而付出的物质、精力、时间或其他损失</t>
    <phoneticPr fontId="1" type="noConversion"/>
  </si>
  <si>
    <t>时期，具有某种特征的一段时间</t>
    <phoneticPr fontId="1" type="noConversion"/>
  </si>
  <si>
    <t>认证，由权威机构对事物的真实性、合法性、合格性进行审查并确认的行为</t>
    <phoneticPr fontId="1" type="noConversion"/>
  </si>
  <si>
    <t>尾声，文学、音乐作品的结尾部分；事情、活动的最后阶段</t>
    <phoneticPr fontId="1" type="noConversion"/>
  </si>
  <si>
    <t>指数，反映社会经济现象变化的相对数</t>
    <phoneticPr fontId="1" type="noConversion"/>
  </si>
  <si>
    <t>中心，空间上的中点，或事物的主要聚集地</t>
    <phoneticPr fontId="1" type="noConversion"/>
  </si>
  <si>
    <t>核心，事物最本质、最关键的部分</t>
    <phoneticPr fontId="1" type="noConversion"/>
  </si>
  <si>
    <t>重心，物理上的重力中心；事情的重点、着力点</t>
    <phoneticPr fontId="1" type="noConversion"/>
  </si>
  <si>
    <t>标志，表明特征、识别身份的记号、图形；徽章，表明身份、荣誉、所属团体的纪念章</t>
    <phoneticPr fontId="1" type="noConversion"/>
  </si>
  <si>
    <t>形象，人或事物的外在样貌、整体特征；文学、艺术中的具体描绘</t>
    <phoneticPr fontId="1" type="noConversion"/>
  </si>
  <si>
    <t>印象，接触人或事物后留在脑海中的感觉、记忆</t>
    <phoneticPr fontId="1" type="noConversion"/>
  </si>
  <si>
    <t>法治，以法治国的治国理念和方式，强调法律的至上性</t>
    <phoneticPr fontId="1" type="noConversion"/>
  </si>
  <si>
    <t>法制，法律制度的总称，是法治的基础</t>
    <phoneticPr fontId="1" type="noConversion"/>
  </si>
  <si>
    <t>司法，国家司法机关依照法定职权和程序，处理案件、适用法律的活动</t>
    <phoneticPr fontId="1" type="noConversion"/>
  </si>
  <si>
    <t>权力，政治上的强制力量，或职责范围内的支配力量</t>
    <phoneticPr fontId="1" type="noConversion"/>
  </si>
  <si>
    <t>权利，公民、法人依法享有的利益和资格</t>
    <phoneticPr fontId="1" type="noConversion"/>
  </si>
  <si>
    <t>义务，法律上、道德上应尽的责任</t>
    <phoneticPr fontId="1" type="noConversion"/>
  </si>
  <si>
    <t>因素，构成事物发展、变化的各种条件或成分</t>
    <phoneticPr fontId="1" type="noConversion"/>
  </si>
  <si>
    <t>条件，事物存在、发展的前提或基础；提出的要求、限定</t>
    <phoneticPr fontId="1" type="noConversion"/>
  </si>
  <si>
    <t>支撑，支持、维持事物的发展</t>
    <phoneticPr fontId="1" type="noConversion"/>
  </si>
  <si>
    <t>疫情，疫病的发生和传播情况</t>
    <phoneticPr fontId="1" type="noConversion"/>
  </si>
  <si>
    <t>战争，国家、民族、集团之间的大规模武装对抗，由多个战役组成</t>
    <phoneticPr fontId="1" type="noConversion"/>
  </si>
  <si>
    <t>战斗，规模最小的武装冲突，是战役的组成部分</t>
    <phoneticPr fontId="1" type="noConversion"/>
  </si>
  <si>
    <t>战役，为实现特定战略目标，在一定区域和时间内进行的一系列战斗的总和</t>
    <phoneticPr fontId="1" type="noConversion"/>
  </si>
  <si>
    <t>爱好，对某种事物具有浓厚的兴趣，并乐于参与</t>
    <phoneticPr fontId="1" type="noConversion"/>
  </si>
  <si>
    <t>体现，将事物的本质、特征通过一定的形式表现出来</t>
    <phoneticPr fontId="1" type="noConversion"/>
  </si>
  <si>
    <t>质量，产品、工作的优劣程度；人的素质、品质</t>
    <phoneticPr fontId="1" type="noConversion"/>
  </si>
  <si>
    <t>制造业，对原材料进行加工、制作，生产出各类工业品的行业总称</t>
    <phoneticPr fontId="1" type="noConversion"/>
  </si>
  <si>
    <t>传播，信息、思想、文化、疾病等从一方传递到另一方，或向周围扩散的过程</t>
    <phoneticPr fontId="1" type="noConversion"/>
  </si>
  <si>
    <t>事端，事衅，指引发冲突、纠纷的事情</t>
    <phoneticPr fontId="1" type="noConversion"/>
  </si>
  <si>
    <t>事，事情，具体的物件；客观存在的一切物体和现象</t>
    <phoneticPr fontId="1" type="noConversion"/>
  </si>
  <si>
    <t>东西，物，泛指具体的物件</t>
    <phoneticPr fontId="1" type="noConversion"/>
  </si>
  <si>
    <t>事物，泛指客观存在的一切物体和现象</t>
    <phoneticPr fontId="1" type="noConversion"/>
  </si>
  <si>
    <t>实践，人类改造自然、改造社会的实际活动</t>
    <phoneticPr fontId="1" type="noConversion"/>
  </si>
  <si>
    <t>实际，客观存在的事实、情况；真实的、符合现实的</t>
    <phoneticPr fontId="1" type="noConversion"/>
  </si>
  <si>
    <t>境界，人的思想、修养、认知达到的层次</t>
    <phoneticPr fontId="1" type="noConversion"/>
  </si>
  <si>
    <t>水平，水准，泛指人或事物的能力、质量、程度</t>
    <phoneticPr fontId="1" type="noConversion"/>
  </si>
  <si>
    <t>档次，指事物的等级、层次，更侧重等级划分</t>
    <phoneticPr fontId="1" type="noConversion"/>
  </si>
  <si>
    <t>作息，指工作、学习和休息的时间安排</t>
    <phoneticPr fontId="1" type="noConversion"/>
  </si>
  <si>
    <t>恶习，长期养成的、有害的习惯，坏习惯</t>
    <phoneticPr fontId="1" type="noConversion"/>
  </si>
  <si>
    <t>饮食，吃饭、喝水等饮食活动</t>
    <phoneticPr fontId="1" type="noConversion"/>
  </si>
  <si>
    <t>习惯，长期重复形成的、不易改变的行为方式</t>
    <phoneticPr fontId="1" type="noConversion"/>
  </si>
  <si>
    <t>是，表示肯定，确认人 / 事物的属性、身份、状态等</t>
    <phoneticPr fontId="1" type="noConversion"/>
  </si>
  <si>
    <t>不是，表示否定，与 “是” 相对</t>
    <phoneticPr fontId="1" type="noConversion"/>
  </si>
  <si>
    <t>看，（及物）用眼睛感知事物；（不及物）视线朝向</t>
    <phoneticPr fontId="1" type="noConversion"/>
  </si>
  <si>
    <t>应该，表情理上的应当、责任或建议</t>
    <phoneticPr fontId="1" type="noConversion"/>
  </si>
  <si>
    <t>不应该，表情理上不妥、违背责任或不建议</t>
    <phoneticPr fontId="1" type="noConversion"/>
  </si>
  <si>
    <t>可能，或许，表不确定的推测</t>
    <phoneticPr fontId="1" type="noConversion"/>
  </si>
  <si>
    <t>不可能，表完全没有发生的概率，否定推测</t>
    <phoneticPr fontId="1" type="noConversion"/>
  </si>
  <si>
    <t>将要，将会，表未来会发生的动作或状态</t>
    <phoneticPr fontId="1" type="noConversion"/>
  </si>
  <si>
    <t>将不会，不会，否定未来的动作</t>
    <phoneticPr fontId="1" type="noConversion"/>
  </si>
  <si>
    <t>最好，表最优的建议或选择</t>
    <phoneticPr fontId="1" type="noConversion"/>
  </si>
  <si>
    <t>最好不，表不建议做某事</t>
    <phoneticPr fontId="1" type="noConversion"/>
  </si>
  <si>
    <t>需要，表有必要做某事 / 缺少某物</t>
    <phoneticPr fontId="1" type="noConversion"/>
  </si>
  <si>
    <t>不得不，表受客观条件限制，被迫做某事</t>
    <phoneticPr fontId="1" type="noConversion"/>
  </si>
  <si>
    <t>不需要，表无必要、不缺少</t>
    <phoneticPr fontId="1" type="noConversion"/>
  </si>
  <si>
    <t>禁止，表明令不准做某事</t>
    <phoneticPr fontId="1" type="noConversion"/>
  </si>
  <si>
    <t>听，（及物）用耳朵接收声音；（不及物）留意声音</t>
    <phoneticPr fontId="1" type="noConversion"/>
  </si>
  <si>
    <t>吃，把食物放入口中咀嚼咽下</t>
    <phoneticPr fontId="1" type="noConversion"/>
  </si>
  <si>
    <t>感到，内心感知到情绪、状态或触感</t>
    <phoneticPr fontId="1" type="noConversion"/>
  </si>
  <si>
    <t>嗅，闻，表用鼻子感知气味</t>
    <phoneticPr fontId="1" type="noConversion"/>
  </si>
  <si>
    <t>品尝，仔细吃 / 喝，辨别味道</t>
    <phoneticPr fontId="1" type="noConversion"/>
  </si>
  <si>
    <t>知道，认识，了解，知晓，熟悉</t>
    <phoneticPr fontId="1" type="noConversion"/>
  </si>
  <si>
    <t>阅读，读书，泛读各类文字材料</t>
    <phoneticPr fontId="1" type="noConversion"/>
  </si>
  <si>
    <t>跑步，跑，指快速移动的运动</t>
    <phoneticPr fontId="1" type="noConversion"/>
  </si>
  <si>
    <t>走路，走，指用脚缓步移动</t>
    <phoneticPr fontId="1" type="noConversion"/>
  </si>
  <si>
    <t>歌颂，颂扬；为……唱颂歌</t>
    <phoneticPr fontId="1" type="noConversion"/>
  </si>
  <si>
    <t>唱歌，歌唱，唱，表发出旋律性的声音</t>
    <phoneticPr fontId="1" type="noConversion"/>
  </si>
  <si>
    <t>上升，升起，表位置、数量等向上；（太阳）升起</t>
    <phoneticPr fontId="1" type="noConversion"/>
  </si>
  <si>
    <t>下降，落下，降下，表位置、数量等向下；（太阳）落下</t>
    <phoneticPr fontId="1" type="noConversion"/>
  </si>
  <si>
    <t>说，说话，讲话，交流</t>
    <phoneticPr fontId="1" type="noConversion"/>
  </si>
  <si>
    <t>开始，表动作、事件启动</t>
    <phoneticPr fontId="1" type="noConversion"/>
  </si>
  <si>
    <t>结束，表动作、事件终止</t>
    <phoneticPr fontId="1" type="noConversion"/>
  </si>
  <si>
    <t>不做……；不，通用否定各类动词</t>
    <phoneticPr fontId="1" type="noConversion"/>
  </si>
  <si>
    <t>做，办，干，进行，表从事某项活动</t>
    <phoneticPr fontId="1" type="noConversion"/>
  </si>
  <si>
    <t>痴迷，表极度迷恋</t>
    <phoneticPr fontId="1" type="noConversion"/>
  </si>
  <si>
    <t>雕塑，用材料塑立体形象</t>
    <phoneticPr fontId="1" type="noConversion"/>
  </si>
  <si>
    <t>画（画），用画笔绘图形</t>
    <phoneticPr fontId="1" type="noConversion"/>
  </si>
  <si>
    <t>写作，指创作文字作品</t>
    <phoneticPr fontId="1" type="noConversion"/>
  </si>
  <si>
    <t>开（车，船，飞机），操控交通工具</t>
    <phoneticPr fontId="1" type="noConversion"/>
  </si>
  <si>
    <t>骑，跨坐交通工具 / 动物</t>
    <phoneticPr fontId="1" type="noConversion"/>
  </si>
  <si>
    <t>安慰，安抚情绪</t>
    <phoneticPr fontId="1" type="noConversion"/>
  </si>
  <si>
    <t>玩，做游戏 / 娱乐</t>
    <phoneticPr fontId="1" type="noConversion"/>
  </si>
  <si>
    <t>妨碍，阻碍事情进行</t>
    <phoneticPr fontId="1" type="noConversion"/>
  </si>
  <si>
    <t>跳，跳起，表双脚离地向上 / 向前移动</t>
    <phoneticPr fontId="1" type="noConversion"/>
  </si>
  <si>
    <t>跳舞，舞蹈，舞，指以肢体动作为主的艺术形式</t>
    <phoneticPr fontId="1" type="noConversion"/>
  </si>
  <si>
    <t>使，使得；让；使役动词，表致使某人 / 事物产生某种状态、动作</t>
    <phoneticPr fontId="1" type="noConversion"/>
  </si>
  <si>
    <t>偷盗，指偷窃、盗取他人财物</t>
    <phoneticPr fontId="1" type="noConversion"/>
  </si>
  <si>
    <t>变为，表状态、性质转变为另一状态；变化</t>
    <phoneticPr fontId="1" type="noConversion"/>
  </si>
  <si>
    <t>成为，变成，表状态、性质转变</t>
    <phoneticPr fontId="1" type="noConversion"/>
  </si>
  <si>
    <t>决定，表做出选择、判定</t>
    <phoneticPr fontId="1" type="noConversion"/>
  </si>
  <si>
    <t>存在，表客观上有、实际存在</t>
    <phoneticPr fontId="1" type="noConversion"/>
  </si>
  <si>
    <t>检查，表查看、查验，确认是否有问题、错误或符合标准</t>
    <phoneticPr fontId="1" type="noConversion"/>
  </si>
  <si>
    <t>喝，把液体送入口中咽下</t>
    <phoneticPr fontId="1" type="noConversion"/>
  </si>
  <si>
    <t>想，思，表思考、思索或思念</t>
    <phoneticPr fontId="1" type="noConversion"/>
  </si>
  <si>
    <t>想象，表在脑海中构思出未见过的事物、场景或形象</t>
    <phoneticPr fontId="1" type="noConversion"/>
  </si>
  <si>
    <t>修理，指修复损坏的物品、设备，使其恢复使用功能</t>
    <phoneticPr fontId="1" type="noConversion"/>
  </si>
  <si>
    <t>建筑，指建造房屋、桥梁等建筑物</t>
    <phoneticPr fontId="1" type="noConversion"/>
  </si>
  <si>
    <t>治疗，指用药物、手术、理疗等手段医治疾病、伤痛</t>
    <phoneticPr fontId="1" type="noConversion"/>
  </si>
  <si>
    <t>治愈，指治好疾病、伤痛，侧重结果</t>
    <phoneticPr fontId="1" type="noConversion"/>
  </si>
  <si>
    <t>护理，指照料、护理病人、老人等</t>
    <phoneticPr fontId="1" type="noConversion"/>
  </si>
  <si>
    <t>劳动，指从事体力或脑力工作</t>
    <phoneticPr fontId="1" type="noConversion"/>
  </si>
  <si>
    <t>工作，指从事职业活动或处理事务</t>
    <phoneticPr fontId="1" type="noConversion"/>
  </si>
  <si>
    <t>学习，指获取知识、技能</t>
    <phoneticPr fontId="1" type="noConversion"/>
  </si>
  <si>
    <t>打，殴打，指用暴力击打他人</t>
    <phoneticPr fontId="1" type="noConversion"/>
  </si>
  <si>
    <t>奴役，指把人当作奴隶使唤，剥夺其自由</t>
    <phoneticPr fontId="1" type="noConversion"/>
  </si>
  <si>
    <t>使……神魂颠倒，表使某人因迷恋而失去理智、心神不宁</t>
    <phoneticPr fontId="1" type="noConversion"/>
  </si>
  <si>
    <t>分娩，指孕妇生小孩，侧重生育的过程</t>
    <phoneticPr fontId="1" type="noConversion"/>
  </si>
  <si>
    <t>计划，指预先谋划、安排行动的目标、步骤</t>
    <phoneticPr fontId="1" type="noConversion"/>
  </si>
  <si>
    <t>遮挡，指挡住、遮蔽视线、光线或物体</t>
    <phoneticPr fontId="1" type="noConversion"/>
  </si>
  <si>
    <t>遗忘，指忘记、不记得</t>
    <phoneticPr fontId="1" type="noConversion"/>
  </si>
  <si>
    <t>痛打，指用力狠打、猛打</t>
    <phoneticPr fontId="1" type="noConversion"/>
  </si>
  <si>
    <t>打，击打，通用表用手、器具击打</t>
    <phoneticPr fontId="1" type="noConversion"/>
  </si>
  <si>
    <t>活动，指肢体运动，或从事某种有组织的事情</t>
    <phoneticPr fontId="1" type="noConversion"/>
  </si>
  <si>
    <t>笑，指因开心、愉悦、嘲笑等发出笑声</t>
    <phoneticPr fontId="1" type="noConversion"/>
  </si>
  <si>
    <t>哭，指因难过、激动等流泪、发出哭声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</si>
</sst>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华文楷体"/>
      <family val="3"/>
      <charset val="134"/>
    </font>
    <font>
      <sz val="10"/>
      <color theme="1"/>
      <name val="华文楷体"/>
      <family val="3"/>
      <charset val="134"/>
    </font>
    <font>
      <b/>
      <sz val="18"/>
      <color theme="1"/>
      <name val="华文楷体"/>
      <family val="3"/>
      <charset val="134"/>
    </font>
    <font>
      <sz val="18"/>
      <color theme="1"/>
      <name val="华文楷体"/>
      <family val="3"/>
      <charset val="134"/>
    </font>
    <font>
      <sz val="10"/>
      <color theme="1"/>
      <name val="微软雅黑"/>
      <family val="2"/>
      <charset val="134"/>
    </font>
    <font>
      <sz val="10"/>
      <color theme="1"/>
      <name val="宋体"/>
      <family val="3"/>
      <charset val="134"/>
    </font>
    <font>
      <sz val="10"/>
      <color theme="1"/>
      <name val="Microsoft YaHei UI"/>
      <family val="3"/>
      <charset val="134"/>
    </font>
    <font>
      <sz val="10"/>
      <color theme="1"/>
      <name val="Microsoft YaHei UI"/>
      <family val="2"/>
      <charset val="134"/>
    </font>
    <font>
      <sz val="10"/>
      <color theme="1"/>
      <name val="Calibri"/>
      <family val="3"/>
    </font>
    <font>
      <sz val="10"/>
      <color theme="1"/>
      <name val="华文楷体"/>
      <family val="2"/>
      <charset val="134"/>
    </font>
    <font>
      <sz val="10"/>
      <color theme="1"/>
      <name val="等线"/>
      <family val="3"/>
      <charset val="134"/>
    </font>
    <font>
      <sz val="10"/>
      <name val="华文楷体"/>
      <family val="3"/>
      <charset val="134"/>
    </font>
    <font>
      <sz val="5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58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58" fontId="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1655-15FE-442C-AD75-68B9884102EA}">
  <sheetPr filterMode="1"/>
  <dimension ref="A1:J10503"/>
  <sheetViews>
    <sheetView tabSelected="1" topLeftCell="A9236" zoomScale="52" zoomScaleNormal="75" workbookViewId="0">
      <selection activeCell="K9256" sqref="K9256"/>
    </sheetView>
  </sheetViews>
  <sheetFormatPr defaultColWidth="18.265625" defaultRowHeight="14.65" x14ac:dyDescent="0.4"/>
  <cols>
    <col min="1" max="1" width="4.59765625" style="3" customWidth="1"/>
    <col min="2" max="2" width="5.19921875" style="8" customWidth="1"/>
    <col min="3" max="3" width="16.33203125" style="3" bestFit="1" customWidth="1"/>
    <col min="4" max="4" width="45.86328125" style="3" customWidth="1"/>
    <col min="5" max="5" width="6.265625" style="3" bestFit="1" customWidth="1"/>
    <col min="6" max="6" width="6.06640625" style="3" bestFit="1" customWidth="1"/>
    <col min="7" max="7" width="3.86328125" style="3" customWidth="1"/>
    <col min="8" max="8" width="3.53125" style="3" customWidth="1"/>
    <col min="9" max="9" width="9.1328125" style="3" bestFit="1" customWidth="1"/>
    <col min="10" max="16384" width="18.265625" style="3"/>
  </cols>
  <sheetData>
    <row r="1" spans="1:10" s="17" customFormat="1" ht="25.9" x14ac:dyDescent="0.4">
      <c r="A1" s="19" t="s">
        <v>511</v>
      </c>
      <c r="B1" s="20"/>
      <c r="C1" s="19"/>
      <c r="D1" s="19"/>
      <c r="E1" s="19"/>
      <c r="F1" s="19"/>
      <c r="G1" s="19"/>
      <c r="H1" s="19"/>
      <c r="I1" s="19"/>
    </row>
    <row r="2" spans="1:10" x14ac:dyDescent="0.4">
      <c r="A2" s="10" t="s">
        <v>4</v>
      </c>
      <c r="B2" s="11" t="s">
        <v>1014</v>
      </c>
      <c r="C2" s="10" t="s">
        <v>5</v>
      </c>
      <c r="D2" s="10" t="s">
        <v>521</v>
      </c>
      <c r="E2" s="10" t="s">
        <v>418</v>
      </c>
      <c r="F2" s="21" t="s">
        <v>268</v>
      </c>
      <c r="G2" s="21"/>
      <c r="H2" s="21"/>
      <c r="I2" s="10" t="s">
        <v>419</v>
      </c>
    </row>
    <row r="3" spans="1:10" hidden="1" x14ac:dyDescent="0.4">
      <c r="B3" s="8" t="s">
        <v>536</v>
      </c>
      <c r="C3" s="3" t="str">
        <f>"-(a)nol"</f>
        <v>-(a)nol</v>
      </c>
      <c r="D3" s="3" t="s">
        <v>1119</v>
      </c>
      <c r="F3" s="3" t="s">
        <v>1114</v>
      </c>
      <c r="I3" s="3" t="s">
        <v>1115</v>
      </c>
      <c r="J3" s="18"/>
    </row>
    <row r="4" spans="1:10" hidden="1" x14ac:dyDescent="0.4">
      <c r="B4" s="8" t="s">
        <v>536</v>
      </c>
      <c r="C4" s="3" t="str">
        <f>"-(e)ry"</f>
        <v>-(e)ry</v>
      </c>
      <c r="D4" s="3" t="s">
        <v>1835</v>
      </c>
      <c r="F4" s="3" t="s">
        <v>1114</v>
      </c>
      <c r="I4" s="3" t="s">
        <v>1115</v>
      </c>
    </row>
    <row r="5" spans="1:10" hidden="1" x14ac:dyDescent="0.4">
      <c r="B5" s="8" t="s">
        <v>536</v>
      </c>
      <c r="C5" s="3" t="str">
        <f>"-(o)rin"</f>
        <v>-(o)rin</v>
      </c>
      <c r="D5" s="3" t="s">
        <v>1116</v>
      </c>
      <c r="F5" s="3" t="s">
        <v>1114</v>
      </c>
      <c r="I5" s="3" t="s">
        <v>1115</v>
      </c>
    </row>
    <row r="6" spans="1:10" hidden="1" x14ac:dyDescent="0.4">
      <c r="B6" s="8" t="s">
        <v>534</v>
      </c>
      <c r="C6" s="3" t="s">
        <v>480</v>
      </c>
      <c r="D6" s="3" t="s">
        <v>717</v>
      </c>
      <c r="E6" s="3" t="s">
        <v>432</v>
      </c>
      <c r="F6" s="3" t="s">
        <v>12779</v>
      </c>
      <c r="G6" s="3" t="s">
        <v>430</v>
      </c>
      <c r="I6" s="3" t="s">
        <v>472</v>
      </c>
    </row>
    <row r="7" spans="1:10" hidden="1" x14ac:dyDescent="0.4">
      <c r="B7" s="8" t="s">
        <v>536</v>
      </c>
      <c r="C7" s="3" t="s">
        <v>2026</v>
      </c>
      <c r="D7" s="3" t="s">
        <v>2118</v>
      </c>
      <c r="F7" s="3" t="s">
        <v>2065</v>
      </c>
      <c r="I7" s="3" t="s">
        <v>248</v>
      </c>
    </row>
    <row r="8" spans="1:10" hidden="1" x14ac:dyDescent="0.4">
      <c r="B8" s="8">
        <v>1</v>
      </c>
      <c r="C8" s="3" t="s">
        <v>342</v>
      </c>
      <c r="D8" s="3" t="s">
        <v>343</v>
      </c>
      <c r="F8" s="3" t="s">
        <v>399</v>
      </c>
      <c r="I8" s="3" t="s">
        <v>420</v>
      </c>
    </row>
    <row r="9" spans="1:10" hidden="1" x14ac:dyDescent="0.4">
      <c r="B9" s="8" t="s">
        <v>517</v>
      </c>
      <c r="C9" s="3" t="s">
        <v>3058</v>
      </c>
      <c r="D9" s="3" t="s">
        <v>3292</v>
      </c>
      <c r="E9" s="3">
        <v>1</v>
      </c>
      <c r="F9" s="3" t="s">
        <v>3350</v>
      </c>
      <c r="G9" s="3" t="s">
        <v>399</v>
      </c>
      <c r="H9" s="3" t="s">
        <v>988</v>
      </c>
      <c r="I9" s="3" t="s">
        <v>245</v>
      </c>
    </row>
    <row r="10" spans="1:10" hidden="1" x14ac:dyDescent="0.4">
      <c r="B10" s="8" t="s">
        <v>529</v>
      </c>
      <c r="C10" s="3" t="s">
        <v>3089</v>
      </c>
      <c r="D10" s="3" t="s">
        <v>3321</v>
      </c>
      <c r="E10" s="3">
        <v>1</v>
      </c>
      <c r="F10" s="3" t="s">
        <v>402</v>
      </c>
      <c r="G10" s="3" t="s">
        <v>988</v>
      </c>
      <c r="H10" s="3" t="s">
        <v>399</v>
      </c>
      <c r="I10" s="3" t="s">
        <v>245</v>
      </c>
    </row>
    <row r="11" spans="1:10" hidden="1" x14ac:dyDescent="0.4">
      <c r="B11" s="8" t="s">
        <v>536</v>
      </c>
      <c r="C11" s="3" t="s">
        <v>2027</v>
      </c>
      <c r="D11" s="3" t="s">
        <v>2119</v>
      </c>
      <c r="F11" s="3" t="s">
        <v>2065</v>
      </c>
      <c r="I11" s="3" t="s">
        <v>248</v>
      </c>
    </row>
    <row r="12" spans="1:10" hidden="1" x14ac:dyDescent="0.4">
      <c r="B12" s="8" t="s">
        <v>517</v>
      </c>
      <c r="C12" s="3" t="s">
        <v>3592</v>
      </c>
      <c r="D12" s="3" t="s">
        <v>3892</v>
      </c>
      <c r="F12" s="3" t="s">
        <v>399</v>
      </c>
      <c r="G12" s="3" t="s">
        <v>402</v>
      </c>
      <c r="I12" s="3" t="s">
        <v>4063</v>
      </c>
    </row>
    <row r="13" spans="1:10" hidden="1" x14ac:dyDescent="0.4">
      <c r="B13" s="8" t="s">
        <v>517</v>
      </c>
      <c r="C13" s="3" t="s">
        <v>3592</v>
      </c>
      <c r="D13" s="3" t="s">
        <v>3892</v>
      </c>
      <c r="F13" s="3" t="s">
        <v>399</v>
      </c>
      <c r="G13" s="3" t="s">
        <v>402</v>
      </c>
      <c r="I13" s="3" t="s">
        <v>4064</v>
      </c>
    </row>
    <row r="14" spans="1:10" hidden="1" x14ac:dyDescent="0.4">
      <c r="B14" s="8" t="s">
        <v>517</v>
      </c>
      <c r="C14" s="3" t="s">
        <v>5894</v>
      </c>
      <c r="D14" s="3" t="s">
        <v>4843</v>
      </c>
      <c r="F14" s="3" t="s">
        <v>399</v>
      </c>
      <c r="I14" s="3" t="s">
        <v>4063</v>
      </c>
    </row>
    <row r="15" spans="1:10" hidden="1" x14ac:dyDescent="0.4">
      <c r="B15" s="8" t="s">
        <v>517</v>
      </c>
      <c r="C15" s="3" t="s">
        <v>6446</v>
      </c>
      <c r="D15" s="3" t="s">
        <v>5587</v>
      </c>
      <c r="F15" s="3" t="s">
        <v>402</v>
      </c>
      <c r="I15" s="3" t="s">
        <v>4063</v>
      </c>
    </row>
    <row r="16" spans="1:10" hidden="1" x14ac:dyDescent="0.4">
      <c r="B16" s="8" t="s">
        <v>517</v>
      </c>
      <c r="C16" s="3" t="s">
        <v>6445</v>
      </c>
      <c r="D16" s="3" t="s">
        <v>4843</v>
      </c>
      <c r="F16" s="3" t="s">
        <v>399</v>
      </c>
      <c r="I16" s="3" t="s">
        <v>4064</v>
      </c>
    </row>
    <row r="17" spans="2:9" hidden="1" x14ac:dyDescent="0.4">
      <c r="B17" s="8" t="s">
        <v>517</v>
      </c>
      <c r="C17" s="3" t="s">
        <v>5266</v>
      </c>
      <c r="D17" s="3" t="s">
        <v>5587</v>
      </c>
      <c r="F17" s="3" t="s">
        <v>402</v>
      </c>
      <c r="I17" s="3" t="s">
        <v>4064</v>
      </c>
    </row>
    <row r="18" spans="2:9" hidden="1" x14ac:dyDescent="0.4">
      <c r="B18" s="8" t="s">
        <v>536</v>
      </c>
      <c r="C18" s="3" t="str">
        <f>"-âc"</f>
        <v>-âc</v>
      </c>
      <c r="D18" s="3" t="s">
        <v>1120</v>
      </c>
      <c r="F18" s="3" t="s">
        <v>1114</v>
      </c>
      <c r="I18" s="3" t="s">
        <v>510</v>
      </c>
    </row>
    <row r="19" spans="2:9" hidden="1" x14ac:dyDescent="0.4">
      <c r="B19" s="8" t="s">
        <v>517</v>
      </c>
      <c r="C19" s="3" t="s">
        <v>1934</v>
      </c>
      <c r="D19" s="3" t="s">
        <v>1965</v>
      </c>
      <c r="E19" s="3" t="s">
        <v>7805</v>
      </c>
      <c r="F19" s="3" t="s">
        <v>402</v>
      </c>
      <c r="I19" s="3" t="s">
        <v>1865</v>
      </c>
    </row>
    <row r="20" spans="2:9" hidden="1" x14ac:dyDescent="0.4">
      <c r="B20" s="8" t="s">
        <v>517</v>
      </c>
      <c r="C20" s="3" t="s">
        <v>4349</v>
      </c>
      <c r="D20" s="3" t="s">
        <v>4002</v>
      </c>
      <c r="F20" s="3" t="s">
        <v>399</v>
      </c>
      <c r="G20" s="3" t="s">
        <v>402</v>
      </c>
      <c r="I20" s="3" t="s">
        <v>4064</v>
      </c>
    </row>
    <row r="21" spans="2:9" hidden="1" x14ac:dyDescent="0.4">
      <c r="B21" s="8" t="s">
        <v>517</v>
      </c>
      <c r="C21" s="3" t="s">
        <v>4534</v>
      </c>
      <c r="D21" s="3" t="s">
        <v>5014</v>
      </c>
      <c r="F21" s="3" t="s">
        <v>399</v>
      </c>
      <c r="I21" s="3" t="s">
        <v>4064</v>
      </c>
    </row>
    <row r="22" spans="2:9" hidden="1" x14ac:dyDescent="0.4">
      <c r="B22" s="8" t="s">
        <v>517</v>
      </c>
      <c r="C22" s="3" t="s">
        <v>5347</v>
      </c>
      <c r="D22" s="3" t="s">
        <v>5666</v>
      </c>
      <c r="F22" s="3" t="s">
        <v>402</v>
      </c>
      <c r="I22" s="3" t="s">
        <v>4064</v>
      </c>
    </row>
    <row r="23" spans="2:9" hidden="1" x14ac:dyDescent="0.4">
      <c r="B23" s="8" t="s">
        <v>517</v>
      </c>
      <c r="C23" s="3" t="s">
        <v>3999</v>
      </c>
      <c r="D23" s="3" t="s">
        <v>4002</v>
      </c>
      <c r="F23" s="3" t="s">
        <v>399</v>
      </c>
      <c r="G23" s="3" t="s">
        <v>402</v>
      </c>
      <c r="I23" s="3" t="s">
        <v>4063</v>
      </c>
    </row>
    <row r="24" spans="2:9" hidden="1" x14ac:dyDescent="0.4">
      <c r="B24" s="8" t="s">
        <v>517</v>
      </c>
      <c r="C24" s="3" t="s">
        <v>5967</v>
      </c>
      <c r="D24" s="3" t="s">
        <v>5014</v>
      </c>
      <c r="F24" s="3" t="s">
        <v>399</v>
      </c>
      <c r="I24" s="3" t="s">
        <v>4063</v>
      </c>
    </row>
    <row r="25" spans="2:9" hidden="1" x14ac:dyDescent="0.4">
      <c r="B25" s="8" t="s">
        <v>517</v>
      </c>
      <c r="C25" s="3" t="s">
        <v>6315</v>
      </c>
      <c r="D25" s="3" t="s">
        <v>5666</v>
      </c>
      <c r="F25" s="3" t="s">
        <v>402</v>
      </c>
      <c r="I25" s="3" t="s">
        <v>4063</v>
      </c>
    </row>
    <row r="26" spans="2:9" hidden="1" x14ac:dyDescent="0.4">
      <c r="B26" s="8" t="s">
        <v>516</v>
      </c>
      <c r="C26" s="3" t="s">
        <v>2130</v>
      </c>
      <c r="D26" s="3" t="s">
        <v>2140</v>
      </c>
      <c r="F26" s="3" t="s">
        <v>399</v>
      </c>
      <c r="I26" s="3" t="s">
        <v>1865</v>
      </c>
    </row>
    <row r="27" spans="2:9" hidden="1" x14ac:dyDescent="0.4">
      <c r="B27" s="8" t="s">
        <v>517</v>
      </c>
      <c r="C27" s="3" t="s">
        <v>1817</v>
      </c>
      <c r="D27" s="3" t="s">
        <v>1885</v>
      </c>
      <c r="F27" s="3" t="s">
        <v>399</v>
      </c>
      <c r="I27" s="3" t="s">
        <v>1865</v>
      </c>
    </row>
    <row r="28" spans="2:9" hidden="1" x14ac:dyDescent="0.4">
      <c r="B28" s="8" t="s">
        <v>517</v>
      </c>
      <c r="C28" s="3" t="s">
        <v>1818</v>
      </c>
      <c r="D28" s="3" t="s">
        <v>1884</v>
      </c>
      <c r="F28" s="3" t="s">
        <v>399</v>
      </c>
      <c r="I28" s="3" t="s">
        <v>1865</v>
      </c>
    </row>
    <row r="29" spans="2:9" hidden="1" x14ac:dyDescent="0.4">
      <c r="B29" s="8" t="s">
        <v>516</v>
      </c>
      <c r="C29" s="3" t="s">
        <v>2125</v>
      </c>
      <c r="D29" s="3" t="s">
        <v>2135</v>
      </c>
      <c r="F29" s="3" t="s">
        <v>399</v>
      </c>
      <c r="I29" s="3" t="s">
        <v>1865</v>
      </c>
    </row>
    <row r="30" spans="2:9" hidden="1" x14ac:dyDescent="0.4">
      <c r="B30" s="8" t="s">
        <v>517</v>
      </c>
      <c r="C30" s="3" t="s">
        <v>1771</v>
      </c>
      <c r="D30" s="3" t="s">
        <v>1846</v>
      </c>
      <c r="F30" s="3" t="s">
        <v>399</v>
      </c>
      <c r="I30" s="3" t="s">
        <v>1842</v>
      </c>
    </row>
    <row r="31" spans="2:9" hidden="1" x14ac:dyDescent="0.4">
      <c r="B31" s="8" t="s">
        <v>517</v>
      </c>
      <c r="C31" s="3" t="s">
        <v>1772</v>
      </c>
      <c r="D31" s="3" t="s">
        <v>1847</v>
      </c>
      <c r="F31" s="3" t="s">
        <v>402</v>
      </c>
      <c r="I31" s="3" t="s">
        <v>1838</v>
      </c>
    </row>
    <row r="32" spans="2:9" hidden="1" x14ac:dyDescent="0.4">
      <c r="B32" s="8" t="s">
        <v>517</v>
      </c>
      <c r="C32" s="3" t="s">
        <v>2150</v>
      </c>
      <c r="D32" s="3" t="s">
        <v>2165</v>
      </c>
      <c r="F32" s="3" t="s">
        <v>399</v>
      </c>
      <c r="I32" s="3" t="s">
        <v>1838</v>
      </c>
    </row>
    <row r="33" spans="2:9" hidden="1" x14ac:dyDescent="0.4">
      <c r="B33" s="8" t="s">
        <v>516</v>
      </c>
      <c r="C33" s="3" t="s">
        <v>2180</v>
      </c>
      <c r="D33" s="3" t="s">
        <v>2165</v>
      </c>
      <c r="F33" s="3" t="s">
        <v>399</v>
      </c>
      <c r="I33" s="3" t="s">
        <v>1838</v>
      </c>
    </row>
    <row r="34" spans="2:9" hidden="1" x14ac:dyDescent="0.4">
      <c r="B34" s="8" t="s">
        <v>520</v>
      </c>
      <c r="C34" s="3" t="s">
        <v>2302</v>
      </c>
      <c r="D34" s="3" t="s">
        <v>2459</v>
      </c>
      <c r="E34" s="3" t="s">
        <v>1272</v>
      </c>
      <c r="F34" s="3" t="s">
        <v>399</v>
      </c>
      <c r="I34" s="3" t="s">
        <v>1833</v>
      </c>
    </row>
    <row r="35" spans="2:9" hidden="1" x14ac:dyDescent="0.4">
      <c r="B35" s="8" t="s">
        <v>520</v>
      </c>
      <c r="C35" s="3" t="s">
        <v>2604</v>
      </c>
      <c r="D35" s="3" t="s">
        <v>2459</v>
      </c>
      <c r="E35" s="3" t="s">
        <v>1272</v>
      </c>
      <c r="F35" s="3" t="s">
        <v>402</v>
      </c>
      <c r="I35" s="3" t="s">
        <v>1833</v>
      </c>
    </row>
    <row r="36" spans="2:9" ht="29.25" hidden="1" x14ac:dyDescent="0.4">
      <c r="B36" s="8" t="s">
        <v>536</v>
      </c>
      <c r="C36" s="3" t="s">
        <v>440</v>
      </c>
      <c r="D36" s="3" t="s">
        <v>476</v>
      </c>
      <c r="E36" s="3" t="s">
        <v>433</v>
      </c>
      <c r="F36" s="3" t="s">
        <v>430</v>
      </c>
      <c r="I36" s="3" t="s">
        <v>431</v>
      </c>
    </row>
    <row r="37" spans="2:9" hidden="1" x14ac:dyDescent="0.4">
      <c r="B37" s="8" t="s">
        <v>518</v>
      </c>
      <c r="C37" s="3" t="s">
        <v>1719</v>
      </c>
      <c r="D37" s="3" t="s">
        <v>1727</v>
      </c>
      <c r="F37" s="3" t="s">
        <v>402</v>
      </c>
      <c r="G37" s="3" t="s">
        <v>399</v>
      </c>
      <c r="I37" s="3" t="s">
        <v>1728</v>
      </c>
    </row>
    <row r="38" spans="2:9" hidden="1" x14ac:dyDescent="0.4">
      <c r="B38" s="8" t="s">
        <v>4060</v>
      </c>
      <c r="C38" s="3" t="s">
        <v>4331</v>
      </c>
      <c r="D38" s="3" t="s">
        <v>3965</v>
      </c>
      <c r="F38" s="3" t="s">
        <v>399</v>
      </c>
      <c r="G38" s="3" t="s">
        <v>402</v>
      </c>
      <c r="I38" s="3" t="s">
        <v>4064</v>
      </c>
    </row>
    <row r="39" spans="2:9" hidden="1" x14ac:dyDescent="0.4">
      <c r="B39" s="8" t="s">
        <v>4060</v>
      </c>
      <c r="C39" s="3" t="s">
        <v>3964</v>
      </c>
      <c r="D39" s="3" t="s">
        <v>3965</v>
      </c>
      <c r="F39" s="3" t="s">
        <v>399</v>
      </c>
      <c r="G39" s="3" t="s">
        <v>402</v>
      </c>
      <c r="I39" s="3" t="s">
        <v>4063</v>
      </c>
    </row>
    <row r="40" spans="2:9" hidden="1" x14ac:dyDescent="0.4">
      <c r="B40" s="8" t="s">
        <v>4060</v>
      </c>
      <c r="C40" s="3" t="s">
        <v>5957</v>
      </c>
      <c r="D40" s="3" t="s">
        <v>4907</v>
      </c>
      <c r="F40" s="3" t="s">
        <v>399</v>
      </c>
      <c r="I40" s="3" t="s">
        <v>4063</v>
      </c>
    </row>
    <row r="41" spans="2:9" ht="29.25" hidden="1" x14ac:dyDescent="0.4">
      <c r="B41" s="8" t="s">
        <v>4060</v>
      </c>
      <c r="C41" s="3" t="s">
        <v>6407</v>
      </c>
      <c r="D41" s="3" t="s">
        <v>5653</v>
      </c>
      <c r="F41" s="3" t="s">
        <v>402</v>
      </c>
      <c r="I41" s="3" t="s">
        <v>4063</v>
      </c>
    </row>
    <row r="42" spans="2:9" hidden="1" x14ac:dyDescent="0.4">
      <c r="B42" s="8" t="s">
        <v>4060</v>
      </c>
      <c r="C42" s="3" t="s">
        <v>4527</v>
      </c>
      <c r="D42" s="3" t="s">
        <v>4907</v>
      </c>
      <c r="F42" s="3" t="s">
        <v>399</v>
      </c>
      <c r="I42" s="3" t="s">
        <v>4064</v>
      </c>
    </row>
    <row r="43" spans="2:9" hidden="1" x14ac:dyDescent="0.4">
      <c r="B43" s="8" t="s">
        <v>4060</v>
      </c>
      <c r="C43" s="3" t="s">
        <v>5334</v>
      </c>
      <c r="D43" s="3" t="s">
        <v>5653</v>
      </c>
      <c r="F43" s="3" t="s">
        <v>402</v>
      </c>
      <c r="I43" s="3" t="s">
        <v>4064</v>
      </c>
    </row>
    <row r="44" spans="2:9" hidden="1" x14ac:dyDescent="0.4">
      <c r="B44" s="8" t="s">
        <v>518</v>
      </c>
      <c r="C44" s="3" t="s">
        <v>1752</v>
      </c>
      <c r="D44" s="3" t="s">
        <v>1756</v>
      </c>
      <c r="F44" s="3" t="s">
        <v>402</v>
      </c>
      <c r="G44" s="3" t="s">
        <v>399</v>
      </c>
      <c r="I44" s="3" t="s">
        <v>1728</v>
      </c>
    </row>
    <row r="45" spans="2:9" hidden="1" x14ac:dyDescent="0.4">
      <c r="B45" s="8" t="s">
        <v>518</v>
      </c>
      <c r="C45" s="3" t="s">
        <v>1760</v>
      </c>
      <c r="D45" s="3" t="s">
        <v>1756</v>
      </c>
      <c r="F45" s="3" t="s">
        <v>399</v>
      </c>
      <c r="I45" s="3" t="s">
        <v>1728</v>
      </c>
    </row>
    <row r="46" spans="2:9" hidden="1" x14ac:dyDescent="0.4">
      <c r="B46" s="8" t="s">
        <v>526</v>
      </c>
      <c r="C46" s="3" t="s">
        <v>3506</v>
      </c>
      <c r="D46" s="3" t="s">
        <v>3809</v>
      </c>
      <c r="F46" s="3" t="s">
        <v>399</v>
      </c>
      <c r="G46" s="3" t="s">
        <v>402</v>
      </c>
      <c r="I46" s="3" t="s">
        <v>4063</v>
      </c>
    </row>
    <row r="47" spans="2:9" hidden="1" x14ac:dyDescent="0.4">
      <c r="B47" s="8" t="s">
        <v>526</v>
      </c>
      <c r="C47" s="3" t="s">
        <v>5823</v>
      </c>
      <c r="D47" s="3" t="s">
        <v>4783</v>
      </c>
      <c r="F47" s="3" t="s">
        <v>399</v>
      </c>
      <c r="I47" s="3" t="s">
        <v>4063</v>
      </c>
    </row>
    <row r="48" spans="2:9" hidden="1" x14ac:dyDescent="0.4">
      <c r="B48" s="8" t="s">
        <v>526</v>
      </c>
      <c r="C48" s="3" t="s">
        <v>6166</v>
      </c>
      <c r="D48" s="3" t="s">
        <v>5500</v>
      </c>
      <c r="F48" s="3" t="s">
        <v>402</v>
      </c>
      <c r="I48" s="3" t="s">
        <v>4063</v>
      </c>
    </row>
    <row r="49" spans="2:9" hidden="1" x14ac:dyDescent="0.4">
      <c r="B49" s="8" t="s">
        <v>526</v>
      </c>
      <c r="C49" s="3" t="s">
        <v>4205</v>
      </c>
      <c r="D49" s="3" t="s">
        <v>3809</v>
      </c>
      <c r="F49" s="3" t="s">
        <v>399</v>
      </c>
      <c r="G49" s="3" t="s">
        <v>402</v>
      </c>
      <c r="I49" s="3" t="s">
        <v>4064</v>
      </c>
    </row>
    <row r="50" spans="2:9" hidden="1" x14ac:dyDescent="0.4">
      <c r="B50" s="8" t="s">
        <v>526</v>
      </c>
      <c r="C50" s="3" t="s">
        <v>4434</v>
      </c>
      <c r="D50" s="3" t="s">
        <v>4783</v>
      </c>
      <c r="F50" s="3" t="s">
        <v>399</v>
      </c>
      <c r="I50" s="3" t="s">
        <v>4064</v>
      </c>
    </row>
    <row r="51" spans="2:9" hidden="1" x14ac:dyDescent="0.4">
      <c r="B51" s="8" t="s">
        <v>526</v>
      </c>
      <c r="C51" s="3" t="s">
        <v>5179</v>
      </c>
      <c r="D51" s="3" t="s">
        <v>5500</v>
      </c>
      <c r="F51" s="3" t="s">
        <v>402</v>
      </c>
      <c r="I51" s="3" t="s">
        <v>4064</v>
      </c>
    </row>
    <row r="52" spans="2:9" hidden="1" x14ac:dyDescent="0.4">
      <c r="B52" s="8" t="s">
        <v>530</v>
      </c>
      <c r="C52" s="3" t="s">
        <v>192</v>
      </c>
      <c r="D52" s="3" t="s">
        <v>539</v>
      </c>
      <c r="F52" s="3" t="s">
        <v>399</v>
      </c>
      <c r="I52" s="3" t="s">
        <v>267</v>
      </c>
    </row>
    <row r="53" spans="2:9" hidden="1" x14ac:dyDescent="0.4">
      <c r="B53" s="8" t="s">
        <v>520</v>
      </c>
      <c r="C53" s="3" t="s">
        <v>4164</v>
      </c>
      <c r="D53" s="3" t="s">
        <v>3770</v>
      </c>
      <c r="F53" s="3" t="s">
        <v>399</v>
      </c>
      <c r="G53" s="3" t="s">
        <v>402</v>
      </c>
      <c r="I53" s="3" t="s">
        <v>4064</v>
      </c>
    </row>
    <row r="54" spans="2:9" hidden="1" x14ac:dyDescent="0.4">
      <c r="B54" s="8" t="s">
        <v>520</v>
      </c>
      <c r="C54" s="3" t="s">
        <v>6023</v>
      </c>
      <c r="D54" s="3" t="s">
        <v>4769</v>
      </c>
      <c r="F54" s="3" t="s">
        <v>399</v>
      </c>
      <c r="I54" s="3" t="s">
        <v>4063</v>
      </c>
    </row>
    <row r="55" spans="2:9" hidden="1" x14ac:dyDescent="0.4">
      <c r="B55" s="8" t="s">
        <v>520</v>
      </c>
      <c r="C55" s="3" t="s">
        <v>6339</v>
      </c>
      <c r="D55" s="3" t="s">
        <v>5458</v>
      </c>
      <c r="F55" s="3" t="s">
        <v>402</v>
      </c>
      <c r="I55" s="3" t="s">
        <v>4063</v>
      </c>
    </row>
    <row r="56" spans="2:9" hidden="1" x14ac:dyDescent="0.4">
      <c r="B56" s="8" t="s">
        <v>520</v>
      </c>
      <c r="C56" s="3" t="s">
        <v>4639</v>
      </c>
      <c r="D56" s="3" t="s">
        <v>4769</v>
      </c>
      <c r="F56" s="3" t="s">
        <v>399</v>
      </c>
      <c r="I56" s="3" t="s">
        <v>4064</v>
      </c>
    </row>
    <row r="57" spans="2:9" hidden="1" x14ac:dyDescent="0.4">
      <c r="B57" s="8" t="s">
        <v>520</v>
      </c>
      <c r="C57" s="3" t="s">
        <v>5135</v>
      </c>
      <c r="D57" s="3" t="s">
        <v>5458</v>
      </c>
      <c r="F57" s="3" t="s">
        <v>402</v>
      </c>
      <c r="I57" s="3" t="s">
        <v>4064</v>
      </c>
    </row>
    <row r="58" spans="2:9" hidden="1" x14ac:dyDescent="0.4">
      <c r="B58" s="8" t="s">
        <v>520</v>
      </c>
      <c r="C58" s="3" t="s">
        <v>3462</v>
      </c>
      <c r="D58" s="3" t="s">
        <v>3770</v>
      </c>
      <c r="F58" s="3" t="s">
        <v>399</v>
      </c>
      <c r="G58" s="3" t="s">
        <v>402</v>
      </c>
      <c r="I58" s="3" t="s">
        <v>4063</v>
      </c>
    </row>
    <row r="59" spans="2:9" hidden="1" x14ac:dyDescent="0.4">
      <c r="B59" s="8" t="s">
        <v>517</v>
      </c>
      <c r="C59" s="3" t="s">
        <v>231</v>
      </c>
      <c r="D59" s="3" t="s">
        <v>267</v>
      </c>
      <c r="F59" s="3" t="s">
        <v>399</v>
      </c>
      <c r="I59" s="3" t="s">
        <v>420</v>
      </c>
    </row>
    <row r="60" spans="2:9" hidden="1" x14ac:dyDescent="0.4">
      <c r="B60" s="8" t="s">
        <v>516</v>
      </c>
      <c r="C60" s="3" t="s">
        <v>341</v>
      </c>
      <c r="D60" s="3" t="s">
        <v>344</v>
      </c>
      <c r="F60" s="3" t="s">
        <v>399</v>
      </c>
      <c r="I60" s="3" t="s">
        <v>420</v>
      </c>
    </row>
    <row r="61" spans="2:9" hidden="1" x14ac:dyDescent="0.4">
      <c r="B61" s="8" t="s">
        <v>517</v>
      </c>
      <c r="C61" s="3" t="s">
        <v>3653</v>
      </c>
      <c r="D61" s="3" t="s">
        <v>3945</v>
      </c>
      <c r="E61" s="3" t="s">
        <v>1272</v>
      </c>
      <c r="F61" s="3" t="s">
        <v>399</v>
      </c>
      <c r="G61" s="3" t="s">
        <v>402</v>
      </c>
      <c r="I61" s="3" t="s">
        <v>4362</v>
      </c>
    </row>
    <row r="62" spans="2:9" hidden="1" x14ac:dyDescent="0.4">
      <c r="B62" s="8" t="s">
        <v>516</v>
      </c>
      <c r="C62" s="3" t="s">
        <v>4269</v>
      </c>
      <c r="D62" s="3" t="s">
        <v>3884</v>
      </c>
      <c r="F62" s="3" t="s">
        <v>399</v>
      </c>
      <c r="G62" s="3" t="s">
        <v>402</v>
      </c>
      <c r="I62" s="3" t="s">
        <v>4064</v>
      </c>
    </row>
    <row r="63" spans="2:9" hidden="1" x14ac:dyDescent="0.4">
      <c r="B63" s="8" t="s">
        <v>516</v>
      </c>
      <c r="C63" s="3" t="s">
        <v>4585</v>
      </c>
      <c r="D63" s="3" t="s">
        <v>4977</v>
      </c>
      <c r="F63" s="3" t="s">
        <v>399</v>
      </c>
      <c r="I63" s="3" t="s">
        <v>4064</v>
      </c>
    </row>
    <row r="64" spans="2:9" hidden="1" x14ac:dyDescent="0.4">
      <c r="B64" s="8" t="s">
        <v>516</v>
      </c>
      <c r="C64" s="3" t="s">
        <v>5255</v>
      </c>
      <c r="D64" s="3" t="s">
        <v>5576</v>
      </c>
      <c r="F64" s="3" t="s">
        <v>402</v>
      </c>
      <c r="I64" s="3" t="s">
        <v>4064</v>
      </c>
    </row>
    <row r="65" spans="2:9" hidden="1" x14ac:dyDescent="0.4">
      <c r="B65" s="8" t="s">
        <v>516</v>
      </c>
      <c r="C65" s="3" t="s">
        <v>3582</v>
      </c>
      <c r="D65" s="3" t="s">
        <v>3884</v>
      </c>
      <c r="F65" s="3" t="s">
        <v>399</v>
      </c>
      <c r="G65" s="3" t="s">
        <v>402</v>
      </c>
      <c r="I65" s="3" t="s">
        <v>4063</v>
      </c>
    </row>
    <row r="66" spans="2:9" hidden="1" x14ac:dyDescent="0.4">
      <c r="B66" s="8" t="s">
        <v>516</v>
      </c>
      <c r="C66" s="3" t="s">
        <v>6408</v>
      </c>
      <c r="D66" s="3" t="s">
        <v>5576</v>
      </c>
      <c r="F66" s="3" t="s">
        <v>402</v>
      </c>
      <c r="I66" s="3" t="s">
        <v>4063</v>
      </c>
    </row>
    <row r="67" spans="2:9" hidden="1" x14ac:dyDescent="0.4">
      <c r="B67" s="8" t="s">
        <v>516</v>
      </c>
      <c r="C67" s="3" t="s">
        <v>5886</v>
      </c>
      <c r="D67" s="3" t="s">
        <v>4977</v>
      </c>
      <c r="F67" s="3" t="s">
        <v>399</v>
      </c>
      <c r="I67" s="3" t="s">
        <v>4063</v>
      </c>
    </row>
    <row r="68" spans="2:9" hidden="1" x14ac:dyDescent="0.4">
      <c r="B68" s="8" t="s">
        <v>518</v>
      </c>
      <c r="C68" s="3" t="s">
        <v>2883</v>
      </c>
      <c r="D68" s="3" t="s">
        <v>3125</v>
      </c>
      <c r="E68" s="3">
        <v>1</v>
      </c>
      <c r="F68" s="3" t="s">
        <v>402</v>
      </c>
      <c r="I68" s="3" t="s">
        <v>245</v>
      </c>
    </row>
    <row r="69" spans="2:9" hidden="1" x14ac:dyDescent="0.4">
      <c r="B69" s="8" t="s">
        <v>517</v>
      </c>
      <c r="C69" s="3" t="s">
        <v>2928</v>
      </c>
      <c r="D69" s="3" t="s">
        <v>3165</v>
      </c>
      <c r="E69" s="3">
        <v>1</v>
      </c>
      <c r="F69" s="3" t="s">
        <v>402</v>
      </c>
      <c r="I69" s="3" t="s">
        <v>245</v>
      </c>
    </row>
    <row r="70" spans="2:9" hidden="1" x14ac:dyDescent="0.4">
      <c r="B70" s="8" t="s">
        <v>517</v>
      </c>
      <c r="C70" s="3" t="s">
        <v>2927</v>
      </c>
      <c r="D70" s="3" t="s">
        <v>3165</v>
      </c>
      <c r="E70" s="3">
        <v>1</v>
      </c>
      <c r="F70" s="3" t="s">
        <v>402</v>
      </c>
      <c r="I70" s="3" t="s">
        <v>245</v>
      </c>
    </row>
    <row r="71" spans="2:9" hidden="1" x14ac:dyDescent="0.4">
      <c r="B71" s="8" t="s">
        <v>530</v>
      </c>
      <c r="C71" s="3" t="s">
        <v>189</v>
      </c>
      <c r="D71" s="3" t="s">
        <v>540</v>
      </c>
      <c r="F71" s="3" t="s">
        <v>399</v>
      </c>
      <c r="I71" s="3" t="s">
        <v>267</v>
      </c>
    </row>
    <row r="72" spans="2:9" hidden="1" x14ac:dyDescent="0.4">
      <c r="B72" s="8" t="s">
        <v>530</v>
      </c>
      <c r="C72" s="3" t="s">
        <v>2931</v>
      </c>
      <c r="D72" s="3" t="s">
        <v>3168</v>
      </c>
      <c r="E72" s="3">
        <v>1</v>
      </c>
      <c r="F72" s="3" t="s">
        <v>3349</v>
      </c>
      <c r="G72" s="3" t="s">
        <v>402</v>
      </c>
      <c r="H72" s="3" t="s">
        <v>988</v>
      </c>
      <c r="I72" s="3" t="s">
        <v>1335</v>
      </c>
    </row>
    <row r="73" spans="2:9" hidden="1" x14ac:dyDescent="0.4">
      <c r="B73" s="8" t="s">
        <v>535</v>
      </c>
      <c r="C73" s="3" t="s">
        <v>447</v>
      </c>
      <c r="D73" s="3" t="s">
        <v>718</v>
      </c>
      <c r="E73" s="3" t="s">
        <v>432</v>
      </c>
      <c r="F73" s="3" t="s">
        <v>12779</v>
      </c>
      <c r="G73" s="3" t="s">
        <v>430</v>
      </c>
      <c r="I73" s="3" t="s">
        <v>472</v>
      </c>
    </row>
    <row r="74" spans="2:9" hidden="1" x14ac:dyDescent="0.4">
      <c r="B74" s="8" t="s">
        <v>517</v>
      </c>
      <c r="C74" s="3" t="s">
        <v>279</v>
      </c>
      <c r="D74" s="3" t="s">
        <v>563</v>
      </c>
      <c r="F74" s="3" t="s">
        <v>399</v>
      </c>
      <c r="I74" s="3" t="s">
        <v>267</v>
      </c>
    </row>
    <row r="75" spans="2:9" hidden="1" x14ac:dyDescent="0.4">
      <c r="B75" s="8" t="s">
        <v>517</v>
      </c>
      <c r="C75" s="3" t="s">
        <v>183</v>
      </c>
      <c r="D75" s="3" t="s">
        <v>541</v>
      </c>
      <c r="F75" s="3" t="s">
        <v>399</v>
      </c>
      <c r="I75" s="3" t="s">
        <v>267</v>
      </c>
    </row>
    <row r="76" spans="2:9" hidden="1" x14ac:dyDescent="0.4">
      <c r="B76" s="8" t="s">
        <v>517</v>
      </c>
      <c r="C76" s="3" t="s">
        <v>3554</v>
      </c>
      <c r="D76" s="3" t="s">
        <v>3861</v>
      </c>
      <c r="F76" s="3" t="s">
        <v>399</v>
      </c>
      <c r="G76" s="3" t="s">
        <v>402</v>
      </c>
      <c r="I76" s="3" t="s">
        <v>4063</v>
      </c>
    </row>
    <row r="77" spans="2:9" hidden="1" x14ac:dyDescent="0.4">
      <c r="B77" s="8" t="s">
        <v>517</v>
      </c>
      <c r="C77" s="3" t="s">
        <v>3554</v>
      </c>
      <c r="D77" s="3" t="s">
        <v>3861</v>
      </c>
      <c r="F77" s="3" t="s">
        <v>399</v>
      </c>
      <c r="G77" s="3" t="s">
        <v>402</v>
      </c>
      <c r="I77" s="3" t="s">
        <v>4064</v>
      </c>
    </row>
    <row r="78" spans="2:9" hidden="1" x14ac:dyDescent="0.4">
      <c r="B78" s="8" t="s">
        <v>517</v>
      </c>
      <c r="C78" s="3" t="s">
        <v>5864</v>
      </c>
      <c r="D78" s="3" t="s">
        <v>4825</v>
      </c>
      <c r="F78" s="3" t="s">
        <v>399</v>
      </c>
      <c r="I78" s="3" t="s">
        <v>4063</v>
      </c>
    </row>
    <row r="79" spans="2:9" hidden="1" x14ac:dyDescent="0.4">
      <c r="B79" s="8" t="s">
        <v>517</v>
      </c>
      <c r="C79" s="3" t="s">
        <v>6209</v>
      </c>
      <c r="D79" s="3" t="s">
        <v>5550</v>
      </c>
      <c r="F79" s="3" t="s">
        <v>402</v>
      </c>
      <c r="I79" s="3" t="s">
        <v>4063</v>
      </c>
    </row>
    <row r="80" spans="2:9" hidden="1" x14ac:dyDescent="0.4">
      <c r="B80" s="8" t="s">
        <v>517</v>
      </c>
      <c r="C80" s="3" t="s">
        <v>4579</v>
      </c>
      <c r="D80" s="3" t="s">
        <v>4825</v>
      </c>
      <c r="F80" s="3" t="s">
        <v>399</v>
      </c>
      <c r="I80" s="3" t="s">
        <v>4064</v>
      </c>
    </row>
    <row r="81" spans="2:9" hidden="1" x14ac:dyDescent="0.4">
      <c r="B81" s="8" t="s">
        <v>517</v>
      </c>
      <c r="C81" s="3" t="s">
        <v>5228</v>
      </c>
      <c r="D81" s="3" t="s">
        <v>5550</v>
      </c>
      <c r="F81" s="3" t="s">
        <v>402</v>
      </c>
      <c r="I81" s="3" t="s">
        <v>4064</v>
      </c>
    </row>
    <row r="82" spans="2:9" hidden="1" x14ac:dyDescent="0.4">
      <c r="B82" s="8" t="s">
        <v>517</v>
      </c>
      <c r="C82" s="3" t="s">
        <v>3035</v>
      </c>
      <c r="D82" s="3" t="s">
        <v>3271</v>
      </c>
      <c r="E82" s="3">
        <v>1</v>
      </c>
      <c r="F82" s="3" t="s">
        <v>399</v>
      </c>
      <c r="G82" s="3" t="s">
        <v>402</v>
      </c>
      <c r="H82" s="3" t="s">
        <v>988</v>
      </c>
      <c r="I82" s="3" t="s">
        <v>1335</v>
      </c>
    </row>
    <row r="83" spans="2:9" hidden="1" x14ac:dyDescent="0.4">
      <c r="B83" s="8" t="s">
        <v>517</v>
      </c>
      <c r="C83" s="3" t="s">
        <v>1782</v>
      </c>
      <c r="D83" s="3" t="s">
        <v>1855</v>
      </c>
      <c r="F83" s="3" t="s">
        <v>402</v>
      </c>
      <c r="I83" s="3" t="s">
        <v>1838</v>
      </c>
    </row>
    <row r="84" spans="2:9" hidden="1" x14ac:dyDescent="0.4">
      <c r="B84" s="8" t="s">
        <v>517</v>
      </c>
      <c r="C84" s="3" t="s">
        <v>2154</v>
      </c>
      <c r="D84" s="3" t="s">
        <v>2169</v>
      </c>
      <c r="F84" s="3" t="s">
        <v>399</v>
      </c>
      <c r="I84" s="3" t="s">
        <v>1838</v>
      </c>
    </row>
    <row r="85" spans="2:9" hidden="1" x14ac:dyDescent="0.4">
      <c r="B85" s="8" t="s">
        <v>516</v>
      </c>
      <c r="C85" s="3" t="s">
        <v>2184</v>
      </c>
      <c r="D85" s="3" t="s">
        <v>2169</v>
      </c>
      <c r="F85" s="3" t="s">
        <v>399</v>
      </c>
      <c r="I85" s="3" t="s">
        <v>1838</v>
      </c>
    </row>
    <row r="86" spans="2:9" hidden="1" x14ac:dyDescent="0.4">
      <c r="B86" s="8" t="s">
        <v>517</v>
      </c>
      <c r="C86" s="3" t="s">
        <v>1781</v>
      </c>
      <c r="D86" s="3" t="s">
        <v>2382</v>
      </c>
      <c r="F86" s="3" t="s">
        <v>399</v>
      </c>
      <c r="I86" s="3" t="s">
        <v>1833</v>
      </c>
    </row>
    <row r="87" spans="2:9" hidden="1" x14ac:dyDescent="0.4">
      <c r="B87" s="8" t="s">
        <v>517</v>
      </c>
      <c r="C87" s="3" t="s">
        <v>2499</v>
      </c>
      <c r="D87" s="3" t="s">
        <v>2382</v>
      </c>
      <c r="F87" s="3" t="s">
        <v>402</v>
      </c>
      <c r="I87" s="3" t="s">
        <v>1833</v>
      </c>
    </row>
    <row r="88" spans="2:9" hidden="1" x14ac:dyDescent="0.4">
      <c r="B88" s="8" t="s">
        <v>517</v>
      </c>
      <c r="C88" s="3" t="s">
        <v>2655</v>
      </c>
      <c r="D88" s="3" t="s">
        <v>2665</v>
      </c>
      <c r="E88" s="3" t="s">
        <v>1272</v>
      </c>
      <c r="F88" s="3" t="s">
        <v>399</v>
      </c>
      <c r="I88" s="3" t="s">
        <v>2370</v>
      </c>
    </row>
    <row r="89" spans="2:9" hidden="1" x14ac:dyDescent="0.4">
      <c r="B89" s="8" t="s">
        <v>517</v>
      </c>
      <c r="C89" s="3" t="s">
        <v>4328</v>
      </c>
      <c r="D89" s="3" t="s">
        <v>4024</v>
      </c>
      <c r="F89" s="3" t="s">
        <v>399</v>
      </c>
      <c r="G89" s="3" t="s">
        <v>402</v>
      </c>
      <c r="I89" s="3" t="s">
        <v>4064</v>
      </c>
    </row>
    <row r="90" spans="2:9" hidden="1" x14ac:dyDescent="0.4">
      <c r="B90" s="8" t="s">
        <v>517</v>
      </c>
      <c r="C90" s="3" t="s">
        <v>3651</v>
      </c>
      <c r="D90" s="3" t="s">
        <v>4024</v>
      </c>
      <c r="F90" s="3" t="s">
        <v>399</v>
      </c>
      <c r="G90" s="3" t="s">
        <v>402</v>
      </c>
      <c r="I90" s="3" t="s">
        <v>4063</v>
      </c>
    </row>
    <row r="91" spans="2:9" hidden="1" x14ac:dyDescent="0.4">
      <c r="B91" s="8" t="s">
        <v>517</v>
      </c>
      <c r="C91" s="3" t="s">
        <v>5953</v>
      </c>
      <c r="D91" s="3" t="s">
        <v>5008</v>
      </c>
      <c r="F91" s="3" t="s">
        <v>399</v>
      </c>
      <c r="I91" s="3" t="s">
        <v>4063</v>
      </c>
    </row>
    <row r="92" spans="2:9" hidden="1" x14ac:dyDescent="0.4">
      <c r="B92" s="8" t="s">
        <v>517</v>
      </c>
      <c r="C92" s="3" t="s">
        <v>6300</v>
      </c>
      <c r="D92" s="3" t="s">
        <v>5649</v>
      </c>
      <c r="F92" s="3" t="s">
        <v>402</v>
      </c>
      <c r="I92" s="3" t="s">
        <v>4063</v>
      </c>
    </row>
    <row r="93" spans="2:9" hidden="1" x14ac:dyDescent="0.4">
      <c r="B93" s="8" t="s">
        <v>517</v>
      </c>
      <c r="C93" s="3" t="s">
        <v>4524</v>
      </c>
      <c r="D93" s="3" t="s">
        <v>5008</v>
      </c>
      <c r="F93" s="3" t="s">
        <v>399</v>
      </c>
      <c r="I93" s="3" t="s">
        <v>4064</v>
      </c>
    </row>
    <row r="94" spans="2:9" hidden="1" x14ac:dyDescent="0.4">
      <c r="B94" s="8" t="s">
        <v>517</v>
      </c>
      <c r="C94" s="3" t="s">
        <v>5330</v>
      </c>
      <c r="D94" s="3" t="s">
        <v>5649</v>
      </c>
      <c r="F94" s="3" t="s">
        <v>402</v>
      </c>
      <c r="I94" s="3" t="s">
        <v>4064</v>
      </c>
    </row>
    <row r="95" spans="2:9" hidden="1" x14ac:dyDescent="0.4">
      <c r="B95" s="8" t="s">
        <v>520</v>
      </c>
      <c r="C95" s="3" t="s">
        <v>2037</v>
      </c>
      <c r="D95" s="3" t="s">
        <v>1877</v>
      </c>
      <c r="E95" s="3" t="s">
        <v>2038</v>
      </c>
      <c r="F95" s="3" t="s">
        <v>399</v>
      </c>
      <c r="I95" s="3" t="s">
        <v>1865</v>
      </c>
    </row>
    <row r="96" spans="2:9" hidden="1" x14ac:dyDescent="0.4">
      <c r="B96" s="8" t="s">
        <v>520</v>
      </c>
      <c r="C96" s="3" t="s">
        <v>1808</v>
      </c>
      <c r="D96" s="3" t="s">
        <v>1877</v>
      </c>
      <c r="F96" s="3" t="s">
        <v>399</v>
      </c>
      <c r="I96" s="3" t="s">
        <v>1865</v>
      </c>
    </row>
    <row r="97" spans="2:9" hidden="1" x14ac:dyDescent="0.4">
      <c r="B97" s="8" t="s">
        <v>517</v>
      </c>
      <c r="C97" s="3" t="s">
        <v>345</v>
      </c>
      <c r="D97" s="3" t="s">
        <v>368</v>
      </c>
      <c r="F97" s="3" t="s">
        <v>399</v>
      </c>
      <c r="I97" s="3" t="s">
        <v>267</v>
      </c>
    </row>
    <row r="98" spans="2:9" hidden="1" x14ac:dyDescent="0.4">
      <c r="B98" s="8" t="s">
        <v>529</v>
      </c>
      <c r="C98" s="3" t="s">
        <v>3379</v>
      </c>
      <c r="D98" s="3" t="s">
        <v>3948</v>
      </c>
      <c r="E98" s="3" t="s">
        <v>1272</v>
      </c>
      <c r="F98" s="3" t="s">
        <v>399</v>
      </c>
      <c r="G98" s="3" t="s">
        <v>402</v>
      </c>
      <c r="I98" s="3" t="s">
        <v>4362</v>
      </c>
    </row>
    <row r="99" spans="2:9" hidden="1" x14ac:dyDescent="0.4">
      <c r="B99" s="8" t="s">
        <v>529</v>
      </c>
      <c r="C99" s="3" t="s">
        <v>3379</v>
      </c>
      <c r="D99" s="3" t="s">
        <v>3688</v>
      </c>
      <c r="F99" s="3" t="s">
        <v>399</v>
      </c>
      <c r="G99" s="3" t="s">
        <v>402</v>
      </c>
      <c r="I99" s="3" t="s">
        <v>4064</v>
      </c>
    </row>
    <row r="100" spans="2:9" hidden="1" x14ac:dyDescent="0.4">
      <c r="B100" s="8" t="s">
        <v>529</v>
      </c>
      <c r="C100" s="3" t="s">
        <v>4375</v>
      </c>
      <c r="D100" s="3" t="s">
        <v>4868</v>
      </c>
      <c r="F100" s="3" t="s">
        <v>399</v>
      </c>
      <c r="I100" s="3" t="s">
        <v>4064</v>
      </c>
    </row>
    <row r="101" spans="2:9" hidden="1" x14ac:dyDescent="0.4">
      <c r="B101" s="8" t="s">
        <v>529</v>
      </c>
      <c r="C101" s="3" t="s">
        <v>5047</v>
      </c>
      <c r="D101" s="3" t="s">
        <v>5693</v>
      </c>
      <c r="F101" s="3" t="s">
        <v>402</v>
      </c>
      <c r="I101" s="3" t="s">
        <v>4064</v>
      </c>
    </row>
    <row r="102" spans="2:9" hidden="1" x14ac:dyDescent="0.4">
      <c r="B102" s="8" t="s">
        <v>529</v>
      </c>
      <c r="C102" s="3" t="s">
        <v>4088</v>
      </c>
      <c r="D102" s="3" t="s">
        <v>3688</v>
      </c>
      <c r="F102" s="3" t="s">
        <v>399</v>
      </c>
      <c r="G102" s="3" t="s">
        <v>402</v>
      </c>
      <c r="I102" s="3" t="s">
        <v>4063</v>
      </c>
    </row>
    <row r="103" spans="2:9" hidden="1" x14ac:dyDescent="0.4">
      <c r="B103" s="8" t="s">
        <v>529</v>
      </c>
      <c r="C103" s="3" t="s">
        <v>5715</v>
      </c>
      <c r="D103" s="3" t="s">
        <v>4868</v>
      </c>
      <c r="F103" s="3" t="s">
        <v>399</v>
      </c>
      <c r="I103" s="3" t="s">
        <v>4063</v>
      </c>
    </row>
    <row r="104" spans="2:9" hidden="1" x14ac:dyDescent="0.4">
      <c r="B104" s="8" t="s">
        <v>529</v>
      </c>
      <c r="C104" s="3" t="s">
        <v>6056</v>
      </c>
      <c r="D104" s="3" t="s">
        <v>5692</v>
      </c>
      <c r="F104" s="3" t="s">
        <v>402</v>
      </c>
      <c r="I104" s="3" t="s">
        <v>4063</v>
      </c>
    </row>
    <row r="105" spans="2:9" hidden="1" x14ac:dyDescent="0.4">
      <c r="B105" s="8" t="s">
        <v>529</v>
      </c>
      <c r="C105" s="3" t="s">
        <v>2308</v>
      </c>
      <c r="D105" s="3" t="s">
        <v>2465</v>
      </c>
      <c r="E105" s="3" t="s">
        <v>1272</v>
      </c>
      <c r="F105" s="3" t="s">
        <v>399</v>
      </c>
      <c r="I105" s="3" t="s">
        <v>1833</v>
      </c>
    </row>
    <row r="106" spans="2:9" hidden="1" x14ac:dyDescent="0.4">
      <c r="B106" s="8" t="s">
        <v>529</v>
      </c>
      <c r="C106" s="3" t="s">
        <v>2608</v>
      </c>
      <c r="D106" s="3" t="s">
        <v>2465</v>
      </c>
      <c r="E106" s="3" t="s">
        <v>1272</v>
      </c>
      <c r="F106" s="3" t="s">
        <v>402</v>
      </c>
      <c r="I106" s="3" t="s">
        <v>1833</v>
      </c>
    </row>
    <row r="107" spans="2:9" ht="29.25" hidden="1" x14ac:dyDescent="0.4">
      <c r="B107" s="8" t="s">
        <v>2046</v>
      </c>
      <c r="C107" s="3" t="s">
        <v>3452</v>
      </c>
      <c r="D107" s="3" t="s">
        <v>4025</v>
      </c>
      <c r="F107" s="3" t="s">
        <v>399</v>
      </c>
      <c r="G107" s="3" t="s">
        <v>402</v>
      </c>
      <c r="I107" s="3" t="s">
        <v>4063</v>
      </c>
    </row>
    <row r="108" spans="2:9" ht="29.25" hidden="1" x14ac:dyDescent="0.4">
      <c r="B108" s="8" t="s">
        <v>2046</v>
      </c>
      <c r="C108" s="3" t="s">
        <v>6122</v>
      </c>
      <c r="D108" s="3" t="s">
        <v>5449</v>
      </c>
      <c r="F108" s="3" t="s">
        <v>402</v>
      </c>
      <c r="I108" s="3" t="s">
        <v>4063</v>
      </c>
    </row>
    <row r="109" spans="2:9" ht="29.25" hidden="1" x14ac:dyDescent="0.4">
      <c r="B109" s="8" t="s">
        <v>2046</v>
      </c>
      <c r="C109" s="3" t="s">
        <v>6022</v>
      </c>
      <c r="D109" s="3" t="s">
        <v>4884</v>
      </c>
      <c r="F109" s="3" t="s">
        <v>399</v>
      </c>
      <c r="I109" s="3" t="s">
        <v>4063</v>
      </c>
    </row>
    <row r="110" spans="2:9" hidden="1" x14ac:dyDescent="0.4">
      <c r="B110" s="8" t="s">
        <v>517</v>
      </c>
      <c r="C110" s="3" t="s">
        <v>3031</v>
      </c>
      <c r="D110" s="3" t="s">
        <v>3268</v>
      </c>
      <c r="E110" s="3">
        <v>1</v>
      </c>
      <c r="F110" s="3" t="s">
        <v>402</v>
      </c>
      <c r="G110" s="3" t="s">
        <v>399</v>
      </c>
      <c r="H110" s="3" t="s">
        <v>988</v>
      </c>
      <c r="I110" s="3" t="s">
        <v>245</v>
      </c>
    </row>
    <row r="111" spans="2:9" hidden="1" x14ac:dyDescent="0.4">
      <c r="B111" s="8" t="s">
        <v>529</v>
      </c>
      <c r="C111" s="3" t="s">
        <v>2844</v>
      </c>
      <c r="D111" s="3" t="s">
        <v>2848</v>
      </c>
      <c r="E111" s="3" t="s">
        <v>1272</v>
      </c>
      <c r="F111" s="3" t="s">
        <v>399</v>
      </c>
      <c r="I111" s="3" t="s">
        <v>2370</v>
      </c>
    </row>
    <row r="112" spans="2:9" hidden="1" x14ac:dyDescent="0.4">
      <c r="B112" s="8" t="s">
        <v>517</v>
      </c>
      <c r="C112" s="3" t="s">
        <v>2223</v>
      </c>
      <c r="D112" s="3" t="s">
        <v>2363</v>
      </c>
      <c r="E112" s="3" t="s">
        <v>1272</v>
      </c>
      <c r="F112" s="3" t="s">
        <v>399</v>
      </c>
      <c r="I112" s="3" t="s">
        <v>2370</v>
      </c>
    </row>
    <row r="113" spans="2:9" hidden="1" x14ac:dyDescent="0.4">
      <c r="B113" s="8" t="s">
        <v>518</v>
      </c>
      <c r="C113" s="3" t="s">
        <v>1928</v>
      </c>
      <c r="D113" s="3" t="s">
        <v>1969</v>
      </c>
      <c r="F113" s="3" t="s">
        <v>399</v>
      </c>
      <c r="I113" s="3" t="s">
        <v>1968</v>
      </c>
    </row>
    <row r="114" spans="2:9" ht="29.25" hidden="1" x14ac:dyDescent="0.4">
      <c r="B114" s="8" t="s">
        <v>517</v>
      </c>
      <c r="C114" s="3" t="s">
        <v>2993</v>
      </c>
      <c r="D114" s="3" t="s">
        <v>3231</v>
      </c>
      <c r="E114" s="3">
        <v>1</v>
      </c>
      <c r="F114" s="3" t="s">
        <v>402</v>
      </c>
      <c r="G114" s="3" t="s">
        <v>988</v>
      </c>
      <c r="H114" s="3" t="s">
        <v>399</v>
      </c>
      <c r="I114" s="3" t="s">
        <v>245</v>
      </c>
    </row>
    <row r="115" spans="2:9" hidden="1" x14ac:dyDescent="0.4">
      <c r="B115" s="8" t="s">
        <v>517</v>
      </c>
      <c r="C115" s="3" t="s">
        <v>3032</v>
      </c>
      <c r="D115" s="3" t="s">
        <v>3268</v>
      </c>
      <c r="E115" s="3">
        <v>1</v>
      </c>
      <c r="F115" s="3" t="s">
        <v>402</v>
      </c>
      <c r="G115" s="3" t="s">
        <v>399</v>
      </c>
      <c r="H115" s="3" t="s">
        <v>988</v>
      </c>
      <c r="I115" s="3" t="s">
        <v>245</v>
      </c>
    </row>
    <row r="116" spans="2:9" hidden="1" x14ac:dyDescent="0.4">
      <c r="B116" s="8" t="s">
        <v>517</v>
      </c>
      <c r="C116" s="3" t="s">
        <v>310</v>
      </c>
      <c r="D116" s="3" t="s">
        <v>564</v>
      </c>
      <c r="F116" s="3" t="s">
        <v>399</v>
      </c>
      <c r="I116" s="3" t="s">
        <v>267</v>
      </c>
    </row>
    <row r="117" spans="2:9" hidden="1" x14ac:dyDescent="0.4">
      <c r="B117" s="8" t="s">
        <v>517</v>
      </c>
      <c r="C117" s="3" t="s">
        <v>4625</v>
      </c>
      <c r="D117" s="3" t="s">
        <v>4749</v>
      </c>
      <c r="F117" s="3" t="s">
        <v>399</v>
      </c>
      <c r="I117" s="3" t="s">
        <v>4064</v>
      </c>
    </row>
    <row r="118" spans="2:9" hidden="1" x14ac:dyDescent="0.4">
      <c r="B118" s="8" t="s">
        <v>517</v>
      </c>
      <c r="C118" s="3" t="s">
        <v>5102</v>
      </c>
      <c r="D118" s="3" t="s">
        <v>5425</v>
      </c>
      <c r="F118" s="3" t="s">
        <v>402</v>
      </c>
      <c r="I118" s="3" t="s">
        <v>4064</v>
      </c>
    </row>
    <row r="119" spans="2:9" hidden="1" x14ac:dyDescent="0.4">
      <c r="B119" s="8" t="s">
        <v>517</v>
      </c>
      <c r="C119" s="3" t="s">
        <v>3427</v>
      </c>
      <c r="D119" s="3" t="s">
        <v>3734</v>
      </c>
      <c r="F119" s="3" t="s">
        <v>399</v>
      </c>
      <c r="G119" s="3" t="s">
        <v>402</v>
      </c>
      <c r="I119" s="3" t="s">
        <v>4063</v>
      </c>
    </row>
    <row r="120" spans="2:9" hidden="1" x14ac:dyDescent="0.4">
      <c r="B120" s="8" t="s">
        <v>517</v>
      </c>
      <c r="C120" s="3" t="s">
        <v>5759</v>
      </c>
      <c r="D120" s="3" t="s">
        <v>4749</v>
      </c>
      <c r="F120" s="3" t="s">
        <v>399</v>
      </c>
      <c r="I120" s="3" t="s">
        <v>4063</v>
      </c>
    </row>
    <row r="121" spans="2:9" hidden="1" x14ac:dyDescent="0.4">
      <c r="B121" s="8" t="s">
        <v>517</v>
      </c>
      <c r="C121" s="3" t="s">
        <v>6101</v>
      </c>
      <c r="D121" s="3" t="s">
        <v>5425</v>
      </c>
      <c r="F121" s="3" t="s">
        <v>402</v>
      </c>
      <c r="I121" s="3" t="s">
        <v>4063</v>
      </c>
    </row>
    <row r="122" spans="2:9" hidden="1" x14ac:dyDescent="0.4">
      <c r="B122" s="8" t="s">
        <v>517</v>
      </c>
      <c r="C122" s="3" t="s">
        <v>4135</v>
      </c>
      <c r="D122" s="3" t="s">
        <v>3734</v>
      </c>
      <c r="F122" s="3" t="s">
        <v>399</v>
      </c>
      <c r="G122" s="3" t="s">
        <v>402</v>
      </c>
      <c r="I122" s="3" t="s">
        <v>4064</v>
      </c>
    </row>
    <row r="123" spans="2:9" hidden="1" x14ac:dyDescent="0.4">
      <c r="B123" s="8" t="s">
        <v>518</v>
      </c>
      <c r="C123" s="3" t="s">
        <v>4286</v>
      </c>
      <c r="D123" s="3" t="s">
        <v>3902</v>
      </c>
      <c r="F123" s="3" t="s">
        <v>399</v>
      </c>
      <c r="G123" s="3" t="s">
        <v>402</v>
      </c>
      <c r="I123" s="3" t="s">
        <v>4064</v>
      </c>
    </row>
    <row r="124" spans="2:9" hidden="1" x14ac:dyDescent="0.4">
      <c r="B124" s="8" t="s">
        <v>518</v>
      </c>
      <c r="C124" s="3" t="s">
        <v>4495</v>
      </c>
      <c r="D124" s="3" t="s">
        <v>4845</v>
      </c>
      <c r="F124" s="3" t="s">
        <v>399</v>
      </c>
      <c r="I124" s="3" t="s">
        <v>4064</v>
      </c>
    </row>
    <row r="125" spans="2:9" hidden="1" x14ac:dyDescent="0.4">
      <c r="B125" s="8" t="s">
        <v>518</v>
      </c>
      <c r="C125" s="3" t="s">
        <v>5280</v>
      </c>
      <c r="D125" s="3" t="s">
        <v>5600</v>
      </c>
      <c r="F125" s="3" t="s">
        <v>402</v>
      </c>
      <c r="I125" s="3" t="s">
        <v>4064</v>
      </c>
    </row>
    <row r="126" spans="2:9" hidden="1" x14ac:dyDescent="0.4">
      <c r="B126" s="8" t="s">
        <v>518</v>
      </c>
      <c r="C126" s="3" t="s">
        <v>3897</v>
      </c>
      <c r="D126" s="3" t="s">
        <v>3902</v>
      </c>
      <c r="F126" s="3" t="s">
        <v>399</v>
      </c>
      <c r="G126" s="3" t="s">
        <v>402</v>
      </c>
      <c r="I126" s="3" t="s">
        <v>4063</v>
      </c>
    </row>
    <row r="127" spans="2:9" hidden="1" x14ac:dyDescent="0.4">
      <c r="B127" s="8" t="s">
        <v>518</v>
      </c>
      <c r="C127" s="3" t="s">
        <v>5907</v>
      </c>
      <c r="D127" s="3" t="s">
        <v>4845</v>
      </c>
      <c r="F127" s="3" t="s">
        <v>399</v>
      </c>
      <c r="I127" s="3" t="s">
        <v>4063</v>
      </c>
    </row>
    <row r="128" spans="2:9" hidden="1" x14ac:dyDescent="0.4">
      <c r="B128" s="8" t="s">
        <v>518</v>
      </c>
      <c r="C128" s="3" t="s">
        <v>6253</v>
      </c>
      <c r="D128" s="3" t="s">
        <v>5600</v>
      </c>
      <c r="F128" s="3" t="s">
        <v>402</v>
      </c>
      <c r="I128" s="3" t="s">
        <v>4063</v>
      </c>
    </row>
    <row r="129" spans="2:9" hidden="1" x14ac:dyDescent="0.4">
      <c r="B129" s="8" t="s">
        <v>517</v>
      </c>
      <c r="C129" s="3" t="s">
        <v>3109</v>
      </c>
      <c r="D129" s="3" t="s">
        <v>3337</v>
      </c>
      <c r="E129" s="3">
        <v>1</v>
      </c>
      <c r="F129" s="3" t="s">
        <v>3350</v>
      </c>
      <c r="G129" s="3" t="s">
        <v>399</v>
      </c>
      <c r="H129" s="3" t="s">
        <v>988</v>
      </c>
      <c r="I129" s="3" t="s">
        <v>245</v>
      </c>
    </row>
    <row r="130" spans="2:9" hidden="1" x14ac:dyDescent="0.4">
      <c r="B130" s="8" t="s">
        <v>536</v>
      </c>
      <c r="C130" s="3" t="s">
        <v>2021</v>
      </c>
      <c r="D130" s="3" t="s">
        <v>2091</v>
      </c>
      <c r="F130" s="3" t="s">
        <v>2065</v>
      </c>
      <c r="I130" s="3" t="s">
        <v>248</v>
      </c>
    </row>
    <row r="131" spans="2:9" hidden="1" x14ac:dyDescent="0.4">
      <c r="B131" s="8" t="s">
        <v>530</v>
      </c>
      <c r="C131" s="3" t="s">
        <v>972</v>
      </c>
      <c r="D131" s="3" t="s">
        <v>984</v>
      </c>
      <c r="F131" s="3" t="s">
        <v>399</v>
      </c>
      <c r="I131" s="3" t="s">
        <v>510</v>
      </c>
    </row>
    <row r="132" spans="2:9" hidden="1" x14ac:dyDescent="0.4">
      <c r="B132" s="8" t="s">
        <v>530</v>
      </c>
      <c r="C132" s="3" t="s">
        <v>1128</v>
      </c>
      <c r="D132" s="3" t="s">
        <v>1137</v>
      </c>
      <c r="F132" s="3" t="s">
        <v>402</v>
      </c>
      <c r="I132" s="3" t="s">
        <v>510</v>
      </c>
    </row>
    <row r="133" spans="2:9" hidden="1" x14ac:dyDescent="0.4">
      <c r="B133" s="8" t="s">
        <v>530</v>
      </c>
      <c r="C133" s="3" t="s">
        <v>1087</v>
      </c>
      <c r="D133" s="3" t="s">
        <v>997</v>
      </c>
      <c r="F133" s="3" t="s">
        <v>402</v>
      </c>
      <c r="G133" s="3" t="s">
        <v>399</v>
      </c>
      <c r="H133" s="3" t="s">
        <v>988</v>
      </c>
      <c r="I133" s="3" t="s">
        <v>510</v>
      </c>
    </row>
    <row r="134" spans="2:9" hidden="1" x14ac:dyDescent="0.4">
      <c r="B134" s="8" t="s">
        <v>530</v>
      </c>
      <c r="C134" s="3" t="s">
        <v>1099</v>
      </c>
      <c r="D134" s="3" t="s">
        <v>997</v>
      </c>
      <c r="F134" s="3" t="s">
        <v>402</v>
      </c>
      <c r="I134" s="3" t="s">
        <v>510</v>
      </c>
    </row>
    <row r="135" spans="2:9" hidden="1" x14ac:dyDescent="0.4">
      <c r="B135" s="8" t="s">
        <v>530</v>
      </c>
      <c r="C135" s="3" t="s">
        <v>1108</v>
      </c>
      <c r="D135" s="3" t="s">
        <v>997</v>
      </c>
      <c r="F135" s="3" t="s">
        <v>399</v>
      </c>
      <c r="I135" s="3" t="s">
        <v>510</v>
      </c>
    </row>
    <row r="136" spans="2:9" hidden="1" x14ac:dyDescent="0.4">
      <c r="B136" s="8" t="s">
        <v>518</v>
      </c>
      <c r="C136" s="3" t="s">
        <v>2875</v>
      </c>
      <c r="D136" s="3" t="s">
        <v>3342</v>
      </c>
      <c r="E136" s="3">
        <v>1</v>
      </c>
      <c r="F136" s="3" t="s">
        <v>402</v>
      </c>
      <c r="G136" s="3" t="s">
        <v>399</v>
      </c>
      <c r="I136" s="3" t="s">
        <v>245</v>
      </c>
    </row>
    <row r="137" spans="2:9" hidden="1" x14ac:dyDescent="0.4">
      <c r="B137" s="8" t="s">
        <v>517</v>
      </c>
      <c r="C137" s="3" t="s">
        <v>2008</v>
      </c>
      <c r="D137" s="3" t="s">
        <v>1960</v>
      </c>
      <c r="F137" s="3" t="s">
        <v>399</v>
      </c>
      <c r="I137" s="3" t="s">
        <v>1968</v>
      </c>
    </row>
    <row r="138" spans="2:9" hidden="1" x14ac:dyDescent="0.4">
      <c r="B138" s="8" t="s">
        <v>518</v>
      </c>
      <c r="C138" s="3" t="s">
        <v>3661</v>
      </c>
      <c r="D138" s="3" t="s">
        <v>3954</v>
      </c>
      <c r="E138" s="3" t="s">
        <v>1272</v>
      </c>
      <c r="F138" s="3" t="s">
        <v>399</v>
      </c>
      <c r="G138" s="3" t="s">
        <v>402</v>
      </c>
      <c r="I138" s="3" t="s">
        <v>4362</v>
      </c>
    </row>
    <row r="139" spans="2:9" hidden="1" x14ac:dyDescent="0.4">
      <c r="B139" s="8" t="s">
        <v>4056</v>
      </c>
      <c r="C139" s="3" t="s">
        <v>3839</v>
      </c>
      <c r="D139" s="3" t="s">
        <v>3867</v>
      </c>
      <c r="F139" s="3" t="s">
        <v>399</v>
      </c>
      <c r="G139" s="3" t="s">
        <v>402</v>
      </c>
      <c r="I139" s="3" t="s">
        <v>4063</v>
      </c>
    </row>
    <row r="140" spans="2:9" ht="29.25" hidden="1" x14ac:dyDescent="0.4">
      <c r="B140" s="8" t="s">
        <v>4056</v>
      </c>
      <c r="C140" s="3" t="s">
        <v>6027</v>
      </c>
      <c r="D140" s="3" t="s">
        <v>4807</v>
      </c>
      <c r="F140" s="3" t="s">
        <v>399</v>
      </c>
      <c r="I140" s="3" t="s">
        <v>4063</v>
      </c>
    </row>
    <row r="141" spans="2:9" ht="29.25" hidden="1" x14ac:dyDescent="0.4">
      <c r="B141" s="8" t="s">
        <v>4056</v>
      </c>
      <c r="C141" s="3" t="s">
        <v>6190</v>
      </c>
      <c r="D141" s="3" t="s">
        <v>5529</v>
      </c>
      <c r="F141" s="3" t="s">
        <v>402</v>
      </c>
      <c r="I141" s="3" t="s">
        <v>4063</v>
      </c>
    </row>
    <row r="142" spans="2:9" hidden="1" x14ac:dyDescent="0.4">
      <c r="B142" s="8" t="s">
        <v>4056</v>
      </c>
      <c r="C142" s="3" t="s">
        <v>4230</v>
      </c>
      <c r="D142" s="3" t="s">
        <v>3867</v>
      </c>
      <c r="F142" s="3" t="s">
        <v>399</v>
      </c>
      <c r="G142" s="3" t="s">
        <v>402</v>
      </c>
      <c r="I142" s="3" t="s">
        <v>4064</v>
      </c>
    </row>
    <row r="143" spans="2:9" hidden="1" x14ac:dyDescent="0.4">
      <c r="B143" s="8" t="s">
        <v>4056</v>
      </c>
      <c r="C143" s="3" t="s">
        <v>4576</v>
      </c>
      <c r="D143" s="3" t="s">
        <v>4807</v>
      </c>
      <c r="F143" s="3" t="s">
        <v>399</v>
      </c>
      <c r="I143" s="3" t="s">
        <v>4064</v>
      </c>
    </row>
    <row r="144" spans="2:9" ht="29.25" hidden="1" x14ac:dyDescent="0.4">
      <c r="B144" s="8" t="s">
        <v>4056</v>
      </c>
      <c r="C144" s="3" t="s">
        <v>5208</v>
      </c>
      <c r="D144" s="3" t="s">
        <v>5529</v>
      </c>
      <c r="F144" s="3" t="s">
        <v>402</v>
      </c>
      <c r="I144" s="3" t="s">
        <v>4064</v>
      </c>
    </row>
    <row r="145" spans="2:9" hidden="1" x14ac:dyDescent="0.4">
      <c r="B145" s="8" t="s">
        <v>517</v>
      </c>
      <c r="C145" s="3" t="s">
        <v>2266</v>
      </c>
      <c r="D145" s="3" t="s">
        <v>2423</v>
      </c>
      <c r="E145" s="3" t="s">
        <v>1272</v>
      </c>
      <c r="F145" s="3" t="s">
        <v>399</v>
      </c>
      <c r="I145" s="3" t="s">
        <v>1833</v>
      </c>
    </row>
    <row r="146" spans="2:9" hidden="1" x14ac:dyDescent="0.4">
      <c r="B146" s="8" t="s">
        <v>517</v>
      </c>
      <c r="C146" s="3" t="s">
        <v>2574</v>
      </c>
      <c r="D146" s="3" t="s">
        <v>2814</v>
      </c>
      <c r="E146" s="3" t="s">
        <v>1272</v>
      </c>
      <c r="F146" s="3" t="s">
        <v>402</v>
      </c>
      <c r="I146" s="3" t="s">
        <v>1833</v>
      </c>
    </row>
    <row r="147" spans="2:9" hidden="1" x14ac:dyDescent="0.4">
      <c r="B147" s="8" t="s">
        <v>517</v>
      </c>
      <c r="C147" s="3" t="s">
        <v>2797</v>
      </c>
      <c r="D147" s="3" t="s">
        <v>2815</v>
      </c>
      <c r="E147" s="3" t="s">
        <v>1272</v>
      </c>
      <c r="F147" s="3" t="s">
        <v>399</v>
      </c>
      <c r="I147" s="3" t="s">
        <v>2370</v>
      </c>
    </row>
    <row r="148" spans="2:9" hidden="1" x14ac:dyDescent="0.4">
      <c r="B148" s="8" t="s">
        <v>517</v>
      </c>
      <c r="C148" s="3" t="s">
        <v>2920</v>
      </c>
      <c r="D148" s="3" t="s">
        <v>3160</v>
      </c>
      <c r="E148" s="3">
        <v>1</v>
      </c>
      <c r="F148" s="3" t="s">
        <v>402</v>
      </c>
      <c r="I148" s="3" t="s">
        <v>245</v>
      </c>
    </row>
    <row r="149" spans="2:9" hidden="1" x14ac:dyDescent="0.4">
      <c r="B149" s="8" t="s">
        <v>536</v>
      </c>
      <c r="C149" s="3" t="s">
        <v>466</v>
      </c>
      <c r="D149" s="3" t="s">
        <v>743</v>
      </c>
      <c r="E149" s="3" t="s">
        <v>432</v>
      </c>
      <c r="F149" s="3" t="s">
        <v>12779</v>
      </c>
      <c r="G149" s="3" t="s">
        <v>430</v>
      </c>
      <c r="I149" s="3" t="s">
        <v>472</v>
      </c>
    </row>
    <row r="150" spans="2:9" hidden="1" x14ac:dyDescent="0.4">
      <c r="B150" s="8" t="s">
        <v>517</v>
      </c>
      <c r="C150" s="3" t="s">
        <v>3002</v>
      </c>
      <c r="D150" s="3" t="s">
        <v>3239</v>
      </c>
      <c r="E150" s="3">
        <v>1</v>
      </c>
      <c r="F150" s="3" t="s">
        <v>402</v>
      </c>
      <c r="G150" s="3" t="s">
        <v>988</v>
      </c>
      <c r="H150" s="3" t="s">
        <v>399</v>
      </c>
      <c r="I150" s="3" t="s">
        <v>245</v>
      </c>
    </row>
    <row r="151" spans="2:9" hidden="1" x14ac:dyDescent="0.4">
      <c r="B151" s="8" t="s">
        <v>517</v>
      </c>
      <c r="C151" s="3" t="s">
        <v>3001</v>
      </c>
      <c r="D151" s="3" t="s">
        <v>3239</v>
      </c>
      <c r="E151" s="3">
        <v>1</v>
      </c>
      <c r="F151" s="3" t="s">
        <v>402</v>
      </c>
      <c r="G151" s="3" t="s">
        <v>988</v>
      </c>
      <c r="H151" s="3" t="s">
        <v>399</v>
      </c>
      <c r="I151" s="3" t="s">
        <v>245</v>
      </c>
    </row>
    <row r="152" spans="2:9" hidden="1" x14ac:dyDescent="0.4">
      <c r="B152" s="8" t="s">
        <v>531</v>
      </c>
      <c r="C152" s="3" t="s">
        <v>1922</v>
      </c>
      <c r="D152" s="3" t="s">
        <v>1954</v>
      </c>
      <c r="F152" s="3" t="s">
        <v>402</v>
      </c>
      <c r="I152" s="3" t="s">
        <v>1865</v>
      </c>
    </row>
    <row r="153" spans="2:9" hidden="1" x14ac:dyDescent="0.4">
      <c r="B153" s="8" t="s">
        <v>1974</v>
      </c>
      <c r="C153" s="3" t="s">
        <v>1973</v>
      </c>
      <c r="D153" s="3" t="s">
        <v>1982</v>
      </c>
      <c r="F153" s="3" t="s">
        <v>399</v>
      </c>
      <c r="I153" s="3" t="s">
        <v>1968</v>
      </c>
    </row>
    <row r="154" spans="2:9" hidden="1" x14ac:dyDescent="0.4">
      <c r="B154" s="8" t="s">
        <v>518</v>
      </c>
      <c r="C154" s="8" t="s">
        <v>829</v>
      </c>
      <c r="D154" s="3" t="s">
        <v>813</v>
      </c>
      <c r="F154" s="3" t="s">
        <v>399</v>
      </c>
      <c r="I154" s="3" t="s">
        <v>824</v>
      </c>
    </row>
    <row r="155" spans="2:9" hidden="1" x14ac:dyDescent="0.4">
      <c r="B155" s="8" t="s">
        <v>518</v>
      </c>
      <c r="C155" s="8" t="s">
        <v>926</v>
      </c>
      <c r="D155" s="3" t="s">
        <v>813</v>
      </c>
      <c r="F155" s="3" t="s">
        <v>402</v>
      </c>
      <c r="I155" s="3" t="s">
        <v>824</v>
      </c>
    </row>
    <row r="156" spans="2:9" ht="29.25" hidden="1" x14ac:dyDescent="0.4">
      <c r="B156" s="8" t="s">
        <v>536</v>
      </c>
      <c r="C156" s="3" t="s">
        <v>2025</v>
      </c>
      <c r="D156" s="3" t="s">
        <v>2095</v>
      </c>
      <c r="F156" s="3" t="s">
        <v>2065</v>
      </c>
      <c r="I156" s="3" t="s">
        <v>248</v>
      </c>
    </row>
    <row r="157" spans="2:9" hidden="1" x14ac:dyDescent="0.4">
      <c r="B157" s="8" t="s">
        <v>517</v>
      </c>
      <c r="C157" s="3" t="s">
        <v>4151</v>
      </c>
      <c r="D157" s="3" t="s">
        <v>3757</v>
      </c>
      <c r="F157" s="3" t="s">
        <v>399</v>
      </c>
      <c r="G157" s="3" t="s">
        <v>402</v>
      </c>
      <c r="I157" s="3" t="s">
        <v>4064</v>
      </c>
    </row>
    <row r="158" spans="2:9" hidden="1" x14ac:dyDescent="0.4">
      <c r="B158" s="8" t="s">
        <v>517</v>
      </c>
      <c r="C158" s="3" t="s">
        <v>3448</v>
      </c>
      <c r="D158" s="3" t="s">
        <v>3757</v>
      </c>
      <c r="F158" s="3" t="s">
        <v>399</v>
      </c>
      <c r="G158" s="3" t="s">
        <v>402</v>
      </c>
      <c r="I158" s="3" t="s">
        <v>4063</v>
      </c>
    </row>
    <row r="159" spans="2:9" hidden="1" x14ac:dyDescent="0.4">
      <c r="B159" s="8" t="s">
        <v>517</v>
      </c>
      <c r="C159" s="3" t="s">
        <v>5777</v>
      </c>
      <c r="D159" s="3" t="s">
        <v>4955</v>
      </c>
      <c r="F159" s="3" t="s">
        <v>399</v>
      </c>
      <c r="I159" s="3" t="s">
        <v>4063</v>
      </c>
    </row>
    <row r="160" spans="2:9" hidden="1" x14ac:dyDescent="0.4">
      <c r="B160" s="8" t="s">
        <v>517</v>
      </c>
      <c r="C160" s="3" t="s">
        <v>6119</v>
      </c>
      <c r="D160" s="3" t="s">
        <v>5445</v>
      </c>
      <c r="F160" s="3" t="s">
        <v>402</v>
      </c>
      <c r="I160" s="3" t="s">
        <v>4063</v>
      </c>
    </row>
    <row r="161" spans="2:9" hidden="1" x14ac:dyDescent="0.4">
      <c r="B161" s="8" t="s">
        <v>517</v>
      </c>
      <c r="C161" s="3" t="s">
        <v>4632</v>
      </c>
      <c r="D161" s="3" t="s">
        <v>4955</v>
      </c>
      <c r="F161" s="3" t="s">
        <v>399</v>
      </c>
      <c r="I161" s="3" t="s">
        <v>4064</v>
      </c>
    </row>
    <row r="162" spans="2:9" hidden="1" x14ac:dyDescent="0.4">
      <c r="B162" s="8" t="s">
        <v>517</v>
      </c>
      <c r="C162" s="3" t="s">
        <v>5122</v>
      </c>
      <c r="D162" s="3" t="s">
        <v>5445</v>
      </c>
      <c r="F162" s="3" t="s">
        <v>402</v>
      </c>
      <c r="I162" s="3" t="s">
        <v>4064</v>
      </c>
    </row>
    <row r="163" spans="2:9" hidden="1" x14ac:dyDescent="0.4">
      <c r="B163" s="8" t="s">
        <v>529</v>
      </c>
      <c r="C163" s="3" t="s">
        <v>4350</v>
      </c>
      <c r="D163" s="3" t="s">
        <v>4007</v>
      </c>
      <c r="F163" s="3" t="s">
        <v>399</v>
      </c>
      <c r="G163" s="3" t="s">
        <v>402</v>
      </c>
      <c r="I163" s="3" t="s">
        <v>4064</v>
      </c>
    </row>
    <row r="164" spans="2:9" hidden="1" x14ac:dyDescent="0.4">
      <c r="B164" s="8" t="s">
        <v>529</v>
      </c>
      <c r="C164" s="3" t="s">
        <v>4004</v>
      </c>
      <c r="D164" s="3" t="s">
        <v>4007</v>
      </c>
      <c r="F164" s="3" t="s">
        <v>399</v>
      </c>
      <c r="G164" s="3" t="s">
        <v>402</v>
      </c>
      <c r="I164" s="3" t="s">
        <v>4063</v>
      </c>
    </row>
    <row r="165" spans="2:9" hidden="1" x14ac:dyDescent="0.4">
      <c r="B165" s="8" t="s">
        <v>529</v>
      </c>
      <c r="C165" s="3" t="s">
        <v>5969</v>
      </c>
      <c r="D165" s="3" t="s">
        <v>5015</v>
      </c>
      <c r="F165" s="3" t="s">
        <v>399</v>
      </c>
      <c r="I165" s="3" t="s">
        <v>4063</v>
      </c>
    </row>
    <row r="166" spans="2:9" hidden="1" x14ac:dyDescent="0.4">
      <c r="B166" s="8" t="s">
        <v>529</v>
      </c>
      <c r="C166" s="3" t="s">
        <v>6317</v>
      </c>
      <c r="D166" s="3" t="s">
        <v>5668</v>
      </c>
      <c r="F166" s="3" t="s">
        <v>402</v>
      </c>
      <c r="I166" s="3" t="s">
        <v>4063</v>
      </c>
    </row>
    <row r="167" spans="2:9" hidden="1" x14ac:dyDescent="0.4">
      <c r="B167" s="8" t="s">
        <v>529</v>
      </c>
      <c r="C167" s="3" t="s">
        <v>4535</v>
      </c>
      <c r="D167" s="3" t="s">
        <v>5015</v>
      </c>
      <c r="F167" s="3" t="s">
        <v>399</v>
      </c>
      <c r="I167" s="3" t="s">
        <v>4064</v>
      </c>
    </row>
    <row r="168" spans="2:9" hidden="1" x14ac:dyDescent="0.4">
      <c r="B168" s="8" t="s">
        <v>529</v>
      </c>
      <c r="C168" s="3" t="s">
        <v>5349</v>
      </c>
      <c r="D168" s="3" t="s">
        <v>5668</v>
      </c>
      <c r="F168" s="3" t="s">
        <v>402</v>
      </c>
      <c r="I168" s="3" t="s">
        <v>4064</v>
      </c>
    </row>
    <row r="169" spans="2:9" hidden="1" x14ac:dyDescent="0.4">
      <c r="B169" s="8" t="s">
        <v>529</v>
      </c>
      <c r="C169" s="3" t="s">
        <v>1477</v>
      </c>
      <c r="D169" s="3" t="s">
        <v>1520</v>
      </c>
      <c r="F169" s="3" t="s">
        <v>399</v>
      </c>
      <c r="G169" s="3" t="s">
        <v>402</v>
      </c>
      <c r="I169" s="3" t="s">
        <v>1489</v>
      </c>
    </row>
    <row r="170" spans="2:9" hidden="1" x14ac:dyDescent="0.4">
      <c r="B170" s="8" t="s">
        <v>529</v>
      </c>
      <c r="C170" s="3" t="s">
        <v>1586</v>
      </c>
      <c r="D170" s="3" t="s">
        <v>1520</v>
      </c>
      <c r="F170" s="3" t="s">
        <v>402</v>
      </c>
      <c r="I170" s="3" t="s">
        <v>1489</v>
      </c>
    </row>
    <row r="171" spans="2:9" hidden="1" x14ac:dyDescent="0.4">
      <c r="B171" s="8" t="s">
        <v>517</v>
      </c>
      <c r="C171" s="3" t="s">
        <v>1410</v>
      </c>
      <c r="D171" s="3" t="s">
        <v>1444</v>
      </c>
      <c r="F171" s="3" t="s">
        <v>399</v>
      </c>
      <c r="G171" s="3" t="s">
        <v>402</v>
      </c>
      <c r="H171" s="3" t="s">
        <v>1279</v>
      </c>
      <c r="I171" s="3" t="s">
        <v>1414</v>
      </c>
    </row>
    <row r="172" spans="2:9" hidden="1" x14ac:dyDescent="0.4">
      <c r="B172" s="8" t="s">
        <v>517</v>
      </c>
      <c r="C172" s="3" t="s">
        <v>1554</v>
      </c>
      <c r="D172" s="3" t="s">
        <v>1444</v>
      </c>
      <c r="F172" s="3" t="s">
        <v>402</v>
      </c>
      <c r="I172" s="3" t="s">
        <v>1414</v>
      </c>
    </row>
    <row r="173" spans="2:9" hidden="1" x14ac:dyDescent="0.4">
      <c r="B173" s="8" t="s">
        <v>518</v>
      </c>
      <c r="C173" s="3" t="s">
        <v>3666</v>
      </c>
      <c r="D173" s="3" t="s">
        <v>3959</v>
      </c>
      <c r="E173" s="3" t="s">
        <v>1272</v>
      </c>
      <c r="F173" s="3" t="s">
        <v>399</v>
      </c>
      <c r="G173" s="3" t="s">
        <v>402</v>
      </c>
      <c r="I173" s="3" t="s">
        <v>4362</v>
      </c>
    </row>
    <row r="174" spans="2:9" hidden="1" x14ac:dyDescent="0.4">
      <c r="B174" s="8" t="s">
        <v>518</v>
      </c>
      <c r="C174" s="3" t="s">
        <v>3666</v>
      </c>
      <c r="D174" s="3" t="s">
        <v>3960</v>
      </c>
      <c r="E174" s="3" t="s">
        <v>1272</v>
      </c>
      <c r="F174" s="3" t="s">
        <v>399</v>
      </c>
      <c r="G174" s="3" t="s">
        <v>402</v>
      </c>
      <c r="I174" s="3" t="s">
        <v>4362</v>
      </c>
    </row>
    <row r="175" spans="2:9" hidden="1" x14ac:dyDescent="0.4">
      <c r="B175" s="8" t="s">
        <v>517</v>
      </c>
      <c r="C175" s="3" t="s">
        <v>4238</v>
      </c>
      <c r="D175" s="3" t="s">
        <v>3852</v>
      </c>
      <c r="F175" s="3" t="s">
        <v>399</v>
      </c>
      <c r="G175" s="3" t="s">
        <v>402</v>
      </c>
      <c r="I175" s="3" t="s">
        <v>4064</v>
      </c>
    </row>
    <row r="176" spans="2:9" hidden="1" x14ac:dyDescent="0.4">
      <c r="B176" s="8" t="s">
        <v>517</v>
      </c>
      <c r="C176" s="3" t="s">
        <v>4463</v>
      </c>
      <c r="D176" s="3" t="s">
        <v>4816</v>
      </c>
      <c r="F176" s="3" t="s">
        <v>399</v>
      </c>
      <c r="I176" s="3" t="s">
        <v>4064</v>
      </c>
    </row>
    <row r="177" spans="2:9" hidden="1" x14ac:dyDescent="0.4">
      <c r="B177" s="8" t="s">
        <v>517</v>
      </c>
      <c r="C177" s="3" t="s">
        <v>5219</v>
      </c>
      <c r="D177" s="3" t="s">
        <v>5541</v>
      </c>
      <c r="F177" s="3" t="s">
        <v>402</v>
      </c>
      <c r="I177" s="3" t="s">
        <v>4064</v>
      </c>
    </row>
    <row r="178" spans="2:9" hidden="1" x14ac:dyDescent="0.4">
      <c r="B178" s="8" t="s">
        <v>517</v>
      </c>
      <c r="C178" s="3" t="s">
        <v>3544</v>
      </c>
      <c r="D178" s="3" t="s">
        <v>3852</v>
      </c>
      <c r="F178" s="3" t="s">
        <v>399</v>
      </c>
      <c r="G178" s="3" t="s">
        <v>402</v>
      </c>
      <c r="I178" s="3" t="s">
        <v>4063</v>
      </c>
    </row>
    <row r="179" spans="2:9" hidden="1" x14ac:dyDescent="0.4">
      <c r="B179" s="8" t="s">
        <v>517</v>
      </c>
      <c r="C179" s="3" t="s">
        <v>5854</v>
      </c>
      <c r="D179" s="3" t="s">
        <v>4816</v>
      </c>
      <c r="F179" s="3" t="s">
        <v>399</v>
      </c>
      <c r="I179" s="3" t="s">
        <v>4063</v>
      </c>
    </row>
    <row r="180" spans="2:9" hidden="1" x14ac:dyDescent="0.4">
      <c r="B180" s="8" t="s">
        <v>517</v>
      </c>
      <c r="C180" s="3" t="s">
        <v>6199</v>
      </c>
      <c r="D180" s="3" t="s">
        <v>5541</v>
      </c>
      <c r="F180" s="3" t="s">
        <v>402</v>
      </c>
      <c r="I180" s="3" t="s">
        <v>4063</v>
      </c>
    </row>
    <row r="181" spans="2:9" hidden="1" x14ac:dyDescent="0.4">
      <c r="B181" s="8" t="s">
        <v>517</v>
      </c>
      <c r="C181" s="3" t="s">
        <v>2237</v>
      </c>
      <c r="D181" s="3" t="s">
        <v>2395</v>
      </c>
      <c r="E181" s="3" t="s">
        <v>1272</v>
      </c>
      <c r="F181" s="3" t="s">
        <v>399</v>
      </c>
      <c r="I181" s="3" t="s">
        <v>1833</v>
      </c>
    </row>
    <row r="182" spans="2:9" hidden="1" x14ac:dyDescent="0.4">
      <c r="B182" s="8" t="s">
        <v>517</v>
      </c>
      <c r="C182" s="3" t="s">
        <v>2553</v>
      </c>
      <c r="D182" s="3" t="s">
        <v>2395</v>
      </c>
      <c r="E182" s="3" t="s">
        <v>1272</v>
      </c>
      <c r="F182" s="3" t="s">
        <v>402</v>
      </c>
      <c r="I182" s="3" t="s">
        <v>1833</v>
      </c>
    </row>
    <row r="183" spans="2:9" hidden="1" x14ac:dyDescent="0.4">
      <c r="B183" s="8" t="s">
        <v>529</v>
      </c>
      <c r="C183" s="3" t="s">
        <v>3440</v>
      </c>
      <c r="D183" s="3" t="s">
        <v>3750</v>
      </c>
      <c r="F183" s="3" t="s">
        <v>399</v>
      </c>
      <c r="G183" s="3" t="s">
        <v>402</v>
      </c>
      <c r="I183" s="3" t="s">
        <v>4063</v>
      </c>
    </row>
    <row r="184" spans="2:9" hidden="1" x14ac:dyDescent="0.4">
      <c r="B184" s="8" t="s">
        <v>529</v>
      </c>
      <c r="C184" s="3" t="s">
        <v>3440</v>
      </c>
      <c r="D184" s="3" t="s">
        <v>3750</v>
      </c>
      <c r="F184" s="3" t="s">
        <v>399</v>
      </c>
      <c r="G184" s="3" t="s">
        <v>402</v>
      </c>
      <c r="I184" s="3" t="s">
        <v>4064</v>
      </c>
    </row>
    <row r="185" spans="2:9" hidden="1" x14ac:dyDescent="0.4">
      <c r="B185" s="8" t="s">
        <v>529</v>
      </c>
      <c r="C185" s="3" t="s">
        <v>5771</v>
      </c>
      <c r="D185" s="3" t="s">
        <v>4759</v>
      </c>
      <c r="F185" s="3" t="s">
        <v>399</v>
      </c>
      <c r="I185" s="3" t="s">
        <v>4063</v>
      </c>
    </row>
    <row r="186" spans="2:9" hidden="1" x14ac:dyDescent="0.4">
      <c r="B186" s="8" t="s">
        <v>529</v>
      </c>
      <c r="C186" s="3" t="s">
        <v>6113</v>
      </c>
      <c r="D186" s="3" t="s">
        <v>5437</v>
      </c>
      <c r="F186" s="3" t="s">
        <v>402</v>
      </c>
      <c r="I186" s="3" t="s">
        <v>4063</v>
      </c>
    </row>
    <row r="187" spans="2:9" hidden="1" x14ac:dyDescent="0.4">
      <c r="B187" s="8" t="s">
        <v>529</v>
      </c>
      <c r="C187" s="3" t="s">
        <v>4572</v>
      </c>
      <c r="D187" s="3" t="s">
        <v>4759</v>
      </c>
      <c r="F187" s="3" t="s">
        <v>399</v>
      </c>
      <c r="I187" s="3" t="s">
        <v>4064</v>
      </c>
    </row>
    <row r="188" spans="2:9" hidden="1" x14ac:dyDescent="0.4">
      <c r="B188" s="8" t="s">
        <v>529</v>
      </c>
      <c r="C188" s="3" t="s">
        <v>5114</v>
      </c>
      <c r="D188" s="3" t="s">
        <v>5437</v>
      </c>
      <c r="F188" s="3" t="s">
        <v>402</v>
      </c>
      <c r="I188" s="3" t="s">
        <v>4064</v>
      </c>
    </row>
    <row r="189" spans="2:9" hidden="1" x14ac:dyDescent="0.4">
      <c r="B189" s="8" t="s">
        <v>517</v>
      </c>
      <c r="C189" s="3" t="s">
        <v>4173</v>
      </c>
      <c r="D189" s="3" t="s">
        <v>3778</v>
      </c>
      <c r="F189" s="3" t="s">
        <v>399</v>
      </c>
      <c r="G189" s="3" t="s">
        <v>402</v>
      </c>
      <c r="I189" s="3" t="s">
        <v>4064</v>
      </c>
    </row>
    <row r="190" spans="2:9" hidden="1" x14ac:dyDescent="0.4">
      <c r="B190" s="8" t="s">
        <v>517</v>
      </c>
      <c r="C190" s="3" t="s">
        <v>4416</v>
      </c>
      <c r="D190" s="3" t="s">
        <v>4895</v>
      </c>
      <c r="F190" s="3" t="s">
        <v>399</v>
      </c>
      <c r="I190" s="3" t="s">
        <v>4064</v>
      </c>
    </row>
    <row r="191" spans="2:9" hidden="1" x14ac:dyDescent="0.4">
      <c r="B191" s="8" t="s">
        <v>517</v>
      </c>
      <c r="C191" s="3" t="s">
        <v>5145</v>
      </c>
      <c r="D191" s="3" t="s">
        <v>5467</v>
      </c>
      <c r="F191" s="3" t="s">
        <v>402</v>
      </c>
      <c r="I191" s="3" t="s">
        <v>4064</v>
      </c>
    </row>
    <row r="192" spans="2:9" hidden="1" x14ac:dyDescent="0.4">
      <c r="B192" s="8" t="s">
        <v>517</v>
      </c>
      <c r="C192" s="3" t="s">
        <v>3472</v>
      </c>
      <c r="D192" s="3" t="s">
        <v>3778</v>
      </c>
      <c r="F192" s="3" t="s">
        <v>399</v>
      </c>
      <c r="G192" s="3" t="s">
        <v>402</v>
      </c>
      <c r="I192" s="3" t="s">
        <v>4063</v>
      </c>
    </row>
    <row r="193" spans="2:9" hidden="1" x14ac:dyDescent="0.4">
      <c r="B193" s="8" t="s">
        <v>517</v>
      </c>
      <c r="C193" s="3" t="s">
        <v>5794</v>
      </c>
      <c r="D193" s="3" t="s">
        <v>4895</v>
      </c>
      <c r="F193" s="3" t="s">
        <v>399</v>
      </c>
      <c r="I193" s="3" t="s">
        <v>4063</v>
      </c>
    </row>
    <row r="194" spans="2:9" hidden="1" x14ac:dyDescent="0.4">
      <c r="B194" s="8" t="s">
        <v>517</v>
      </c>
      <c r="C194" s="3" t="s">
        <v>6137</v>
      </c>
      <c r="D194" s="3" t="s">
        <v>5467</v>
      </c>
      <c r="F194" s="3" t="s">
        <v>402</v>
      </c>
      <c r="I194" s="3" t="s">
        <v>4063</v>
      </c>
    </row>
    <row r="195" spans="2:9" hidden="1" x14ac:dyDescent="0.4">
      <c r="B195" s="8" t="s">
        <v>517</v>
      </c>
      <c r="C195" s="3" t="s">
        <v>1929</v>
      </c>
      <c r="D195" s="3" t="s">
        <v>1970</v>
      </c>
      <c r="F195" s="3" t="s">
        <v>399</v>
      </c>
      <c r="I195" s="3" t="s">
        <v>1968</v>
      </c>
    </row>
    <row r="196" spans="2:9" hidden="1" x14ac:dyDescent="0.4">
      <c r="B196" s="8" t="s">
        <v>517</v>
      </c>
      <c r="C196" s="3" t="s">
        <v>3652</v>
      </c>
      <c r="D196" s="3" t="s">
        <v>3944</v>
      </c>
      <c r="E196" s="3" t="s">
        <v>1272</v>
      </c>
      <c r="F196" s="3" t="s">
        <v>399</v>
      </c>
      <c r="G196" s="3" t="s">
        <v>402</v>
      </c>
      <c r="I196" s="3" t="s">
        <v>4362</v>
      </c>
    </row>
    <row r="197" spans="2:9" hidden="1" x14ac:dyDescent="0.4">
      <c r="B197" s="8" t="s">
        <v>517</v>
      </c>
      <c r="C197" s="3" t="s">
        <v>4252</v>
      </c>
      <c r="D197" s="3" t="s">
        <v>4254</v>
      </c>
      <c r="F197" s="3" t="s">
        <v>399</v>
      </c>
      <c r="G197" s="3" t="s">
        <v>402</v>
      </c>
      <c r="I197" s="3" t="s">
        <v>4064</v>
      </c>
    </row>
    <row r="198" spans="2:9" hidden="1" x14ac:dyDescent="0.4">
      <c r="B198" s="8" t="s">
        <v>517</v>
      </c>
      <c r="C198" s="3" t="s">
        <v>4252</v>
      </c>
      <c r="D198" s="3" t="s">
        <v>4254</v>
      </c>
      <c r="F198" s="3" t="s">
        <v>399</v>
      </c>
      <c r="G198" s="3" t="s">
        <v>402</v>
      </c>
      <c r="I198" s="3" t="s">
        <v>4063</v>
      </c>
    </row>
    <row r="199" spans="2:9" hidden="1" x14ac:dyDescent="0.4">
      <c r="B199" s="8" t="s">
        <v>517</v>
      </c>
      <c r="C199" s="3" t="s">
        <v>5979</v>
      </c>
      <c r="D199" s="3" t="s">
        <v>4967</v>
      </c>
      <c r="F199" s="3" t="s">
        <v>399</v>
      </c>
      <c r="I199" s="3" t="s">
        <v>4063</v>
      </c>
    </row>
    <row r="200" spans="2:9" hidden="1" x14ac:dyDescent="0.4">
      <c r="B200" s="8" t="s">
        <v>517</v>
      </c>
      <c r="C200" s="3" t="s">
        <v>6327</v>
      </c>
      <c r="D200" s="3" t="s">
        <v>5677</v>
      </c>
      <c r="F200" s="3" t="s">
        <v>402</v>
      </c>
      <c r="I200" s="3" t="s">
        <v>4063</v>
      </c>
    </row>
    <row r="201" spans="2:9" hidden="1" x14ac:dyDescent="0.4">
      <c r="B201" s="8" t="s">
        <v>517</v>
      </c>
      <c r="C201" s="3" t="s">
        <v>4602</v>
      </c>
      <c r="D201" s="3" t="s">
        <v>4967</v>
      </c>
      <c r="F201" s="3" t="s">
        <v>399</v>
      </c>
      <c r="I201" s="3" t="s">
        <v>4064</v>
      </c>
    </row>
    <row r="202" spans="2:9" hidden="1" x14ac:dyDescent="0.4">
      <c r="B202" s="8" t="s">
        <v>517</v>
      </c>
      <c r="C202" s="3" t="s">
        <v>5360</v>
      </c>
      <c r="D202" s="3" t="s">
        <v>5677</v>
      </c>
      <c r="F202" s="3" t="s">
        <v>402</v>
      </c>
      <c r="I202" s="3" t="s">
        <v>4064</v>
      </c>
    </row>
    <row r="203" spans="2:9" hidden="1" x14ac:dyDescent="0.4">
      <c r="B203" s="8" t="s">
        <v>518</v>
      </c>
      <c r="C203" s="3" t="s">
        <v>2299</v>
      </c>
      <c r="D203" s="3" t="s">
        <v>2456</v>
      </c>
      <c r="E203" s="3" t="s">
        <v>1272</v>
      </c>
      <c r="F203" s="3" t="s">
        <v>399</v>
      </c>
      <c r="I203" s="3" t="s">
        <v>1833</v>
      </c>
    </row>
    <row r="204" spans="2:9" hidden="1" x14ac:dyDescent="0.4">
      <c r="B204" s="8" t="s">
        <v>518</v>
      </c>
      <c r="C204" s="3" t="s">
        <v>2601</v>
      </c>
      <c r="D204" s="3" t="s">
        <v>2456</v>
      </c>
      <c r="E204" s="3" t="s">
        <v>1272</v>
      </c>
      <c r="F204" s="3" t="s">
        <v>402</v>
      </c>
      <c r="I204" s="3" t="s">
        <v>1833</v>
      </c>
    </row>
    <row r="205" spans="2:9" hidden="1" x14ac:dyDescent="0.4">
      <c r="B205" s="8" t="s">
        <v>518</v>
      </c>
      <c r="C205" s="3" t="s">
        <v>2825</v>
      </c>
      <c r="D205" s="3" t="s">
        <v>2829</v>
      </c>
      <c r="E205" s="3" t="s">
        <v>1272</v>
      </c>
      <c r="F205" s="3" t="s">
        <v>399</v>
      </c>
      <c r="I205" s="3" t="s">
        <v>2370</v>
      </c>
    </row>
    <row r="206" spans="2:9" hidden="1" x14ac:dyDescent="0.4">
      <c r="B206" s="8" t="s">
        <v>517</v>
      </c>
      <c r="C206" s="3" t="s">
        <v>4018</v>
      </c>
      <c r="D206" s="3" t="s">
        <v>4019</v>
      </c>
      <c r="F206" s="3" t="s">
        <v>399</v>
      </c>
      <c r="G206" s="3" t="s">
        <v>402</v>
      </c>
      <c r="I206" s="3" t="s">
        <v>4063</v>
      </c>
    </row>
    <row r="207" spans="2:9" hidden="1" x14ac:dyDescent="0.4">
      <c r="B207" s="8" t="s">
        <v>517</v>
      </c>
      <c r="C207" s="3" t="s">
        <v>4018</v>
      </c>
      <c r="D207" s="3" t="s">
        <v>4019</v>
      </c>
      <c r="F207" s="3" t="s">
        <v>399</v>
      </c>
      <c r="G207" s="3" t="s">
        <v>402</v>
      </c>
      <c r="I207" s="3" t="s">
        <v>4064</v>
      </c>
    </row>
    <row r="208" spans="2:9" hidden="1" x14ac:dyDescent="0.4">
      <c r="B208" s="8" t="s">
        <v>517</v>
      </c>
      <c r="C208" s="3" t="s">
        <v>5976</v>
      </c>
      <c r="D208" s="3" t="s">
        <v>5022</v>
      </c>
      <c r="F208" s="3" t="s">
        <v>399</v>
      </c>
      <c r="I208" s="3" t="s">
        <v>4063</v>
      </c>
    </row>
    <row r="209" spans="2:9" hidden="1" x14ac:dyDescent="0.4">
      <c r="B209" s="8" t="s">
        <v>517</v>
      </c>
      <c r="C209" s="3" t="s">
        <v>6324</v>
      </c>
      <c r="D209" s="3" t="s">
        <v>5675</v>
      </c>
      <c r="F209" s="3" t="s">
        <v>402</v>
      </c>
      <c r="I209" s="3" t="s">
        <v>4063</v>
      </c>
    </row>
    <row r="210" spans="2:9" hidden="1" x14ac:dyDescent="0.4">
      <c r="B210" s="8" t="s">
        <v>517</v>
      </c>
      <c r="C210" s="3" t="s">
        <v>4601</v>
      </c>
      <c r="D210" s="3" t="s">
        <v>5022</v>
      </c>
      <c r="F210" s="3" t="s">
        <v>399</v>
      </c>
      <c r="I210" s="3" t="s">
        <v>4064</v>
      </c>
    </row>
    <row r="211" spans="2:9" hidden="1" x14ac:dyDescent="0.4">
      <c r="B211" s="8" t="s">
        <v>517</v>
      </c>
      <c r="C211" s="3" t="s">
        <v>5356</v>
      </c>
      <c r="D211" s="3" t="s">
        <v>5675</v>
      </c>
      <c r="F211" s="3" t="s">
        <v>402</v>
      </c>
      <c r="I211" s="3" t="s">
        <v>4064</v>
      </c>
    </row>
    <row r="212" spans="2:9" hidden="1" x14ac:dyDescent="0.4">
      <c r="B212" s="8" t="s">
        <v>518</v>
      </c>
      <c r="C212" s="3" t="s">
        <v>2916</v>
      </c>
      <c r="D212" s="3" t="s">
        <v>3156</v>
      </c>
      <c r="E212" s="3">
        <v>1</v>
      </c>
      <c r="F212" s="3" t="s">
        <v>402</v>
      </c>
      <c r="G212" s="3" t="s">
        <v>988</v>
      </c>
      <c r="I212" s="3" t="s">
        <v>245</v>
      </c>
    </row>
    <row r="213" spans="2:9" hidden="1" x14ac:dyDescent="0.4">
      <c r="B213" s="8" t="s">
        <v>529</v>
      </c>
      <c r="C213" s="3" t="s">
        <v>4000</v>
      </c>
      <c r="D213" s="3" t="s">
        <v>4003</v>
      </c>
      <c r="F213" s="3" t="s">
        <v>399</v>
      </c>
      <c r="G213" s="3" t="s">
        <v>402</v>
      </c>
      <c r="I213" s="3" t="s">
        <v>4063</v>
      </c>
    </row>
    <row r="214" spans="2:9" hidden="1" x14ac:dyDescent="0.4">
      <c r="B214" s="8" t="s">
        <v>529</v>
      </c>
      <c r="C214" s="3" t="s">
        <v>4000</v>
      </c>
      <c r="D214" s="3" t="s">
        <v>4003</v>
      </c>
      <c r="F214" s="3" t="s">
        <v>399</v>
      </c>
      <c r="G214" s="3" t="s">
        <v>402</v>
      </c>
      <c r="I214" s="3" t="s">
        <v>4064</v>
      </c>
    </row>
    <row r="215" spans="2:9" hidden="1" x14ac:dyDescent="0.4">
      <c r="B215" s="8" t="s">
        <v>529</v>
      </c>
      <c r="C215" s="3" t="s">
        <v>5968</v>
      </c>
      <c r="D215" s="3" t="s">
        <v>5685</v>
      </c>
      <c r="F215" s="3" t="s">
        <v>399</v>
      </c>
      <c r="I215" s="3" t="s">
        <v>4063</v>
      </c>
    </row>
    <row r="216" spans="2:9" hidden="1" x14ac:dyDescent="0.4">
      <c r="B216" s="8" t="s">
        <v>529</v>
      </c>
      <c r="C216" s="3" t="s">
        <v>6316</v>
      </c>
      <c r="D216" s="3" t="s">
        <v>6375</v>
      </c>
      <c r="F216" s="3" t="s">
        <v>402</v>
      </c>
      <c r="I216" s="3" t="s">
        <v>4063</v>
      </c>
    </row>
    <row r="217" spans="2:9" hidden="1" x14ac:dyDescent="0.4">
      <c r="B217" s="8" t="s">
        <v>529</v>
      </c>
      <c r="C217" s="3" t="s">
        <v>4600</v>
      </c>
      <c r="D217" s="3" t="s">
        <v>5685</v>
      </c>
      <c r="F217" s="3" t="s">
        <v>399</v>
      </c>
      <c r="I217" s="3" t="s">
        <v>4064</v>
      </c>
    </row>
    <row r="218" spans="2:9" hidden="1" x14ac:dyDescent="0.4">
      <c r="B218" s="8" t="s">
        <v>529</v>
      </c>
      <c r="C218" s="3" t="s">
        <v>5348</v>
      </c>
      <c r="D218" s="3" t="s">
        <v>5667</v>
      </c>
      <c r="F218" s="3" t="s">
        <v>402</v>
      </c>
      <c r="I218" s="3" t="s">
        <v>4064</v>
      </c>
    </row>
    <row r="219" spans="2:9" hidden="1" x14ac:dyDescent="0.4">
      <c r="B219" s="8" t="s">
        <v>536</v>
      </c>
      <c r="C219" s="3" t="s">
        <v>2014</v>
      </c>
      <c r="D219" s="3" t="s">
        <v>2084</v>
      </c>
      <c r="F219" s="3" t="s">
        <v>2065</v>
      </c>
      <c r="I219" s="3" t="s">
        <v>248</v>
      </c>
    </row>
    <row r="220" spans="2:9" hidden="1" x14ac:dyDescent="0.4">
      <c r="B220" s="8" t="s">
        <v>517</v>
      </c>
      <c r="C220" s="3" t="s">
        <v>3665</v>
      </c>
      <c r="D220" s="3" t="s">
        <v>3958</v>
      </c>
      <c r="E220" s="3" t="s">
        <v>1272</v>
      </c>
      <c r="F220" s="3" t="s">
        <v>399</v>
      </c>
      <c r="G220" s="3" t="s">
        <v>402</v>
      </c>
      <c r="I220" s="3" t="s">
        <v>4362</v>
      </c>
    </row>
    <row r="221" spans="2:9" hidden="1" x14ac:dyDescent="0.4">
      <c r="B221" s="8" t="s">
        <v>517</v>
      </c>
      <c r="C221" s="3" t="s">
        <v>3663</v>
      </c>
      <c r="D221" s="3" t="s">
        <v>3956</v>
      </c>
      <c r="E221" s="3" t="s">
        <v>1272</v>
      </c>
      <c r="F221" s="3" t="s">
        <v>399</v>
      </c>
      <c r="G221" s="3" t="s">
        <v>402</v>
      </c>
      <c r="I221" s="3" t="s">
        <v>4362</v>
      </c>
    </row>
    <row r="222" spans="2:9" hidden="1" x14ac:dyDescent="0.4">
      <c r="B222" s="8" t="s">
        <v>536</v>
      </c>
      <c r="C222" s="3" t="s">
        <v>2028</v>
      </c>
      <c r="D222" s="3" t="s">
        <v>2096</v>
      </c>
      <c r="F222" s="3" t="s">
        <v>2065</v>
      </c>
      <c r="I222" s="3" t="s">
        <v>248</v>
      </c>
    </row>
    <row r="223" spans="2:9" hidden="1" x14ac:dyDescent="0.4">
      <c r="B223" s="8" t="s">
        <v>517</v>
      </c>
      <c r="C223" s="8" t="s">
        <v>931</v>
      </c>
      <c r="D223" s="3" t="s">
        <v>817</v>
      </c>
      <c r="F223" s="3" t="s">
        <v>402</v>
      </c>
      <c r="I223" s="3" t="s">
        <v>824</v>
      </c>
    </row>
    <row r="224" spans="2:9" hidden="1" x14ac:dyDescent="0.4">
      <c r="B224" s="8" t="s">
        <v>517</v>
      </c>
      <c r="C224" s="8" t="s">
        <v>833</v>
      </c>
      <c r="D224" s="3" t="s">
        <v>817</v>
      </c>
      <c r="F224" s="3" t="s">
        <v>399</v>
      </c>
      <c r="I224" s="3" t="s">
        <v>824</v>
      </c>
    </row>
    <row r="225" spans="2:9" hidden="1" x14ac:dyDescent="0.4">
      <c r="B225" s="8" t="s">
        <v>517</v>
      </c>
      <c r="C225" s="8" t="s">
        <v>930</v>
      </c>
      <c r="D225" s="3" t="s">
        <v>817</v>
      </c>
      <c r="F225" s="3" t="s">
        <v>402</v>
      </c>
      <c r="I225" s="3" t="s">
        <v>824</v>
      </c>
    </row>
    <row r="226" spans="2:9" hidden="1" x14ac:dyDescent="0.4">
      <c r="B226" s="8" t="s">
        <v>517</v>
      </c>
      <c r="C226" s="3" t="s">
        <v>3660</v>
      </c>
      <c r="D226" s="3" t="s">
        <v>3900</v>
      </c>
      <c r="F226" s="3" t="s">
        <v>399</v>
      </c>
      <c r="G226" s="3" t="s">
        <v>402</v>
      </c>
      <c r="I226" s="3" t="s">
        <v>4063</v>
      </c>
    </row>
    <row r="227" spans="2:9" hidden="1" x14ac:dyDescent="0.4">
      <c r="B227" s="8" t="s">
        <v>517</v>
      </c>
      <c r="C227" s="3" t="s">
        <v>3660</v>
      </c>
      <c r="D227" s="3" t="s">
        <v>3953</v>
      </c>
      <c r="E227" s="3" t="s">
        <v>1272</v>
      </c>
      <c r="F227" s="3" t="s">
        <v>399</v>
      </c>
      <c r="G227" s="3" t="s">
        <v>402</v>
      </c>
      <c r="I227" s="3" t="s">
        <v>4362</v>
      </c>
    </row>
    <row r="228" spans="2:9" hidden="1" x14ac:dyDescent="0.4">
      <c r="B228" s="8" t="s">
        <v>517</v>
      </c>
      <c r="C228" s="3" t="s">
        <v>3660</v>
      </c>
      <c r="D228" s="3" t="s">
        <v>3900</v>
      </c>
      <c r="F228" s="3" t="s">
        <v>399</v>
      </c>
      <c r="G228" s="3" t="s">
        <v>402</v>
      </c>
      <c r="I228" s="3" t="s">
        <v>4064</v>
      </c>
    </row>
    <row r="229" spans="2:9" hidden="1" x14ac:dyDescent="0.4">
      <c r="B229" s="8" t="s">
        <v>517</v>
      </c>
      <c r="C229" s="3" t="s">
        <v>5905</v>
      </c>
      <c r="D229" s="3" t="s">
        <v>4991</v>
      </c>
      <c r="F229" s="3" t="s">
        <v>399</v>
      </c>
      <c r="I229" s="3" t="s">
        <v>4063</v>
      </c>
    </row>
    <row r="230" spans="2:9" hidden="1" x14ac:dyDescent="0.4">
      <c r="B230" s="8" t="s">
        <v>517</v>
      </c>
      <c r="C230" s="3" t="s">
        <v>6251</v>
      </c>
      <c r="D230" s="3" t="s">
        <v>5598</v>
      </c>
      <c r="F230" s="3" t="s">
        <v>402</v>
      </c>
      <c r="I230" s="3" t="s">
        <v>4063</v>
      </c>
    </row>
    <row r="231" spans="2:9" hidden="1" x14ac:dyDescent="0.4">
      <c r="B231" s="8" t="s">
        <v>517</v>
      </c>
      <c r="C231" s="3" t="s">
        <v>4590</v>
      </c>
      <c r="D231" s="3" t="s">
        <v>4991</v>
      </c>
      <c r="F231" s="3" t="s">
        <v>399</v>
      </c>
      <c r="I231" s="3" t="s">
        <v>4064</v>
      </c>
    </row>
    <row r="232" spans="2:9" hidden="1" x14ac:dyDescent="0.4">
      <c r="B232" s="8" t="s">
        <v>517</v>
      </c>
      <c r="C232" s="3" t="s">
        <v>5278</v>
      </c>
      <c r="D232" s="3" t="s">
        <v>5598</v>
      </c>
      <c r="F232" s="3" t="s">
        <v>402</v>
      </c>
      <c r="I232" s="3" t="s">
        <v>4064</v>
      </c>
    </row>
    <row r="233" spans="2:9" hidden="1" x14ac:dyDescent="0.4">
      <c r="B233" s="8" t="s">
        <v>517</v>
      </c>
      <c r="C233" s="3" t="s">
        <v>3393</v>
      </c>
      <c r="D233" s="3" t="s">
        <v>3702</v>
      </c>
      <c r="F233" s="3" t="s">
        <v>399</v>
      </c>
      <c r="G233" s="3" t="s">
        <v>402</v>
      </c>
      <c r="I233" s="3" t="s">
        <v>4063</v>
      </c>
    </row>
    <row r="234" spans="2:9" hidden="1" x14ac:dyDescent="0.4">
      <c r="B234" s="8" t="s">
        <v>517</v>
      </c>
      <c r="C234" s="3" t="s">
        <v>3393</v>
      </c>
      <c r="D234" s="3" t="s">
        <v>3702</v>
      </c>
      <c r="F234" s="3" t="s">
        <v>399</v>
      </c>
      <c r="G234" s="3" t="s">
        <v>402</v>
      </c>
      <c r="I234" s="3" t="s">
        <v>4064</v>
      </c>
    </row>
    <row r="235" spans="2:9" hidden="1" x14ac:dyDescent="0.4">
      <c r="B235" s="8" t="s">
        <v>517</v>
      </c>
      <c r="C235" s="3" t="s">
        <v>5726</v>
      </c>
      <c r="D235" s="3" t="s">
        <v>4723</v>
      </c>
      <c r="F235" s="3" t="s">
        <v>399</v>
      </c>
      <c r="I235" s="3" t="s">
        <v>4063</v>
      </c>
    </row>
    <row r="236" spans="2:9" hidden="1" x14ac:dyDescent="0.4">
      <c r="B236" s="8" t="s">
        <v>517</v>
      </c>
      <c r="C236" s="3" t="s">
        <v>6067</v>
      </c>
      <c r="D236" s="3" t="s">
        <v>5392</v>
      </c>
      <c r="F236" s="3" t="s">
        <v>402</v>
      </c>
      <c r="I236" s="3" t="s">
        <v>4063</v>
      </c>
    </row>
    <row r="237" spans="2:9" hidden="1" x14ac:dyDescent="0.4">
      <c r="B237" s="8" t="s">
        <v>517</v>
      </c>
      <c r="C237" s="3" t="s">
        <v>4563</v>
      </c>
      <c r="D237" s="3" t="s">
        <v>4723</v>
      </c>
      <c r="F237" s="3" t="s">
        <v>399</v>
      </c>
      <c r="I237" s="3" t="s">
        <v>4064</v>
      </c>
    </row>
    <row r="238" spans="2:9" hidden="1" x14ac:dyDescent="0.4">
      <c r="B238" s="8" t="s">
        <v>517</v>
      </c>
      <c r="C238" s="3" t="s">
        <v>5061</v>
      </c>
      <c r="D238" s="3" t="s">
        <v>5392</v>
      </c>
      <c r="F238" s="3" t="s">
        <v>402</v>
      </c>
      <c r="I238" s="3" t="s">
        <v>4064</v>
      </c>
    </row>
    <row r="239" spans="2:9" hidden="1" x14ac:dyDescent="0.4">
      <c r="B239" s="8" t="s">
        <v>517</v>
      </c>
      <c r="C239" s="3" t="s">
        <v>3043</v>
      </c>
      <c r="D239" s="3" t="s">
        <v>3279</v>
      </c>
      <c r="E239" s="3">
        <v>1</v>
      </c>
      <c r="F239" s="3" t="s">
        <v>3350</v>
      </c>
      <c r="G239" s="3" t="s">
        <v>399</v>
      </c>
      <c r="H239" s="3" t="s">
        <v>988</v>
      </c>
      <c r="I239" s="3" t="s">
        <v>245</v>
      </c>
    </row>
    <row r="240" spans="2:9" hidden="1" x14ac:dyDescent="0.4">
      <c r="B240" s="8" t="s">
        <v>517</v>
      </c>
      <c r="C240" s="3" t="s">
        <v>3042</v>
      </c>
      <c r="D240" s="3" t="s">
        <v>3278</v>
      </c>
      <c r="E240" s="3">
        <v>1</v>
      </c>
      <c r="F240" s="3" t="s">
        <v>402</v>
      </c>
      <c r="G240" s="3" t="s">
        <v>399</v>
      </c>
      <c r="H240" s="3" t="s">
        <v>988</v>
      </c>
      <c r="I240" s="3" t="s">
        <v>245</v>
      </c>
    </row>
    <row r="241" spans="2:9" hidden="1" x14ac:dyDescent="0.4">
      <c r="B241" s="8" t="s">
        <v>520</v>
      </c>
      <c r="C241" s="3" t="s">
        <v>1809</v>
      </c>
      <c r="D241" s="3" t="s">
        <v>1878</v>
      </c>
      <c r="F241" s="3" t="s">
        <v>399</v>
      </c>
      <c r="I241" s="3" t="s">
        <v>1865</v>
      </c>
    </row>
    <row r="242" spans="2:9" hidden="1" x14ac:dyDescent="0.4">
      <c r="B242" s="8" t="s">
        <v>520</v>
      </c>
      <c r="C242" s="3" t="s">
        <v>1810</v>
      </c>
      <c r="D242" s="3" t="s">
        <v>1879</v>
      </c>
      <c r="F242" s="3" t="s">
        <v>399</v>
      </c>
      <c r="I242" s="3" t="s">
        <v>1865</v>
      </c>
    </row>
    <row r="243" spans="2:9" hidden="1" x14ac:dyDescent="0.4">
      <c r="B243" s="8" t="s">
        <v>1990</v>
      </c>
      <c r="C243" s="3" t="s">
        <v>1986</v>
      </c>
      <c r="D243" s="3" t="s">
        <v>1992</v>
      </c>
      <c r="F243" s="3" t="s">
        <v>399</v>
      </c>
      <c r="I243" s="3" t="s">
        <v>1865</v>
      </c>
    </row>
    <row r="244" spans="2:9" hidden="1" x14ac:dyDescent="0.4">
      <c r="B244" s="8" t="s">
        <v>517</v>
      </c>
      <c r="C244" s="3" t="s">
        <v>302</v>
      </c>
      <c r="D244" s="3" t="s">
        <v>565</v>
      </c>
      <c r="F244" s="3" t="s">
        <v>399</v>
      </c>
      <c r="I244" s="3" t="s">
        <v>267</v>
      </c>
    </row>
    <row r="245" spans="2:9" hidden="1" x14ac:dyDescent="0.4">
      <c r="B245" s="8" t="s">
        <v>518</v>
      </c>
      <c r="C245" s="3" t="s">
        <v>318</v>
      </c>
      <c r="D245" s="3" t="s">
        <v>566</v>
      </c>
      <c r="F245" s="3" t="s">
        <v>399</v>
      </c>
      <c r="I245" s="3" t="s">
        <v>267</v>
      </c>
    </row>
    <row r="246" spans="2:9" hidden="1" x14ac:dyDescent="0.4">
      <c r="B246" s="8" t="s">
        <v>517</v>
      </c>
      <c r="C246" s="3" t="s">
        <v>4301</v>
      </c>
      <c r="D246" s="3" t="s">
        <v>3914</v>
      </c>
      <c r="F246" s="3" t="s">
        <v>399</v>
      </c>
      <c r="G246" s="3" t="s">
        <v>402</v>
      </c>
      <c r="I246" s="3" t="s">
        <v>4064</v>
      </c>
    </row>
    <row r="247" spans="2:9" hidden="1" x14ac:dyDescent="0.4">
      <c r="B247" s="8" t="s">
        <v>517</v>
      </c>
      <c r="C247" s="3" t="s">
        <v>3620</v>
      </c>
      <c r="D247" s="3" t="s">
        <v>3914</v>
      </c>
      <c r="F247" s="3" t="s">
        <v>399</v>
      </c>
      <c r="G247" s="3" t="s">
        <v>402</v>
      </c>
      <c r="I247" s="3" t="s">
        <v>4063</v>
      </c>
    </row>
    <row r="248" spans="2:9" hidden="1" x14ac:dyDescent="0.4">
      <c r="B248" s="8" t="s">
        <v>517</v>
      </c>
      <c r="C248" s="3" t="s">
        <v>5926</v>
      </c>
      <c r="D248" s="3" t="s">
        <v>4928</v>
      </c>
      <c r="F248" s="3" t="s">
        <v>399</v>
      </c>
      <c r="I248" s="3" t="s">
        <v>4063</v>
      </c>
    </row>
    <row r="249" spans="2:9" hidden="1" x14ac:dyDescent="0.4">
      <c r="B249" s="8" t="s">
        <v>517</v>
      </c>
      <c r="C249" s="3" t="s">
        <v>6272</v>
      </c>
      <c r="D249" s="3" t="s">
        <v>5619</v>
      </c>
      <c r="F249" s="3" t="s">
        <v>402</v>
      </c>
      <c r="I249" s="3" t="s">
        <v>4063</v>
      </c>
    </row>
    <row r="250" spans="2:9" hidden="1" x14ac:dyDescent="0.4">
      <c r="B250" s="8" t="s">
        <v>517</v>
      </c>
      <c r="C250" s="3" t="s">
        <v>4687</v>
      </c>
      <c r="D250" s="3" t="s">
        <v>4928</v>
      </c>
      <c r="F250" s="3" t="s">
        <v>399</v>
      </c>
      <c r="I250" s="3" t="s">
        <v>4064</v>
      </c>
    </row>
    <row r="251" spans="2:9" hidden="1" x14ac:dyDescent="0.4">
      <c r="B251" s="8" t="s">
        <v>517</v>
      </c>
      <c r="C251" s="3" t="s">
        <v>5299</v>
      </c>
      <c r="D251" s="3" t="s">
        <v>5619</v>
      </c>
      <c r="F251" s="3" t="s">
        <v>402</v>
      </c>
      <c r="I251" s="3" t="s">
        <v>4064</v>
      </c>
    </row>
    <row r="252" spans="2:9" hidden="1" x14ac:dyDescent="0.4">
      <c r="B252" s="8" t="s">
        <v>517</v>
      </c>
      <c r="C252" s="3" t="s">
        <v>315</v>
      </c>
      <c r="D252" s="3" t="s">
        <v>567</v>
      </c>
      <c r="F252" s="3" t="s">
        <v>399</v>
      </c>
      <c r="I252" s="3" t="s">
        <v>267</v>
      </c>
    </row>
    <row r="253" spans="2:9" hidden="1" x14ac:dyDescent="0.4">
      <c r="B253" s="8" t="s">
        <v>518</v>
      </c>
      <c r="C253" s="3" t="s">
        <v>2221</v>
      </c>
      <c r="D253" s="3" t="s">
        <v>2379</v>
      </c>
      <c r="E253" s="3" t="s">
        <v>1272</v>
      </c>
      <c r="F253" s="3" t="s">
        <v>399</v>
      </c>
      <c r="I253" s="3" t="s">
        <v>1833</v>
      </c>
    </row>
    <row r="254" spans="2:9" hidden="1" x14ac:dyDescent="0.4">
      <c r="B254" s="8" t="s">
        <v>518</v>
      </c>
      <c r="C254" s="3" t="s">
        <v>2513</v>
      </c>
      <c r="D254" s="3" t="s">
        <v>2379</v>
      </c>
      <c r="E254" s="3" t="s">
        <v>1272</v>
      </c>
      <c r="F254" s="3" t="s">
        <v>402</v>
      </c>
      <c r="I254" s="3" t="s">
        <v>1833</v>
      </c>
    </row>
    <row r="255" spans="2:9" hidden="1" x14ac:dyDescent="0.4">
      <c r="B255" s="8" t="s">
        <v>518</v>
      </c>
      <c r="C255" s="3" t="s">
        <v>4145</v>
      </c>
      <c r="D255" s="3" t="s">
        <v>3751</v>
      </c>
      <c r="F255" s="3" t="s">
        <v>399</v>
      </c>
      <c r="G255" s="3" t="s">
        <v>402</v>
      </c>
      <c r="I255" s="3" t="s">
        <v>4064</v>
      </c>
    </row>
    <row r="256" spans="2:9" hidden="1" x14ac:dyDescent="0.4">
      <c r="B256" s="8" t="s">
        <v>518</v>
      </c>
      <c r="C256" s="3" t="s">
        <v>4404</v>
      </c>
      <c r="D256" s="3" t="s">
        <v>4880</v>
      </c>
      <c r="F256" s="3" t="s">
        <v>399</v>
      </c>
      <c r="I256" s="3" t="s">
        <v>4064</v>
      </c>
    </row>
    <row r="257" spans="2:9" hidden="1" x14ac:dyDescent="0.4">
      <c r="B257" s="8" t="s">
        <v>518</v>
      </c>
      <c r="C257" s="3" t="s">
        <v>5115</v>
      </c>
      <c r="D257" s="3" t="s">
        <v>5438</v>
      </c>
      <c r="F257" s="3" t="s">
        <v>402</v>
      </c>
      <c r="I257" s="3" t="s">
        <v>4064</v>
      </c>
    </row>
    <row r="258" spans="2:9" hidden="1" x14ac:dyDescent="0.4">
      <c r="B258" s="8" t="s">
        <v>518</v>
      </c>
      <c r="C258" s="3" t="s">
        <v>3441</v>
      </c>
      <c r="D258" s="3" t="s">
        <v>3751</v>
      </c>
      <c r="F258" s="3" t="s">
        <v>399</v>
      </c>
      <c r="G258" s="3" t="s">
        <v>402</v>
      </c>
      <c r="I258" s="3" t="s">
        <v>4063</v>
      </c>
    </row>
    <row r="259" spans="2:9" hidden="1" x14ac:dyDescent="0.4">
      <c r="B259" s="8" t="s">
        <v>518</v>
      </c>
      <c r="C259" s="3" t="s">
        <v>5772</v>
      </c>
      <c r="D259" s="3" t="s">
        <v>4880</v>
      </c>
      <c r="F259" s="3" t="s">
        <v>399</v>
      </c>
      <c r="I259" s="3" t="s">
        <v>4063</v>
      </c>
    </row>
    <row r="260" spans="2:9" hidden="1" x14ac:dyDescent="0.4">
      <c r="B260" s="8" t="s">
        <v>518</v>
      </c>
      <c r="C260" s="3" t="s">
        <v>6114</v>
      </c>
      <c r="D260" s="3" t="s">
        <v>5438</v>
      </c>
      <c r="F260" s="3" t="s">
        <v>402</v>
      </c>
      <c r="I260" s="3" t="s">
        <v>4063</v>
      </c>
    </row>
    <row r="261" spans="2:9" hidden="1" x14ac:dyDescent="0.4">
      <c r="B261" s="8" t="s">
        <v>529</v>
      </c>
      <c r="C261" s="3" t="s">
        <v>2839</v>
      </c>
      <c r="D261" s="3" t="s">
        <v>2842</v>
      </c>
      <c r="E261" s="3" t="s">
        <v>1272</v>
      </c>
      <c r="F261" s="3" t="s">
        <v>399</v>
      </c>
      <c r="I261" s="3" t="s">
        <v>2370</v>
      </c>
    </row>
    <row r="262" spans="2:9" hidden="1" x14ac:dyDescent="0.4">
      <c r="B262" s="8" t="s">
        <v>823</v>
      </c>
      <c r="C262" s="3" t="s">
        <v>1690</v>
      </c>
      <c r="D262" s="3" t="s">
        <v>1697</v>
      </c>
      <c r="F262" s="3" t="s">
        <v>1124</v>
      </c>
      <c r="I262" s="3" t="s">
        <v>1489</v>
      </c>
    </row>
    <row r="263" spans="2:9" hidden="1" x14ac:dyDescent="0.4">
      <c r="B263" s="8" t="s">
        <v>518</v>
      </c>
      <c r="C263" s="3" t="s">
        <v>2648</v>
      </c>
      <c r="D263" s="3" t="s">
        <v>2659</v>
      </c>
      <c r="E263" s="3" t="s">
        <v>1272</v>
      </c>
      <c r="F263" s="3" t="s">
        <v>399</v>
      </c>
      <c r="I263" s="3" t="s">
        <v>2370</v>
      </c>
    </row>
    <row r="264" spans="2:9" hidden="1" x14ac:dyDescent="0.4">
      <c r="B264" s="8" t="s">
        <v>517</v>
      </c>
      <c r="C264" s="3" t="s">
        <v>4255</v>
      </c>
      <c r="D264" s="3" t="s">
        <v>3868</v>
      </c>
      <c r="F264" s="3" t="s">
        <v>399</v>
      </c>
      <c r="G264" s="3" t="s">
        <v>402</v>
      </c>
      <c r="I264" s="3" t="s">
        <v>4064</v>
      </c>
    </row>
    <row r="265" spans="2:9" hidden="1" x14ac:dyDescent="0.4">
      <c r="B265" s="8" t="s">
        <v>517</v>
      </c>
      <c r="C265" s="3" t="s">
        <v>3560</v>
      </c>
      <c r="D265" s="3" t="s">
        <v>3868</v>
      </c>
      <c r="F265" s="3" t="s">
        <v>399</v>
      </c>
      <c r="G265" s="3" t="s">
        <v>402</v>
      </c>
      <c r="I265" s="3" t="s">
        <v>4063</v>
      </c>
    </row>
    <row r="266" spans="2:9" hidden="1" x14ac:dyDescent="0.4">
      <c r="B266" s="8" t="s">
        <v>517</v>
      </c>
      <c r="C266" s="3" t="s">
        <v>5869</v>
      </c>
      <c r="D266" s="3" t="s">
        <v>4956</v>
      </c>
      <c r="F266" s="3" t="s">
        <v>399</v>
      </c>
      <c r="I266" s="3" t="s">
        <v>4063</v>
      </c>
    </row>
    <row r="267" spans="2:9" hidden="1" x14ac:dyDescent="0.4">
      <c r="B267" s="8" t="s">
        <v>517</v>
      </c>
      <c r="C267" s="3" t="s">
        <v>6215</v>
      </c>
      <c r="D267" s="3" t="s">
        <v>5556</v>
      </c>
      <c r="F267" s="3" t="s">
        <v>402</v>
      </c>
      <c r="I267" s="3" t="s">
        <v>4063</v>
      </c>
    </row>
    <row r="268" spans="2:9" hidden="1" x14ac:dyDescent="0.4">
      <c r="B268" s="8" t="s">
        <v>517</v>
      </c>
      <c r="C268" s="3" t="s">
        <v>4673</v>
      </c>
      <c r="D268" s="3" t="s">
        <v>4956</v>
      </c>
      <c r="F268" s="3" t="s">
        <v>399</v>
      </c>
      <c r="I268" s="3" t="s">
        <v>4064</v>
      </c>
    </row>
    <row r="269" spans="2:9" hidden="1" x14ac:dyDescent="0.4">
      <c r="B269" s="8" t="s">
        <v>517</v>
      </c>
      <c r="C269" s="3" t="s">
        <v>5234</v>
      </c>
      <c r="D269" s="3" t="s">
        <v>5556</v>
      </c>
      <c r="F269" s="3" t="s">
        <v>402</v>
      </c>
      <c r="I269" s="3" t="s">
        <v>4064</v>
      </c>
    </row>
    <row r="270" spans="2:9" hidden="1" x14ac:dyDescent="0.4">
      <c r="B270" s="8" t="s">
        <v>518</v>
      </c>
      <c r="C270" s="3" t="s">
        <v>1466</v>
      </c>
      <c r="D270" s="3" t="s">
        <v>1513</v>
      </c>
      <c r="F270" s="3" t="s">
        <v>399</v>
      </c>
      <c r="G270" s="3" t="s">
        <v>402</v>
      </c>
      <c r="I270" s="3" t="s">
        <v>1489</v>
      </c>
    </row>
    <row r="271" spans="2:9" hidden="1" x14ac:dyDescent="0.4">
      <c r="B271" s="8" t="s">
        <v>518</v>
      </c>
      <c r="C271" s="3" t="s">
        <v>1576</v>
      </c>
      <c r="D271" s="3" t="s">
        <v>1513</v>
      </c>
      <c r="F271" s="3" t="s">
        <v>402</v>
      </c>
      <c r="I271" s="3" t="s">
        <v>1489</v>
      </c>
    </row>
    <row r="272" spans="2:9" hidden="1" x14ac:dyDescent="0.4">
      <c r="B272" s="8" t="s">
        <v>536</v>
      </c>
      <c r="C272" s="3" t="s">
        <v>481</v>
      </c>
      <c r="D272" s="3" t="s">
        <v>735</v>
      </c>
      <c r="E272" s="3" t="s">
        <v>432</v>
      </c>
      <c r="F272" s="3" t="s">
        <v>12779</v>
      </c>
      <c r="G272" s="3" t="s">
        <v>430</v>
      </c>
      <c r="I272" s="3" t="s">
        <v>472</v>
      </c>
    </row>
    <row r="273" spans="2:9" hidden="1" x14ac:dyDescent="0.4">
      <c r="B273" s="8" t="s">
        <v>517</v>
      </c>
      <c r="C273" s="3" t="s">
        <v>3557</v>
      </c>
      <c r="D273" s="3" t="s">
        <v>3864</v>
      </c>
      <c r="F273" s="3" t="s">
        <v>399</v>
      </c>
      <c r="G273" s="3" t="s">
        <v>402</v>
      </c>
      <c r="I273" s="3" t="s">
        <v>4063</v>
      </c>
    </row>
    <row r="274" spans="2:9" hidden="1" x14ac:dyDescent="0.4">
      <c r="B274" s="8" t="s">
        <v>517</v>
      </c>
      <c r="C274" s="3" t="s">
        <v>5867</v>
      </c>
      <c r="D274" s="3" t="s">
        <v>4921</v>
      </c>
      <c r="F274" s="3" t="s">
        <v>399</v>
      </c>
      <c r="I274" s="3" t="s">
        <v>4063</v>
      </c>
    </row>
    <row r="275" spans="2:9" hidden="1" x14ac:dyDescent="0.4">
      <c r="B275" s="8" t="s">
        <v>517</v>
      </c>
      <c r="C275" s="3" t="s">
        <v>6212</v>
      </c>
      <c r="D275" s="3" t="s">
        <v>5553</v>
      </c>
      <c r="F275" s="3" t="s">
        <v>402</v>
      </c>
      <c r="I275" s="3" t="s">
        <v>4063</v>
      </c>
    </row>
    <row r="276" spans="2:9" hidden="1" x14ac:dyDescent="0.4">
      <c r="B276" s="8" t="s">
        <v>517</v>
      </c>
      <c r="C276" s="3" t="s">
        <v>4248</v>
      </c>
      <c r="D276" s="3" t="s">
        <v>3864</v>
      </c>
      <c r="F276" s="3" t="s">
        <v>399</v>
      </c>
      <c r="G276" s="3" t="s">
        <v>402</v>
      </c>
      <c r="I276" s="3" t="s">
        <v>4064</v>
      </c>
    </row>
    <row r="277" spans="2:9" hidden="1" x14ac:dyDescent="0.4">
      <c r="B277" s="8" t="s">
        <v>517</v>
      </c>
      <c r="C277" s="3" t="s">
        <v>4469</v>
      </c>
      <c r="D277" s="3" t="s">
        <v>4921</v>
      </c>
      <c r="F277" s="3" t="s">
        <v>399</v>
      </c>
      <c r="I277" s="3" t="s">
        <v>4064</v>
      </c>
    </row>
    <row r="278" spans="2:9" hidden="1" x14ac:dyDescent="0.4">
      <c r="B278" s="8" t="s">
        <v>517</v>
      </c>
      <c r="C278" s="3" t="s">
        <v>5231</v>
      </c>
      <c r="D278" s="3" t="s">
        <v>5553</v>
      </c>
      <c r="F278" s="3" t="s">
        <v>402</v>
      </c>
      <c r="I278" s="3" t="s">
        <v>4064</v>
      </c>
    </row>
    <row r="279" spans="2:9" hidden="1" x14ac:dyDescent="0.4">
      <c r="B279" s="8" t="s">
        <v>520</v>
      </c>
      <c r="C279" s="3" t="s">
        <v>3640</v>
      </c>
      <c r="D279" s="3" t="s">
        <v>3935</v>
      </c>
      <c r="F279" s="3" t="s">
        <v>399</v>
      </c>
      <c r="G279" s="3" t="s">
        <v>402</v>
      </c>
      <c r="I279" s="3" t="s">
        <v>4063</v>
      </c>
    </row>
    <row r="280" spans="2:9" hidden="1" x14ac:dyDescent="0.4">
      <c r="B280" s="8" t="s">
        <v>520</v>
      </c>
      <c r="C280" s="3" t="s">
        <v>3640</v>
      </c>
      <c r="D280" s="3" t="s">
        <v>3935</v>
      </c>
      <c r="F280" s="3" t="s">
        <v>399</v>
      </c>
      <c r="G280" s="3" t="s">
        <v>402</v>
      </c>
      <c r="I280" s="3" t="s">
        <v>4064</v>
      </c>
    </row>
    <row r="281" spans="2:9" hidden="1" x14ac:dyDescent="0.4">
      <c r="B281" s="8" t="s">
        <v>520</v>
      </c>
      <c r="C281" s="3" t="s">
        <v>5944</v>
      </c>
      <c r="D281" s="3" t="s">
        <v>5005</v>
      </c>
      <c r="F281" s="3" t="s">
        <v>399</v>
      </c>
      <c r="I281" s="3" t="s">
        <v>4063</v>
      </c>
    </row>
    <row r="282" spans="2:9" hidden="1" x14ac:dyDescent="0.4">
      <c r="B282" s="8" t="s">
        <v>520</v>
      </c>
      <c r="C282" s="3" t="s">
        <v>6290</v>
      </c>
      <c r="D282" s="3" t="s">
        <v>5639</v>
      </c>
      <c r="F282" s="3" t="s">
        <v>402</v>
      </c>
      <c r="I282" s="3" t="s">
        <v>4063</v>
      </c>
    </row>
    <row r="283" spans="2:9" hidden="1" x14ac:dyDescent="0.4">
      <c r="B283" s="8" t="s">
        <v>520</v>
      </c>
      <c r="C283" s="3" t="s">
        <v>4598</v>
      </c>
      <c r="D283" s="3" t="s">
        <v>5005</v>
      </c>
      <c r="F283" s="3" t="s">
        <v>399</v>
      </c>
      <c r="I283" s="3" t="s">
        <v>4064</v>
      </c>
    </row>
    <row r="284" spans="2:9" hidden="1" x14ac:dyDescent="0.4">
      <c r="B284" s="8" t="s">
        <v>520</v>
      </c>
      <c r="C284" s="3" t="s">
        <v>5319</v>
      </c>
      <c r="D284" s="3" t="s">
        <v>5639</v>
      </c>
      <c r="F284" s="3" t="s">
        <v>402</v>
      </c>
      <c r="I284" s="3" t="s">
        <v>4064</v>
      </c>
    </row>
    <row r="285" spans="2:9" hidden="1" x14ac:dyDescent="0.4">
      <c r="B285" s="8" t="s">
        <v>517</v>
      </c>
      <c r="C285" s="3" t="s">
        <v>3372</v>
      </c>
      <c r="D285" s="3" t="s">
        <v>3680</v>
      </c>
      <c r="F285" s="3" t="s">
        <v>399</v>
      </c>
      <c r="G285" s="3" t="s">
        <v>402</v>
      </c>
      <c r="I285" s="3" t="s">
        <v>4063</v>
      </c>
    </row>
    <row r="286" spans="2:9" hidden="1" x14ac:dyDescent="0.4">
      <c r="B286" s="8" t="s">
        <v>517</v>
      </c>
      <c r="C286" s="3" t="s">
        <v>4074</v>
      </c>
      <c r="D286" s="3" t="s">
        <v>3680</v>
      </c>
      <c r="F286" s="3" t="s">
        <v>399</v>
      </c>
      <c r="G286" s="3" t="s">
        <v>402</v>
      </c>
      <c r="I286" s="3" t="s">
        <v>4064</v>
      </c>
    </row>
    <row r="287" spans="2:9" hidden="1" x14ac:dyDescent="0.4">
      <c r="B287" s="8" t="s">
        <v>517</v>
      </c>
      <c r="C287" s="3" t="s">
        <v>5707</v>
      </c>
      <c r="D287" s="3" t="s">
        <v>4706</v>
      </c>
      <c r="F287" s="3" t="s">
        <v>399</v>
      </c>
      <c r="I287" s="3" t="s">
        <v>4063</v>
      </c>
    </row>
    <row r="288" spans="2:9" hidden="1" x14ac:dyDescent="0.4">
      <c r="B288" s="8" t="s">
        <v>517</v>
      </c>
      <c r="C288" s="3" t="s">
        <v>6048</v>
      </c>
      <c r="D288" s="3" t="s">
        <v>5374</v>
      </c>
      <c r="F288" s="3" t="s">
        <v>402</v>
      </c>
      <c r="I288" s="3" t="s">
        <v>4063</v>
      </c>
    </row>
    <row r="289" spans="2:9" hidden="1" x14ac:dyDescent="0.4">
      <c r="B289" s="8" t="s">
        <v>517</v>
      </c>
      <c r="C289" s="3" t="s">
        <v>4369</v>
      </c>
      <c r="D289" s="3" t="s">
        <v>4706</v>
      </c>
      <c r="F289" s="3" t="s">
        <v>399</v>
      </c>
      <c r="I289" s="3" t="s">
        <v>4064</v>
      </c>
    </row>
    <row r="290" spans="2:9" hidden="1" x14ac:dyDescent="0.4">
      <c r="B290" s="8" t="s">
        <v>517</v>
      </c>
      <c r="C290" s="3" t="s">
        <v>5039</v>
      </c>
      <c r="D290" s="3" t="s">
        <v>5374</v>
      </c>
      <c r="F290" s="3" t="s">
        <v>402</v>
      </c>
      <c r="I290" s="3" t="s">
        <v>4064</v>
      </c>
    </row>
    <row r="291" spans="2:9" hidden="1" x14ac:dyDescent="0.4">
      <c r="B291" s="8" t="s">
        <v>517</v>
      </c>
      <c r="C291" s="3" t="s">
        <v>2039</v>
      </c>
      <c r="D291" s="3" t="s">
        <v>1945</v>
      </c>
      <c r="E291" s="3" t="s">
        <v>2038</v>
      </c>
      <c r="F291" s="3" t="s">
        <v>399</v>
      </c>
      <c r="I291" s="3" t="s">
        <v>1865</v>
      </c>
    </row>
    <row r="292" spans="2:9" hidden="1" x14ac:dyDescent="0.4">
      <c r="B292" s="8" t="s">
        <v>517</v>
      </c>
      <c r="C292" s="3" t="s">
        <v>2039</v>
      </c>
      <c r="D292" s="3" t="s">
        <v>1944</v>
      </c>
      <c r="E292" s="3" t="s">
        <v>2038</v>
      </c>
      <c r="F292" s="3" t="s">
        <v>403</v>
      </c>
      <c r="I292" s="3" t="s">
        <v>1865</v>
      </c>
    </row>
    <row r="293" spans="2:9" hidden="1" x14ac:dyDescent="0.4">
      <c r="B293" s="8" t="s">
        <v>517</v>
      </c>
      <c r="C293" s="3" t="s">
        <v>1912</v>
      </c>
      <c r="D293" s="3" t="s">
        <v>1944</v>
      </c>
      <c r="F293" s="3" t="s">
        <v>403</v>
      </c>
      <c r="I293" s="3" t="s">
        <v>1968</v>
      </c>
    </row>
    <row r="294" spans="2:9" hidden="1" x14ac:dyDescent="0.4">
      <c r="B294" s="8" t="s">
        <v>517</v>
      </c>
      <c r="C294" s="3" t="s">
        <v>1912</v>
      </c>
      <c r="D294" s="3" t="s">
        <v>1945</v>
      </c>
      <c r="F294" s="3" t="s">
        <v>399</v>
      </c>
      <c r="I294" s="3" t="s">
        <v>1968</v>
      </c>
    </row>
    <row r="295" spans="2:9" hidden="1" x14ac:dyDescent="0.4">
      <c r="B295" s="8" t="s">
        <v>517</v>
      </c>
      <c r="C295" s="3" t="s">
        <v>4218</v>
      </c>
      <c r="D295" s="3" t="s">
        <v>3827</v>
      </c>
      <c r="F295" s="3" t="s">
        <v>399</v>
      </c>
      <c r="G295" s="3" t="s">
        <v>402</v>
      </c>
      <c r="I295" s="3" t="s">
        <v>4064</v>
      </c>
    </row>
    <row r="296" spans="2:9" hidden="1" x14ac:dyDescent="0.4">
      <c r="B296" s="8" t="s">
        <v>517</v>
      </c>
      <c r="C296" s="3" t="s">
        <v>4446</v>
      </c>
      <c r="D296" s="3" t="s">
        <v>4795</v>
      </c>
      <c r="F296" s="3" t="s">
        <v>399</v>
      </c>
      <c r="I296" s="3" t="s">
        <v>4064</v>
      </c>
    </row>
    <row r="297" spans="2:9" hidden="1" x14ac:dyDescent="0.4">
      <c r="B297" s="8" t="s">
        <v>517</v>
      </c>
      <c r="C297" s="3" t="s">
        <v>5196</v>
      </c>
      <c r="D297" s="3" t="s">
        <v>5517</v>
      </c>
      <c r="F297" s="3" t="s">
        <v>402</v>
      </c>
      <c r="I297" s="3" t="s">
        <v>4064</v>
      </c>
    </row>
    <row r="298" spans="2:9" hidden="1" x14ac:dyDescent="0.4">
      <c r="B298" s="8" t="s">
        <v>517</v>
      </c>
      <c r="C298" s="3" t="s">
        <v>3523</v>
      </c>
      <c r="D298" s="3" t="s">
        <v>3827</v>
      </c>
      <c r="F298" s="3" t="s">
        <v>399</v>
      </c>
      <c r="G298" s="3" t="s">
        <v>402</v>
      </c>
      <c r="I298" s="3" t="s">
        <v>4063</v>
      </c>
    </row>
    <row r="299" spans="2:9" hidden="1" x14ac:dyDescent="0.4">
      <c r="B299" s="8" t="s">
        <v>517</v>
      </c>
      <c r="C299" s="3" t="s">
        <v>5835</v>
      </c>
      <c r="D299" s="3" t="s">
        <v>4795</v>
      </c>
      <c r="F299" s="3" t="s">
        <v>399</v>
      </c>
      <c r="I299" s="3" t="s">
        <v>4063</v>
      </c>
    </row>
    <row r="300" spans="2:9" hidden="1" x14ac:dyDescent="0.4">
      <c r="B300" s="8" t="s">
        <v>517</v>
      </c>
      <c r="C300" s="3" t="s">
        <v>6178</v>
      </c>
      <c r="D300" s="3" t="s">
        <v>5517</v>
      </c>
      <c r="F300" s="3" t="s">
        <v>402</v>
      </c>
      <c r="I300" s="3" t="s">
        <v>4063</v>
      </c>
    </row>
    <row r="301" spans="2:9" hidden="1" x14ac:dyDescent="0.4">
      <c r="B301" s="8" t="s">
        <v>517</v>
      </c>
      <c r="C301" s="3" t="s">
        <v>4153</v>
      </c>
      <c r="D301" s="3" t="s">
        <v>3759</v>
      </c>
      <c r="F301" s="3" t="s">
        <v>399</v>
      </c>
      <c r="G301" s="3" t="s">
        <v>402</v>
      </c>
      <c r="I301" s="3" t="s">
        <v>4064</v>
      </c>
    </row>
    <row r="302" spans="2:9" hidden="1" x14ac:dyDescent="0.4">
      <c r="B302" s="8" t="s">
        <v>517</v>
      </c>
      <c r="C302" s="3" t="s">
        <v>4408</v>
      </c>
      <c r="D302" s="3" t="s">
        <v>4765</v>
      </c>
      <c r="F302" s="3" t="s">
        <v>399</v>
      </c>
      <c r="I302" s="3" t="s">
        <v>4064</v>
      </c>
    </row>
    <row r="303" spans="2:9" hidden="1" x14ac:dyDescent="0.4">
      <c r="B303" s="8" t="s">
        <v>517</v>
      </c>
      <c r="C303" s="3" t="s">
        <v>5124</v>
      </c>
      <c r="D303" s="3" t="s">
        <v>5447</v>
      </c>
      <c r="F303" s="3" t="s">
        <v>402</v>
      </c>
      <c r="I303" s="3" t="s">
        <v>4064</v>
      </c>
    </row>
    <row r="304" spans="2:9" hidden="1" x14ac:dyDescent="0.4">
      <c r="B304" s="8" t="s">
        <v>517</v>
      </c>
      <c r="C304" s="3" t="s">
        <v>3450</v>
      </c>
      <c r="D304" s="3" t="s">
        <v>3759</v>
      </c>
      <c r="F304" s="3" t="s">
        <v>399</v>
      </c>
      <c r="G304" s="3" t="s">
        <v>402</v>
      </c>
      <c r="I304" s="3" t="s">
        <v>4063</v>
      </c>
    </row>
    <row r="305" spans="2:9" hidden="1" x14ac:dyDescent="0.4">
      <c r="B305" s="8" t="s">
        <v>517</v>
      </c>
      <c r="C305" s="3" t="s">
        <v>5778</v>
      </c>
      <c r="D305" s="3" t="s">
        <v>4765</v>
      </c>
      <c r="F305" s="3" t="s">
        <v>399</v>
      </c>
      <c r="I305" s="3" t="s">
        <v>4063</v>
      </c>
    </row>
    <row r="306" spans="2:9" hidden="1" x14ac:dyDescent="0.4">
      <c r="B306" s="8" t="s">
        <v>517</v>
      </c>
      <c r="C306" s="3" t="s">
        <v>6120</v>
      </c>
      <c r="D306" s="3" t="s">
        <v>5447</v>
      </c>
      <c r="F306" s="3" t="s">
        <v>402</v>
      </c>
      <c r="I306" s="3" t="s">
        <v>4063</v>
      </c>
    </row>
    <row r="307" spans="2:9" hidden="1" x14ac:dyDescent="0.4">
      <c r="B307" s="8" t="s">
        <v>518</v>
      </c>
      <c r="C307" s="3" t="s">
        <v>158</v>
      </c>
      <c r="D307" s="3" t="s">
        <v>630</v>
      </c>
      <c r="F307" s="3" t="s">
        <v>399</v>
      </c>
      <c r="I307" s="3" t="s">
        <v>267</v>
      </c>
    </row>
    <row r="308" spans="2:9" hidden="1" x14ac:dyDescent="0.4">
      <c r="B308" s="8" t="s">
        <v>532</v>
      </c>
      <c r="C308" s="3" t="s">
        <v>1785</v>
      </c>
      <c r="D308" s="3" t="s">
        <v>1857</v>
      </c>
      <c r="F308" s="3" t="s">
        <v>399</v>
      </c>
      <c r="I308" s="3" t="s">
        <v>1842</v>
      </c>
    </row>
    <row r="309" spans="2:9" hidden="1" x14ac:dyDescent="0.4">
      <c r="B309" s="8" t="s">
        <v>518</v>
      </c>
      <c r="C309" s="3" t="s">
        <v>1786</v>
      </c>
      <c r="D309" s="3" t="s">
        <v>1858</v>
      </c>
      <c r="F309" s="3" t="s">
        <v>402</v>
      </c>
      <c r="I309" s="3" t="s">
        <v>1838</v>
      </c>
    </row>
    <row r="310" spans="2:9" hidden="1" x14ac:dyDescent="0.4">
      <c r="B310" s="8" t="s">
        <v>518</v>
      </c>
      <c r="C310" s="3" t="s">
        <v>2156</v>
      </c>
      <c r="D310" s="3" t="s">
        <v>2171</v>
      </c>
      <c r="F310" s="3" t="s">
        <v>399</v>
      </c>
      <c r="I310" s="3" t="s">
        <v>1838</v>
      </c>
    </row>
    <row r="311" spans="2:9" hidden="1" x14ac:dyDescent="0.4">
      <c r="B311" s="8" t="s">
        <v>526</v>
      </c>
      <c r="C311" s="3" t="s">
        <v>2186</v>
      </c>
      <c r="D311" s="3" t="s">
        <v>2171</v>
      </c>
      <c r="F311" s="3" t="s">
        <v>399</v>
      </c>
      <c r="I311" s="3" t="s">
        <v>1838</v>
      </c>
    </row>
    <row r="312" spans="2:9" hidden="1" x14ac:dyDescent="0.4">
      <c r="B312" s="8" t="s">
        <v>536</v>
      </c>
      <c r="C312" s="3" t="s">
        <v>1673</v>
      </c>
      <c r="D312" s="3" t="s">
        <v>1691</v>
      </c>
      <c r="F312" s="3" t="s">
        <v>1124</v>
      </c>
      <c r="I312" s="3" t="s">
        <v>1489</v>
      </c>
    </row>
    <row r="313" spans="2:9" hidden="1" x14ac:dyDescent="0.4">
      <c r="B313" s="8" t="s">
        <v>517</v>
      </c>
      <c r="C313" s="3" t="s">
        <v>1449</v>
      </c>
      <c r="D313" s="3" t="s">
        <v>1491</v>
      </c>
      <c r="F313" s="3" t="s">
        <v>399</v>
      </c>
      <c r="G313" s="3" t="s">
        <v>402</v>
      </c>
      <c r="I313" s="3" t="s">
        <v>1489</v>
      </c>
    </row>
    <row r="314" spans="2:9" hidden="1" x14ac:dyDescent="0.4">
      <c r="B314" s="8" t="s">
        <v>536</v>
      </c>
      <c r="C314" s="3" t="s">
        <v>1674</v>
      </c>
      <c r="D314" s="3" t="s">
        <v>1692</v>
      </c>
      <c r="F314" s="3" t="s">
        <v>1124</v>
      </c>
      <c r="I314" s="3" t="s">
        <v>1489</v>
      </c>
    </row>
    <row r="315" spans="2:9" hidden="1" x14ac:dyDescent="0.4">
      <c r="B315" s="8" t="s">
        <v>517</v>
      </c>
      <c r="C315" s="3" t="s">
        <v>1559</v>
      </c>
      <c r="D315" s="3" t="s">
        <v>1491</v>
      </c>
      <c r="F315" s="3" t="s">
        <v>402</v>
      </c>
      <c r="I315" s="3" t="s">
        <v>1489</v>
      </c>
    </row>
    <row r="316" spans="2:9" hidden="1" x14ac:dyDescent="0.4">
      <c r="B316" s="8" t="s">
        <v>531</v>
      </c>
      <c r="C316" s="3" t="s">
        <v>4197</v>
      </c>
      <c r="D316" s="3" t="s">
        <v>3800</v>
      </c>
      <c r="F316" s="3" t="s">
        <v>399</v>
      </c>
      <c r="G316" s="3" t="s">
        <v>402</v>
      </c>
      <c r="I316" s="3" t="s">
        <v>4064</v>
      </c>
    </row>
    <row r="317" spans="2:9" hidden="1" x14ac:dyDescent="0.4">
      <c r="B317" s="8" t="s">
        <v>531</v>
      </c>
      <c r="C317" s="3" t="s">
        <v>3496</v>
      </c>
      <c r="D317" s="3" t="s">
        <v>3800</v>
      </c>
      <c r="F317" s="3" t="s">
        <v>399</v>
      </c>
      <c r="G317" s="3" t="s">
        <v>402</v>
      </c>
      <c r="I317" s="3" t="s">
        <v>4063</v>
      </c>
    </row>
    <row r="318" spans="2:9" hidden="1" x14ac:dyDescent="0.4">
      <c r="B318" s="8" t="s">
        <v>531</v>
      </c>
      <c r="C318" s="3" t="s">
        <v>5815</v>
      </c>
      <c r="D318" s="3" t="s">
        <v>4944</v>
      </c>
      <c r="F318" s="3" t="s">
        <v>399</v>
      </c>
      <c r="I318" s="3" t="s">
        <v>4063</v>
      </c>
    </row>
    <row r="319" spans="2:9" hidden="1" x14ac:dyDescent="0.4">
      <c r="B319" s="8" t="s">
        <v>531</v>
      </c>
      <c r="C319" s="3" t="s">
        <v>6158</v>
      </c>
      <c r="D319" s="3" t="s">
        <v>5490</v>
      </c>
      <c r="F319" s="3" t="s">
        <v>402</v>
      </c>
      <c r="I319" s="3" t="s">
        <v>4063</v>
      </c>
    </row>
    <row r="320" spans="2:9" hidden="1" x14ac:dyDescent="0.4">
      <c r="B320" s="8" t="s">
        <v>531</v>
      </c>
      <c r="C320" s="3" t="s">
        <v>4654</v>
      </c>
      <c r="D320" s="3" t="s">
        <v>4944</v>
      </c>
      <c r="F320" s="3" t="s">
        <v>399</v>
      </c>
      <c r="I320" s="3" t="s">
        <v>4064</v>
      </c>
    </row>
    <row r="321" spans="2:9" hidden="1" x14ac:dyDescent="0.4">
      <c r="B321" s="8" t="s">
        <v>531</v>
      </c>
      <c r="C321" s="3" t="s">
        <v>5169</v>
      </c>
      <c r="D321" s="3" t="s">
        <v>5490</v>
      </c>
      <c r="F321" s="3" t="s">
        <v>402</v>
      </c>
      <c r="I321" s="3" t="s">
        <v>4064</v>
      </c>
    </row>
    <row r="322" spans="2:9" hidden="1" x14ac:dyDescent="0.4">
      <c r="B322" s="8" t="s">
        <v>517</v>
      </c>
      <c r="C322" s="3" t="s">
        <v>2896</v>
      </c>
      <c r="D322" s="3" t="s">
        <v>3137</v>
      </c>
      <c r="E322" s="3">
        <v>1</v>
      </c>
      <c r="F322" s="3" t="s">
        <v>402</v>
      </c>
      <c r="I322" s="3" t="s">
        <v>245</v>
      </c>
    </row>
    <row r="323" spans="2:9" hidden="1" x14ac:dyDescent="0.4">
      <c r="B323" s="8" t="s">
        <v>517</v>
      </c>
      <c r="C323" s="3" t="s">
        <v>3551</v>
      </c>
      <c r="D323" s="3" t="s">
        <v>3858</v>
      </c>
      <c r="F323" s="3" t="s">
        <v>399</v>
      </c>
      <c r="G323" s="3" t="s">
        <v>402</v>
      </c>
      <c r="I323" s="3" t="s">
        <v>4063</v>
      </c>
    </row>
    <row r="324" spans="2:9" hidden="1" x14ac:dyDescent="0.4">
      <c r="B324" s="8" t="s">
        <v>517</v>
      </c>
      <c r="C324" s="3" t="s">
        <v>5861</v>
      </c>
      <c r="D324" s="3" t="s">
        <v>4822</v>
      </c>
      <c r="F324" s="3" t="s">
        <v>399</v>
      </c>
      <c r="I324" s="3" t="s">
        <v>4063</v>
      </c>
    </row>
    <row r="325" spans="2:9" hidden="1" x14ac:dyDescent="0.4">
      <c r="B325" s="8" t="s">
        <v>517</v>
      </c>
      <c r="C325" s="3" t="s">
        <v>6206</v>
      </c>
      <c r="D325" s="3" t="s">
        <v>5547</v>
      </c>
      <c r="F325" s="3" t="s">
        <v>402</v>
      </c>
      <c r="I325" s="3" t="s">
        <v>4063</v>
      </c>
    </row>
    <row r="326" spans="2:9" hidden="1" x14ac:dyDescent="0.4">
      <c r="B326" s="8" t="s">
        <v>517</v>
      </c>
      <c r="C326" s="3" t="s">
        <v>4244</v>
      </c>
      <c r="D326" s="3" t="s">
        <v>3858</v>
      </c>
      <c r="F326" s="3" t="s">
        <v>399</v>
      </c>
      <c r="G326" s="3" t="s">
        <v>402</v>
      </c>
      <c r="I326" s="3" t="s">
        <v>4064</v>
      </c>
    </row>
    <row r="327" spans="2:9" hidden="1" x14ac:dyDescent="0.4">
      <c r="B327" s="8" t="s">
        <v>517</v>
      </c>
      <c r="C327" s="3" t="s">
        <v>4668</v>
      </c>
      <c r="D327" s="3" t="s">
        <v>4822</v>
      </c>
      <c r="F327" s="3" t="s">
        <v>399</v>
      </c>
      <c r="I327" s="3" t="s">
        <v>4064</v>
      </c>
    </row>
    <row r="328" spans="2:9" hidden="1" x14ac:dyDescent="0.4">
      <c r="B328" s="8" t="s">
        <v>517</v>
      </c>
      <c r="C328" s="3" t="s">
        <v>5225</v>
      </c>
      <c r="D328" s="3" t="s">
        <v>5547</v>
      </c>
      <c r="F328" s="3" t="s">
        <v>402</v>
      </c>
      <c r="I328" s="3" t="s">
        <v>4064</v>
      </c>
    </row>
    <row r="329" spans="2:9" hidden="1" x14ac:dyDescent="0.4">
      <c r="B329" s="8" t="s">
        <v>532</v>
      </c>
      <c r="C329" s="3" t="s">
        <v>2270</v>
      </c>
      <c r="D329" s="3" t="s">
        <v>2428</v>
      </c>
      <c r="E329" s="3" t="s">
        <v>1272</v>
      </c>
      <c r="F329" s="3" t="s">
        <v>399</v>
      </c>
      <c r="I329" s="3" t="s">
        <v>1833</v>
      </c>
    </row>
    <row r="330" spans="2:9" hidden="1" x14ac:dyDescent="0.4">
      <c r="B330" s="8" t="s">
        <v>532</v>
      </c>
      <c r="C330" s="3" t="s">
        <v>2578</v>
      </c>
      <c r="D330" s="3" t="s">
        <v>2428</v>
      </c>
      <c r="E330" s="3" t="s">
        <v>1272</v>
      </c>
      <c r="F330" s="3" t="s">
        <v>402</v>
      </c>
      <c r="I330" s="3" t="s">
        <v>1833</v>
      </c>
    </row>
    <row r="331" spans="2:9" hidden="1" x14ac:dyDescent="0.4">
      <c r="B331" s="8" t="s">
        <v>518</v>
      </c>
      <c r="C331" s="3" t="s">
        <v>3075</v>
      </c>
      <c r="D331" s="3" t="s">
        <v>3308</v>
      </c>
      <c r="E331" s="3">
        <v>1</v>
      </c>
      <c r="F331" s="3" t="s">
        <v>402</v>
      </c>
      <c r="G331" s="3" t="s">
        <v>988</v>
      </c>
      <c r="I331" s="3" t="s">
        <v>245</v>
      </c>
    </row>
    <row r="332" spans="2:9" hidden="1" x14ac:dyDescent="0.4">
      <c r="B332" s="8" t="s">
        <v>517</v>
      </c>
      <c r="C332" s="3" t="s">
        <v>230</v>
      </c>
      <c r="D332" s="3" t="s">
        <v>266</v>
      </c>
      <c r="F332" s="3" t="s">
        <v>399</v>
      </c>
      <c r="I332" s="3" t="s">
        <v>420</v>
      </c>
    </row>
    <row r="333" spans="2:9" hidden="1" x14ac:dyDescent="0.4">
      <c r="B333" s="8" t="s">
        <v>517</v>
      </c>
      <c r="C333" s="3" t="s">
        <v>3087</v>
      </c>
      <c r="D333" s="3" t="s">
        <v>3319</v>
      </c>
      <c r="E333" s="3">
        <v>1</v>
      </c>
      <c r="F333" s="3" t="s">
        <v>402</v>
      </c>
      <c r="I333" s="3" t="s">
        <v>245</v>
      </c>
    </row>
    <row r="334" spans="2:9" hidden="1" x14ac:dyDescent="0.4">
      <c r="B334" s="8" t="s">
        <v>520</v>
      </c>
      <c r="C334" s="3" t="s">
        <v>4308</v>
      </c>
      <c r="D334" s="3" t="s">
        <v>3921</v>
      </c>
      <c r="F334" s="3" t="s">
        <v>399</v>
      </c>
      <c r="G334" s="3" t="s">
        <v>402</v>
      </c>
      <c r="I334" s="3" t="s">
        <v>4064</v>
      </c>
    </row>
    <row r="335" spans="2:9" hidden="1" x14ac:dyDescent="0.4">
      <c r="B335" s="8" t="s">
        <v>520</v>
      </c>
      <c r="C335" s="3" t="s">
        <v>3627</v>
      </c>
      <c r="D335" s="3" t="s">
        <v>3921</v>
      </c>
      <c r="F335" s="3" t="s">
        <v>399</v>
      </c>
      <c r="G335" s="3" t="s">
        <v>402</v>
      </c>
      <c r="I335" s="3" t="s">
        <v>4063</v>
      </c>
    </row>
    <row r="336" spans="2:9" hidden="1" x14ac:dyDescent="0.4">
      <c r="B336" s="8" t="s">
        <v>520</v>
      </c>
      <c r="C336" s="3" t="s">
        <v>5932</v>
      </c>
      <c r="D336" s="3" t="s">
        <v>4850</v>
      </c>
      <c r="F336" s="3" t="s">
        <v>399</v>
      </c>
      <c r="I336" s="3" t="s">
        <v>4063</v>
      </c>
    </row>
    <row r="337" spans="2:9" hidden="1" x14ac:dyDescent="0.4">
      <c r="B337" s="8" t="s">
        <v>520</v>
      </c>
      <c r="C337" s="3" t="s">
        <v>6278</v>
      </c>
      <c r="D337" s="3" t="s">
        <v>5626</v>
      </c>
      <c r="F337" s="3" t="s">
        <v>402</v>
      </c>
      <c r="I337" s="3" t="s">
        <v>4063</v>
      </c>
    </row>
    <row r="338" spans="2:9" hidden="1" x14ac:dyDescent="0.4">
      <c r="B338" s="8" t="s">
        <v>520</v>
      </c>
      <c r="C338" s="3" t="s">
        <v>4557</v>
      </c>
      <c r="D338" s="3" t="s">
        <v>4850</v>
      </c>
      <c r="F338" s="3" t="s">
        <v>399</v>
      </c>
      <c r="I338" s="3" t="s">
        <v>4064</v>
      </c>
    </row>
    <row r="339" spans="2:9" hidden="1" x14ac:dyDescent="0.4">
      <c r="B339" s="8" t="s">
        <v>520</v>
      </c>
      <c r="C339" s="3" t="s">
        <v>5306</v>
      </c>
      <c r="D339" s="3" t="s">
        <v>5626</v>
      </c>
      <c r="F339" s="3" t="s">
        <v>402</v>
      </c>
      <c r="I339" s="3" t="s">
        <v>4064</v>
      </c>
    </row>
    <row r="340" spans="2:9" hidden="1" x14ac:dyDescent="0.4">
      <c r="B340" s="8" t="s">
        <v>517</v>
      </c>
      <c r="C340" s="3" t="s">
        <v>3011</v>
      </c>
      <c r="D340" s="3" t="s">
        <v>3247</v>
      </c>
      <c r="E340" s="3">
        <v>1</v>
      </c>
      <c r="F340" s="3" t="s">
        <v>402</v>
      </c>
      <c r="G340" s="3" t="s">
        <v>399</v>
      </c>
      <c r="I340" s="3" t="s">
        <v>245</v>
      </c>
    </row>
    <row r="341" spans="2:9" hidden="1" x14ac:dyDescent="0.4">
      <c r="B341" s="8" t="s">
        <v>536</v>
      </c>
      <c r="C341" s="3" t="s">
        <v>439</v>
      </c>
      <c r="D341" s="3" t="s">
        <v>477</v>
      </c>
      <c r="E341" s="3" t="s">
        <v>432</v>
      </c>
      <c r="F341" s="3" t="s">
        <v>430</v>
      </c>
      <c r="I341" s="3" t="s">
        <v>431</v>
      </c>
    </row>
    <row r="342" spans="2:9" hidden="1" x14ac:dyDescent="0.4">
      <c r="B342" s="8" t="s">
        <v>536</v>
      </c>
      <c r="C342" s="3" t="s">
        <v>413</v>
      </c>
      <c r="D342" s="3" t="s">
        <v>427</v>
      </c>
      <c r="E342" s="3" t="s">
        <v>432</v>
      </c>
      <c r="F342" s="3" t="s">
        <v>430</v>
      </c>
      <c r="I342" s="3" t="s">
        <v>431</v>
      </c>
    </row>
    <row r="343" spans="2:9" hidden="1" x14ac:dyDescent="0.4">
      <c r="B343" s="8" t="s">
        <v>517</v>
      </c>
      <c r="C343" s="3" t="s">
        <v>1832</v>
      </c>
      <c r="D343" s="3" t="s">
        <v>1901</v>
      </c>
      <c r="F343" s="3" t="s">
        <v>399</v>
      </c>
      <c r="I343" s="3" t="s">
        <v>1865</v>
      </c>
    </row>
    <row r="344" spans="2:9" hidden="1" x14ac:dyDescent="0.4">
      <c r="B344" s="8" t="s">
        <v>520</v>
      </c>
      <c r="C344" s="3" t="s">
        <v>4311</v>
      </c>
      <c r="D344" s="3" t="s">
        <v>3925</v>
      </c>
      <c r="F344" s="3" t="s">
        <v>399</v>
      </c>
      <c r="G344" s="3" t="s">
        <v>402</v>
      </c>
      <c r="I344" s="3" t="s">
        <v>4064</v>
      </c>
    </row>
    <row r="345" spans="2:9" hidden="1" x14ac:dyDescent="0.4">
      <c r="B345" s="8" t="s">
        <v>520</v>
      </c>
      <c r="C345" s="3" t="s">
        <v>3631</v>
      </c>
      <c r="D345" s="3" t="s">
        <v>3925</v>
      </c>
      <c r="F345" s="3" t="s">
        <v>399</v>
      </c>
      <c r="G345" s="3" t="s">
        <v>402</v>
      </c>
      <c r="I345" s="3" t="s">
        <v>4063</v>
      </c>
    </row>
    <row r="346" spans="2:9" hidden="1" x14ac:dyDescent="0.4">
      <c r="B346" s="8" t="s">
        <v>520</v>
      </c>
      <c r="C346" s="3" t="s">
        <v>5935</v>
      </c>
      <c r="D346" s="3" t="s">
        <v>4853</v>
      </c>
      <c r="F346" s="3" t="s">
        <v>399</v>
      </c>
      <c r="I346" s="3" t="s">
        <v>4063</v>
      </c>
    </row>
    <row r="347" spans="2:9" ht="29.25" hidden="1" x14ac:dyDescent="0.4">
      <c r="B347" s="8" t="s">
        <v>520</v>
      </c>
      <c r="C347" s="3" t="s">
        <v>6281</v>
      </c>
      <c r="D347" s="3" t="s">
        <v>5630</v>
      </c>
      <c r="F347" s="3" t="s">
        <v>402</v>
      </c>
      <c r="I347" s="3" t="s">
        <v>4063</v>
      </c>
    </row>
    <row r="348" spans="2:9" hidden="1" x14ac:dyDescent="0.4">
      <c r="B348" s="8" t="s">
        <v>520</v>
      </c>
      <c r="C348" s="3" t="s">
        <v>4559</v>
      </c>
      <c r="D348" s="3" t="s">
        <v>4853</v>
      </c>
      <c r="F348" s="3" t="s">
        <v>399</v>
      </c>
      <c r="I348" s="3" t="s">
        <v>4064</v>
      </c>
    </row>
    <row r="349" spans="2:9" hidden="1" x14ac:dyDescent="0.4">
      <c r="B349" s="8" t="s">
        <v>520</v>
      </c>
      <c r="C349" s="3" t="s">
        <v>5310</v>
      </c>
      <c r="D349" s="3" t="s">
        <v>5630</v>
      </c>
      <c r="F349" s="3" t="s">
        <v>402</v>
      </c>
      <c r="I349" s="3" t="s">
        <v>4064</v>
      </c>
    </row>
    <row r="350" spans="2:9" hidden="1" x14ac:dyDescent="0.4">
      <c r="B350" s="8" t="s">
        <v>517</v>
      </c>
      <c r="C350" s="3" t="s">
        <v>3018</v>
      </c>
      <c r="D350" s="3" t="s">
        <v>3254</v>
      </c>
      <c r="E350" s="3">
        <v>1</v>
      </c>
      <c r="F350" s="3" t="s">
        <v>402</v>
      </c>
      <c r="G350" s="3" t="s">
        <v>399</v>
      </c>
      <c r="H350" s="3" t="s">
        <v>988</v>
      </c>
      <c r="I350" s="3" t="s">
        <v>245</v>
      </c>
    </row>
    <row r="351" spans="2:9" hidden="1" x14ac:dyDescent="0.4">
      <c r="B351" s="8" t="s">
        <v>517</v>
      </c>
      <c r="C351" s="3" t="s">
        <v>4107</v>
      </c>
      <c r="D351" s="3" t="s">
        <v>3708</v>
      </c>
      <c r="F351" s="3" t="s">
        <v>399</v>
      </c>
      <c r="G351" s="3" t="s">
        <v>402</v>
      </c>
      <c r="I351" s="3" t="s">
        <v>4064</v>
      </c>
    </row>
    <row r="352" spans="2:9" hidden="1" x14ac:dyDescent="0.4">
      <c r="B352" s="8" t="s">
        <v>517</v>
      </c>
      <c r="C352" s="3" t="s">
        <v>3398</v>
      </c>
      <c r="D352" s="3" t="s">
        <v>3708</v>
      </c>
      <c r="F352" s="3" t="s">
        <v>399</v>
      </c>
      <c r="G352" s="3" t="s">
        <v>402</v>
      </c>
      <c r="I352" s="3" t="s">
        <v>4063</v>
      </c>
    </row>
    <row r="353" spans="2:9" hidden="1" x14ac:dyDescent="0.4">
      <c r="B353" s="8" t="s">
        <v>517</v>
      </c>
      <c r="C353" s="3" t="s">
        <v>5730</v>
      </c>
      <c r="D353" s="3" t="s">
        <v>4728</v>
      </c>
      <c r="F353" s="3" t="s">
        <v>399</v>
      </c>
      <c r="I353" s="3" t="s">
        <v>4063</v>
      </c>
    </row>
    <row r="354" spans="2:9" hidden="1" x14ac:dyDescent="0.4">
      <c r="B354" s="8" t="s">
        <v>517</v>
      </c>
      <c r="C354" s="3" t="s">
        <v>6072</v>
      </c>
      <c r="D354" s="3" t="s">
        <v>5398</v>
      </c>
      <c r="F354" s="3" t="s">
        <v>402</v>
      </c>
      <c r="I354" s="3" t="s">
        <v>4063</v>
      </c>
    </row>
    <row r="355" spans="2:9" hidden="1" x14ac:dyDescent="0.4">
      <c r="B355" s="8" t="s">
        <v>517</v>
      </c>
      <c r="C355" s="3" t="s">
        <v>4383</v>
      </c>
      <c r="D355" s="3" t="s">
        <v>4728</v>
      </c>
      <c r="F355" s="3" t="s">
        <v>399</v>
      </c>
      <c r="I355" s="3" t="s">
        <v>4064</v>
      </c>
    </row>
    <row r="356" spans="2:9" hidden="1" x14ac:dyDescent="0.4">
      <c r="B356" s="8" t="s">
        <v>517</v>
      </c>
      <c r="C356" s="3" t="s">
        <v>5067</v>
      </c>
      <c r="D356" s="3" t="s">
        <v>5398</v>
      </c>
      <c r="F356" s="3" t="s">
        <v>402</v>
      </c>
      <c r="I356" s="3" t="s">
        <v>4064</v>
      </c>
    </row>
    <row r="357" spans="2:9" hidden="1" x14ac:dyDescent="0.4">
      <c r="B357" s="8" t="s">
        <v>517</v>
      </c>
      <c r="C357" s="3" t="s">
        <v>4133</v>
      </c>
      <c r="D357" s="3" t="s">
        <v>3732</v>
      </c>
      <c r="F357" s="3" t="s">
        <v>399</v>
      </c>
      <c r="G357" s="3" t="s">
        <v>402</v>
      </c>
      <c r="I357" s="3" t="s">
        <v>4064</v>
      </c>
    </row>
    <row r="358" spans="2:9" hidden="1" x14ac:dyDescent="0.4">
      <c r="B358" s="8" t="s">
        <v>517</v>
      </c>
      <c r="C358" s="3" t="s">
        <v>4397</v>
      </c>
      <c r="D358" s="3" t="s">
        <v>4747</v>
      </c>
      <c r="F358" s="3" t="s">
        <v>399</v>
      </c>
      <c r="I358" s="3" t="s">
        <v>4064</v>
      </c>
    </row>
    <row r="359" spans="2:9" hidden="1" x14ac:dyDescent="0.4">
      <c r="B359" s="8" t="s">
        <v>517</v>
      </c>
      <c r="C359" s="3" t="s">
        <v>5100</v>
      </c>
      <c r="D359" s="3" t="s">
        <v>5423</v>
      </c>
      <c r="F359" s="3" t="s">
        <v>402</v>
      </c>
      <c r="I359" s="3" t="s">
        <v>4064</v>
      </c>
    </row>
    <row r="360" spans="2:9" hidden="1" x14ac:dyDescent="0.4">
      <c r="B360" s="8" t="s">
        <v>517</v>
      </c>
      <c r="C360" s="3" t="s">
        <v>3425</v>
      </c>
      <c r="D360" s="3" t="s">
        <v>3732</v>
      </c>
      <c r="F360" s="3" t="s">
        <v>399</v>
      </c>
      <c r="G360" s="3" t="s">
        <v>402</v>
      </c>
      <c r="I360" s="3" t="s">
        <v>4063</v>
      </c>
    </row>
    <row r="361" spans="2:9" hidden="1" x14ac:dyDescent="0.4">
      <c r="B361" s="8" t="s">
        <v>517</v>
      </c>
      <c r="C361" s="3" t="s">
        <v>5757</v>
      </c>
      <c r="D361" s="3" t="s">
        <v>4747</v>
      </c>
      <c r="F361" s="3" t="s">
        <v>399</v>
      </c>
      <c r="I361" s="3" t="s">
        <v>4063</v>
      </c>
    </row>
    <row r="362" spans="2:9" hidden="1" x14ac:dyDescent="0.4">
      <c r="B362" s="8" t="s">
        <v>517</v>
      </c>
      <c r="C362" s="3" t="s">
        <v>6099</v>
      </c>
      <c r="D362" s="3" t="s">
        <v>5423</v>
      </c>
      <c r="F362" s="3" t="s">
        <v>402</v>
      </c>
      <c r="I362" s="3" t="s">
        <v>4063</v>
      </c>
    </row>
    <row r="363" spans="2:9" hidden="1" x14ac:dyDescent="0.4">
      <c r="B363" s="8" t="s">
        <v>517</v>
      </c>
      <c r="C363" s="3" t="s">
        <v>1828</v>
      </c>
      <c r="D363" s="3" t="s">
        <v>1897</v>
      </c>
      <c r="F363" s="3" t="s">
        <v>399</v>
      </c>
      <c r="I363" s="3" t="s">
        <v>1865</v>
      </c>
    </row>
    <row r="364" spans="2:9" hidden="1" x14ac:dyDescent="0.4">
      <c r="B364" s="8" t="s">
        <v>517</v>
      </c>
      <c r="C364" s="3" t="s">
        <v>1829</v>
      </c>
      <c r="D364" s="3" t="s">
        <v>1898</v>
      </c>
      <c r="F364" s="3" t="s">
        <v>399</v>
      </c>
      <c r="I364" s="3" t="s">
        <v>1865</v>
      </c>
    </row>
    <row r="365" spans="2:9" hidden="1" x14ac:dyDescent="0.4">
      <c r="B365" s="8" t="s">
        <v>518</v>
      </c>
      <c r="C365" s="3" t="s">
        <v>4224</v>
      </c>
      <c r="D365" s="3" t="s">
        <v>3833</v>
      </c>
      <c r="F365" s="3" t="s">
        <v>399</v>
      </c>
      <c r="G365" s="3" t="s">
        <v>402</v>
      </c>
      <c r="I365" s="3" t="s">
        <v>4064</v>
      </c>
    </row>
    <row r="366" spans="2:9" hidden="1" x14ac:dyDescent="0.4">
      <c r="B366" s="8" t="s">
        <v>518</v>
      </c>
      <c r="C366" s="3" t="s">
        <v>4452</v>
      </c>
      <c r="D366" s="3" t="s">
        <v>4801</v>
      </c>
      <c r="F366" s="3" t="s">
        <v>399</v>
      </c>
      <c r="I366" s="3" t="s">
        <v>4064</v>
      </c>
    </row>
    <row r="367" spans="2:9" hidden="1" x14ac:dyDescent="0.4">
      <c r="B367" s="8" t="s">
        <v>518</v>
      </c>
      <c r="C367" s="3" t="s">
        <v>5202</v>
      </c>
      <c r="D367" s="3" t="s">
        <v>5523</v>
      </c>
      <c r="F367" s="3" t="s">
        <v>402</v>
      </c>
      <c r="I367" s="3" t="s">
        <v>4064</v>
      </c>
    </row>
    <row r="368" spans="2:9" hidden="1" x14ac:dyDescent="0.4">
      <c r="B368" s="8" t="s">
        <v>518</v>
      </c>
      <c r="C368" s="3" t="s">
        <v>3529</v>
      </c>
      <c r="D368" s="3" t="s">
        <v>3833</v>
      </c>
      <c r="F368" s="3" t="s">
        <v>399</v>
      </c>
      <c r="G368" s="3" t="s">
        <v>402</v>
      </c>
      <c r="I368" s="3" t="s">
        <v>4063</v>
      </c>
    </row>
    <row r="369" spans="2:9" hidden="1" x14ac:dyDescent="0.4">
      <c r="B369" s="8" t="s">
        <v>518</v>
      </c>
      <c r="C369" s="3" t="s">
        <v>5841</v>
      </c>
      <c r="D369" s="3" t="s">
        <v>4801</v>
      </c>
      <c r="F369" s="3" t="s">
        <v>399</v>
      </c>
      <c r="I369" s="3" t="s">
        <v>4063</v>
      </c>
    </row>
    <row r="370" spans="2:9" hidden="1" x14ac:dyDescent="0.4">
      <c r="B370" s="8" t="s">
        <v>518</v>
      </c>
      <c r="C370" s="3" t="s">
        <v>6184</v>
      </c>
      <c r="D370" s="3" t="s">
        <v>5523</v>
      </c>
      <c r="F370" s="3" t="s">
        <v>402</v>
      </c>
      <c r="I370" s="3" t="s">
        <v>4063</v>
      </c>
    </row>
    <row r="371" spans="2:9" hidden="1" x14ac:dyDescent="0.4">
      <c r="B371" s="8" t="s">
        <v>517</v>
      </c>
      <c r="C371" s="3" t="s">
        <v>3578</v>
      </c>
      <c r="D371" s="3" t="s">
        <v>4051</v>
      </c>
      <c r="F371" s="3" t="s">
        <v>399</v>
      </c>
      <c r="G371" s="3" t="s">
        <v>402</v>
      </c>
      <c r="I371" s="3" t="s">
        <v>4063</v>
      </c>
    </row>
    <row r="372" spans="2:9" hidden="1" x14ac:dyDescent="0.4">
      <c r="B372" s="8" t="s">
        <v>517</v>
      </c>
      <c r="C372" s="3" t="s">
        <v>5883</v>
      </c>
      <c r="D372" s="3" t="s">
        <v>4974</v>
      </c>
      <c r="F372" s="3" t="s">
        <v>399</v>
      </c>
      <c r="I372" s="3" t="s">
        <v>4063</v>
      </c>
    </row>
    <row r="373" spans="2:9" hidden="1" x14ac:dyDescent="0.4">
      <c r="B373" s="8" t="s">
        <v>517</v>
      </c>
      <c r="C373" s="3" t="s">
        <v>6230</v>
      </c>
      <c r="D373" s="3" t="s">
        <v>5572</v>
      </c>
      <c r="F373" s="3" t="s">
        <v>402</v>
      </c>
      <c r="I373" s="3" t="s">
        <v>4063</v>
      </c>
    </row>
    <row r="374" spans="2:9" hidden="1" x14ac:dyDescent="0.4">
      <c r="B374" s="8" t="s">
        <v>517</v>
      </c>
      <c r="C374" s="3" t="s">
        <v>4267</v>
      </c>
      <c r="D374" s="3" t="s">
        <v>4051</v>
      </c>
      <c r="F374" s="3" t="s">
        <v>399</v>
      </c>
      <c r="G374" s="3" t="s">
        <v>402</v>
      </c>
      <c r="I374" s="3" t="s">
        <v>4064</v>
      </c>
    </row>
    <row r="375" spans="2:9" hidden="1" x14ac:dyDescent="0.4">
      <c r="B375" s="8" t="s">
        <v>517</v>
      </c>
      <c r="C375" s="3" t="s">
        <v>4480</v>
      </c>
      <c r="D375" s="3" t="s">
        <v>4974</v>
      </c>
      <c r="F375" s="3" t="s">
        <v>399</v>
      </c>
      <c r="I375" s="3" t="s">
        <v>4064</v>
      </c>
    </row>
    <row r="376" spans="2:9" hidden="1" x14ac:dyDescent="0.4">
      <c r="B376" s="8" t="s">
        <v>517</v>
      </c>
      <c r="C376" s="3" t="s">
        <v>5251</v>
      </c>
      <c r="D376" s="3" t="s">
        <v>5572</v>
      </c>
      <c r="F376" s="3" t="s">
        <v>402</v>
      </c>
      <c r="I376" s="3" t="s">
        <v>4064</v>
      </c>
    </row>
    <row r="377" spans="2:9" hidden="1" x14ac:dyDescent="0.4">
      <c r="B377" s="8" t="s">
        <v>517</v>
      </c>
      <c r="C377" s="3" t="s">
        <v>2310</v>
      </c>
      <c r="D377" s="3" t="s">
        <v>2467</v>
      </c>
      <c r="E377" s="3" t="s">
        <v>1272</v>
      </c>
      <c r="F377" s="3" t="s">
        <v>399</v>
      </c>
      <c r="I377" s="3" t="s">
        <v>1833</v>
      </c>
    </row>
    <row r="378" spans="2:9" hidden="1" x14ac:dyDescent="0.4">
      <c r="B378" s="8" t="s">
        <v>517</v>
      </c>
      <c r="C378" s="3" t="s">
        <v>2610</v>
      </c>
      <c r="D378" s="3" t="s">
        <v>2467</v>
      </c>
      <c r="E378" s="3" t="s">
        <v>1272</v>
      </c>
      <c r="F378" s="3" t="s">
        <v>402</v>
      </c>
      <c r="I378" s="3" t="s">
        <v>1833</v>
      </c>
    </row>
    <row r="379" spans="2:9" hidden="1" x14ac:dyDescent="0.4">
      <c r="B379" s="8" t="s">
        <v>518</v>
      </c>
      <c r="C379" s="3" t="s">
        <v>2218</v>
      </c>
      <c r="D379" s="3" t="s">
        <v>2376</v>
      </c>
      <c r="E379" s="3" t="s">
        <v>1272</v>
      </c>
      <c r="F379" s="3" t="s">
        <v>399</v>
      </c>
      <c r="I379" s="3" t="s">
        <v>1833</v>
      </c>
    </row>
    <row r="380" spans="2:9" hidden="1" x14ac:dyDescent="0.4">
      <c r="B380" s="8" t="s">
        <v>518</v>
      </c>
      <c r="C380" s="3" t="s">
        <v>2512</v>
      </c>
      <c r="D380" s="3" t="s">
        <v>2376</v>
      </c>
      <c r="E380" s="3" t="s">
        <v>1272</v>
      </c>
      <c r="F380" s="3" t="s">
        <v>402</v>
      </c>
      <c r="I380" s="3" t="s">
        <v>1833</v>
      </c>
    </row>
    <row r="381" spans="2:9" hidden="1" x14ac:dyDescent="0.4">
      <c r="B381" s="8" t="s">
        <v>519</v>
      </c>
      <c r="C381" s="3" t="s">
        <v>4334</v>
      </c>
      <c r="D381" s="3" t="s">
        <v>3971</v>
      </c>
      <c r="F381" s="3" t="s">
        <v>399</v>
      </c>
      <c r="G381" s="3" t="s">
        <v>402</v>
      </c>
      <c r="I381" s="3" t="s">
        <v>4064</v>
      </c>
    </row>
    <row r="382" spans="2:9" hidden="1" x14ac:dyDescent="0.4">
      <c r="B382" s="8" t="s">
        <v>519</v>
      </c>
      <c r="C382" s="3" t="s">
        <v>3970</v>
      </c>
      <c r="D382" s="3" t="s">
        <v>3971</v>
      </c>
      <c r="F382" s="3" t="s">
        <v>399</v>
      </c>
      <c r="G382" s="3" t="s">
        <v>402</v>
      </c>
      <c r="I382" s="3" t="s">
        <v>4063</v>
      </c>
    </row>
    <row r="383" spans="2:9" hidden="1" x14ac:dyDescent="0.4">
      <c r="B383" s="8" t="s">
        <v>519</v>
      </c>
      <c r="C383" s="3" t="s">
        <v>6305</v>
      </c>
      <c r="D383" s="3" t="s">
        <v>6373</v>
      </c>
      <c r="F383" s="3" t="s">
        <v>402</v>
      </c>
      <c r="I383" s="3" t="s">
        <v>4063</v>
      </c>
    </row>
    <row r="384" spans="2:9" hidden="1" x14ac:dyDescent="0.4">
      <c r="B384" s="8" t="s">
        <v>519</v>
      </c>
      <c r="C384" s="3" t="s">
        <v>6026</v>
      </c>
      <c r="D384" s="3" t="s">
        <v>6035</v>
      </c>
      <c r="F384" s="3" t="s">
        <v>399</v>
      </c>
      <c r="I384" s="3" t="s">
        <v>4063</v>
      </c>
    </row>
    <row r="385" spans="2:9" hidden="1" x14ac:dyDescent="0.4">
      <c r="B385" s="8" t="s">
        <v>517</v>
      </c>
      <c r="C385" s="3" t="s">
        <v>280</v>
      </c>
      <c r="D385" s="3" t="s">
        <v>568</v>
      </c>
      <c r="F385" s="3" t="s">
        <v>399</v>
      </c>
      <c r="I385" s="3" t="s">
        <v>267</v>
      </c>
    </row>
    <row r="386" spans="2:9" hidden="1" x14ac:dyDescent="0.4">
      <c r="B386" s="8" t="s">
        <v>517</v>
      </c>
      <c r="C386" s="3" t="s">
        <v>184</v>
      </c>
      <c r="D386" s="3" t="s">
        <v>542</v>
      </c>
      <c r="F386" s="3" t="s">
        <v>399</v>
      </c>
      <c r="I386" s="3" t="s">
        <v>267</v>
      </c>
    </row>
    <row r="387" spans="2:9" hidden="1" x14ac:dyDescent="0.4">
      <c r="B387" s="8" t="s">
        <v>517</v>
      </c>
      <c r="C387" s="3" t="s">
        <v>184</v>
      </c>
      <c r="D387" s="3" t="s">
        <v>369</v>
      </c>
      <c r="F387" s="3" t="s">
        <v>399</v>
      </c>
      <c r="I387" s="3" t="s">
        <v>267</v>
      </c>
    </row>
    <row r="388" spans="2:9" hidden="1" x14ac:dyDescent="0.4">
      <c r="B388" s="8" t="s">
        <v>536</v>
      </c>
      <c r="C388" s="3" t="s">
        <v>2675</v>
      </c>
      <c r="D388" s="3">
        <v>2</v>
      </c>
      <c r="F388" s="3" t="s">
        <v>1124</v>
      </c>
      <c r="I388" s="3" t="s">
        <v>252</v>
      </c>
    </row>
    <row r="389" spans="2:9" hidden="1" x14ac:dyDescent="0.4">
      <c r="B389" s="8" t="s">
        <v>756</v>
      </c>
      <c r="C389" s="3" t="s">
        <v>766</v>
      </c>
      <c r="D389" s="3" t="s">
        <v>778</v>
      </c>
      <c r="F389" s="3" t="s">
        <v>399</v>
      </c>
      <c r="G389" s="3" t="s">
        <v>402</v>
      </c>
      <c r="I389" s="3" t="s">
        <v>781</v>
      </c>
    </row>
    <row r="390" spans="2:9" hidden="1" x14ac:dyDescent="0.4">
      <c r="B390" s="8" t="s">
        <v>756</v>
      </c>
      <c r="C390" s="3" t="s">
        <v>791</v>
      </c>
      <c r="D390" s="3" t="s">
        <v>778</v>
      </c>
      <c r="F390" s="3" t="s">
        <v>402</v>
      </c>
      <c r="I390" s="3" t="s">
        <v>781</v>
      </c>
    </row>
    <row r="391" spans="2:9" hidden="1" x14ac:dyDescent="0.4">
      <c r="B391" s="8">
        <v>0</v>
      </c>
      <c r="C391" s="3" t="s">
        <v>55</v>
      </c>
      <c r="D391" s="3" t="s">
        <v>117</v>
      </c>
      <c r="F391" s="3" t="s">
        <v>825</v>
      </c>
      <c r="I391" s="3" t="s">
        <v>252</v>
      </c>
    </row>
    <row r="392" spans="2:9" hidden="1" x14ac:dyDescent="0.4">
      <c r="B392" s="8" t="s">
        <v>517</v>
      </c>
      <c r="C392" s="3" t="s">
        <v>43</v>
      </c>
      <c r="D392" s="3" t="s">
        <v>106</v>
      </c>
      <c r="F392" s="3" t="s">
        <v>400</v>
      </c>
      <c r="I392" s="3" t="s">
        <v>252</v>
      </c>
    </row>
    <row r="393" spans="2:9" hidden="1" x14ac:dyDescent="0.4">
      <c r="B393" s="8" t="s">
        <v>518</v>
      </c>
      <c r="C393" s="3" t="s">
        <v>2297</v>
      </c>
      <c r="D393" s="3" t="s">
        <v>2454</v>
      </c>
      <c r="E393" s="3" t="s">
        <v>1272</v>
      </c>
      <c r="F393" s="3" t="s">
        <v>399</v>
      </c>
      <c r="I393" s="3" t="s">
        <v>1833</v>
      </c>
    </row>
    <row r="394" spans="2:9" hidden="1" x14ac:dyDescent="0.4">
      <c r="B394" s="8" t="s">
        <v>518</v>
      </c>
      <c r="C394" s="3" t="s">
        <v>2533</v>
      </c>
      <c r="D394" s="3" t="s">
        <v>2454</v>
      </c>
      <c r="E394" s="3" t="s">
        <v>1272</v>
      </c>
      <c r="F394" s="3" t="s">
        <v>402</v>
      </c>
      <c r="I394" s="3" t="s">
        <v>1833</v>
      </c>
    </row>
    <row r="395" spans="2:9" hidden="1" x14ac:dyDescent="0.4">
      <c r="B395" s="8" t="s">
        <v>518</v>
      </c>
      <c r="C395" s="3" t="s">
        <v>2823</v>
      </c>
      <c r="D395" s="3" t="s">
        <v>2827</v>
      </c>
      <c r="E395" s="3" t="s">
        <v>1272</v>
      </c>
      <c r="F395" s="3" t="s">
        <v>399</v>
      </c>
      <c r="I395" s="3" t="s">
        <v>2370</v>
      </c>
    </row>
    <row r="396" spans="2:9" hidden="1" x14ac:dyDescent="0.4">
      <c r="B396" s="8" t="s">
        <v>516</v>
      </c>
      <c r="C396" s="3" t="s">
        <v>3407</v>
      </c>
      <c r="D396" s="3" t="s">
        <v>3716</v>
      </c>
      <c r="F396" s="3" t="s">
        <v>399</v>
      </c>
      <c r="G396" s="3" t="s">
        <v>402</v>
      </c>
      <c r="I396" s="3" t="s">
        <v>4063</v>
      </c>
    </row>
    <row r="397" spans="2:9" hidden="1" x14ac:dyDescent="0.4">
      <c r="B397" s="8" t="s">
        <v>516</v>
      </c>
      <c r="C397" s="3" t="s">
        <v>3407</v>
      </c>
      <c r="D397" s="3" t="s">
        <v>3716</v>
      </c>
      <c r="F397" s="3" t="s">
        <v>399</v>
      </c>
      <c r="G397" s="3" t="s">
        <v>402</v>
      </c>
      <c r="I397" s="3" t="s">
        <v>4064</v>
      </c>
    </row>
    <row r="398" spans="2:9" hidden="1" x14ac:dyDescent="0.4">
      <c r="B398" s="8" t="s">
        <v>516</v>
      </c>
      <c r="C398" s="3" t="s">
        <v>6082</v>
      </c>
      <c r="D398" s="3" t="s">
        <v>5681</v>
      </c>
      <c r="F398" s="3" t="s">
        <v>402</v>
      </c>
      <c r="I398" s="3" t="s">
        <v>4063</v>
      </c>
    </row>
    <row r="399" spans="2:9" hidden="1" x14ac:dyDescent="0.4">
      <c r="B399" s="8" t="s">
        <v>516</v>
      </c>
      <c r="C399" s="3" t="s">
        <v>5740</v>
      </c>
      <c r="D399" s="3" t="s">
        <v>4874</v>
      </c>
      <c r="F399" s="3" t="s">
        <v>399</v>
      </c>
      <c r="I399" s="3" t="s">
        <v>4063</v>
      </c>
    </row>
    <row r="400" spans="2:9" hidden="1" x14ac:dyDescent="0.4">
      <c r="B400" s="8" t="s">
        <v>516</v>
      </c>
      <c r="C400" s="3" t="s">
        <v>4618</v>
      </c>
      <c r="D400" s="3" t="s">
        <v>4874</v>
      </c>
      <c r="F400" s="3" t="s">
        <v>399</v>
      </c>
      <c r="I400" s="3" t="s">
        <v>4064</v>
      </c>
    </row>
    <row r="401" spans="2:9" hidden="1" x14ac:dyDescent="0.4">
      <c r="B401" s="8" t="s">
        <v>516</v>
      </c>
      <c r="C401" s="3" t="s">
        <v>5082</v>
      </c>
      <c r="D401" s="3" t="s">
        <v>5682</v>
      </c>
      <c r="F401" s="3" t="s">
        <v>402</v>
      </c>
      <c r="I401" s="3" t="s">
        <v>4064</v>
      </c>
    </row>
    <row r="402" spans="2:9" hidden="1" x14ac:dyDescent="0.4">
      <c r="B402" s="8" t="s">
        <v>517</v>
      </c>
      <c r="C402" s="3" t="s">
        <v>3056</v>
      </c>
      <c r="D402" s="3" t="s">
        <v>3291</v>
      </c>
      <c r="E402" s="3">
        <v>1</v>
      </c>
      <c r="F402" s="3" t="s">
        <v>402</v>
      </c>
      <c r="G402" s="3" t="s">
        <v>399</v>
      </c>
      <c r="I402" s="3" t="s">
        <v>245</v>
      </c>
    </row>
    <row r="403" spans="2:9" hidden="1" x14ac:dyDescent="0.4">
      <c r="B403" s="8" t="s">
        <v>517</v>
      </c>
      <c r="C403" s="3" t="s">
        <v>4176</v>
      </c>
      <c r="D403" s="3" t="s">
        <v>3782</v>
      </c>
      <c r="F403" s="3" t="s">
        <v>399</v>
      </c>
      <c r="G403" s="3" t="s">
        <v>402</v>
      </c>
      <c r="I403" s="3" t="s">
        <v>4064</v>
      </c>
    </row>
    <row r="404" spans="2:9" hidden="1" x14ac:dyDescent="0.4">
      <c r="B404" s="8" t="s">
        <v>517</v>
      </c>
      <c r="C404" s="3" t="s">
        <v>3475</v>
      </c>
      <c r="D404" s="3" t="s">
        <v>3782</v>
      </c>
      <c r="F404" s="3" t="s">
        <v>399</v>
      </c>
      <c r="G404" s="3" t="s">
        <v>402</v>
      </c>
      <c r="I404" s="3" t="s">
        <v>4063</v>
      </c>
    </row>
    <row r="405" spans="2:9" hidden="1" x14ac:dyDescent="0.4">
      <c r="B405" s="8" t="s">
        <v>517</v>
      </c>
      <c r="C405" s="3" t="s">
        <v>5797</v>
      </c>
      <c r="D405" s="3" t="s">
        <v>4773</v>
      </c>
      <c r="F405" s="3" t="s">
        <v>399</v>
      </c>
      <c r="I405" s="3" t="s">
        <v>4063</v>
      </c>
    </row>
    <row r="406" spans="2:9" hidden="1" x14ac:dyDescent="0.4">
      <c r="B406" s="8" t="s">
        <v>517</v>
      </c>
      <c r="C406" s="3" t="s">
        <v>6140</v>
      </c>
      <c r="D406" s="3" t="s">
        <v>5470</v>
      </c>
      <c r="F406" s="3" t="s">
        <v>402</v>
      </c>
      <c r="I406" s="3" t="s">
        <v>4063</v>
      </c>
    </row>
    <row r="407" spans="2:9" hidden="1" x14ac:dyDescent="0.4">
      <c r="B407" s="8" t="s">
        <v>517</v>
      </c>
      <c r="C407" s="3" t="s">
        <v>4647</v>
      </c>
      <c r="D407" s="3" t="s">
        <v>4773</v>
      </c>
      <c r="F407" s="3" t="s">
        <v>399</v>
      </c>
      <c r="I407" s="3" t="s">
        <v>4064</v>
      </c>
    </row>
    <row r="408" spans="2:9" hidden="1" x14ac:dyDescent="0.4">
      <c r="B408" s="8" t="s">
        <v>517</v>
      </c>
      <c r="C408" s="3" t="s">
        <v>5148</v>
      </c>
      <c r="D408" s="3" t="s">
        <v>5470</v>
      </c>
      <c r="F408" s="3" t="s">
        <v>402</v>
      </c>
      <c r="I408" s="3" t="s">
        <v>4064</v>
      </c>
    </row>
    <row r="409" spans="2:9" hidden="1" x14ac:dyDescent="0.4">
      <c r="B409" s="8" t="s">
        <v>517</v>
      </c>
      <c r="C409" s="3" t="s">
        <v>2321</v>
      </c>
      <c r="D409" s="15" t="s">
        <v>2477</v>
      </c>
      <c r="E409" s="3" t="s">
        <v>1272</v>
      </c>
      <c r="F409" s="3" t="s">
        <v>399</v>
      </c>
      <c r="I409" s="3" t="s">
        <v>1833</v>
      </c>
    </row>
    <row r="410" spans="2:9" hidden="1" x14ac:dyDescent="0.4">
      <c r="B410" s="8" t="s">
        <v>517</v>
      </c>
      <c r="C410" s="3" t="s">
        <v>2621</v>
      </c>
      <c r="D410" s="3" t="s">
        <v>2477</v>
      </c>
      <c r="E410" s="3" t="s">
        <v>1272</v>
      </c>
      <c r="F410" s="3" t="s">
        <v>402</v>
      </c>
      <c r="I410" s="3" t="s">
        <v>1833</v>
      </c>
    </row>
    <row r="411" spans="2:9" hidden="1" x14ac:dyDescent="0.4">
      <c r="B411" s="8" t="s">
        <v>517</v>
      </c>
      <c r="C411" s="3" t="s">
        <v>3050</v>
      </c>
      <c r="D411" s="3" t="s">
        <v>3285</v>
      </c>
      <c r="E411" s="3">
        <v>1</v>
      </c>
      <c r="F411" s="3" t="s">
        <v>402</v>
      </c>
      <c r="I411" s="3" t="s">
        <v>245</v>
      </c>
    </row>
    <row r="412" spans="2:9" hidden="1" x14ac:dyDescent="0.4">
      <c r="B412" s="8" t="s">
        <v>518</v>
      </c>
      <c r="C412" s="3" t="s">
        <v>3543</v>
      </c>
      <c r="D412" s="3" t="s">
        <v>3851</v>
      </c>
      <c r="F412" s="3" t="s">
        <v>399</v>
      </c>
      <c r="G412" s="3" t="s">
        <v>402</v>
      </c>
      <c r="I412" s="3" t="s">
        <v>4063</v>
      </c>
    </row>
    <row r="413" spans="2:9" hidden="1" x14ac:dyDescent="0.4">
      <c r="B413" s="8" t="s">
        <v>518</v>
      </c>
      <c r="C413" s="3" t="s">
        <v>3543</v>
      </c>
      <c r="D413" s="3" t="s">
        <v>3851</v>
      </c>
      <c r="F413" s="3" t="s">
        <v>399</v>
      </c>
      <c r="G413" s="3" t="s">
        <v>402</v>
      </c>
      <c r="I413" s="3" t="s">
        <v>4064</v>
      </c>
    </row>
    <row r="414" spans="2:9" hidden="1" x14ac:dyDescent="0.4">
      <c r="B414" s="8" t="s">
        <v>518</v>
      </c>
      <c r="C414" s="3" t="s">
        <v>5853</v>
      </c>
      <c r="D414" s="3" t="s">
        <v>4815</v>
      </c>
      <c r="F414" s="3" t="s">
        <v>399</v>
      </c>
      <c r="I414" s="3" t="s">
        <v>4063</v>
      </c>
    </row>
    <row r="415" spans="2:9" hidden="1" x14ac:dyDescent="0.4">
      <c r="B415" s="8" t="s">
        <v>518</v>
      </c>
      <c r="C415" s="3" t="s">
        <v>6198</v>
      </c>
      <c r="D415" s="3" t="s">
        <v>5540</v>
      </c>
      <c r="F415" s="3" t="s">
        <v>402</v>
      </c>
      <c r="I415" s="3" t="s">
        <v>4063</v>
      </c>
    </row>
    <row r="416" spans="2:9" hidden="1" x14ac:dyDescent="0.4">
      <c r="B416" s="8" t="s">
        <v>518</v>
      </c>
      <c r="C416" s="3" t="s">
        <v>4578</v>
      </c>
      <c r="D416" s="3" t="s">
        <v>4815</v>
      </c>
      <c r="F416" s="3" t="s">
        <v>399</v>
      </c>
      <c r="I416" s="3" t="s">
        <v>4064</v>
      </c>
    </row>
    <row r="417" spans="2:9" hidden="1" x14ac:dyDescent="0.4">
      <c r="B417" s="8" t="s">
        <v>518</v>
      </c>
      <c r="C417" s="3" t="s">
        <v>5218</v>
      </c>
      <c r="D417" s="3" t="s">
        <v>5540</v>
      </c>
      <c r="F417" s="3" t="s">
        <v>402</v>
      </c>
      <c r="I417" s="3" t="s">
        <v>4064</v>
      </c>
    </row>
    <row r="418" spans="2:9" hidden="1" x14ac:dyDescent="0.4">
      <c r="B418" s="8" t="s">
        <v>1711</v>
      </c>
      <c r="C418" s="3" t="s">
        <v>4623</v>
      </c>
      <c r="D418" s="3" t="s">
        <v>4877</v>
      </c>
      <c r="F418" s="3" t="s">
        <v>399</v>
      </c>
      <c r="I418" s="3" t="s">
        <v>4064</v>
      </c>
    </row>
    <row r="419" spans="2:9" hidden="1" x14ac:dyDescent="0.4">
      <c r="B419" s="8" t="s">
        <v>1711</v>
      </c>
      <c r="C419" s="3" t="s">
        <v>5093</v>
      </c>
      <c r="D419" s="3" t="s">
        <v>5416</v>
      </c>
      <c r="F419" s="3" t="s">
        <v>402</v>
      </c>
      <c r="I419" s="3" t="s">
        <v>4064</v>
      </c>
    </row>
    <row r="420" spans="2:9" ht="29.25" hidden="1" x14ac:dyDescent="0.4">
      <c r="B420" s="8" t="s">
        <v>1711</v>
      </c>
      <c r="C420" s="3" t="s">
        <v>3418</v>
      </c>
      <c r="D420" s="3" t="s">
        <v>3747</v>
      </c>
      <c r="F420" s="3" t="s">
        <v>399</v>
      </c>
      <c r="G420" s="3" t="s">
        <v>402</v>
      </c>
      <c r="I420" s="3" t="s">
        <v>4063</v>
      </c>
    </row>
    <row r="421" spans="2:9" ht="29.25" hidden="1" x14ac:dyDescent="0.4">
      <c r="B421" s="8" t="s">
        <v>1711</v>
      </c>
      <c r="C421" s="3" t="s">
        <v>3418</v>
      </c>
      <c r="D421" s="3" t="s">
        <v>3747</v>
      </c>
      <c r="F421" s="3" t="s">
        <v>399</v>
      </c>
      <c r="G421" s="3" t="s">
        <v>402</v>
      </c>
      <c r="I421" s="3" t="s">
        <v>4064</v>
      </c>
    </row>
    <row r="422" spans="2:9" ht="29.25" hidden="1" x14ac:dyDescent="0.4">
      <c r="B422" s="8" t="s">
        <v>1711</v>
      </c>
      <c r="C422" s="3" t="s">
        <v>5750</v>
      </c>
      <c r="D422" s="3" t="s">
        <v>4877</v>
      </c>
      <c r="F422" s="3" t="s">
        <v>399</v>
      </c>
      <c r="I422" s="3" t="s">
        <v>4063</v>
      </c>
    </row>
    <row r="423" spans="2:9" ht="29.25" hidden="1" x14ac:dyDescent="0.4">
      <c r="B423" s="8" t="s">
        <v>1711</v>
      </c>
      <c r="C423" s="3" t="s">
        <v>6092</v>
      </c>
      <c r="D423" s="3" t="s">
        <v>5416</v>
      </c>
      <c r="F423" s="3" t="s">
        <v>402</v>
      </c>
      <c r="I423" s="3" t="s">
        <v>4063</v>
      </c>
    </row>
    <row r="424" spans="2:9" hidden="1" x14ac:dyDescent="0.4">
      <c r="B424" s="8" t="s">
        <v>529</v>
      </c>
      <c r="C424" s="3" t="s">
        <v>4291</v>
      </c>
      <c r="D424" s="3" t="s">
        <v>4047</v>
      </c>
      <c r="F424" s="3" t="s">
        <v>399</v>
      </c>
      <c r="G424" s="3" t="s">
        <v>402</v>
      </c>
      <c r="I424" s="3" t="s">
        <v>4064</v>
      </c>
    </row>
    <row r="425" spans="2:9" hidden="1" x14ac:dyDescent="0.4">
      <c r="B425" s="8" t="s">
        <v>529</v>
      </c>
      <c r="C425" s="3" t="s">
        <v>4498</v>
      </c>
      <c r="D425" s="3" t="s">
        <v>4996</v>
      </c>
      <c r="F425" s="3" t="s">
        <v>399</v>
      </c>
      <c r="I425" s="3" t="s">
        <v>4064</v>
      </c>
    </row>
    <row r="426" spans="2:9" hidden="1" x14ac:dyDescent="0.4">
      <c r="B426" s="8" t="s">
        <v>529</v>
      </c>
      <c r="C426" s="3" t="s">
        <v>5286</v>
      </c>
      <c r="D426" s="3" t="s">
        <v>5606</v>
      </c>
      <c r="F426" s="3" t="s">
        <v>402</v>
      </c>
      <c r="I426" s="3" t="s">
        <v>4064</v>
      </c>
    </row>
    <row r="427" spans="2:9" hidden="1" x14ac:dyDescent="0.4">
      <c r="B427" s="8" t="s">
        <v>529</v>
      </c>
      <c r="C427" s="3" t="s">
        <v>3607</v>
      </c>
      <c r="D427" s="3" t="s">
        <v>4047</v>
      </c>
      <c r="F427" s="3" t="s">
        <v>399</v>
      </c>
      <c r="G427" s="3" t="s">
        <v>402</v>
      </c>
      <c r="I427" s="3" t="s">
        <v>4063</v>
      </c>
    </row>
    <row r="428" spans="2:9" hidden="1" x14ac:dyDescent="0.4">
      <c r="B428" s="8" t="s">
        <v>529</v>
      </c>
      <c r="C428" s="3" t="s">
        <v>5913</v>
      </c>
      <c r="D428" s="3" t="s">
        <v>4996</v>
      </c>
      <c r="F428" s="3" t="s">
        <v>399</v>
      </c>
      <c r="I428" s="3" t="s">
        <v>4063</v>
      </c>
    </row>
    <row r="429" spans="2:9" hidden="1" x14ac:dyDescent="0.4">
      <c r="B429" s="8" t="s">
        <v>529</v>
      </c>
      <c r="C429" s="3" t="s">
        <v>6259</v>
      </c>
      <c r="D429" s="3" t="s">
        <v>5606</v>
      </c>
      <c r="F429" s="3" t="s">
        <v>402</v>
      </c>
      <c r="I429" s="3" t="s">
        <v>4063</v>
      </c>
    </row>
    <row r="430" spans="2:9" hidden="1" x14ac:dyDescent="0.4">
      <c r="B430" s="8" t="s">
        <v>529</v>
      </c>
      <c r="C430" s="3" t="s">
        <v>4325</v>
      </c>
      <c r="D430" s="3" t="s">
        <v>3940</v>
      </c>
      <c r="F430" s="3" t="s">
        <v>399</v>
      </c>
      <c r="G430" s="3" t="s">
        <v>402</v>
      </c>
      <c r="I430" s="3" t="s">
        <v>4064</v>
      </c>
    </row>
    <row r="431" spans="2:9" hidden="1" x14ac:dyDescent="0.4">
      <c r="B431" s="8" t="s">
        <v>529</v>
      </c>
      <c r="C431" s="3" t="s">
        <v>4521</v>
      </c>
      <c r="D431" s="3" t="s">
        <v>5007</v>
      </c>
      <c r="F431" s="3" t="s">
        <v>399</v>
      </c>
      <c r="I431" s="3" t="s">
        <v>4064</v>
      </c>
    </row>
    <row r="432" spans="2:9" hidden="1" x14ac:dyDescent="0.4">
      <c r="B432" s="8" t="s">
        <v>529</v>
      </c>
      <c r="C432" s="3" t="s">
        <v>5327</v>
      </c>
      <c r="D432" s="3" t="s">
        <v>5647</v>
      </c>
      <c r="F432" s="3" t="s">
        <v>402</v>
      </c>
      <c r="I432" s="3" t="s">
        <v>4064</v>
      </c>
    </row>
    <row r="433" spans="2:9" hidden="1" x14ac:dyDescent="0.4">
      <c r="B433" s="8" t="s">
        <v>529</v>
      </c>
      <c r="C433" s="3" t="s">
        <v>3648</v>
      </c>
      <c r="D433" s="3" t="s">
        <v>3940</v>
      </c>
      <c r="F433" s="3" t="s">
        <v>399</v>
      </c>
      <c r="G433" s="3" t="s">
        <v>402</v>
      </c>
      <c r="I433" s="3" t="s">
        <v>4063</v>
      </c>
    </row>
    <row r="434" spans="2:9" hidden="1" x14ac:dyDescent="0.4">
      <c r="B434" s="8" t="s">
        <v>529</v>
      </c>
      <c r="C434" s="3" t="s">
        <v>5950</v>
      </c>
      <c r="D434" s="3" t="s">
        <v>5007</v>
      </c>
      <c r="F434" s="3" t="s">
        <v>399</v>
      </c>
      <c r="I434" s="3" t="s">
        <v>4063</v>
      </c>
    </row>
    <row r="435" spans="2:9" hidden="1" x14ac:dyDescent="0.4">
      <c r="B435" s="8" t="s">
        <v>529</v>
      </c>
      <c r="C435" s="3" t="s">
        <v>6297</v>
      </c>
      <c r="D435" s="3" t="s">
        <v>5647</v>
      </c>
      <c r="F435" s="3" t="s">
        <v>402</v>
      </c>
      <c r="I435" s="3" t="s">
        <v>4063</v>
      </c>
    </row>
    <row r="436" spans="2:9" hidden="1" x14ac:dyDescent="0.4">
      <c r="B436" s="8" t="s">
        <v>517</v>
      </c>
      <c r="C436" s="3" t="s">
        <v>3634</v>
      </c>
      <c r="D436" s="3" t="s">
        <v>3928</v>
      </c>
      <c r="F436" s="3" t="s">
        <v>399</v>
      </c>
      <c r="G436" s="3" t="s">
        <v>402</v>
      </c>
      <c r="I436" s="3" t="s">
        <v>4063</v>
      </c>
    </row>
    <row r="437" spans="2:9" hidden="1" x14ac:dyDescent="0.4">
      <c r="B437" s="8" t="s">
        <v>517</v>
      </c>
      <c r="C437" s="3" t="s">
        <v>5937</v>
      </c>
      <c r="D437" s="3" t="s">
        <v>4854</v>
      </c>
      <c r="F437" s="3" t="s">
        <v>399</v>
      </c>
      <c r="I437" s="3" t="s">
        <v>4063</v>
      </c>
    </row>
    <row r="438" spans="2:9" hidden="1" x14ac:dyDescent="0.4">
      <c r="B438" s="8" t="s">
        <v>517</v>
      </c>
      <c r="C438" s="3" t="s">
        <v>6283</v>
      </c>
      <c r="D438" s="3" t="s">
        <v>5633</v>
      </c>
      <c r="F438" s="3" t="s">
        <v>402</v>
      </c>
      <c r="I438" s="3" t="s">
        <v>4063</v>
      </c>
    </row>
    <row r="439" spans="2:9" hidden="1" x14ac:dyDescent="0.4">
      <c r="B439" s="8" t="s">
        <v>518</v>
      </c>
      <c r="C439" s="3" t="s">
        <v>4314</v>
      </c>
      <c r="D439" s="3" t="s">
        <v>3928</v>
      </c>
      <c r="F439" s="3" t="s">
        <v>399</v>
      </c>
      <c r="G439" s="3" t="s">
        <v>402</v>
      </c>
      <c r="I439" s="3" t="s">
        <v>4064</v>
      </c>
    </row>
    <row r="440" spans="2:9" hidden="1" x14ac:dyDescent="0.4">
      <c r="B440" s="8" t="s">
        <v>518</v>
      </c>
      <c r="C440" s="3" t="s">
        <v>4690</v>
      </c>
      <c r="D440" s="3" t="s">
        <v>4854</v>
      </c>
      <c r="F440" s="3" t="s">
        <v>399</v>
      </c>
      <c r="I440" s="3" t="s">
        <v>4064</v>
      </c>
    </row>
    <row r="441" spans="2:9" hidden="1" x14ac:dyDescent="0.4">
      <c r="B441" s="8" t="s">
        <v>518</v>
      </c>
      <c r="C441" s="3" t="s">
        <v>5313</v>
      </c>
      <c r="D441" s="3" t="s">
        <v>5633</v>
      </c>
      <c r="F441" s="3" t="s">
        <v>402</v>
      </c>
      <c r="I441" s="3" t="s">
        <v>4064</v>
      </c>
    </row>
    <row r="442" spans="2:9" hidden="1" x14ac:dyDescent="0.4">
      <c r="B442" s="8" t="s">
        <v>536</v>
      </c>
      <c r="C442" s="3" t="str">
        <f>"-bre"</f>
        <v>-bre</v>
      </c>
      <c r="D442" s="3" t="s">
        <v>822</v>
      </c>
      <c r="F442" s="3" t="s">
        <v>1114</v>
      </c>
      <c r="I442" s="3" t="s">
        <v>824</v>
      </c>
    </row>
    <row r="443" spans="2:9" hidden="1" x14ac:dyDescent="0.4">
      <c r="B443" s="8" t="s">
        <v>823</v>
      </c>
      <c r="C443" s="3" t="s">
        <v>1689</v>
      </c>
      <c r="D443" s="3" t="s">
        <v>1507</v>
      </c>
      <c r="F443" s="3" t="s">
        <v>1124</v>
      </c>
      <c r="I443" s="3" t="s">
        <v>1489</v>
      </c>
    </row>
    <row r="444" spans="2:9" hidden="1" x14ac:dyDescent="0.4">
      <c r="B444" s="8" t="s">
        <v>518</v>
      </c>
      <c r="C444" s="3" t="s">
        <v>2252</v>
      </c>
      <c r="D444" s="3" t="s">
        <v>2409</v>
      </c>
      <c r="E444" s="3" t="s">
        <v>1272</v>
      </c>
      <c r="F444" s="3" t="s">
        <v>399</v>
      </c>
      <c r="I444" s="3" t="s">
        <v>1833</v>
      </c>
    </row>
    <row r="445" spans="2:9" hidden="1" x14ac:dyDescent="0.4">
      <c r="B445" s="8" t="s">
        <v>518</v>
      </c>
      <c r="C445" s="3" t="s">
        <v>2561</v>
      </c>
      <c r="D445" s="3" t="s">
        <v>2409</v>
      </c>
      <c r="E445" s="3" t="s">
        <v>1272</v>
      </c>
      <c r="F445" s="3" t="s">
        <v>402</v>
      </c>
      <c r="I445" s="3" t="s">
        <v>1833</v>
      </c>
    </row>
    <row r="446" spans="2:9" hidden="1" x14ac:dyDescent="0.4">
      <c r="B446" s="8" t="s">
        <v>517</v>
      </c>
      <c r="C446" s="3" t="s">
        <v>2789</v>
      </c>
      <c r="D446" s="3" t="s">
        <v>2811</v>
      </c>
      <c r="E446" s="3" t="s">
        <v>1272</v>
      </c>
      <c r="F446" s="3" t="s">
        <v>399</v>
      </c>
      <c r="I446" s="3" t="s">
        <v>2370</v>
      </c>
    </row>
    <row r="447" spans="2:9" hidden="1" x14ac:dyDescent="0.4">
      <c r="B447" s="8" t="s">
        <v>518</v>
      </c>
      <c r="C447" s="3" t="s">
        <v>1762</v>
      </c>
      <c r="D447" s="3" t="s">
        <v>1836</v>
      </c>
      <c r="F447" s="3" t="s">
        <v>402</v>
      </c>
      <c r="I447" s="3" t="s">
        <v>1838</v>
      </c>
    </row>
    <row r="448" spans="2:9" hidden="1" x14ac:dyDescent="0.4">
      <c r="B448" s="8" t="s">
        <v>518</v>
      </c>
      <c r="C448" s="3" t="s">
        <v>2144</v>
      </c>
      <c r="D448" s="3" t="s">
        <v>2162</v>
      </c>
      <c r="F448" s="3" t="s">
        <v>399</v>
      </c>
      <c r="I448" s="3" t="s">
        <v>1838</v>
      </c>
    </row>
    <row r="449" spans="2:9" hidden="1" x14ac:dyDescent="0.4">
      <c r="B449" s="8" t="s">
        <v>526</v>
      </c>
      <c r="C449" s="3" t="s">
        <v>2174</v>
      </c>
      <c r="D449" s="3" t="s">
        <v>2162</v>
      </c>
      <c r="F449" s="3" t="s">
        <v>399</v>
      </c>
      <c r="I449" s="3" t="s">
        <v>1838</v>
      </c>
    </row>
    <row r="450" spans="2:9" hidden="1" x14ac:dyDescent="0.4">
      <c r="B450" s="8" t="s">
        <v>518</v>
      </c>
      <c r="C450" s="3" t="s">
        <v>1465</v>
      </c>
      <c r="D450" s="3" t="s">
        <v>1507</v>
      </c>
      <c r="F450" s="3" t="s">
        <v>399</v>
      </c>
      <c r="G450" s="3" t="s">
        <v>402</v>
      </c>
      <c r="I450" s="3" t="s">
        <v>1489</v>
      </c>
    </row>
    <row r="451" spans="2:9" hidden="1" x14ac:dyDescent="0.4">
      <c r="B451" s="8" t="s">
        <v>518</v>
      </c>
      <c r="C451" s="3" t="s">
        <v>1465</v>
      </c>
      <c r="D451" s="3" t="s">
        <v>2383</v>
      </c>
      <c r="F451" s="3" t="s">
        <v>399</v>
      </c>
      <c r="I451" s="3" t="s">
        <v>1833</v>
      </c>
    </row>
    <row r="452" spans="2:9" hidden="1" x14ac:dyDescent="0.4">
      <c r="B452" s="8" t="s">
        <v>518</v>
      </c>
      <c r="C452" s="3" t="s">
        <v>1575</v>
      </c>
      <c r="D452" s="3" t="s">
        <v>1507</v>
      </c>
      <c r="F452" s="3" t="s">
        <v>402</v>
      </c>
      <c r="I452" s="3" t="s">
        <v>1489</v>
      </c>
    </row>
    <row r="453" spans="2:9" hidden="1" x14ac:dyDescent="0.4">
      <c r="B453" s="8" t="s">
        <v>518</v>
      </c>
      <c r="C453" s="3" t="s">
        <v>2500</v>
      </c>
      <c r="D453" s="3" t="s">
        <v>2383</v>
      </c>
      <c r="F453" s="3" t="s">
        <v>402</v>
      </c>
      <c r="I453" s="3" t="s">
        <v>1833</v>
      </c>
    </row>
    <row r="454" spans="2:9" hidden="1" x14ac:dyDescent="0.4">
      <c r="B454" s="8" t="s">
        <v>529</v>
      </c>
      <c r="C454" s="3" t="s">
        <v>1805</v>
      </c>
      <c r="D454" s="3" t="s">
        <v>1874</v>
      </c>
      <c r="F454" s="3" t="s">
        <v>399</v>
      </c>
      <c r="I454" s="3" t="s">
        <v>1865</v>
      </c>
    </row>
    <row r="455" spans="2:9" hidden="1" x14ac:dyDescent="0.4">
      <c r="B455" s="8" t="s">
        <v>517</v>
      </c>
      <c r="C455" s="3" t="s">
        <v>839</v>
      </c>
      <c r="D455" s="3" t="s">
        <v>850</v>
      </c>
      <c r="E455" s="3" t="s">
        <v>7805</v>
      </c>
      <c r="F455" s="3" t="s">
        <v>399</v>
      </c>
      <c r="I455" s="3" t="s">
        <v>824</v>
      </c>
    </row>
    <row r="456" spans="2:9" hidden="1" x14ac:dyDescent="0.4">
      <c r="B456" s="8" t="s">
        <v>517</v>
      </c>
      <c r="C456" s="3" t="s">
        <v>937</v>
      </c>
      <c r="D456" s="3" t="s">
        <v>850</v>
      </c>
      <c r="E456" s="3" t="s">
        <v>7805</v>
      </c>
      <c r="F456" s="3" t="s">
        <v>402</v>
      </c>
      <c r="I456" s="3" t="s">
        <v>824</v>
      </c>
    </row>
    <row r="457" spans="2:9" hidden="1" x14ac:dyDescent="0.4">
      <c r="B457" s="8" t="s">
        <v>529</v>
      </c>
      <c r="C457" s="3" t="s">
        <v>4203</v>
      </c>
      <c r="D457" s="3" t="s">
        <v>3807</v>
      </c>
      <c r="F457" s="3" t="s">
        <v>399</v>
      </c>
      <c r="G457" s="3" t="s">
        <v>402</v>
      </c>
      <c r="I457" s="3" t="s">
        <v>4064</v>
      </c>
    </row>
    <row r="458" spans="2:9" hidden="1" x14ac:dyDescent="0.4">
      <c r="B458" s="8" t="s">
        <v>529</v>
      </c>
      <c r="C458" s="3" t="s">
        <v>4433</v>
      </c>
      <c r="D458" s="3" t="s">
        <v>4781</v>
      </c>
      <c r="F458" s="3" t="s">
        <v>399</v>
      </c>
      <c r="I458" s="3" t="s">
        <v>4064</v>
      </c>
    </row>
    <row r="459" spans="2:9" hidden="1" x14ac:dyDescent="0.4">
      <c r="B459" s="8" t="s">
        <v>529</v>
      </c>
      <c r="C459" s="3" t="s">
        <v>5177</v>
      </c>
      <c r="D459" s="3" t="s">
        <v>5498</v>
      </c>
      <c r="F459" s="3" t="s">
        <v>402</v>
      </c>
      <c r="I459" s="3" t="s">
        <v>4064</v>
      </c>
    </row>
    <row r="460" spans="2:9" hidden="1" x14ac:dyDescent="0.4">
      <c r="B460" s="8" t="s">
        <v>529</v>
      </c>
      <c r="C460" s="3" t="s">
        <v>3504</v>
      </c>
      <c r="D460" s="3" t="s">
        <v>3807</v>
      </c>
      <c r="F460" s="3" t="s">
        <v>399</v>
      </c>
      <c r="G460" s="3" t="s">
        <v>402</v>
      </c>
      <c r="I460" s="3" t="s">
        <v>4063</v>
      </c>
    </row>
    <row r="461" spans="2:9" hidden="1" x14ac:dyDescent="0.4">
      <c r="B461" s="8" t="s">
        <v>529</v>
      </c>
      <c r="C461" s="3" t="s">
        <v>5996</v>
      </c>
      <c r="D461" s="3" t="s">
        <v>4781</v>
      </c>
      <c r="F461" s="3" t="s">
        <v>399</v>
      </c>
      <c r="I461" s="3" t="s">
        <v>4063</v>
      </c>
    </row>
    <row r="462" spans="2:9" hidden="1" x14ac:dyDescent="0.4">
      <c r="B462" s="8" t="s">
        <v>529</v>
      </c>
      <c r="C462" s="3" t="s">
        <v>6345</v>
      </c>
      <c r="D462" s="3" t="s">
        <v>5498</v>
      </c>
      <c r="F462" s="3" t="s">
        <v>402</v>
      </c>
      <c r="I462" s="3" t="s">
        <v>4063</v>
      </c>
    </row>
    <row r="463" spans="2:9" hidden="1" x14ac:dyDescent="0.4">
      <c r="B463" s="8" t="s">
        <v>517</v>
      </c>
      <c r="C463" s="3" t="s">
        <v>1716</v>
      </c>
      <c r="D463" s="3" t="s">
        <v>1724</v>
      </c>
      <c r="F463" s="3" t="s">
        <v>402</v>
      </c>
      <c r="G463" s="3" t="s">
        <v>399</v>
      </c>
      <c r="I463" s="3" t="s">
        <v>1728</v>
      </c>
    </row>
    <row r="464" spans="2:9" hidden="1" x14ac:dyDescent="0.4">
      <c r="B464" s="8" t="s">
        <v>518</v>
      </c>
      <c r="C464" s="3" t="s">
        <v>1720</v>
      </c>
      <c r="D464" s="3" t="s">
        <v>1729</v>
      </c>
      <c r="F464" s="3" t="s">
        <v>402</v>
      </c>
      <c r="G464" s="3" t="s">
        <v>399</v>
      </c>
      <c r="I464" s="3" t="s">
        <v>1728</v>
      </c>
    </row>
    <row r="465" spans="2:9" hidden="1" x14ac:dyDescent="0.4">
      <c r="B465" s="8" t="s">
        <v>519</v>
      </c>
      <c r="C465" s="3" t="s">
        <v>3656</v>
      </c>
      <c r="D465" s="3" t="s">
        <v>3949</v>
      </c>
      <c r="E465" s="3" t="s">
        <v>1272</v>
      </c>
      <c r="F465" s="3" t="s">
        <v>399</v>
      </c>
      <c r="G465" s="3" t="s">
        <v>402</v>
      </c>
      <c r="I465" s="3" t="s">
        <v>4362</v>
      </c>
    </row>
    <row r="466" spans="2:9" hidden="1" x14ac:dyDescent="0.4">
      <c r="B466" s="8" t="s">
        <v>518</v>
      </c>
      <c r="C466" s="3" t="s">
        <v>1733</v>
      </c>
      <c r="D466" s="3" t="s">
        <v>1737</v>
      </c>
      <c r="F466" s="3" t="s">
        <v>402</v>
      </c>
      <c r="G466" s="3" t="s">
        <v>399</v>
      </c>
      <c r="I466" s="3" t="s">
        <v>1728</v>
      </c>
    </row>
    <row r="467" spans="2:9" hidden="1" x14ac:dyDescent="0.4">
      <c r="B467" s="8" t="s">
        <v>517</v>
      </c>
      <c r="C467" s="3" t="s">
        <v>1735</v>
      </c>
      <c r="D467" s="3" t="s">
        <v>1738</v>
      </c>
      <c r="F467" s="3" t="s">
        <v>402</v>
      </c>
      <c r="G467" s="3" t="s">
        <v>399</v>
      </c>
      <c r="I467" s="3" t="s">
        <v>1728</v>
      </c>
    </row>
    <row r="468" spans="2:9" hidden="1" x14ac:dyDescent="0.4">
      <c r="B468" s="8" t="s">
        <v>517</v>
      </c>
      <c r="C468" s="3" t="s">
        <v>4174</v>
      </c>
      <c r="D468" s="3" t="s">
        <v>3780</v>
      </c>
      <c r="F468" s="3" t="s">
        <v>399</v>
      </c>
      <c r="G468" s="3" t="s">
        <v>402</v>
      </c>
      <c r="I468" s="3" t="s">
        <v>4064</v>
      </c>
    </row>
    <row r="469" spans="2:9" hidden="1" x14ac:dyDescent="0.4">
      <c r="B469" s="8" t="s">
        <v>517</v>
      </c>
      <c r="C469" s="3" t="s">
        <v>4417</v>
      </c>
      <c r="D469" s="3" t="s">
        <v>4896</v>
      </c>
      <c r="F469" s="3" t="s">
        <v>399</v>
      </c>
      <c r="I469" s="3" t="s">
        <v>4064</v>
      </c>
    </row>
    <row r="470" spans="2:9" hidden="1" x14ac:dyDescent="0.4">
      <c r="B470" s="8" t="s">
        <v>517</v>
      </c>
      <c r="C470" s="3" t="s">
        <v>5146</v>
      </c>
      <c r="D470" s="3" t="s">
        <v>5468</v>
      </c>
      <c r="F470" s="3" t="s">
        <v>402</v>
      </c>
      <c r="I470" s="3" t="s">
        <v>4064</v>
      </c>
    </row>
    <row r="471" spans="2:9" hidden="1" x14ac:dyDescent="0.4">
      <c r="B471" s="8" t="s">
        <v>517</v>
      </c>
      <c r="C471" s="3" t="s">
        <v>3473</v>
      </c>
      <c r="D471" s="3" t="s">
        <v>3780</v>
      </c>
      <c r="F471" s="3" t="s">
        <v>399</v>
      </c>
      <c r="G471" s="3" t="s">
        <v>402</v>
      </c>
      <c r="I471" s="3" t="s">
        <v>4063</v>
      </c>
    </row>
    <row r="472" spans="2:9" hidden="1" x14ac:dyDescent="0.4">
      <c r="B472" s="8" t="s">
        <v>517</v>
      </c>
      <c r="C472" s="3" t="s">
        <v>5795</v>
      </c>
      <c r="D472" s="3" t="s">
        <v>4896</v>
      </c>
      <c r="F472" s="3" t="s">
        <v>399</v>
      </c>
      <c r="I472" s="3" t="s">
        <v>4063</v>
      </c>
    </row>
    <row r="473" spans="2:9" hidden="1" x14ac:dyDescent="0.4">
      <c r="B473" s="8" t="s">
        <v>517</v>
      </c>
      <c r="C473" s="3" t="s">
        <v>6138</v>
      </c>
      <c r="D473" s="3" t="s">
        <v>5468</v>
      </c>
      <c r="F473" s="3" t="s">
        <v>402</v>
      </c>
      <c r="I473" s="3" t="s">
        <v>4063</v>
      </c>
    </row>
    <row r="474" spans="2:9" hidden="1" x14ac:dyDescent="0.4">
      <c r="B474" s="8" t="s">
        <v>517</v>
      </c>
      <c r="C474" s="3" t="s">
        <v>1749</v>
      </c>
      <c r="D474" s="3" t="s">
        <v>1753</v>
      </c>
      <c r="F474" s="3" t="s">
        <v>402</v>
      </c>
      <c r="G474" s="3" t="s">
        <v>399</v>
      </c>
      <c r="I474" s="3" t="s">
        <v>1728</v>
      </c>
    </row>
    <row r="475" spans="2:9" hidden="1" x14ac:dyDescent="0.4">
      <c r="B475" s="8" t="s">
        <v>517</v>
      </c>
      <c r="C475" s="3" t="s">
        <v>1757</v>
      </c>
      <c r="D475" s="3" t="s">
        <v>1753</v>
      </c>
      <c r="F475" s="3" t="s">
        <v>399</v>
      </c>
      <c r="I475" s="3" t="s">
        <v>1728</v>
      </c>
    </row>
    <row r="476" spans="2:9" hidden="1" x14ac:dyDescent="0.4">
      <c r="B476" s="8" t="s">
        <v>517</v>
      </c>
      <c r="C476" s="3" t="s">
        <v>3421</v>
      </c>
      <c r="D476" s="3" t="s">
        <v>3729</v>
      </c>
      <c r="F476" s="3" t="s">
        <v>399</v>
      </c>
      <c r="G476" s="3" t="s">
        <v>402</v>
      </c>
      <c r="I476" s="3" t="s">
        <v>4063</v>
      </c>
    </row>
    <row r="477" spans="2:9" hidden="1" x14ac:dyDescent="0.4">
      <c r="B477" s="8" t="s">
        <v>517</v>
      </c>
      <c r="C477" s="3" t="s">
        <v>3421</v>
      </c>
      <c r="D477" s="3" t="s">
        <v>3729</v>
      </c>
      <c r="F477" s="3" t="s">
        <v>399</v>
      </c>
      <c r="G477" s="3" t="s">
        <v>402</v>
      </c>
      <c r="I477" s="3" t="s">
        <v>4064</v>
      </c>
    </row>
    <row r="478" spans="2:9" hidden="1" x14ac:dyDescent="0.4">
      <c r="B478" s="8" t="s">
        <v>517</v>
      </c>
      <c r="C478" s="3" t="s">
        <v>5753</v>
      </c>
      <c r="D478" s="3" t="s">
        <v>4744</v>
      </c>
      <c r="F478" s="3" t="s">
        <v>399</v>
      </c>
      <c r="I478" s="3" t="s">
        <v>4063</v>
      </c>
    </row>
    <row r="479" spans="2:9" hidden="1" x14ac:dyDescent="0.4">
      <c r="B479" s="8" t="s">
        <v>517</v>
      </c>
      <c r="C479" s="3" t="s">
        <v>6095</v>
      </c>
      <c r="D479" s="3" t="s">
        <v>5419</v>
      </c>
      <c r="F479" s="3" t="s">
        <v>402</v>
      </c>
      <c r="I479" s="3" t="s">
        <v>4063</v>
      </c>
    </row>
    <row r="480" spans="2:9" hidden="1" x14ac:dyDescent="0.4">
      <c r="B480" s="8" t="s">
        <v>517</v>
      </c>
      <c r="C480" s="3" t="s">
        <v>4569</v>
      </c>
      <c r="D480" s="3" t="s">
        <v>4744</v>
      </c>
      <c r="F480" s="3" t="s">
        <v>399</v>
      </c>
      <c r="I480" s="3" t="s">
        <v>4064</v>
      </c>
    </row>
    <row r="481" spans="2:9" hidden="1" x14ac:dyDescent="0.4">
      <c r="B481" s="8" t="s">
        <v>517</v>
      </c>
      <c r="C481" s="3" t="s">
        <v>5096</v>
      </c>
      <c r="D481" s="3" t="s">
        <v>5419</v>
      </c>
      <c r="F481" s="3" t="s">
        <v>402</v>
      </c>
      <c r="I481" s="3" t="s">
        <v>4064</v>
      </c>
    </row>
    <row r="482" spans="2:9" hidden="1" x14ac:dyDescent="0.4">
      <c r="B482" s="8" t="s">
        <v>515</v>
      </c>
      <c r="C482" s="3" t="s">
        <v>4071</v>
      </c>
      <c r="D482" s="3" t="s">
        <v>3677</v>
      </c>
      <c r="F482" s="3" t="s">
        <v>399</v>
      </c>
      <c r="G482" s="3" t="s">
        <v>402</v>
      </c>
      <c r="I482" s="3" t="s">
        <v>4064</v>
      </c>
    </row>
    <row r="483" spans="2:9" hidden="1" x14ac:dyDescent="0.4">
      <c r="B483" s="8" t="s">
        <v>515</v>
      </c>
      <c r="C483" s="3" t="s">
        <v>4366</v>
      </c>
      <c r="D483" s="3" t="s">
        <v>4865</v>
      </c>
      <c r="F483" s="3" t="s">
        <v>399</v>
      </c>
      <c r="I483" s="3" t="s">
        <v>4064</v>
      </c>
    </row>
    <row r="484" spans="2:9" hidden="1" x14ac:dyDescent="0.4">
      <c r="B484" s="8" t="s">
        <v>515</v>
      </c>
      <c r="C484" s="3" t="s">
        <v>5036</v>
      </c>
      <c r="D484" s="3" t="s">
        <v>5371</v>
      </c>
      <c r="F484" s="3" t="s">
        <v>402</v>
      </c>
      <c r="I484" s="3" t="s">
        <v>4064</v>
      </c>
    </row>
    <row r="485" spans="2:9" hidden="1" x14ac:dyDescent="0.4">
      <c r="B485" s="8" t="s">
        <v>515</v>
      </c>
      <c r="C485" s="3" t="s">
        <v>3369</v>
      </c>
      <c r="D485" s="3" t="s">
        <v>3677</v>
      </c>
      <c r="F485" s="3" t="s">
        <v>399</v>
      </c>
      <c r="G485" s="3" t="s">
        <v>402</v>
      </c>
      <c r="I485" s="3" t="s">
        <v>4063</v>
      </c>
    </row>
    <row r="486" spans="2:9" hidden="1" x14ac:dyDescent="0.4">
      <c r="B486" s="8" t="s">
        <v>515</v>
      </c>
      <c r="C486" s="3" t="s">
        <v>5704</v>
      </c>
      <c r="D486" s="3" t="s">
        <v>4865</v>
      </c>
      <c r="F486" s="3" t="s">
        <v>399</v>
      </c>
      <c r="I486" s="3" t="s">
        <v>4063</v>
      </c>
    </row>
    <row r="487" spans="2:9" hidden="1" x14ac:dyDescent="0.4">
      <c r="B487" s="8" t="s">
        <v>515</v>
      </c>
      <c r="C487" s="3" t="s">
        <v>6045</v>
      </c>
      <c r="D487" s="3" t="s">
        <v>5371</v>
      </c>
      <c r="F487" s="3" t="s">
        <v>402</v>
      </c>
      <c r="I487" s="3" t="s">
        <v>4063</v>
      </c>
    </row>
    <row r="488" spans="2:9" hidden="1" x14ac:dyDescent="0.4">
      <c r="B488" s="8">
        <v>4</v>
      </c>
      <c r="C488" s="3" t="s">
        <v>33</v>
      </c>
      <c r="D488" s="3" t="s">
        <v>96</v>
      </c>
      <c r="F488" s="3" t="s">
        <v>400</v>
      </c>
      <c r="I488" s="3" t="s">
        <v>252</v>
      </c>
    </row>
    <row r="489" spans="2:9" hidden="1" x14ac:dyDescent="0.4">
      <c r="B489" s="8" t="s">
        <v>773</v>
      </c>
      <c r="C489" s="3" t="s">
        <v>805</v>
      </c>
      <c r="D489" s="3" t="s">
        <v>817</v>
      </c>
      <c r="F489" s="3" t="s">
        <v>399</v>
      </c>
      <c r="I489" s="3" t="s">
        <v>824</v>
      </c>
    </row>
    <row r="490" spans="2:9" hidden="1" x14ac:dyDescent="0.4">
      <c r="B490" s="8" t="s">
        <v>773</v>
      </c>
      <c r="C490" s="3" t="s">
        <v>918</v>
      </c>
      <c r="D490" s="3" t="s">
        <v>817</v>
      </c>
      <c r="F490" s="3" t="s">
        <v>402</v>
      </c>
      <c r="I490" s="3" t="s">
        <v>824</v>
      </c>
    </row>
    <row r="491" spans="2:9" hidden="1" x14ac:dyDescent="0.4">
      <c r="B491" s="8" t="s">
        <v>517</v>
      </c>
      <c r="C491" s="3" t="s">
        <v>1722</v>
      </c>
      <c r="D491" s="3" t="s">
        <v>1731</v>
      </c>
      <c r="F491" s="3" t="s">
        <v>402</v>
      </c>
      <c r="G491" s="3" t="s">
        <v>399</v>
      </c>
      <c r="I491" s="3" t="s">
        <v>1728</v>
      </c>
    </row>
    <row r="492" spans="2:9" hidden="1" x14ac:dyDescent="0.4">
      <c r="B492" s="8" t="s">
        <v>516</v>
      </c>
      <c r="C492" s="3" t="s">
        <v>6032</v>
      </c>
      <c r="D492" s="3" t="s">
        <v>4973</v>
      </c>
      <c r="F492" s="3" t="s">
        <v>399</v>
      </c>
      <c r="I492" s="3" t="s">
        <v>4063</v>
      </c>
    </row>
    <row r="493" spans="2:9" hidden="1" x14ac:dyDescent="0.4">
      <c r="B493" s="8" t="s">
        <v>516</v>
      </c>
      <c r="C493" s="3" t="s">
        <v>6228</v>
      </c>
      <c r="D493" s="3" t="s">
        <v>5570</v>
      </c>
      <c r="F493" s="3" t="s">
        <v>402</v>
      </c>
      <c r="I493" s="3" t="s">
        <v>4063</v>
      </c>
    </row>
    <row r="494" spans="2:9" hidden="1" x14ac:dyDescent="0.4">
      <c r="B494" s="8" t="s">
        <v>516</v>
      </c>
      <c r="C494" s="3" t="s">
        <v>4265</v>
      </c>
      <c r="D494" s="3" t="s">
        <v>4028</v>
      </c>
      <c r="F494" s="3" t="s">
        <v>399</v>
      </c>
      <c r="G494" s="3" t="s">
        <v>402</v>
      </c>
      <c r="I494" s="3" t="s">
        <v>4064</v>
      </c>
    </row>
    <row r="495" spans="2:9" hidden="1" x14ac:dyDescent="0.4">
      <c r="B495" s="8" t="s">
        <v>516</v>
      </c>
      <c r="C495" s="3" t="s">
        <v>4478</v>
      </c>
      <c r="D495" s="3" t="s">
        <v>4973</v>
      </c>
      <c r="F495" s="3" t="s">
        <v>399</v>
      </c>
      <c r="I495" s="3" t="s">
        <v>4064</v>
      </c>
    </row>
    <row r="496" spans="2:9" hidden="1" x14ac:dyDescent="0.4">
      <c r="B496" s="8" t="s">
        <v>516</v>
      </c>
      <c r="C496" s="3" t="s">
        <v>5249</v>
      </c>
      <c r="D496" s="3" t="s">
        <v>5570</v>
      </c>
      <c r="F496" s="3" t="s">
        <v>402</v>
      </c>
      <c r="I496" s="3" t="s">
        <v>4064</v>
      </c>
    </row>
    <row r="497" spans="2:9" hidden="1" x14ac:dyDescent="0.4">
      <c r="B497" s="8" t="s">
        <v>516</v>
      </c>
      <c r="C497" s="3" t="s">
        <v>3576</v>
      </c>
      <c r="D497" s="3" t="s">
        <v>4028</v>
      </c>
      <c r="F497" s="3" t="s">
        <v>399</v>
      </c>
      <c r="G497" s="3" t="s">
        <v>402</v>
      </c>
      <c r="I497" s="3" t="s">
        <v>4063</v>
      </c>
    </row>
    <row r="498" spans="2:9" hidden="1" x14ac:dyDescent="0.4">
      <c r="B498" s="8" t="s">
        <v>517</v>
      </c>
      <c r="C498" s="3" t="s">
        <v>4327</v>
      </c>
      <c r="D498" s="3" t="s">
        <v>3802</v>
      </c>
      <c r="F498" s="3" t="s">
        <v>399</v>
      </c>
      <c r="G498" s="3" t="s">
        <v>402</v>
      </c>
      <c r="I498" s="3" t="s">
        <v>4064</v>
      </c>
    </row>
    <row r="499" spans="2:9" hidden="1" x14ac:dyDescent="0.4">
      <c r="B499" s="8" t="s">
        <v>517</v>
      </c>
      <c r="C499" s="3" t="s">
        <v>4523</v>
      </c>
      <c r="D499" s="3" t="s">
        <v>4779</v>
      </c>
      <c r="F499" s="3" t="s">
        <v>399</v>
      </c>
      <c r="I499" s="3" t="s">
        <v>4064</v>
      </c>
    </row>
    <row r="500" spans="2:9" hidden="1" x14ac:dyDescent="0.4">
      <c r="B500" s="8" t="s">
        <v>517</v>
      </c>
      <c r="C500" s="3" t="s">
        <v>5329</v>
      </c>
      <c r="D500" s="3" t="s">
        <v>5493</v>
      </c>
      <c r="F500" s="3" t="s">
        <v>402</v>
      </c>
      <c r="I500" s="3" t="s">
        <v>4064</v>
      </c>
    </row>
    <row r="501" spans="2:9" hidden="1" x14ac:dyDescent="0.4">
      <c r="B501" s="8" t="s">
        <v>517</v>
      </c>
      <c r="C501" s="3" t="s">
        <v>3650</v>
      </c>
      <c r="D501" s="3" t="s">
        <v>3802</v>
      </c>
      <c r="F501" s="3" t="s">
        <v>399</v>
      </c>
      <c r="G501" s="3" t="s">
        <v>402</v>
      </c>
      <c r="I501" s="3" t="s">
        <v>4063</v>
      </c>
    </row>
    <row r="502" spans="2:9" hidden="1" x14ac:dyDescent="0.4">
      <c r="B502" s="8" t="s">
        <v>517</v>
      </c>
      <c r="C502" s="3" t="s">
        <v>5952</v>
      </c>
      <c r="D502" s="3" t="s">
        <v>4779</v>
      </c>
      <c r="F502" s="3" t="s">
        <v>399</v>
      </c>
      <c r="I502" s="3" t="s">
        <v>4063</v>
      </c>
    </row>
    <row r="503" spans="2:9" hidden="1" x14ac:dyDescent="0.4">
      <c r="B503" s="8" t="s">
        <v>517</v>
      </c>
      <c r="C503" s="3" t="s">
        <v>6299</v>
      </c>
      <c r="D503" s="3" t="s">
        <v>5493</v>
      </c>
      <c r="F503" s="3" t="s">
        <v>402</v>
      </c>
      <c r="I503" s="3" t="s">
        <v>4063</v>
      </c>
    </row>
    <row r="504" spans="2:9" hidden="1" x14ac:dyDescent="0.4">
      <c r="B504" s="8" t="s">
        <v>517</v>
      </c>
      <c r="C504" s="3" t="s">
        <v>2219</v>
      </c>
      <c r="D504" s="3" t="s">
        <v>2377</v>
      </c>
      <c r="E504" s="3" t="s">
        <v>1272</v>
      </c>
      <c r="F504" s="3" t="s">
        <v>399</v>
      </c>
      <c r="I504" s="3" t="s">
        <v>1833</v>
      </c>
    </row>
    <row r="505" spans="2:9" hidden="1" x14ac:dyDescent="0.4">
      <c r="B505" s="8" t="s">
        <v>517</v>
      </c>
      <c r="C505" s="3" t="s">
        <v>2548</v>
      </c>
      <c r="D505" s="3" t="s">
        <v>2377</v>
      </c>
      <c r="E505" s="3" t="s">
        <v>1272</v>
      </c>
      <c r="F505" s="3" t="s">
        <v>402</v>
      </c>
      <c r="I505" s="3" t="s">
        <v>1833</v>
      </c>
    </row>
    <row r="506" spans="2:9" hidden="1" x14ac:dyDescent="0.4">
      <c r="B506" s="8" t="s">
        <v>517</v>
      </c>
      <c r="C506" s="3" t="s">
        <v>2646</v>
      </c>
      <c r="D506" s="3" t="s">
        <v>2657</v>
      </c>
      <c r="E506" s="3" t="s">
        <v>1272</v>
      </c>
      <c r="F506" s="3" t="s">
        <v>399</v>
      </c>
      <c r="I506" s="3" t="s">
        <v>2370</v>
      </c>
    </row>
    <row r="507" spans="2:9" hidden="1" x14ac:dyDescent="0.4">
      <c r="B507" s="8" t="s">
        <v>529</v>
      </c>
      <c r="C507" s="3" t="s">
        <v>4282</v>
      </c>
      <c r="D507" s="3" t="s">
        <v>4033</v>
      </c>
      <c r="F507" s="3" t="s">
        <v>399</v>
      </c>
      <c r="G507" s="3" t="s">
        <v>402</v>
      </c>
      <c r="I507" s="3" t="s">
        <v>4064</v>
      </c>
    </row>
    <row r="508" spans="2:9" hidden="1" x14ac:dyDescent="0.4">
      <c r="B508" s="8" t="s">
        <v>529</v>
      </c>
      <c r="C508" s="3" t="s">
        <v>3599</v>
      </c>
      <c r="D508" s="3" t="s">
        <v>4033</v>
      </c>
      <c r="F508" s="3" t="s">
        <v>399</v>
      </c>
      <c r="G508" s="3" t="s">
        <v>402</v>
      </c>
      <c r="I508" s="3" t="s">
        <v>4063</v>
      </c>
    </row>
    <row r="509" spans="2:9" hidden="1" x14ac:dyDescent="0.4">
      <c r="B509" s="8" t="s">
        <v>529</v>
      </c>
      <c r="C509" s="3" t="s">
        <v>5900</v>
      </c>
      <c r="D509" s="3" t="s">
        <v>4986</v>
      </c>
      <c r="F509" s="3" t="s">
        <v>399</v>
      </c>
      <c r="I509" s="3" t="s">
        <v>4063</v>
      </c>
    </row>
    <row r="510" spans="2:9" hidden="1" x14ac:dyDescent="0.4">
      <c r="B510" s="8" t="s">
        <v>529</v>
      </c>
      <c r="C510" s="3" t="s">
        <v>6246</v>
      </c>
      <c r="D510" s="3" t="s">
        <v>5593</v>
      </c>
      <c r="F510" s="3" t="s">
        <v>402</v>
      </c>
      <c r="I510" s="3" t="s">
        <v>4063</v>
      </c>
    </row>
    <row r="511" spans="2:9" hidden="1" x14ac:dyDescent="0.4">
      <c r="B511" s="8" t="s">
        <v>529</v>
      </c>
      <c r="C511" s="3" t="s">
        <v>4494</v>
      </c>
      <c r="D511" s="3" t="s">
        <v>4986</v>
      </c>
      <c r="F511" s="3" t="s">
        <v>399</v>
      </c>
      <c r="I511" s="3" t="s">
        <v>4064</v>
      </c>
    </row>
    <row r="512" spans="2:9" hidden="1" x14ac:dyDescent="0.4">
      <c r="B512" s="8" t="s">
        <v>529</v>
      </c>
      <c r="C512" s="3" t="s">
        <v>5273</v>
      </c>
      <c r="D512" s="3" t="s">
        <v>5593</v>
      </c>
      <c r="F512" s="3" t="s">
        <v>402</v>
      </c>
      <c r="I512" s="3" t="s">
        <v>4064</v>
      </c>
    </row>
    <row r="513" spans="2:9" hidden="1" x14ac:dyDescent="0.4">
      <c r="B513" s="8" t="s">
        <v>518</v>
      </c>
      <c r="C513" s="3" t="s">
        <v>1734</v>
      </c>
      <c r="D513" s="3" t="s">
        <v>1740</v>
      </c>
      <c r="F513" s="3" t="s">
        <v>402</v>
      </c>
      <c r="G513" s="3" t="s">
        <v>399</v>
      </c>
      <c r="I513" s="3" t="s">
        <v>1728</v>
      </c>
    </row>
    <row r="514" spans="2:9" hidden="1" x14ac:dyDescent="0.4">
      <c r="B514" s="8" t="s">
        <v>517</v>
      </c>
      <c r="C514" s="3" t="s">
        <v>1736</v>
      </c>
      <c r="D514" s="3" t="s">
        <v>1739</v>
      </c>
      <c r="F514" s="3" t="s">
        <v>402</v>
      </c>
      <c r="G514" s="3" t="s">
        <v>399</v>
      </c>
      <c r="I514" s="3" t="s">
        <v>1728</v>
      </c>
    </row>
    <row r="515" spans="2:9" hidden="1" x14ac:dyDescent="0.4">
      <c r="B515" s="8" t="s">
        <v>517</v>
      </c>
      <c r="C515" s="3" t="s">
        <v>4195</v>
      </c>
      <c r="D515" s="3" t="s">
        <v>3799</v>
      </c>
      <c r="F515" s="3" t="s">
        <v>399</v>
      </c>
      <c r="G515" s="3" t="s">
        <v>402</v>
      </c>
      <c r="I515" s="3" t="s">
        <v>4064</v>
      </c>
    </row>
    <row r="516" spans="2:9" hidden="1" x14ac:dyDescent="0.4">
      <c r="B516" s="8" t="s">
        <v>517</v>
      </c>
      <c r="C516" s="3" t="s">
        <v>3494</v>
      </c>
      <c r="D516" s="3" t="s">
        <v>3799</v>
      </c>
      <c r="F516" s="3" t="s">
        <v>399</v>
      </c>
      <c r="G516" s="3" t="s">
        <v>402</v>
      </c>
      <c r="I516" s="3" t="s">
        <v>4063</v>
      </c>
    </row>
    <row r="517" spans="2:9" hidden="1" x14ac:dyDescent="0.4">
      <c r="B517" s="8" t="s">
        <v>517</v>
      </c>
      <c r="C517" s="3" t="s">
        <v>5814</v>
      </c>
      <c r="D517" s="3" t="s">
        <v>4778</v>
      </c>
      <c r="F517" s="3" t="s">
        <v>399</v>
      </c>
      <c r="I517" s="3" t="s">
        <v>4063</v>
      </c>
    </row>
    <row r="518" spans="2:9" hidden="1" x14ac:dyDescent="0.4">
      <c r="B518" s="8" t="s">
        <v>517</v>
      </c>
      <c r="C518" s="3" t="s">
        <v>6157</v>
      </c>
      <c r="D518" s="3" t="s">
        <v>5488</v>
      </c>
      <c r="F518" s="3" t="s">
        <v>402</v>
      </c>
      <c r="I518" s="3" t="s">
        <v>4063</v>
      </c>
    </row>
    <row r="519" spans="2:9" hidden="1" x14ac:dyDescent="0.4">
      <c r="B519" s="8" t="s">
        <v>517</v>
      </c>
      <c r="C519" s="3" t="s">
        <v>4430</v>
      </c>
      <c r="D519" s="3" t="s">
        <v>4778</v>
      </c>
      <c r="F519" s="3" t="s">
        <v>399</v>
      </c>
      <c r="I519" s="3" t="s">
        <v>4064</v>
      </c>
    </row>
    <row r="520" spans="2:9" hidden="1" x14ac:dyDescent="0.4">
      <c r="B520" s="8" t="s">
        <v>517</v>
      </c>
      <c r="C520" s="3" t="s">
        <v>5167</v>
      </c>
      <c r="D520" s="3" t="s">
        <v>5488</v>
      </c>
      <c r="F520" s="3" t="s">
        <v>402</v>
      </c>
      <c r="I520" s="3" t="s">
        <v>4064</v>
      </c>
    </row>
    <row r="521" spans="2:9" hidden="1" x14ac:dyDescent="0.4">
      <c r="B521" s="8" t="s">
        <v>517</v>
      </c>
      <c r="C521" s="3" t="s">
        <v>3539</v>
      </c>
      <c r="D521" s="3" t="s">
        <v>3847</v>
      </c>
      <c r="F521" s="3" t="s">
        <v>399</v>
      </c>
      <c r="G521" s="3" t="s">
        <v>402</v>
      </c>
      <c r="I521" s="3" t="s">
        <v>4063</v>
      </c>
    </row>
    <row r="522" spans="2:9" hidden="1" x14ac:dyDescent="0.4">
      <c r="B522" s="8" t="s">
        <v>517</v>
      </c>
      <c r="C522" s="3" t="s">
        <v>6002</v>
      </c>
      <c r="D522" s="3" t="s">
        <v>4953</v>
      </c>
      <c r="F522" s="3" t="s">
        <v>399</v>
      </c>
      <c r="I522" s="3" t="s">
        <v>4063</v>
      </c>
    </row>
    <row r="523" spans="2:9" hidden="1" x14ac:dyDescent="0.4">
      <c r="B523" s="8" t="s">
        <v>517</v>
      </c>
      <c r="C523" s="3" t="s">
        <v>6351</v>
      </c>
      <c r="D523" s="3" t="s">
        <v>5536</v>
      </c>
      <c r="F523" s="3" t="s">
        <v>402</v>
      </c>
      <c r="I523" s="3" t="s">
        <v>4063</v>
      </c>
    </row>
    <row r="524" spans="2:9" hidden="1" x14ac:dyDescent="0.4">
      <c r="B524" s="8" t="s">
        <v>517</v>
      </c>
      <c r="C524" s="3" t="s">
        <v>4234</v>
      </c>
      <c r="D524" s="3" t="s">
        <v>3847</v>
      </c>
      <c r="F524" s="3" t="s">
        <v>399</v>
      </c>
      <c r="G524" s="3" t="s">
        <v>402</v>
      </c>
      <c r="I524" s="3" t="s">
        <v>4064</v>
      </c>
    </row>
    <row r="525" spans="2:9" hidden="1" x14ac:dyDescent="0.4">
      <c r="B525" s="8" t="s">
        <v>517</v>
      </c>
      <c r="C525" s="3" t="s">
        <v>4459</v>
      </c>
      <c r="D525" s="3" t="s">
        <v>4953</v>
      </c>
      <c r="F525" s="3" t="s">
        <v>399</v>
      </c>
      <c r="I525" s="3" t="s">
        <v>4064</v>
      </c>
    </row>
    <row r="526" spans="2:9" hidden="1" x14ac:dyDescent="0.4">
      <c r="B526" s="8" t="s">
        <v>517</v>
      </c>
      <c r="C526" s="3" t="s">
        <v>5214</v>
      </c>
      <c r="D526" s="3" t="s">
        <v>5536</v>
      </c>
      <c r="F526" s="3" t="s">
        <v>402</v>
      </c>
      <c r="I526" s="3" t="s">
        <v>4064</v>
      </c>
    </row>
    <row r="527" spans="2:9" hidden="1" x14ac:dyDescent="0.4">
      <c r="B527" s="8" t="s">
        <v>517</v>
      </c>
      <c r="C527" s="3" t="s">
        <v>4298</v>
      </c>
      <c r="D527" s="3" t="s">
        <v>3911</v>
      </c>
      <c r="F527" s="3" t="s">
        <v>399</v>
      </c>
      <c r="G527" s="3" t="s">
        <v>402</v>
      </c>
      <c r="I527" s="3" t="s">
        <v>4064</v>
      </c>
    </row>
    <row r="528" spans="2:9" hidden="1" x14ac:dyDescent="0.4">
      <c r="B528" s="8" t="s">
        <v>517</v>
      </c>
      <c r="C528" s="3" t="s">
        <v>4503</v>
      </c>
      <c r="D528" s="3" t="s">
        <v>4958</v>
      </c>
      <c r="F528" s="3" t="s">
        <v>399</v>
      </c>
      <c r="I528" s="3" t="s">
        <v>4064</v>
      </c>
    </row>
    <row r="529" spans="2:9" hidden="1" x14ac:dyDescent="0.4">
      <c r="B529" s="8" t="s">
        <v>517</v>
      </c>
      <c r="C529" s="3" t="s">
        <v>5296</v>
      </c>
      <c r="D529" s="3" t="s">
        <v>5616</v>
      </c>
      <c r="F529" s="3" t="s">
        <v>402</v>
      </c>
      <c r="I529" s="3" t="s">
        <v>4064</v>
      </c>
    </row>
    <row r="530" spans="2:9" hidden="1" x14ac:dyDescent="0.4">
      <c r="B530" s="8" t="s">
        <v>517</v>
      </c>
      <c r="C530" s="3" t="s">
        <v>3617</v>
      </c>
      <c r="D530" s="3" t="s">
        <v>3911</v>
      </c>
      <c r="F530" s="3" t="s">
        <v>399</v>
      </c>
      <c r="G530" s="3" t="s">
        <v>402</v>
      </c>
      <c r="I530" s="3" t="s">
        <v>4063</v>
      </c>
    </row>
    <row r="531" spans="2:9" hidden="1" x14ac:dyDescent="0.4">
      <c r="B531" s="8" t="s">
        <v>517</v>
      </c>
      <c r="C531" s="3" t="s">
        <v>5923</v>
      </c>
      <c r="D531" s="3" t="s">
        <v>4958</v>
      </c>
      <c r="F531" s="3" t="s">
        <v>399</v>
      </c>
      <c r="I531" s="3" t="s">
        <v>4063</v>
      </c>
    </row>
    <row r="532" spans="2:9" hidden="1" x14ac:dyDescent="0.4">
      <c r="B532" s="8" t="s">
        <v>517</v>
      </c>
      <c r="C532" s="3" t="s">
        <v>6269</v>
      </c>
      <c r="D532" s="3" t="s">
        <v>5616</v>
      </c>
      <c r="F532" s="3" t="s">
        <v>402</v>
      </c>
      <c r="I532" s="3" t="s">
        <v>4063</v>
      </c>
    </row>
    <row r="533" spans="2:9" hidden="1" x14ac:dyDescent="0.4">
      <c r="B533" s="8" t="s">
        <v>517</v>
      </c>
      <c r="C533" s="3" t="s">
        <v>2264</v>
      </c>
      <c r="D533" s="3" t="s">
        <v>2421</v>
      </c>
      <c r="E533" s="3" t="s">
        <v>1272</v>
      </c>
      <c r="F533" s="3" t="s">
        <v>399</v>
      </c>
      <c r="I533" s="3" t="s">
        <v>1833</v>
      </c>
    </row>
    <row r="534" spans="2:9" hidden="1" x14ac:dyDescent="0.4">
      <c r="B534" s="8" t="s">
        <v>517</v>
      </c>
      <c r="C534" s="3" t="s">
        <v>2572</v>
      </c>
      <c r="D534" s="3" t="s">
        <v>2421</v>
      </c>
      <c r="E534" s="3" t="s">
        <v>1272</v>
      </c>
      <c r="F534" s="3" t="s">
        <v>402</v>
      </c>
      <c r="I534" s="3" t="s">
        <v>1833</v>
      </c>
    </row>
    <row r="535" spans="2:9" hidden="1" x14ac:dyDescent="0.4">
      <c r="B535" s="8" t="s">
        <v>515</v>
      </c>
      <c r="C535" s="3" t="s">
        <v>1186</v>
      </c>
      <c r="D535" s="3" t="s">
        <v>1191</v>
      </c>
      <c r="F535" s="3" t="s">
        <v>399</v>
      </c>
      <c r="I535" s="3" t="s">
        <v>781</v>
      </c>
    </row>
    <row r="536" spans="2:9" hidden="1" x14ac:dyDescent="0.4">
      <c r="B536" s="8" t="s">
        <v>515</v>
      </c>
      <c r="C536" s="3" t="s">
        <v>1198</v>
      </c>
      <c r="D536" s="3" t="s">
        <v>1203</v>
      </c>
      <c r="F536" s="3" t="s">
        <v>402</v>
      </c>
      <c r="I536" s="3" t="s">
        <v>781</v>
      </c>
    </row>
    <row r="537" spans="2:9" hidden="1" x14ac:dyDescent="0.4">
      <c r="B537" s="8" t="s">
        <v>515</v>
      </c>
      <c r="C537" s="3" t="s">
        <v>1193</v>
      </c>
      <c r="D537" s="3" t="s">
        <v>1191</v>
      </c>
      <c r="F537" s="3" t="s">
        <v>402</v>
      </c>
      <c r="I537" s="3" t="s">
        <v>781</v>
      </c>
    </row>
    <row r="538" spans="2:9" hidden="1" x14ac:dyDescent="0.4">
      <c r="B538" s="8" t="s">
        <v>515</v>
      </c>
      <c r="C538" s="3" t="s">
        <v>1210</v>
      </c>
      <c r="D538" s="3" t="s">
        <v>1220</v>
      </c>
      <c r="F538" s="3" t="s">
        <v>402</v>
      </c>
      <c r="G538" s="3" t="s">
        <v>399</v>
      </c>
      <c r="H538" s="3" t="s">
        <v>988</v>
      </c>
      <c r="I538" s="3" t="s">
        <v>781</v>
      </c>
    </row>
    <row r="539" spans="2:9" hidden="1" x14ac:dyDescent="0.4">
      <c r="B539" s="8" t="s">
        <v>515</v>
      </c>
      <c r="C539" s="3" t="s">
        <v>1215</v>
      </c>
      <c r="D539" s="3" t="s">
        <v>1220</v>
      </c>
      <c r="F539" s="3" t="s">
        <v>399</v>
      </c>
      <c r="I539" s="3" t="s">
        <v>781</v>
      </c>
    </row>
    <row r="540" spans="2:9" hidden="1" x14ac:dyDescent="0.4">
      <c r="B540" s="8" t="s">
        <v>517</v>
      </c>
      <c r="C540" s="3" t="s">
        <v>3004</v>
      </c>
      <c r="D540" s="3" t="s">
        <v>3240</v>
      </c>
      <c r="E540" s="3">
        <v>1</v>
      </c>
      <c r="F540" s="3" t="s">
        <v>402</v>
      </c>
      <c r="G540" s="3" t="s">
        <v>988</v>
      </c>
      <c r="H540" s="3" t="s">
        <v>399</v>
      </c>
      <c r="I540" s="3" t="s">
        <v>245</v>
      </c>
    </row>
    <row r="541" spans="2:9" hidden="1" x14ac:dyDescent="0.4">
      <c r="B541" s="8" t="s">
        <v>520</v>
      </c>
      <c r="C541" s="3" t="s">
        <v>2311</v>
      </c>
      <c r="D541" s="3" t="s">
        <v>2468</v>
      </c>
      <c r="E541" s="3" t="s">
        <v>1272</v>
      </c>
      <c r="F541" s="3" t="s">
        <v>399</v>
      </c>
      <c r="I541" s="3" t="s">
        <v>1833</v>
      </c>
    </row>
    <row r="542" spans="2:9" hidden="1" x14ac:dyDescent="0.4">
      <c r="B542" s="8" t="s">
        <v>520</v>
      </c>
      <c r="C542" s="3" t="s">
        <v>2611</v>
      </c>
      <c r="D542" s="3" t="s">
        <v>2468</v>
      </c>
      <c r="E542" s="3" t="s">
        <v>1272</v>
      </c>
      <c r="F542" s="3" t="s">
        <v>402</v>
      </c>
      <c r="I542" s="3" t="s">
        <v>1833</v>
      </c>
    </row>
    <row r="543" spans="2:9" hidden="1" x14ac:dyDescent="0.4">
      <c r="B543" s="8" t="s">
        <v>520</v>
      </c>
      <c r="C543" s="3" t="s">
        <v>2312</v>
      </c>
      <c r="D543" s="3" t="s">
        <v>2468</v>
      </c>
      <c r="E543" s="3" t="s">
        <v>1272</v>
      </c>
      <c r="F543" s="3" t="s">
        <v>399</v>
      </c>
      <c r="I543" s="3" t="s">
        <v>1833</v>
      </c>
    </row>
    <row r="544" spans="2:9" hidden="1" x14ac:dyDescent="0.4">
      <c r="B544" s="8" t="s">
        <v>520</v>
      </c>
      <c r="C544" s="3" t="s">
        <v>2612</v>
      </c>
      <c r="D544" s="3" t="s">
        <v>2468</v>
      </c>
      <c r="E544" s="3" t="s">
        <v>1272</v>
      </c>
      <c r="F544" s="3" t="s">
        <v>402</v>
      </c>
      <c r="I544" s="3" t="s">
        <v>1833</v>
      </c>
    </row>
    <row r="545" spans="2:9" hidden="1" x14ac:dyDescent="0.4">
      <c r="B545" s="8" t="s">
        <v>518</v>
      </c>
      <c r="C545" s="3" t="s">
        <v>2240</v>
      </c>
      <c r="D545" s="3" t="s">
        <v>2397</v>
      </c>
      <c r="E545" s="3" t="s">
        <v>1272</v>
      </c>
      <c r="F545" s="3" t="s">
        <v>399</v>
      </c>
      <c r="I545" s="3" t="s">
        <v>1833</v>
      </c>
    </row>
    <row r="546" spans="2:9" hidden="1" x14ac:dyDescent="0.4">
      <c r="B546" s="8" t="s">
        <v>518</v>
      </c>
      <c r="C546" s="3" t="s">
        <v>2521</v>
      </c>
      <c r="D546" s="3" t="s">
        <v>2397</v>
      </c>
      <c r="E546" s="3" t="s">
        <v>1272</v>
      </c>
      <c r="F546" s="3" t="s">
        <v>402</v>
      </c>
      <c r="I546" s="3" t="s">
        <v>1833</v>
      </c>
    </row>
    <row r="547" spans="2:9" hidden="1" x14ac:dyDescent="0.4">
      <c r="B547" s="8" t="s">
        <v>518</v>
      </c>
      <c r="C547" s="3" t="s">
        <v>1454</v>
      </c>
      <c r="D547" s="3" t="s">
        <v>1496</v>
      </c>
      <c r="F547" s="3" t="s">
        <v>399</v>
      </c>
      <c r="G547" s="3" t="s">
        <v>402</v>
      </c>
      <c r="I547" s="3" t="s">
        <v>1489</v>
      </c>
    </row>
    <row r="548" spans="2:9" hidden="1" x14ac:dyDescent="0.4">
      <c r="B548" s="8" t="s">
        <v>518</v>
      </c>
      <c r="C548" s="3" t="s">
        <v>1564</v>
      </c>
      <c r="D548" s="3" t="s">
        <v>1496</v>
      </c>
      <c r="F548" s="3" t="s">
        <v>402</v>
      </c>
      <c r="I548" s="3" t="s">
        <v>1489</v>
      </c>
    </row>
    <row r="549" spans="2:9" hidden="1" x14ac:dyDescent="0.4">
      <c r="B549" s="8" t="s">
        <v>823</v>
      </c>
      <c r="C549" s="3" t="s">
        <v>1679</v>
      </c>
      <c r="D549" s="3" t="s">
        <v>1697</v>
      </c>
      <c r="F549" s="3" t="s">
        <v>1124</v>
      </c>
      <c r="I549" s="3" t="s">
        <v>1489</v>
      </c>
    </row>
    <row r="550" spans="2:9" hidden="1" x14ac:dyDescent="0.4">
      <c r="B550" s="8" t="s">
        <v>518</v>
      </c>
      <c r="C550" s="3" t="s">
        <v>3501</v>
      </c>
      <c r="D550" s="3" t="s">
        <v>3804</v>
      </c>
      <c r="F550" s="3" t="s">
        <v>399</v>
      </c>
      <c r="G550" s="3" t="s">
        <v>402</v>
      </c>
      <c r="I550" s="3" t="s">
        <v>4063</v>
      </c>
    </row>
    <row r="551" spans="2:9" hidden="1" x14ac:dyDescent="0.4">
      <c r="B551" s="8" t="s">
        <v>518</v>
      </c>
      <c r="C551" s="3" t="s">
        <v>3501</v>
      </c>
      <c r="D551" s="3" t="s">
        <v>3804</v>
      </c>
      <c r="F551" s="3" t="s">
        <v>399</v>
      </c>
      <c r="G551" s="3" t="s">
        <v>402</v>
      </c>
      <c r="I551" s="3" t="s">
        <v>4064</v>
      </c>
    </row>
    <row r="552" spans="2:9" hidden="1" x14ac:dyDescent="0.4">
      <c r="B552" s="8" t="s">
        <v>518</v>
      </c>
      <c r="C552" s="3" t="s">
        <v>5819</v>
      </c>
      <c r="D552" s="3" t="s">
        <v>4780</v>
      </c>
      <c r="F552" s="3" t="s">
        <v>399</v>
      </c>
      <c r="I552" s="3" t="s">
        <v>4063</v>
      </c>
    </row>
    <row r="553" spans="2:9" hidden="1" x14ac:dyDescent="0.4">
      <c r="B553" s="8" t="s">
        <v>518</v>
      </c>
      <c r="C553" s="3" t="s">
        <v>6162</v>
      </c>
      <c r="D553" s="3" t="s">
        <v>5495</v>
      </c>
      <c r="F553" s="3" t="s">
        <v>402</v>
      </c>
      <c r="I553" s="3" t="s">
        <v>4063</v>
      </c>
    </row>
    <row r="554" spans="2:9" hidden="1" x14ac:dyDescent="0.4">
      <c r="B554" s="8" t="s">
        <v>518</v>
      </c>
      <c r="C554" s="3" t="s">
        <v>4574</v>
      </c>
      <c r="D554" s="3" t="s">
        <v>4780</v>
      </c>
      <c r="F554" s="3" t="s">
        <v>399</v>
      </c>
      <c r="I554" s="3" t="s">
        <v>4064</v>
      </c>
    </row>
    <row r="555" spans="2:9" hidden="1" x14ac:dyDescent="0.4">
      <c r="B555" s="8" t="s">
        <v>518</v>
      </c>
      <c r="C555" s="3" t="s">
        <v>5174</v>
      </c>
      <c r="D555" s="3" t="s">
        <v>5495</v>
      </c>
      <c r="F555" s="3" t="s">
        <v>402</v>
      </c>
      <c r="I555" s="3" t="s">
        <v>4064</v>
      </c>
    </row>
    <row r="556" spans="2:9" hidden="1" x14ac:dyDescent="0.4">
      <c r="B556" s="8" t="s">
        <v>518</v>
      </c>
      <c r="C556" s="3" t="s">
        <v>4270</v>
      </c>
      <c r="D556" s="3" t="s">
        <v>3883</v>
      </c>
      <c r="F556" s="3" t="s">
        <v>399</v>
      </c>
      <c r="G556" s="3" t="s">
        <v>402</v>
      </c>
      <c r="I556" s="3" t="s">
        <v>4064</v>
      </c>
    </row>
    <row r="557" spans="2:9" hidden="1" x14ac:dyDescent="0.4">
      <c r="B557" s="8" t="s">
        <v>518</v>
      </c>
      <c r="C557" s="3" t="s">
        <v>4481</v>
      </c>
      <c r="D557" s="3" t="s">
        <v>4836</v>
      </c>
      <c r="F557" s="3" t="s">
        <v>399</v>
      </c>
      <c r="I557" s="3" t="s">
        <v>4064</v>
      </c>
    </row>
    <row r="558" spans="2:9" hidden="1" x14ac:dyDescent="0.4">
      <c r="B558" s="8" t="s">
        <v>518</v>
      </c>
      <c r="C558" s="3" t="s">
        <v>5254</v>
      </c>
      <c r="D558" s="3" t="s">
        <v>5575</v>
      </c>
      <c r="F558" s="3" t="s">
        <v>402</v>
      </c>
      <c r="I558" s="3" t="s">
        <v>4064</v>
      </c>
    </row>
    <row r="559" spans="2:9" hidden="1" x14ac:dyDescent="0.4">
      <c r="B559" s="8" t="s">
        <v>518</v>
      </c>
      <c r="C559" s="3" t="s">
        <v>3581</v>
      </c>
      <c r="D559" s="3" t="s">
        <v>3883</v>
      </c>
      <c r="F559" s="3" t="s">
        <v>399</v>
      </c>
      <c r="G559" s="3" t="s">
        <v>402</v>
      </c>
      <c r="I559" s="3" t="s">
        <v>4063</v>
      </c>
    </row>
    <row r="560" spans="2:9" hidden="1" x14ac:dyDescent="0.4">
      <c r="B560" s="8" t="s">
        <v>518</v>
      </c>
      <c r="C560" s="3" t="s">
        <v>6004</v>
      </c>
      <c r="D560" s="3" t="s">
        <v>4836</v>
      </c>
      <c r="F560" s="3" t="s">
        <v>399</v>
      </c>
      <c r="I560" s="3" t="s">
        <v>4063</v>
      </c>
    </row>
    <row r="561" spans="2:9" hidden="1" x14ac:dyDescent="0.4">
      <c r="B561" s="8" t="s">
        <v>518</v>
      </c>
      <c r="C561" s="3" t="s">
        <v>6353</v>
      </c>
      <c r="D561" s="3" t="s">
        <v>5575</v>
      </c>
      <c r="F561" s="3" t="s">
        <v>402</v>
      </c>
      <c r="I561" s="3" t="s">
        <v>4063</v>
      </c>
    </row>
    <row r="562" spans="2:9" hidden="1" x14ac:dyDescent="0.4">
      <c r="B562" s="8">
        <v>1</v>
      </c>
      <c r="C562" s="3" t="s">
        <v>232</v>
      </c>
      <c r="D562" s="3" t="s">
        <v>269</v>
      </c>
      <c r="F562" s="3" t="s">
        <v>399</v>
      </c>
      <c r="G562" s="3" t="s">
        <v>402</v>
      </c>
      <c r="I562" s="3" t="s">
        <v>420</v>
      </c>
    </row>
    <row r="563" spans="2:9" hidden="1" x14ac:dyDescent="0.4">
      <c r="B563" s="8" t="s">
        <v>517</v>
      </c>
      <c r="C563" s="3" t="s">
        <v>4089</v>
      </c>
      <c r="D563" s="3" t="s">
        <v>3689</v>
      </c>
      <c r="F563" s="3" t="s">
        <v>399</v>
      </c>
      <c r="G563" s="3" t="s">
        <v>402</v>
      </c>
      <c r="I563" s="3" t="s">
        <v>4064</v>
      </c>
    </row>
    <row r="564" spans="2:9" hidden="1" x14ac:dyDescent="0.4">
      <c r="B564" s="8" t="s">
        <v>517</v>
      </c>
      <c r="C564" s="3" t="s">
        <v>4376</v>
      </c>
      <c r="D564" s="3" t="s">
        <v>4712</v>
      </c>
      <c r="F564" s="3" t="s">
        <v>399</v>
      </c>
      <c r="I564" s="3" t="s">
        <v>4064</v>
      </c>
    </row>
    <row r="565" spans="2:9" hidden="1" x14ac:dyDescent="0.4">
      <c r="B565" s="8" t="s">
        <v>517</v>
      </c>
      <c r="C565" s="3" t="s">
        <v>5048</v>
      </c>
      <c r="D565" s="3" t="s">
        <v>5380</v>
      </c>
      <c r="F565" s="3" t="s">
        <v>402</v>
      </c>
      <c r="I565" s="3" t="s">
        <v>4064</v>
      </c>
    </row>
    <row r="566" spans="2:9" hidden="1" x14ac:dyDescent="0.4">
      <c r="B566" s="8" t="s">
        <v>517</v>
      </c>
      <c r="C566" s="3" t="s">
        <v>3380</v>
      </c>
      <c r="D566" s="3" t="s">
        <v>3689</v>
      </c>
      <c r="F566" s="3" t="s">
        <v>399</v>
      </c>
      <c r="G566" s="3" t="s">
        <v>402</v>
      </c>
      <c r="I566" s="3" t="s">
        <v>4063</v>
      </c>
    </row>
    <row r="567" spans="2:9" hidden="1" x14ac:dyDescent="0.4">
      <c r="B567" s="8" t="s">
        <v>517</v>
      </c>
      <c r="C567" s="3" t="s">
        <v>5716</v>
      </c>
      <c r="D567" s="3" t="s">
        <v>4712</v>
      </c>
      <c r="F567" s="3" t="s">
        <v>399</v>
      </c>
      <c r="I567" s="3" t="s">
        <v>4063</v>
      </c>
    </row>
    <row r="568" spans="2:9" hidden="1" x14ac:dyDescent="0.4">
      <c r="B568" s="8" t="s">
        <v>517</v>
      </c>
      <c r="C568" s="3" t="s">
        <v>6057</v>
      </c>
      <c r="D568" s="3" t="s">
        <v>5380</v>
      </c>
      <c r="F568" s="3" t="s">
        <v>402</v>
      </c>
      <c r="I568" s="3" t="s">
        <v>4063</v>
      </c>
    </row>
    <row r="569" spans="2:9" hidden="1" x14ac:dyDescent="0.4">
      <c r="B569" s="8" t="s">
        <v>531</v>
      </c>
      <c r="C569" s="3" t="s">
        <v>3101</v>
      </c>
      <c r="D569" s="3" t="s">
        <v>3338</v>
      </c>
      <c r="E569" s="3">
        <v>1</v>
      </c>
      <c r="F569" s="3" t="s">
        <v>402</v>
      </c>
      <c r="G569" s="3" t="s">
        <v>988</v>
      </c>
      <c r="I569" s="3" t="s">
        <v>245</v>
      </c>
    </row>
    <row r="570" spans="2:9" hidden="1" x14ac:dyDescent="0.4">
      <c r="B570" s="8" t="s">
        <v>531</v>
      </c>
      <c r="C570" s="3" t="s">
        <v>3030</v>
      </c>
      <c r="D570" s="3" t="s">
        <v>3267</v>
      </c>
      <c r="E570" s="3">
        <v>1</v>
      </c>
      <c r="F570" s="3" t="s">
        <v>402</v>
      </c>
      <c r="G570" s="3" t="s">
        <v>399</v>
      </c>
      <c r="H570" s="3" t="s">
        <v>988</v>
      </c>
      <c r="I570" s="3" t="s">
        <v>245</v>
      </c>
    </row>
    <row r="571" spans="2:9" hidden="1" x14ac:dyDescent="0.4">
      <c r="B571" s="8" t="s">
        <v>517</v>
      </c>
      <c r="C571" s="3" t="s">
        <v>3006</v>
      </c>
      <c r="D571" s="3" t="s">
        <v>3242</v>
      </c>
      <c r="E571" s="3">
        <v>1</v>
      </c>
      <c r="F571" s="3" t="s">
        <v>402</v>
      </c>
      <c r="G571" s="3" t="s">
        <v>399</v>
      </c>
      <c r="I571" s="3" t="s">
        <v>245</v>
      </c>
    </row>
    <row r="572" spans="2:9" hidden="1" x14ac:dyDescent="0.4">
      <c r="B572" s="8" t="s">
        <v>517</v>
      </c>
      <c r="C572" s="3" t="s">
        <v>2220</v>
      </c>
      <c r="D572" s="3" t="s">
        <v>2378</v>
      </c>
      <c r="E572" s="3" t="s">
        <v>1272</v>
      </c>
      <c r="F572" s="3" t="s">
        <v>399</v>
      </c>
      <c r="I572" s="3" t="s">
        <v>1833</v>
      </c>
    </row>
    <row r="573" spans="2:9" hidden="1" x14ac:dyDescent="0.4">
      <c r="B573" s="8" t="s">
        <v>517</v>
      </c>
      <c r="C573" s="3" t="s">
        <v>2549</v>
      </c>
      <c r="D573" s="3" t="s">
        <v>2378</v>
      </c>
      <c r="E573" s="3" t="s">
        <v>1272</v>
      </c>
      <c r="F573" s="3" t="s">
        <v>402</v>
      </c>
      <c r="I573" s="3" t="s">
        <v>1833</v>
      </c>
    </row>
    <row r="574" spans="2:9" hidden="1" x14ac:dyDescent="0.4">
      <c r="B574" s="8" t="s">
        <v>517</v>
      </c>
      <c r="C574" s="3" t="s">
        <v>2647</v>
      </c>
      <c r="D574" s="3" t="s">
        <v>2658</v>
      </c>
      <c r="E574" s="3" t="s">
        <v>1272</v>
      </c>
      <c r="F574" s="3" t="s">
        <v>399</v>
      </c>
      <c r="I574" s="3" t="s">
        <v>2370</v>
      </c>
    </row>
    <row r="575" spans="2:9" hidden="1" x14ac:dyDescent="0.4">
      <c r="B575" s="8" t="s">
        <v>517</v>
      </c>
      <c r="C575" s="3" t="s">
        <v>1789</v>
      </c>
      <c r="D575" s="3" t="s">
        <v>1861</v>
      </c>
      <c r="F575" s="3" t="s">
        <v>399</v>
      </c>
      <c r="I575" s="3" t="s">
        <v>1865</v>
      </c>
    </row>
    <row r="576" spans="2:9" hidden="1" x14ac:dyDescent="0.4">
      <c r="B576" s="8" t="s">
        <v>517</v>
      </c>
      <c r="C576" s="3" t="s">
        <v>1793</v>
      </c>
      <c r="D576" s="3" t="s">
        <v>1861</v>
      </c>
      <c r="F576" s="3" t="s">
        <v>402</v>
      </c>
      <c r="I576" s="3" t="s">
        <v>1865</v>
      </c>
    </row>
    <row r="577" spans="2:9" hidden="1" x14ac:dyDescent="0.4">
      <c r="B577" s="8" t="s">
        <v>517</v>
      </c>
      <c r="C577" s="3" t="s">
        <v>1791</v>
      </c>
      <c r="D577" s="3" t="s">
        <v>1862</v>
      </c>
      <c r="F577" s="3" t="s">
        <v>399</v>
      </c>
      <c r="I577" s="3" t="s">
        <v>1865</v>
      </c>
    </row>
    <row r="578" spans="2:9" hidden="1" x14ac:dyDescent="0.4">
      <c r="B578" s="8" t="s">
        <v>517</v>
      </c>
      <c r="C578" s="3" t="s">
        <v>1790</v>
      </c>
      <c r="D578" s="3" t="s">
        <v>1862</v>
      </c>
      <c r="F578" s="3" t="s">
        <v>399</v>
      </c>
      <c r="I578" s="3" t="s">
        <v>1865</v>
      </c>
    </row>
    <row r="579" spans="2:9" hidden="1" x14ac:dyDescent="0.4">
      <c r="B579" s="8" t="s">
        <v>517</v>
      </c>
      <c r="C579" s="3" t="s">
        <v>1792</v>
      </c>
      <c r="D579" s="3" t="s">
        <v>1863</v>
      </c>
      <c r="F579" s="3" t="s">
        <v>402</v>
      </c>
      <c r="I579" s="3" t="s">
        <v>1865</v>
      </c>
    </row>
    <row r="580" spans="2:9" hidden="1" x14ac:dyDescent="0.4">
      <c r="B580" s="8" t="s">
        <v>517</v>
      </c>
      <c r="C580" s="3" t="s">
        <v>3466</v>
      </c>
      <c r="D580" s="3" t="s">
        <v>3774</v>
      </c>
      <c r="F580" s="3" t="s">
        <v>399</v>
      </c>
      <c r="G580" s="3" t="s">
        <v>402</v>
      </c>
      <c r="I580" s="3" t="s">
        <v>4063</v>
      </c>
    </row>
    <row r="581" spans="2:9" hidden="1" x14ac:dyDescent="0.4">
      <c r="B581" s="8" t="s">
        <v>517</v>
      </c>
      <c r="C581" s="3" t="s">
        <v>5788</v>
      </c>
      <c r="D581" s="3" t="s">
        <v>4891</v>
      </c>
      <c r="F581" s="3" t="s">
        <v>399</v>
      </c>
      <c r="I581" s="3" t="s">
        <v>4063</v>
      </c>
    </row>
    <row r="582" spans="2:9" hidden="1" x14ac:dyDescent="0.4">
      <c r="B582" s="8" t="s">
        <v>517</v>
      </c>
      <c r="C582" s="3" t="s">
        <v>6131</v>
      </c>
      <c r="D582" s="3" t="s">
        <v>5462</v>
      </c>
      <c r="F582" s="3" t="s">
        <v>402</v>
      </c>
      <c r="I582" s="3" t="s">
        <v>4063</v>
      </c>
    </row>
    <row r="583" spans="2:9" hidden="1" x14ac:dyDescent="0.4">
      <c r="B583" s="8" t="s">
        <v>517</v>
      </c>
      <c r="C583" s="3" t="s">
        <v>4168</v>
      </c>
      <c r="D583" s="3" t="s">
        <v>3774</v>
      </c>
      <c r="F583" s="3" t="s">
        <v>399</v>
      </c>
      <c r="G583" s="3" t="s">
        <v>402</v>
      </c>
      <c r="I583" s="3" t="s">
        <v>4064</v>
      </c>
    </row>
    <row r="584" spans="2:9" hidden="1" x14ac:dyDescent="0.4">
      <c r="B584" s="8" t="s">
        <v>517</v>
      </c>
      <c r="C584" s="3" t="s">
        <v>4644</v>
      </c>
      <c r="D584" s="3" t="s">
        <v>4891</v>
      </c>
      <c r="F584" s="3" t="s">
        <v>399</v>
      </c>
      <c r="I584" s="3" t="s">
        <v>4064</v>
      </c>
    </row>
    <row r="585" spans="2:9" hidden="1" x14ac:dyDescent="0.4">
      <c r="B585" s="8" t="s">
        <v>517</v>
      </c>
      <c r="C585" s="3" t="s">
        <v>5139</v>
      </c>
      <c r="D585" s="3" t="s">
        <v>5462</v>
      </c>
      <c r="F585" s="3" t="s">
        <v>402</v>
      </c>
      <c r="I585" s="3" t="s">
        <v>4064</v>
      </c>
    </row>
    <row r="586" spans="2:9" hidden="1" x14ac:dyDescent="0.4">
      <c r="B586" s="8" t="s">
        <v>517</v>
      </c>
      <c r="C586" s="3" t="s">
        <v>1621</v>
      </c>
      <c r="D586" s="3" t="s">
        <v>1647</v>
      </c>
      <c r="F586" s="3" t="s">
        <v>402</v>
      </c>
      <c r="I586" s="3" t="s">
        <v>1414</v>
      </c>
    </row>
    <row r="587" spans="2:9" hidden="1" x14ac:dyDescent="0.4">
      <c r="B587" s="8" t="s">
        <v>517</v>
      </c>
      <c r="C587" s="3" t="s">
        <v>1599</v>
      </c>
      <c r="D587" s="3" t="s">
        <v>1625</v>
      </c>
      <c r="F587" s="3" t="s">
        <v>402</v>
      </c>
      <c r="I587" s="3" t="s">
        <v>1414</v>
      </c>
    </row>
    <row r="588" spans="2:9" hidden="1" x14ac:dyDescent="0.4">
      <c r="B588" s="8" t="s">
        <v>529</v>
      </c>
      <c r="C588" s="3" t="s">
        <v>1617</v>
      </c>
      <c r="D588" s="3" t="s">
        <v>1643</v>
      </c>
      <c r="F588" s="3" t="s">
        <v>402</v>
      </c>
      <c r="I588" s="3" t="s">
        <v>1414</v>
      </c>
    </row>
    <row r="589" spans="2:9" hidden="1" x14ac:dyDescent="0.4">
      <c r="B589" s="8" t="s">
        <v>530</v>
      </c>
      <c r="C589" s="3" t="s">
        <v>1609</v>
      </c>
      <c r="D589" s="3" t="s">
        <v>1635</v>
      </c>
      <c r="F589" s="3" t="s">
        <v>402</v>
      </c>
      <c r="I589" s="3" t="s">
        <v>1414</v>
      </c>
    </row>
    <row r="590" spans="2:9" hidden="1" x14ac:dyDescent="0.4">
      <c r="B590" s="8" t="s">
        <v>518</v>
      </c>
      <c r="C590" s="3" t="s">
        <v>1613</v>
      </c>
      <c r="D590" s="3" t="s">
        <v>1639</v>
      </c>
      <c r="F590" s="3" t="s">
        <v>402</v>
      </c>
      <c r="I590" s="3" t="s">
        <v>1414</v>
      </c>
    </row>
    <row r="591" spans="2:9" hidden="1" x14ac:dyDescent="0.4">
      <c r="B591" s="8" t="s">
        <v>517</v>
      </c>
      <c r="C591" s="3" t="s">
        <v>1619</v>
      </c>
      <c r="D591" s="3" t="s">
        <v>1645</v>
      </c>
      <c r="F591" s="3" t="s">
        <v>402</v>
      </c>
      <c r="I591" s="3" t="s">
        <v>1414</v>
      </c>
    </row>
    <row r="592" spans="2:9" hidden="1" x14ac:dyDescent="0.4">
      <c r="B592" s="8" t="s">
        <v>532</v>
      </c>
      <c r="C592" s="3" t="s">
        <v>1600</v>
      </c>
      <c r="D592" s="3" t="s">
        <v>1626</v>
      </c>
      <c r="F592" s="3" t="s">
        <v>402</v>
      </c>
      <c r="I592" s="3" t="s">
        <v>1414</v>
      </c>
    </row>
    <row r="593" spans="2:9" hidden="1" x14ac:dyDescent="0.4">
      <c r="B593" s="8" t="s">
        <v>517</v>
      </c>
      <c r="C593" s="3" t="s">
        <v>1603</v>
      </c>
      <c r="D593" s="3" t="s">
        <v>1629</v>
      </c>
      <c r="F593" s="3" t="s">
        <v>402</v>
      </c>
      <c r="I593" s="3" t="s">
        <v>1414</v>
      </c>
    </row>
    <row r="594" spans="2:9" hidden="1" x14ac:dyDescent="0.4">
      <c r="B594" s="8" t="s">
        <v>517</v>
      </c>
      <c r="C594" s="3" t="s">
        <v>1616</v>
      </c>
      <c r="D594" s="3" t="s">
        <v>1642</v>
      </c>
      <c r="F594" s="3" t="s">
        <v>402</v>
      </c>
      <c r="I594" s="3" t="s">
        <v>1414</v>
      </c>
    </row>
    <row r="595" spans="2:9" hidden="1" x14ac:dyDescent="0.4">
      <c r="B595" s="8" t="s">
        <v>518</v>
      </c>
      <c r="C595" s="3" t="s">
        <v>1610</v>
      </c>
      <c r="D595" s="3" t="s">
        <v>1636</v>
      </c>
      <c r="F595" s="3" t="s">
        <v>402</v>
      </c>
      <c r="I595" s="3" t="s">
        <v>1414</v>
      </c>
    </row>
    <row r="596" spans="2:9" hidden="1" x14ac:dyDescent="0.4">
      <c r="B596" s="8" t="s">
        <v>526</v>
      </c>
      <c r="C596" s="3" t="s">
        <v>1666</v>
      </c>
      <c r="D596" s="3" t="s">
        <v>1672</v>
      </c>
      <c r="F596" s="3" t="s">
        <v>402</v>
      </c>
      <c r="I596" s="3" t="s">
        <v>1414</v>
      </c>
    </row>
    <row r="597" spans="2:9" hidden="1" x14ac:dyDescent="0.4">
      <c r="B597" s="8" t="s">
        <v>518</v>
      </c>
      <c r="C597" s="3" t="s">
        <v>1602</v>
      </c>
      <c r="D597" s="3" t="s">
        <v>1628</v>
      </c>
      <c r="F597" s="3" t="s">
        <v>402</v>
      </c>
      <c r="I597" s="3" t="s">
        <v>1414</v>
      </c>
    </row>
    <row r="598" spans="2:9" hidden="1" x14ac:dyDescent="0.4">
      <c r="B598" s="8" t="s">
        <v>512</v>
      </c>
      <c r="C598" s="3" t="s">
        <v>1665</v>
      </c>
      <c r="D598" s="3" t="s">
        <v>1671</v>
      </c>
      <c r="F598" s="3" t="s">
        <v>402</v>
      </c>
      <c r="I598" s="3" t="s">
        <v>1414</v>
      </c>
    </row>
    <row r="599" spans="2:9" hidden="1" x14ac:dyDescent="0.4">
      <c r="B599" s="8" t="s">
        <v>531</v>
      </c>
      <c r="C599" s="3" t="s">
        <v>1608</v>
      </c>
      <c r="D599" s="3" t="s">
        <v>1634</v>
      </c>
      <c r="F599" s="3" t="s">
        <v>402</v>
      </c>
      <c r="I599" s="3" t="s">
        <v>1414</v>
      </c>
    </row>
    <row r="600" spans="2:9" hidden="1" x14ac:dyDescent="0.4">
      <c r="B600" s="8" t="s">
        <v>517</v>
      </c>
      <c r="C600" s="3" t="s">
        <v>1606</v>
      </c>
      <c r="D600" s="3" t="s">
        <v>1632</v>
      </c>
      <c r="F600" s="3" t="s">
        <v>402</v>
      </c>
      <c r="I600" s="3" t="s">
        <v>1414</v>
      </c>
    </row>
    <row r="601" spans="2:9" hidden="1" x14ac:dyDescent="0.4">
      <c r="B601" s="8" t="s">
        <v>518</v>
      </c>
      <c r="C601" s="3" t="s">
        <v>1604</v>
      </c>
      <c r="D601" s="3" t="s">
        <v>1630</v>
      </c>
      <c r="F601" s="3" t="s">
        <v>402</v>
      </c>
      <c r="I601" s="3" t="s">
        <v>1414</v>
      </c>
    </row>
    <row r="602" spans="2:9" hidden="1" x14ac:dyDescent="0.4">
      <c r="B602" s="8" t="s">
        <v>518</v>
      </c>
      <c r="C602" s="3" t="s">
        <v>1611</v>
      </c>
      <c r="D602" s="3" t="s">
        <v>1637</v>
      </c>
      <c r="F602" s="3" t="s">
        <v>402</v>
      </c>
      <c r="I602" s="3" t="s">
        <v>1414</v>
      </c>
    </row>
    <row r="603" spans="2:9" hidden="1" x14ac:dyDescent="0.4">
      <c r="B603" s="8" t="s">
        <v>529</v>
      </c>
      <c r="C603" s="3" t="s">
        <v>1612</v>
      </c>
      <c r="D603" s="3" t="s">
        <v>1638</v>
      </c>
      <c r="F603" s="3" t="s">
        <v>402</v>
      </c>
      <c r="I603" s="3" t="s">
        <v>1414</v>
      </c>
    </row>
    <row r="604" spans="2:9" hidden="1" x14ac:dyDescent="0.4">
      <c r="B604" s="8" t="s">
        <v>529</v>
      </c>
      <c r="C604" s="3" t="s">
        <v>1605</v>
      </c>
      <c r="D604" s="3" t="s">
        <v>1631</v>
      </c>
      <c r="F604" s="3" t="s">
        <v>402</v>
      </c>
      <c r="I604" s="3" t="s">
        <v>1414</v>
      </c>
    </row>
    <row r="605" spans="2:9" hidden="1" x14ac:dyDescent="0.4">
      <c r="B605" s="8" t="s">
        <v>518</v>
      </c>
      <c r="C605" s="3" t="s">
        <v>1614</v>
      </c>
      <c r="D605" s="3" t="s">
        <v>1640</v>
      </c>
      <c r="F605" s="3" t="s">
        <v>402</v>
      </c>
      <c r="I605" s="3" t="s">
        <v>1414</v>
      </c>
    </row>
    <row r="606" spans="2:9" hidden="1" x14ac:dyDescent="0.4">
      <c r="B606" s="8" t="s">
        <v>517</v>
      </c>
      <c r="C606" s="3" t="s">
        <v>1597</v>
      </c>
      <c r="D606" s="3" t="s">
        <v>1623</v>
      </c>
      <c r="F606" s="3" t="s">
        <v>402</v>
      </c>
      <c r="I606" s="3" t="s">
        <v>1414</v>
      </c>
    </row>
    <row r="607" spans="2:9" hidden="1" x14ac:dyDescent="0.4">
      <c r="B607" s="8" t="s">
        <v>518</v>
      </c>
      <c r="C607" s="3" t="s">
        <v>1618</v>
      </c>
      <c r="D607" s="3" t="s">
        <v>1644</v>
      </c>
      <c r="F607" s="3" t="s">
        <v>402</v>
      </c>
      <c r="I607" s="3" t="s">
        <v>1414</v>
      </c>
    </row>
    <row r="608" spans="2:9" hidden="1" x14ac:dyDescent="0.4">
      <c r="B608" s="8" t="s">
        <v>532</v>
      </c>
      <c r="C608" s="3" t="s">
        <v>1607</v>
      </c>
      <c r="D608" s="3" t="s">
        <v>1633</v>
      </c>
      <c r="F608" s="3" t="s">
        <v>402</v>
      </c>
      <c r="I608" s="3" t="s">
        <v>1414</v>
      </c>
    </row>
    <row r="609" spans="2:9" hidden="1" x14ac:dyDescent="0.4">
      <c r="B609" s="8" t="s">
        <v>517</v>
      </c>
      <c r="C609" s="3" t="s">
        <v>1620</v>
      </c>
      <c r="D609" s="3" t="s">
        <v>1646</v>
      </c>
      <c r="F609" s="3" t="s">
        <v>402</v>
      </c>
      <c r="I609" s="3" t="s">
        <v>1414</v>
      </c>
    </row>
    <row r="610" spans="2:9" hidden="1" x14ac:dyDescent="0.4">
      <c r="B610" s="8" t="s">
        <v>517</v>
      </c>
      <c r="C610" s="3" t="s">
        <v>1622</v>
      </c>
      <c r="D610" s="3" t="s">
        <v>1648</v>
      </c>
      <c r="F610" s="3" t="s">
        <v>402</v>
      </c>
      <c r="I610" s="3" t="s">
        <v>1414</v>
      </c>
    </row>
    <row r="611" spans="2:9" hidden="1" x14ac:dyDescent="0.4">
      <c r="B611" s="8" t="s">
        <v>517</v>
      </c>
      <c r="C611" s="3" t="s">
        <v>1615</v>
      </c>
      <c r="D611" s="3" t="s">
        <v>1641</v>
      </c>
      <c r="F611" s="3" t="s">
        <v>402</v>
      </c>
      <c r="I611" s="3" t="s">
        <v>1414</v>
      </c>
    </row>
    <row r="612" spans="2:9" hidden="1" x14ac:dyDescent="0.4">
      <c r="B612" s="8" t="s">
        <v>518</v>
      </c>
      <c r="C612" s="3" t="s">
        <v>1649</v>
      </c>
      <c r="D612" s="3" t="s">
        <v>1626</v>
      </c>
      <c r="F612" s="3" t="s">
        <v>402</v>
      </c>
      <c r="I612" s="3" t="s">
        <v>1414</v>
      </c>
    </row>
    <row r="613" spans="2:9" hidden="1" x14ac:dyDescent="0.4">
      <c r="B613" s="8" t="s">
        <v>517</v>
      </c>
      <c r="C613" s="3" t="s">
        <v>1601</v>
      </c>
      <c r="D613" s="3" t="s">
        <v>1627</v>
      </c>
      <c r="F613" s="3" t="s">
        <v>402</v>
      </c>
      <c r="I613" s="3" t="s">
        <v>1414</v>
      </c>
    </row>
    <row r="614" spans="2:9" hidden="1" x14ac:dyDescent="0.4">
      <c r="B614" s="8" t="s">
        <v>517</v>
      </c>
      <c r="C614" s="3" t="s">
        <v>1598</v>
      </c>
      <c r="D614" s="3" t="s">
        <v>1624</v>
      </c>
      <c r="F614" s="3" t="s">
        <v>402</v>
      </c>
      <c r="I614" s="3" t="s">
        <v>1414</v>
      </c>
    </row>
    <row r="615" spans="2:9" hidden="1" x14ac:dyDescent="0.4">
      <c r="B615" s="8" t="s">
        <v>518</v>
      </c>
      <c r="C615" s="3" t="s">
        <v>3105</v>
      </c>
      <c r="D615" s="3" t="s">
        <v>3333</v>
      </c>
      <c r="E615" s="3">
        <v>1</v>
      </c>
      <c r="F615" s="3" t="s">
        <v>402</v>
      </c>
      <c r="I615" s="3" t="s">
        <v>245</v>
      </c>
    </row>
    <row r="616" spans="2:9" hidden="1" x14ac:dyDescent="0.4">
      <c r="B616" s="8" t="s">
        <v>531</v>
      </c>
      <c r="C616" s="3" t="s">
        <v>1461</v>
      </c>
      <c r="D616" s="3" t="s">
        <v>1503</v>
      </c>
      <c r="F616" s="3" t="s">
        <v>399</v>
      </c>
      <c r="G616" s="3" t="s">
        <v>402</v>
      </c>
      <c r="I616" s="3" t="s">
        <v>1489</v>
      </c>
    </row>
    <row r="617" spans="2:9" hidden="1" x14ac:dyDescent="0.4">
      <c r="B617" s="8" t="s">
        <v>531</v>
      </c>
      <c r="C617" s="3" t="s">
        <v>1571</v>
      </c>
      <c r="D617" s="3" t="s">
        <v>1503</v>
      </c>
      <c r="F617" s="3" t="s">
        <v>402</v>
      </c>
      <c r="I617" s="3" t="s">
        <v>1489</v>
      </c>
    </row>
    <row r="618" spans="2:9" hidden="1" x14ac:dyDescent="0.4">
      <c r="B618" s="8" t="s">
        <v>531</v>
      </c>
      <c r="C618" s="3" t="s">
        <v>1459</v>
      </c>
      <c r="D618" s="3" t="s">
        <v>1501</v>
      </c>
      <c r="F618" s="3" t="s">
        <v>399</v>
      </c>
      <c r="G618" s="3" t="s">
        <v>402</v>
      </c>
      <c r="I618" s="3" t="s">
        <v>1489</v>
      </c>
    </row>
    <row r="619" spans="2:9" hidden="1" x14ac:dyDescent="0.4">
      <c r="B619" s="8" t="s">
        <v>531</v>
      </c>
      <c r="C619" s="3" t="s">
        <v>1569</v>
      </c>
      <c r="D619" s="3" t="s">
        <v>1501</v>
      </c>
      <c r="F619" s="3" t="s">
        <v>402</v>
      </c>
      <c r="I619" s="3" t="s">
        <v>1489</v>
      </c>
    </row>
    <row r="620" spans="2:9" hidden="1" x14ac:dyDescent="0.4">
      <c r="B620" s="8" t="s">
        <v>517</v>
      </c>
      <c r="C620" s="3" t="s">
        <v>4357</v>
      </c>
      <c r="D620" s="3" t="s">
        <v>4021</v>
      </c>
      <c r="F620" s="3" t="s">
        <v>399</v>
      </c>
      <c r="G620" s="3" t="s">
        <v>402</v>
      </c>
      <c r="I620" s="3" t="s">
        <v>4064</v>
      </c>
    </row>
    <row r="621" spans="2:9" hidden="1" x14ac:dyDescent="0.4">
      <c r="B621" s="8" t="s">
        <v>517</v>
      </c>
      <c r="C621" s="3" t="s">
        <v>4540</v>
      </c>
      <c r="D621" s="3" t="s">
        <v>5696</v>
      </c>
      <c r="F621" s="3" t="s">
        <v>399</v>
      </c>
      <c r="I621" s="3" t="s">
        <v>4064</v>
      </c>
    </row>
    <row r="622" spans="2:9" hidden="1" x14ac:dyDescent="0.4">
      <c r="B622" s="8" t="s">
        <v>517</v>
      </c>
      <c r="C622" s="3" t="s">
        <v>5357</v>
      </c>
      <c r="D622" s="3" t="s">
        <v>5695</v>
      </c>
      <c r="F622" s="3" t="s">
        <v>402</v>
      </c>
      <c r="I622" s="3" t="s">
        <v>4064</v>
      </c>
    </row>
    <row r="623" spans="2:9" hidden="1" x14ac:dyDescent="0.4">
      <c r="B623" s="8" t="s">
        <v>517</v>
      </c>
      <c r="C623" s="3" t="s">
        <v>4020</v>
      </c>
      <c r="D623" s="3" t="s">
        <v>4021</v>
      </c>
      <c r="F623" s="3" t="s">
        <v>399</v>
      </c>
      <c r="G623" s="3" t="s">
        <v>402</v>
      </c>
      <c r="I623" s="3" t="s">
        <v>4063</v>
      </c>
    </row>
    <row r="624" spans="2:9" hidden="1" x14ac:dyDescent="0.4">
      <c r="B624" s="8" t="s">
        <v>517</v>
      </c>
      <c r="C624" s="3" t="s">
        <v>5977</v>
      </c>
      <c r="D624" s="3" t="s">
        <v>5696</v>
      </c>
      <c r="F624" s="3" t="s">
        <v>399</v>
      </c>
      <c r="I624" s="3" t="s">
        <v>4063</v>
      </c>
    </row>
    <row r="625" spans="2:9" hidden="1" x14ac:dyDescent="0.4">
      <c r="B625" s="8" t="s">
        <v>517</v>
      </c>
      <c r="C625" s="3" t="s">
        <v>6325</v>
      </c>
      <c r="D625" s="3" t="s">
        <v>5694</v>
      </c>
      <c r="F625" s="3" t="s">
        <v>402</v>
      </c>
      <c r="I625" s="3" t="s">
        <v>4063</v>
      </c>
    </row>
    <row r="626" spans="2:9" hidden="1" x14ac:dyDescent="0.4">
      <c r="B626" s="8" t="s">
        <v>823</v>
      </c>
      <c r="C626" s="3" t="s">
        <v>1684</v>
      </c>
      <c r="D626" s="3" t="s">
        <v>1501</v>
      </c>
      <c r="F626" s="3" t="s">
        <v>1124</v>
      </c>
      <c r="I626" s="3" t="s">
        <v>1489</v>
      </c>
    </row>
    <row r="627" spans="2:9" hidden="1" x14ac:dyDescent="0.4">
      <c r="B627" s="8" t="s">
        <v>516</v>
      </c>
      <c r="C627" s="3" t="s">
        <v>234</v>
      </c>
      <c r="D627" s="3" t="s">
        <v>271</v>
      </c>
      <c r="F627" s="3" t="s">
        <v>399</v>
      </c>
      <c r="G627" s="3" t="s">
        <v>402</v>
      </c>
      <c r="I627" s="3" t="s">
        <v>420</v>
      </c>
    </row>
    <row r="628" spans="2:9" hidden="1" x14ac:dyDescent="0.4">
      <c r="B628" s="8" t="s">
        <v>517</v>
      </c>
      <c r="C628" s="3" t="s">
        <v>3487</v>
      </c>
      <c r="D628" s="3" t="s">
        <v>3792</v>
      </c>
      <c r="F628" s="3" t="s">
        <v>399</v>
      </c>
      <c r="G628" s="3" t="s">
        <v>402</v>
      </c>
      <c r="I628" s="3" t="s">
        <v>4064</v>
      </c>
    </row>
    <row r="629" spans="2:9" hidden="1" x14ac:dyDescent="0.4">
      <c r="B629" s="8" t="s">
        <v>517</v>
      </c>
      <c r="C629" s="3" t="s">
        <v>4545</v>
      </c>
      <c r="D629" s="3" t="s">
        <v>4859</v>
      </c>
      <c r="F629" s="3" t="s">
        <v>399</v>
      </c>
      <c r="I629" s="3" t="s">
        <v>4064</v>
      </c>
    </row>
    <row r="630" spans="2:9" hidden="1" x14ac:dyDescent="0.4">
      <c r="B630" s="8" t="s">
        <v>517</v>
      </c>
      <c r="C630" s="3" t="s">
        <v>5026</v>
      </c>
      <c r="D630" s="3" t="s">
        <v>5363</v>
      </c>
      <c r="F630" s="3" t="s">
        <v>402</v>
      </c>
      <c r="I630" s="3" t="s">
        <v>4064</v>
      </c>
    </row>
    <row r="631" spans="2:9" hidden="1" x14ac:dyDescent="0.4">
      <c r="B631" s="8" t="s">
        <v>517</v>
      </c>
      <c r="C631" s="3" t="s">
        <v>2894</v>
      </c>
      <c r="D631" s="3" t="s">
        <v>3135</v>
      </c>
      <c r="E631" s="3">
        <v>1</v>
      </c>
      <c r="F631" s="3" t="s">
        <v>402</v>
      </c>
      <c r="I631" s="3" t="s">
        <v>245</v>
      </c>
    </row>
    <row r="632" spans="2:9" hidden="1" x14ac:dyDescent="0.4">
      <c r="B632" s="8" t="s">
        <v>517</v>
      </c>
      <c r="C632" s="3" t="s">
        <v>4641</v>
      </c>
      <c r="D632" s="3" t="s">
        <v>4885</v>
      </c>
      <c r="F632" s="3" t="s">
        <v>399</v>
      </c>
      <c r="I632" s="3" t="s">
        <v>4064</v>
      </c>
    </row>
    <row r="633" spans="2:9" hidden="1" x14ac:dyDescent="0.4">
      <c r="B633" s="8" t="s">
        <v>517</v>
      </c>
      <c r="C633" s="3" t="s">
        <v>5130</v>
      </c>
      <c r="D633" s="3" t="s">
        <v>5453</v>
      </c>
      <c r="F633" s="3" t="s">
        <v>402</v>
      </c>
      <c r="I633" s="3" t="s">
        <v>4064</v>
      </c>
    </row>
    <row r="634" spans="2:9" hidden="1" x14ac:dyDescent="0.4">
      <c r="B634" s="8" t="s">
        <v>517</v>
      </c>
      <c r="C634" s="3" t="s">
        <v>4159</v>
      </c>
      <c r="D634" s="3" t="s">
        <v>3765</v>
      </c>
      <c r="F634" s="3" t="s">
        <v>399</v>
      </c>
      <c r="G634" s="3" t="s">
        <v>402</v>
      </c>
      <c r="I634" s="3" t="s">
        <v>4064</v>
      </c>
    </row>
    <row r="635" spans="2:9" hidden="1" x14ac:dyDescent="0.4">
      <c r="B635" s="8" t="s">
        <v>517</v>
      </c>
      <c r="C635" s="3" t="s">
        <v>3457</v>
      </c>
      <c r="D635" s="3" t="s">
        <v>3765</v>
      </c>
      <c r="F635" s="3" t="s">
        <v>399</v>
      </c>
      <c r="G635" s="3" t="s">
        <v>402</v>
      </c>
      <c r="I635" s="3" t="s">
        <v>4063</v>
      </c>
    </row>
    <row r="636" spans="2:9" hidden="1" x14ac:dyDescent="0.4">
      <c r="B636" s="8" t="s">
        <v>517</v>
      </c>
      <c r="C636" s="3" t="s">
        <v>5989</v>
      </c>
      <c r="D636" s="3" t="s">
        <v>4885</v>
      </c>
      <c r="F636" s="3" t="s">
        <v>399</v>
      </c>
      <c r="I636" s="3" t="s">
        <v>4063</v>
      </c>
    </row>
    <row r="637" spans="2:9" hidden="1" x14ac:dyDescent="0.4">
      <c r="B637" s="8" t="s">
        <v>517</v>
      </c>
      <c r="C637" s="3" t="s">
        <v>6337</v>
      </c>
      <c r="D637" s="3" t="s">
        <v>5453</v>
      </c>
      <c r="F637" s="3" t="s">
        <v>402</v>
      </c>
      <c r="I637" s="3" t="s">
        <v>4063</v>
      </c>
    </row>
    <row r="638" spans="2:9" hidden="1" x14ac:dyDescent="0.4">
      <c r="B638" s="8" t="s">
        <v>517</v>
      </c>
      <c r="C638" s="3" t="s">
        <v>3413</v>
      </c>
      <c r="D638" s="3" t="s">
        <v>3722</v>
      </c>
      <c r="F638" s="3" t="s">
        <v>399</v>
      </c>
      <c r="G638" s="3" t="s">
        <v>402</v>
      </c>
      <c r="I638" s="3" t="s">
        <v>4063</v>
      </c>
    </row>
    <row r="639" spans="2:9" hidden="1" x14ac:dyDescent="0.4">
      <c r="B639" s="8" t="s">
        <v>517</v>
      </c>
      <c r="C639" s="3" t="s">
        <v>5985</v>
      </c>
      <c r="D639" s="3" t="s">
        <v>4738</v>
      </c>
      <c r="F639" s="3" t="s">
        <v>399</v>
      </c>
      <c r="I639" s="3" t="s">
        <v>4063</v>
      </c>
    </row>
    <row r="640" spans="2:9" hidden="1" x14ac:dyDescent="0.4">
      <c r="B640" s="8" t="s">
        <v>517</v>
      </c>
      <c r="C640" s="3" t="s">
        <v>6333</v>
      </c>
      <c r="D640" s="3" t="s">
        <v>5411</v>
      </c>
      <c r="F640" s="3" t="s">
        <v>402</v>
      </c>
      <c r="I640" s="3" t="s">
        <v>4063</v>
      </c>
    </row>
    <row r="641" spans="2:9" hidden="1" x14ac:dyDescent="0.4">
      <c r="B641" s="8" t="s">
        <v>529</v>
      </c>
      <c r="C641" s="3" t="s">
        <v>1923</v>
      </c>
      <c r="D641" s="3" t="s">
        <v>1955</v>
      </c>
      <c r="F641" s="3" t="s">
        <v>402</v>
      </c>
      <c r="I641" s="3" t="s">
        <v>1865</v>
      </c>
    </row>
    <row r="642" spans="2:9" hidden="1" x14ac:dyDescent="0.4">
      <c r="B642" s="8" t="s">
        <v>1976</v>
      </c>
      <c r="C642" s="3" t="s">
        <v>1975</v>
      </c>
      <c r="D642" s="3" t="s">
        <v>1983</v>
      </c>
      <c r="F642" s="3" t="s">
        <v>399</v>
      </c>
      <c r="I642" s="3" t="s">
        <v>1968</v>
      </c>
    </row>
    <row r="643" spans="2:9" hidden="1" x14ac:dyDescent="0.4">
      <c r="B643" s="8" t="s">
        <v>517</v>
      </c>
      <c r="C643" s="3" t="s">
        <v>3012</v>
      </c>
      <c r="D643" s="3" t="s">
        <v>3248</v>
      </c>
      <c r="E643" s="3">
        <v>1</v>
      </c>
      <c r="F643" s="3" t="s">
        <v>402</v>
      </c>
      <c r="G643" s="3" t="s">
        <v>399</v>
      </c>
      <c r="I643" s="3" t="s">
        <v>245</v>
      </c>
    </row>
    <row r="644" spans="2:9" hidden="1" x14ac:dyDescent="0.4">
      <c r="B644" s="8" t="s">
        <v>516</v>
      </c>
      <c r="C644" s="3" t="s">
        <v>1310</v>
      </c>
      <c r="D644" s="3" t="s">
        <v>1311</v>
      </c>
      <c r="E644" s="3" t="s">
        <v>1272</v>
      </c>
      <c r="F644" s="3" t="s">
        <v>399</v>
      </c>
      <c r="I644" s="3" t="s">
        <v>420</v>
      </c>
    </row>
    <row r="645" spans="2:9" hidden="1" x14ac:dyDescent="0.4">
      <c r="B645" s="8" t="s">
        <v>517</v>
      </c>
      <c r="C645" s="3" t="s">
        <v>3596</v>
      </c>
      <c r="D645" s="3" t="s">
        <v>3895</v>
      </c>
      <c r="F645" s="3" t="s">
        <v>399</v>
      </c>
      <c r="G645" s="3" t="s">
        <v>402</v>
      </c>
      <c r="I645" s="3" t="s">
        <v>4063</v>
      </c>
    </row>
    <row r="646" spans="2:9" hidden="1" x14ac:dyDescent="0.4">
      <c r="B646" s="8" t="s">
        <v>517</v>
      </c>
      <c r="C646" s="3" t="s">
        <v>3596</v>
      </c>
      <c r="D646" s="3" t="s">
        <v>3895</v>
      </c>
      <c r="F646" s="3" t="s">
        <v>399</v>
      </c>
      <c r="G646" s="3" t="s">
        <v>402</v>
      </c>
      <c r="I646" s="3" t="s">
        <v>4064</v>
      </c>
    </row>
    <row r="647" spans="2:9" hidden="1" x14ac:dyDescent="0.4">
      <c r="B647" s="8" t="s">
        <v>517</v>
      </c>
      <c r="C647" s="3" t="s">
        <v>4679</v>
      </c>
      <c r="D647" s="3" t="s">
        <v>4984</v>
      </c>
      <c r="F647" s="3" t="s">
        <v>399</v>
      </c>
      <c r="I647" s="3" t="s">
        <v>4064</v>
      </c>
    </row>
    <row r="648" spans="2:9" hidden="1" x14ac:dyDescent="0.4">
      <c r="B648" s="8" t="s">
        <v>517</v>
      </c>
      <c r="C648" s="3" t="s">
        <v>5270</v>
      </c>
      <c r="D648" s="3" t="s">
        <v>5591</v>
      </c>
      <c r="F648" s="3" t="s">
        <v>402</v>
      </c>
      <c r="I648" s="3" t="s">
        <v>4064</v>
      </c>
    </row>
    <row r="649" spans="2:9" hidden="1" x14ac:dyDescent="0.4">
      <c r="B649" s="8" t="s">
        <v>517</v>
      </c>
      <c r="C649" s="3" t="s">
        <v>5898</v>
      </c>
      <c r="D649" s="3" t="s">
        <v>4984</v>
      </c>
      <c r="F649" s="3" t="s">
        <v>399</v>
      </c>
      <c r="I649" s="3" t="s">
        <v>4063</v>
      </c>
    </row>
    <row r="650" spans="2:9" hidden="1" x14ac:dyDescent="0.4">
      <c r="B650" s="8" t="s">
        <v>517</v>
      </c>
      <c r="C650" s="3" t="s">
        <v>6244</v>
      </c>
      <c r="D650" s="3" t="s">
        <v>5591</v>
      </c>
      <c r="F650" s="3" t="s">
        <v>402</v>
      </c>
      <c r="I650" s="3" t="s">
        <v>4063</v>
      </c>
    </row>
    <row r="651" spans="2:9" hidden="1" x14ac:dyDescent="0.4">
      <c r="B651" s="8">
        <v>0</v>
      </c>
      <c r="C651" s="3" t="s">
        <v>52</v>
      </c>
      <c r="D651" s="3" t="s">
        <v>114</v>
      </c>
      <c r="F651" s="3" t="s">
        <v>825</v>
      </c>
      <c r="I651" s="3" t="s">
        <v>252</v>
      </c>
    </row>
    <row r="652" spans="2:9" hidden="1" x14ac:dyDescent="0.4">
      <c r="B652" s="8" t="s">
        <v>517</v>
      </c>
      <c r="C652" s="3" t="s">
        <v>45</v>
      </c>
      <c r="D652" s="3" t="s">
        <v>108</v>
      </c>
      <c r="F652" s="3" t="s">
        <v>400</v>
      </c>
      <c r="I652" s="3" t="s">
        <v>252</v>
      </c>
    </row>
    <row r="653" spans="2:9" hidden="1" x14ac:dyDescent="0.4">
      <c r="B653" s="8" t="s">
        <v>517</v>
      </c>
      <c r="C653" s="3" t="s">
        <v>49</v>
      </c>
      <c r="D653" s="3" t="s">
        <v>112</v>
      </c>
      <c r="F653" s="3" t="s">
        <v>400</v>
      </c>
      <c r="I653" s="3" t="s">
        <v>252</v>
      </c>
    </row>
    <row r="654" spans="2:9" hidden="1" x14ac:dyDescent="0.4">
      <c r="B654" s="8" t="s">
        <v>517</v>
      </c>
      <c r="C654" s="3" t="s">
        <v>41</v>
      </c>
      <c r="D654" s="3" t="s">
        <v>104</v>
      </c>
      <c r="F654" s="3" t="s">
        <v>400</v>
      </c>
      <c r="I654" s="3" t="s">
        <v>252</v>
      </c>
    </row>
    <row r="655" spans="2:9" hidden="1" x14ac:dyDescent="0.4">
      <c r="B655" s="8" t="s">
        <v>519</v>
      </c>
      <c r="C655" s="3" t="s">
        <v>3659</v>
      </c>
      <c r="D655" s="3" t="s">
        <v>3952</v>
      </c>
      <c r="E655" s="3" t="s">
        <v>1272</v>
      </c>
      <c r="F655" s="3" t="s">
        <v>399</v>
      </c>
      <c r="G655" s="3" t="s">
        <v>402</v>
      </c>
      <c r="I655" s="3" t="s">
        <v>4362</v>
      </c>
    </row>
    <row r="656" spans="2:9" hidden="1" x14ac:dyDescent="0.4">
      <c r="B656" s="8" t="s">
        <v>517</v>
      </c>
      <c r="C656" s="3" t="s">
        <v>37</v>
      </c>
      <c r="D656" s="3" t="s">
        <v>100</v>
      </c>
      <c r="F656" s="3" t="s">
        <v>400</v>
      </c>
      <c r="I656" s="3" t="s">
        <v>252</v>
      </c>
    </row>
    <row r="657" spans="2:9" ht="29.25" hidden="1" x14ac:dyDescent="0.4">
      <c r="B657" s="8" t="s">
        <v>514</v>
      </c>
      <c r="C657" s="3" t="s">
        <v>145</v>
      </c>
      <c r="D657" s="3" t="s">
        <v>156</v>
      </c>
      <c r="F657" s="3" t="s">
        <v>825</v>
      </c>
      <c r="I657" s="3" t="s">
        <v>252</v>
      </c>
    </row>
    <row r="658" spans="2:9" hidden="1" x14ac:dyDescent="0.4">
      <c r="B658" s="8" t="s">
        <v>515</v>
      </c>
      <c r="C658" s="3" t="s">
        <v>144</v>
      </c>
      <c r="D658" s="3" t="s">
        <v>155</v>
      </c>
      <c r="F658" s="3" t="s">
        <v>825</v>
      </c>
      <c r="I658" s="3" t="s">
        <v>252</v>
      </c>
    </row>
    <row r="659" spans="2:9" hidden="1" x14ac:dyDescent="0.4">
      <c r="B659" s="8" t="s">
        <v>517</v>
      </c>
      <c r="C659" s="3" t="s">
        <v>3597</v>
      </c>
      <c r="D659" s="3" t="s">
        <v>3895</v>
      </c>
      <c r="F659" s="3" t="s">
        <v>399</v>
      </c>
      <c r="G659" s="3" t="s">
        <v>402</v>
      </c>
      <c r="I659" s="3" t="s">
        <v>4063</v>
      </c>
    </row>
    <row r="660" spans="2:9" hidden="1" x14ac:dyDescent="0.4">
      <c r="B660" s="8" t="s">
        <v>517</v>
      </c>
      <c r="C660" s="3" t="s">
        <v>3597</v>
      </c>
      <c r="D660" s="3" t="s">
        <v>3895</v>
      </c>
      <c r="F660" s="3" t="s">
        <v>399</v>
      </c>
      <c r="G660" s="3" t="s">
        <v>402</v>
      </c>
      <c r="I660" s="3" t="s">
        <v>4064</v>
      </c>
    </row>
    <row r="661" spans="2:9" hidden="1" x14ac:dyDescent="0.4">
      <c r="B661" s="8" t="s">
        <v>517</v>
      </c>
      <c r="C661" s="3" t="s">
        <v>6007</v>
      </c>
      <c r="D661" s="3" t="s">
        <v>4984</v>
      </c>
      <c r="F661" s="3" t="s">
        <v>399</v>
      </c>
      <c r="I661" s="3" t="s">
        <v>4063</v>
      </c>
    </row>
    <row r="662" spans="2:9" hidden="1" x14ac:dyDescent="0.4">
      <c r="B662" s="8" t="s">
        <v>517</v>
      </c>
      <c r="C662" s="3" t="s">
        <v>6356</v>
      </c>
      <c r="D662" s="3" t="s">
        <v>5591</v>
      </c>
      <c r="F662" s="3" t="s">
        <v>402</v>
      </c>
      <c r="I662" s="3" t="s">
        <v>4063</v>
      </c>
    </row>
    <row r="663" spans="2:9" hidden="1" x14ac:dyDescent="0.4">
      <c r="B663" s="8" t="s">
        <v>517</v>
      </c>
      <c r="C663" s="3" t="s">
        <v>4492</v>
      </c>
      <c r="D663" s="3" t="s">
        <v>4984</v>
      </c>
      <c r="F663" s="3" t="s">
        <v>399</v>
      </c>
      <c r="I663" s="3" t="s">
        <v>4064</v>
      </c>
    </row>
    <row r="664" spans="2:9" hidden="1" x14ac:dyDescent="0.4">
      <c r="B664" s="8" t="s">
        <v>517</v>
      </c>
      <c r="C664" s="3" t="s">
        <v>5271</v>
      </c>
      <c r="D664" s="3" t="s">
        <v>5591</v>
      </c>
      <c r="F664" s="3" t="s">
        <v>402</v>
      </c>
      <c r="I664" s="3" t="s">
        <v>4064</v>
      </c>
    </row>
    <row r="665" spans="2:9" hidden="1" x14ac:dyDescent="0.4">
      <c r="B665" s="8" t="s">
        <v>517</v>
      </c>
      <c r="C665" s="3" t="s">
        <v>4184</v>
      </c>
      <c r="D665" s="3" t="s">
        <v>3983</v>
      </c>
      <c r="F665" s="3" t="s">
        <v>399</v>
      </c>
      <c r="G665" s="3" t="s">
        <v>402</v>
      </c>
      <c r="I665" s="3" t="s">
        <v>4064</v>
      </c>
    </row>
    <row r="666" spans="2:9" hidden="1" x14ac:dyDescent="0.4">
      <c r="B666" s="8" t="s">
        <v>517</v>
      </c>
      <c r="C666" s="3" t="s">
        <v>4651</v>
      </c>
      <c r="D666" s="3" t="s">
        <v>4940</v>
      </c>
      <c r="F666" s="3" t="s">
        <v>399</v>
      </c>
      <c r="I666" s="3" t="s">
        <v>4064</v>
      </c>
    </row>
    <row r="667" spans="2:9" hidden="1" x14ac:dyDescent="0.4">
      <c r="B667" s="8" t="s">
        <v>517</v>
      </c>
      <c r="C667" s="3" t="s">
        <v>5159</v>
      </c>
      <c r="D667" s="3" t="s">
        <v>5480</v>
      </c>
      <c r="F667" s="3" t="s">
        <v>402</v>
      </c>
      <c r="I667" s="3" t="s">
        <v>4064</v>
      </c>
    </row>
    <row r="668" spans="2:9" hidden="1" x14ac:dyDescent="0.4">
      <c r="B668" s="8" t="s">
        <v>517</v>
      </c>
      <c r="C668" s="3" t="s">
        <v>3485</v>
      </c>
      <c r="D668" s="3" t="s">
        <v>3983</v>
      </c>
      <c r="F668" s="3" t="s">
        <v>399</v>
      </c>
      <c r="G668" s="3" t="s">
        <v>402</v>
      </c>
      <c r="I668" s="3" t="s">
        <v>4063</v>
      </c>
    </row>
    <row r="669" spans="2:9" hidden="1" x14ac:dyDescent="0.4">
      <c r="B669" s="8" t="s">
        <v>517</v>
      </c>
      <c r="C669" s="3" t="s">
        <v>5808</v>
      </c>
      <c r="D669" s="3" t="s">
        <v>4940</v>
      </c>
      <c r="F669" s="3" t="s">
        <v>399</v>
      </c>
      <c r="I669" s="3" t="s">
        <v>4063</v>
      </c>
    </row>
    <row r="670" spans="2:9" hidden="1" x14ac:dyDescent="0.4">
      <c r="B670" s="8" t="s">
        <v>517</v>
      </c>
      <c r="C670" s="3" t="s">
        <v>6151</v>
      </c>
      <c r="D670" s="3" t="s">
        <v>5480</v>
      </c>
      <c r="F670" s="3" t="s">
        <v>402</v>
      </c>
      <c r="I670" s="3" t="s">
        <v>4063</v>
      </c>
    </row>
    <row r="671" spans="2:9" hidden="1" x14ac:dyDescent="0.4">
      <c r="B671" s="8" t="s">
        <v>518</v>
      </c>
      <c r="C671" s="3" t="s">
        <v>2881</v>
      </c>
      <c r="D671" s="3" t="s">
        <v>3123</v>
      </c>
      <c r="E671" s="3">
        <v>1</v>
      </c>
      <c r="F671" s="3" t="s">
        <v>402</v>
      </c>
      <c r="G671" s="3" t="s">
        <v>988</v>
      </c>
      <c r="I671" s="3" t="s">
        <v>245</v>
      </c>
    </row>
    <row r="672" spans="2:9" hidden="1" x14ac:dyDescent="0.4">
      <c r="B672" s="8" t="s">
        <v>517</v>
      </c>
      <c r="C672" s="3" t="s">
        <v>2294</v>
      </c>
      <c r="D672" s="3" t="s">
        <v>2367</v>
      </c>
      <c r="E672" s="3" t="s">
        <v>432</v>
      </c>
      <c r="F672" s="3" t="s">
        <v>399</v>
      </c>
      <c r="I672" s="3" t="s">
        <v>1842</v>
      </c>
    </row>
    <row r="673" spans="2:9" hidden="1" x14ac:dyDescent="0.4">
      <c r="B673" s="8" t="s">
        <v>529</v>
      </c>
      <c r="C673" s="3" t="s">
        <v>4329</v>
      </c>
      <c r="D673" s="3" t="s">
        <v>3962</v>
      </c>
      <c r="F673" s="3" t="s">
        <v>399</v>
      </c>
      <c r="G673" s="3" t="s">
        <v>402</v>
      </c>
      <c r="I673" s="3" t="s">
        <v>4064</v>
      </c>
    </row>
    <row r="674" spans="2:9" hidden="1" x14ac:dyDescent="0.4">
      <c r="B674" s="8" t="s">
        <v>529</v>
      </c>
      <c r="C674" s="3" t="s">
        <v>3961</v>
      </c>
      <c r="D674" s="3" t="s">
        <v>3962</v>
      </c>
      <c r="F674" s="3" t="s">
        <v>399</v>
      </c>
      <c r="G674" s="3" t="s">
        <v>402</v>
      </c>
      <c r="I674" s="3" t="s">
        <v>4063</v>
      </c>
    </row>
    <row r="675" spans="2:9" hidden="1" x14ac:dyDescent="0.4">
      <c r="B675" s="8" t="s">
        <v>4055</v>
      </c>
      <c r="C675" s="3" t="s">
        <v>3963</v>
      </c>
      <c r="D675" s="3" t="s">
        <v>3962</v>
      </c>
      <c r="F675" s="3" t="s">
        <v>399</v>
      </c>
      <c r="G675" s="3" t="s">
        <v>402</v>
      </c>
      <c r="I675" s="3" t="s">
        <v>4063</v>
      </c>
    </row>
    <row r="676" spans="2:9" hidden="1" x14ac:dyDescent="0.4">
      <c r="B676" s="8" t="s">
        <v>529</v>
      </c>
      <c r="C676" s="3" t="s">
        <v>5955</v>
      </c>
      <c r="D676" s="3" t="s">
        <v>4906</v>
      </c>
      <c r="F676" s="3" t="s">
        <v>399</v>
      </c>
      <c r="I676" s="3" t="s">
        <v>4063</v>
      </c>
    </row>
    <row r="677" spans="2:9" hidden="1" x14ac:dyDescent="0.4">
      <c r="B677" s="8" t="s">
        <v>529</v>
      </c>
      <c r="C677" s="3" t="s">
        <v>6302</v>
      </c>
      <c r="D677" s="3" t="s">
        <v>5652</v>
      </c>
      <c r="F677" s="3" t="s">
        <v>402</v>
      </c>
      <c r="I677" s="3" t="s">
        <v>4063</v>
      </c>
    </row>
    <row r="678" spans="2:9" hidden="1" x14ac:dyDescent="0.4">
      <c r="B678" s="8" t="s">
        <v>4055</v>
      </c>
      <c r="C678" s="3" t="s">
        <v>6303</v>
      </c>
      <c r="D678" s="3" t="s">
        <v>5652</v>
      </c>
      <c r="F678" s="3" t="s">
        <v>402</v>
      </c>
      <c r="I678" s="3" t="s">
        <v>4063</v>
      </c>
    </row>
    <row r="679" spans="2:9" hidden="1" x14ac:dyDescent="0.4">
      <c r="B679" s="8" t="s">
        <v>4055</v>
      </c>
      <c r="C679" s="3" t="s">
        <v>5956</v>
      </c>
      <c r="D679" s="3" t="s">
        <v>4906</v>
      </c>
      <c r="F679" s="3" t="s">
        <v>399</v>
      </c>
      <c r="I679" s="3" t="s">
        <v>4063</v>
      </c>
    </row>
    <row r="680" spans="2:9" hidden="1" x14ac:dyDescent="0.4">
      <c r="B680" s="8" t="s">
        <v>529</v>
      </c>
      <c r="C680" s="3" t="s">
        <v>4526</v>
      </c>
      <c r="D680" s="3" t="s">
        <v>4906</v>
      </c>
      <c r="F680" s="3" t="s">
        <v>399</v>
      </c>
      <c r="I680" s="3" t="s">
        <v>4064</v>
      </c>
    </row>
    <row r="681" spans="2:9" hidden="1" x14ac:dyDescent="0.4">
      <c r="B681" s="8" t="s">
        <v>529</v>
      </c>
      <c r="C681" s="3" t="s">
        <v>5333</v>
      </c>
      <c r="D681" s="3" t="s">
        <v>5652</v>
      </c>
      <c r="F681" s="3" t="s">
        <v>402</v>
      </c>
      <c r="I681" s="3" t="s">
        <v>4064</v>
      </c>
    </row>
    <row r="682" spans="2:9" hidden="1" x14ac:dyDescent="0.4">
      <c r="B682" s="8" t="s">
        <v>4055</v>
      </c>
      <c r="C682" s="3" t="s">
        <v>4330</v>
      </c>
      <c r="D682" s="3" t="s">
        <v>3962</v>
      </c>
      <c r="F682" s="3" t="s">
        <v>399</v>
      </c>
      <c r="G682" s="3" t="s">
        <v>402</v>
      </c>
      <c r="I682" s="3" t="s">
        <v>4064</v>
      </c>
    </row>
    <row r="683" spans="2:9" hidden="1" x14ac:dyDescent="0.4">
      <c r="B683" s="8" t="s">
        <v>517</v>
      </c>
      <c r="C683" s="3" t="s">
        <v>4189</v>
      </c>
      <c r="D683" s="3" t="s">
        <v>3785</v>
      </c>
      <c r="F683" s="3" t="s">
        <v>399</v>
      </c>
      <c r="G683" s="3" t="s">
        <v>402</v>
      </c>
      <c r="I683" s="3" t="s">
        <v>4064</v>
      </c>
    </row>
    <row r="684" spans="2:9" hidden="1" x14ac:dyDescent="0.4">
      <c r="B684" s="8" t="s">
        <v>517</v>
      </c>
      <c r="C684" s="3" t="s">
        <v>4188</v>
      </c>
      <c r="D684" s="3" t="s">
        <v>3785</v>
      </c>
      <c r="F684" s="3" t="s">
        <v>399</v>
      </c>
      <c r="G684" s="3" t="s">
        <v>402</v>
      </c>
      <c r="I684" s="3" t="s">
        <v>4064</v>
      </c>
    </row>
    <row r="685" spans="2:9" hidden="1" x14ac:dyDescent="0.4">
      <c r="B685" s="8" t="s">
        <v>517</v>
      </c>
      <c r="C685" s="3" t="s">
        <v>4421</v>
      </c>
      <c r="D685" s="3" t="s">
        <v>4900</v>
      </c>
      <c r="F685" s="3" t="s">
        <v>399</v>
      </c>
      <c r="I685" s="3" t="s">
        <v>4064</v>
      </c>
    </row>
    <row r="686" spans="2:9" hidden="1" x14ac:dyDescent="0.4">
      <c r="B686" s="8" t="s">
        <v>517</v>
      </c>
      <c r="C686" s="3" t="s">
        <v>4420</v>
      </c>
      <c r="D686" s="3" t="s">
        <v>4901</v>
      </c>
      <c r="F686" s="3" t="s">
        <v>399</v>
      </c>
      <c r="I686" s="3" t="s">
        <v>4064</v>
      </c>
    </row>
    <row r="687" spans="2:9" hidden="1" x14ac:dyDescent="0.4">
      <c r="B687" s="8" t="s">
        <v>517</v>
      </c>
      <c r="C687" s="3" t="s">
        <v>5152</v>
      </c>
      <c r="D687" s="3" t="s">
        <v>5473</v>
      </c>
      <c r="F687" s="3" t="s">
        <v>402</v>
      </c>
      <c r="I687" s="3" t="s">
        <v>4064</v>
      </c>
    </row>
    <row r="688" spans="2:9" hidden="1" x14ac:dyDescent="0.4">
      <c r="B688" s="8" t="s">
        <v>517</v>
      </c>
      <c r="C688" s="3" t="s">
        <v>5151</v>
      </c>
      <c r="D688" s="3" t="s">
        <v>5473</v>
      </c>
      <c r="F688" s="3" t="s">
        <v>402</v>
      </c>
      <c r="I688" s="3" t="s">
        <v>4064</v>
      </c>
    </row>
    <row r="689" spans="2:9" hidden="1" x14ac:dyDescent="0.4">
      <c r="B689" s="8" t="s">
        <v>517</v>
      </c>
      <c r="C689" s="3" t="s">
        <v>3479</v>
      </c>
      <c r="D689" s="3" t="s">
        <v>3785</v>
      </c>
      <c r="F689" s="3" t="s">
        <v>399</v>
      </c>
      <c r="G689" s="3" t="s">
        <v>402</v>
      </c>
      <c r="I689" s="3" t="s">
        <v>4063</v>
      </c>
    </row>
    <row r="690" spans="2:9" hidden="1" x14ac:dyDescent="0.4">
      <c r="B690" s="8" t="s">
        <v>517</v>
      </c>
      <c r="C690" s="3" t="s">
        <v>3478</v>
      </c>
      <c r="D690" s="3" t="s">
        <v>3785</v>
      </c>
      <c r="F690" s="3" t="s">
        <v>399</v>
      </c>
      <c r="G690" s="3" t="s">
        <v>402</v>
      </c>
      <c r="I690" s="3" t="s">
        <v>4063</v>
      </c>
    </row>
    <row r="691" spans="2:9" hidden="1" x14ac:dyDescent="0.4">
      <c r="B691" s="8" t="s">
        <v>517</v>
      </c>
      <c r="C691" s="3" t="s">
        <v>5801</v>
      </c>
      <c r="D691" s="3" t="s">
        <v>4900</v>
      </c>
      <c r="F691" s="3" t="s">
        <v>399</v>
      </c>
      <c r="I691" s="3" t="s">
        <v>4063</v>
      </c>
    </row>
    <row r="692" spans="2:9" hidden="1" x14ac:dyDescent="0.4">
      <c r="B692" s="8" t="s">
        <v>517</v>
      </c>
      <c r="C692" s="3" t="s">
        <v>5800</v>
      </c>
      <c r="D692" s="3" t="s">
        <v>4901</v>
      </c>
      <c r="F692" s="3" t="s">
        <v>399</v>
      </c>
      <c r="I692" s="3" t="s">
        <v>4063</v>
      </c>
    </row>
    <row r="693" spans="2:9" hidden="1" x14ac:dyDescent="0.4">
      <c r="B693" s="8" t="s">
        <v>517</v>
      </c>
      <c r="C693" s="3" t="s">
        <v>6144</v>
      </c>
      <c r="D693" s="3" t="s">
        <v>5473</v>
      </c>
      <c r="F693" s="3" t="s">
        <v>402</v>
      </c>
      <c r="I693" s="3" t="s">
        <v>4063</v>
      </c>
    </row>
    <row r="694" spans="2:9" hidden="1" x14ac:dyDescent="0.4">
      <c r="B694" s="8" t="s">
        <v>517</v>
      </c>
      <c r="C694" s="3" t="s">
        <v>6143</v>
      </c>
      <c r="D694" s="3" t="s">
        <v>5473</v>
      </c>
      <c r="F694" s="3" t="s">
        <v>402</v>
      </c>
      <c r="I694" s="3" t="s">
        <v>4063</v>
      </c>
    </row>
    <row r="695" spans="2:9" hidden="1" x14ac:dyDescent="0.4">
      <c r="B695" s="8" t="s">
        <v>520</v>
      </c>
      <c r="C695" s="3" t="s">
        <v>4326</v>
      </c>
      <c r="D695" s="3" t="s">
        <v>3941</v>
      </c>
      <c r="F695" s="3" t="s">
        <v>399</v>
      </c>
      <c r="G695" s="3" t="s">
        <v>402</v>
      </c>
      <c r="I695" s="3" t="s">
        <v>4064</v>
      </c>
    </row>
    <row r="696" spans="2:9" hidden="1" x14ac:dyDescent="0.4">
      <c r="B696" s="8" t="s">
        <v>520</v>
      </c>
      <c r="C696" s="3" t="s">
        <v>3649</v>
      </c>
      <c r="D696" s="3" t="s">
        <v>3941</v>
      </c>
      <c r="F696" s="3" t="s">
        <v>399</v>
      </c>
      <c r="G696" s="3" t="s">
        <v>402</v>
      </c>
      <c r="I696" s="3" t="s">
        <v>4063</v>
      </c>
    </row>
    <row r="697" spans="2:9" hidden="1" x14ac:dyDescent="0.4">
      <c r="B697" s="8" t="s">
        <v>520</v>
      </c>
      <c r="C697" s="3" t="s">
        <v>5951</v>
      </c>
      <c r="D697" s="3" t="s">
        <v>4936</v>
      </c>
      <c r="F697" s="3" t="s">
        <v>399</v>
      </c>
      <c r="I697" s="3" t="s">
        <v>4063</v>
      </c>
    </row>
    <row r="698" spans="2:9" hidden="1" x14ac:dyDescent="0.4">
      <c r="B698" s="8" t="s">
        <v>520</v>
      </c>
      <c r="C698" s="3" t="s">
        <v>6298</v>
      </c>
      <c r="D698" s="3" t="s">
        <v>5648</v>
      </c>
      <c r="F698" s="3" t="s">
        <v>402</v>
      </c>
      <c r="I698" s="3" t="s">
        <v>4063</v>
      </c>
    </row>
    <row r="699" spans="2:9" hidden="1" x14ac:dyDescent="0.4">
      <c r="B699" s="8" t="s">
        <v>520</v>
      </c>
      <c r="C699" s="3" t="s">
        <v>4522</v>
      </c>
      <c r="D699" s="3" t="s">
        <v>4936</v>
      </c>
      <c r="F699" s="3" t="s">
        <v>399</v>
      </c>
      <c r="I699" s="3" t="s">
        <v>4064</v>
      </c>
    </row>
    <row r="700" spans="2:9" hidden="1" x14ac:dyDescent="0.4">
      <c r="B700" s="8" t="s">
        <v>520</v>
      </c>
      <c r="C700" s="3" t="s">
        <v>5328</v>
      </c>
      <c r="D700" s="3" t="s">
        <v>5648</v>
      </c>
      <c r="F700" s="3" t="s">
        <v>402</v>
      </c>
      <c r="I700" s="3" t="s">
        <v>4064</v>
      </c>
    </row>
    <row r="701" spans="2:9" hidden="1" x14ac:dyDescent="0.4">
      <c r="B701" s="8" t="s">
        <v>518</v>
      </c>
      <c r="C701" s="3" t="s">
        <v>438</v>
      </c>
      <c r="D701" s="3" t="s">
        <v>476</v>
      </c>
      <c r="F701" s="3" t="s">
        <v>430</v>
      </c>
      <c r="I701" s="3" t="s">
        <v>431</v>
      </c>
    </row>
    <row r="702" spans="2:9" hidden="1" x14ac:dyDescent="0.4">
      <c r="B702" s="8" t="s">
        <v>517</v>
      </c>
      <c r="C702" s="3" t="s">
        <v>3045</v>
      </c>
      <c r="D702" s="3" t="s">
        <v>3280</v>
      </c>
      <c r="E702" s="3">
        <v>1</v>
      </c>
      <c r="F702" s="3" t="s">
        <v>3350</v>
      </c>
      <c r="G702" s="3" t="s">
        <v>399</v>
      </c>
      <c r="H702" s="3" t="s">
        <v>988</v>
      </c>
      <c r="I702" s="3" t="s">
        <v>245</v>
      </c>
    </row>
    <row r="703" spans="2:9" hidden="1" x14ac:dyDescent="0.4">
      <c r="B703" s="8" t="s">
        <v>517</v>
      </c>
      <c r="C703" s="3" t="s">
        <v>332</v>
      </c>
      <c r="D703" s="3" t="s">
        <v>569</v>
      </c>
      <c r="F703" s="3" t="s">
        <v>399</v>
      </c>
      <c r="I703" s="3" t="s">
        <v>267</v>
      </c>
    </row>
    <row r="704" spans="2:9" hidden="1" x14ac:dyDescent="0.4">
      <c r="B704" s="8" t="s">
        <v>517</v>
      </c>
      <c r="C704" s="3" t="s">
        <v>2888</v>
      </c>
      <c r="D704" s="3" t="s">
        <v>3343</v>
      </c>
      <c r="E704" s="3">
        <v>1</v>
      </c>
      <c r="F704" s="3" t="s">
        <v>402</v>
      </c>
      <c r="G704" s="3" t="s">
        <v>399</v>
      </c>
      <c r="I704" s="3" t="s">
        <v>245</v>
      </c>
    </row>
    <row r="705" spans="2:9" hidden="1" x14ac:dyDescent="0.4">
      <c r="B705" s="8" t="s">
        <v>518</v>
      </c>
      <c r="C705" s="3" t="s">
        <v>2884</v>
      </c>
      <c r="D705" s="3" t="s">
        <v>3127</v>
      </c>
      <c r="E705" s="3">
        <v>1</v>
      </c>
      <c r="F705" s="3" t="s">
        <v>402</v>
      </c>
      <c r="I705" s="3" t="s">
        <v>245</v>
      </c>
    </row>
    <row r="706" spans="2:9" hidden="1" x14ac:dyDescent="0.4">
      <c r="B706" s="8" t="s">
        <v>517</v>
      </c>
      <c r="C706" s="3" t="s">
        <v>4126</v>
      </c>
      <c r="D706" s="3" t="s">
        <v>3722</v>
      </c>
      <c r="F706" s="3" t="s">
        <v>399</v>
      </c>
      <c r="G706" s="3" t="s">
        <v>402</v>
      </c>
      <c r="I706" s="3" t="s">
        <v>4064</v>
      </c>
    </row>
    <row r="707" spans="2:9" hidden="1" x14ac:dyDescent="0.4">
      <c r="B707" s="8" t="s">
        <v>517</v>
      </c>
      <c r="C707" s="3" t="s">
        <v>4620</v>
      </c>
      <c r="D707" s="3" t="s">
        <v>4738</v>
      </c>
      <c r="F707" s="3" t="s">
        <v>399</v>
      </c>
      <c r="I707" s="3" t="s">
        <v>4064</v>
      </c>
    </row>
    <row r="708" spans="2:9" hidden="1" x14ac:dyDescent="0.4">
      <c r="B708" s="8" t="s">
        <v>517</v>
      </c>
      <c r="C708" s="3" t="s">
        <v>5088</v>
      </c>
      <c r="D708" s="3" t="s">
        <v>5411</v>
      </c>
      <c r="F708" s="3" t="s">
        <v>402</v>
      </c>
      <c r="I708" s="3" t="s">
        <v>4064</v>
      </c>
    </row>
    <row r="709" spans="2:9" hidden="1" x14ac:dyDescent="0.4">
      <c r="B709" s="8" t="s">
        <v>517</v>
      </c>
      <c r="C709" s="3" t="s">
        <v>3007</v>
      </c>
      <c r="D709" s="3" t="s">
        <v>3243</v>
      </c>
      <c r="E709" s="3">
        <v>1</v>
      </c>
      <c r="F709" s="3" t="s">
        <v>402</v>
      </c>
      <c r="G709" s="3" t="s">
        <v>399</v>
      </c>
      <c r="H709" s="3" t="s">
        <v>988</v>
      </c>
      <c r="I709" s="3" t="s">
        <v>245</v>
      </c>
    </row>
    <row r="710" spans="2:9" hidden="1" x14ac:dyDescent="0.4">
      <c r="B710" s="8" t="s">
        <v>517</v>
      </c>
      <c r="C710" s="3" t="s">
        <v>365</v>
      </c>
      <c r="D710" s="3" t="s">
        <v>389</v>
      </c>
      <c r="F710" s="3" t="s">
        <v>399</v>
      </c>
      <c r="I710" s="3" t="s">
        <v>267</v>
      </c>
    </row>
    <row r="711" spans="2:9" hidden="1" x14ac:dyDescent="0.4">
      <c r="B711" s="8" t="s">
        <v>517</v>
      </c>
      <c r="C711" s="3" t="s">
        <v>4237</v>
      </c>
      <c r="D711" s="3" t="s">
        <v>3850</v>
      </c>
      <c r="F711" s="3" t="s">
        <v>399</v>
      </c>
      <c r="G711" s="3" t="s">
        <v>402</v>
      </c>
      <c r="I711" s="3" t="s">
        <v>4064</v>
      </c>
    </row>
    <row r="712" spans="2:9" hidden="1" x14ac:dyDescent="0.4">
      <c r="B712" s="8" t="s">
        <v>517</v>
      </c>
      <c r="C712" s="3" t="s">
        <v>3542</v>
      </c>
      <c r="D712" s="3" t="s">
        <v>3850</v>
      </c>
      <c r="F712" s="3" t="s">
        <v>399</v>
      </c>
      <c r="G712" s="3" t="s">
        <v>402</v>
      </c>
      <c r="I712" s="3" t="s">
        <v>4063</v>
      </c>
    </row>
    <row r="713" spans="2:9" hidden="1" x14ac:dyDescent="0.4">
      <c r="B713" s="8" t="s">
        <v>517</v>
      </c>
      <c r="C713" s="3" t="s">
        <v>5852</v>
      </c>
      <c r="D713" s="3" t="s">
        <v>4814</v>
      </c>
      <c r="F713" s="3" t="s">
        <v>399</v>
      </c>
      <c r="I713" s="3" t="s">
        <v>4063</v>
      </c>
    </row>
    <row r="714" spans="2:9" hidden="1" x14ac:dyDescent="0.4">
      <c r="B714" s="8" t="s">
        <v>517</v>
      </c>
      <c r="C714" s="3" t="s">
        <v>6197</v>
      </c>
      <c r="D714" s="3" t="s">
        <v>5539</v>
      </c>
      <c r="F714" s="3" t="s">
        <v>402</v>
      </c>
      <c r="I714" s="3" t="s">
        <v>4063</v>
      </c>
    </row>
    <row r="715" spans="2:9" hidden="1" x14ac:dyDescent="0.4">
      <c r="B715" s="8" t="s">
        <v>517</v>
      </c>
      <c r="C715" s="3" t="s">
        <v>4462</v>
      </c>
      <c r="D715" s="3" t="s">
        <v>4814</v>
      </c>
      <c r="F715" s="3" t="s">
        <v>399</v>
      </c>
      <c r="I715" s="3" t="s">
        <v>4064</v>
      </c>
    </row>
    <row r="716" spans="2:9" hidden="1" x14ac:dyDescent="0.4">
      <c r="B716" s="8" t="s">
        <v>517</v>
      </c>
      <c r="C716" s="3" t="s">
        <v>5217</v>
      </c>
      <c r="D716" s="3" t="s">
        <v>5539</v>
      </c>
      <c r="F716" s="3" t="s">
        <v>402</v>
      </c>
      <c r="I716" s="3" t="s">
        <v>4064</v>
      </c>
    </row>
    <row r="717" spans="2:9" hidden="1" x14ac:dyDescent="0.4">
      <c r="B717" s="8" t="s">
        <v>518</v>
      </c>
      <c r="C717" s="3" t="s">
        <v>3015</v>
      </c>
      <c r="D717" s="3" t="s">
        <v>3251</v>
      </c>
      <c r="E717" s="3">
        <v>1</v>
      </c>
      <c r="F717" s="3" t="s">
        <v>402</v>
      </c>
      <c r="G717" s="3" t="s">
        <v>988</v>
      </c>
      <c r="H717" s="3" t="s">
        <v>399</v>
      </c>
      <c r="I717" s="3" t="s">
        <v>245</v>
      </c>
    </row>
    <row r="718" spans="2:9" hidden="1" x14ac:dyDescent="0.4">
      <c r="B718" s="8" t="s">
        <v>517</v>
      </c>
      <c r="C718" s="3" t="s">
        <v>2236</v>
      </c>
      <c r="D718" s="3" t="s">
        <v>2394</v>
      </c>
      <c r="E718" s="3" t="s">
        <v>1272</v>
      </c>
      <c r="F718" s="3" t="s">
        <v>399</v>
      </c>
      <c r="I718" s="3" t="s">
        <v>1833</v>
      </c>
    </row>
    <row r="719" spans="2:9" hidden="1" x14ac:dyDescent="0.4">
      <c r="B719" s="8" t="s">
        <v>517</v>
      </c>
      <c r="C719" s="3" t="s">
        <v>2519</v>
      </c>
      <c r="D719" s="3" t="s">
        <v>2394</v>
      </c>
      <c r="E719" s="3" t="s">
        <v>1272</v>
      </c>
      <c r="F719" s="3" t="s">
        <v>402</v>
      </c>
      <c r="I719" s="3" t="s">
        <v>1833</v>
      </c>
    </row>
    <row r="720" spans="2:9" hidden="1" x14ac:dyDescent="0.4">
      <c r="B720" s="8" t="s">
        <v>517</v>
      </c>
      <c r="C720" s="3" t="s">
        <v>2653</v>
      </c>
      <c r="D720" s="3" t="s">
        <v>2662</v>
      </c>
      <c r="E720" s="3" t="s">
        <v>1272</v>
      </c>
      <c r="F720" s="3" t="s">
        <v>399</v>
      </c>
      <c r="I720" s="3" t="s">
        <v>2370</v>
      </c>
    </row>
    <row r="721" spans="2:9" hidden="1" x14ac:dyDescent="0.4">
      <c r="B721" s="8" t="s">
        <v>517</v>
      </c>
      <c r="C721" s="3" t="s">
        <v>2992</v>
      </c>
      <c r="D721" s="3" t="s">
        <v>3230</v>
      </c>
      <c r="E721" s="3">
        <v>1</v>
      </c>
      <c r="F721" s="3" t="s">
        <v>402</v>
      </c>
      <c r="G721" s="3" t="s">
        <v>988</v>
      </c>
      <c r="H721" s="3" t="s">
        <v>1279</v>
      </c>
      <c r="I721" s="3" t="s">
        <v>245</v>
      </c>
    </row>
    <row r="722" spans="2:9" hidden="1" x14ac:dyDescent="0.4">
      <c r="B722" s="8" t="s">
        <v>518</v>
      </c>
      <c r="C722" s="3" t="s">
        <v>13</v>
      </c>
      <c r="D722" s="3" t="s">
        <v>80</v>
      </c>
      <c r="E722" s="3" t="s">
        <v>425</v>
      </c>
      <c r="F722" s="3" t="s">
        <v>401</v>
      </c>
      <c r="I722" s="3" t="s">
        <v>421</v>
      </c>
    </row>
    <row r="723" spans="2:9" hidden="1" x14ac:dyDescent="0.4">
      <c r="B723" s="8" t="s">
        <v>518</v>
      </c>
      <c r="C723" s="3" t="s">
        <v>3054</v>
      </c>
      <c r="D723" s="3" t="s">
        <v>3289</v>
      </c>
      <c r="E723" s="3">
        <v>1</v>
      </c>
      <c r="F723" s="3" t="s">
        <v>402</v>
      </c>
      <c r="I723" s="3" t="s">
        <v>245</v>
      </c>
    </row>
    <row r="724" spans="2:9" hidden="1" x14ac:dyDescent="0.4">
      <c r="B724" s="8" t="s">
        <v>518</v>
      </c>
      <c r="C724" s="3" t="s">
        <v>12</v>
      </c>
      <c r="D724" s="3" t="s">
        <v>72</v>
      </c>
      <c r="E724" s="3" t="s">
        <v>425</v>
      </c>
      <c r="F724" s="3" t="s">
        <v>401</v>
      </c>
      <c r="I724" s="3" t="s">
        <v>421</v>
      </c>
    </row>
    <row r="725" spans="2:9" hidden="1" x14ac:dyDescent="0.4">
      <c r="B725" s="8" t="s">
        <v>516</v>
      </c>
      <c r="C725" s="3" t="s">
        <v>4105</v>
      </c>
      <c r="D725" s="3" t="s">
        <v>3705</v>
      </c>
      <c r="F725" s="3" t="s">
        <v>399</v>
      </c>
      <c r="G725" s="3" t="s">
        <v>402</v>
      </c>
      <c r="I725" s="3" t="s">
        <v>4064</v>
      </c>
    </row>
    <row r="726" spans="2:9" hidden="1" x14ac:dyDescent="0.4">
      <c r="B726" s="8" t="s">
        <v>516</v>
      </c>
      <c r="C726" s="3" t="s">
        <v>4382</v>
      </c>
      <c r="D726" s="3" t="s">
        <v>4726</v>
      </c>
      <c r="F726" s="3" t="s">
        <v>399</v>
      </c>
      <c r="I726" s="3" t="s">
        <v>4064</v>
      </c>
    </row>
    <row r="727" spans="2:9" hidden="1" x14ac:dyDescent="0.4">
      <c r="B727" s="8" t="s">
        <v>516</v>
      </c>
      <c r="C727" s="3" t="s">
        <v>5065</v>
      </c>
      <c r="D727" s="3" t="s">
        <v>5396</v>
      </c>
      <c r="F727" s="3" t="s">
        <v>402</v>
      </c>
      <c r="I727" s="3" t="s">
        <v>4064</v>
      </c>
    </row>
    <row r="728" spans="2:9" hidden="1" x14ac:dyDescent="0.4">
      <c r="B728" s="8" t="s">
        <v>516</v>
      </c>
      <c r="C728" s="3" t="s">
        <v>3699</v>
      </c>
      <c r="D728" s="3" t="s">
        <v>3705</v>
      </c>
      <c r="F728" s="3" t="s">
        <v>399</v>
      </c>
      <c r="G728" s="3" t="s">
        <v>402</v>
      </c>
      <c r="I728" s="3" t="s">
        <v>4063</v>
      </c>
    </row>
    <row r="729" spans="2:9" hidden="1" x14ac:dyDescent="0.4">
      <c r="B729" s="8" t="s">
        <v>516</v>
      </c>
      <c r="C729" s="3" t="s">
        <v>6021</v>
      </c>
      <c r="D729" s="3" t="s">
        <v>4726</v>
      </c>
      <c r="F729" s="3" t="s">
        <v>399</v>
      </c>
      <c r="I729" s="3" t="s">
        <v>4063</v>
      </c>
    </row>
    <row r="730" spans="2:9" hidden="1" x14ac:dyDescent="0.4">
      <c r="B730" s="8" t="s">
        <v>516</v>
      </c>
      <c r="C730" s="3" t="s">
        <v>6070</v>
      </c>
      <c r="D730" s="3" t="s">
        <v>5396</v>
      </c>
      <c r="F730" s="3" t="s">
        <v>402</v>
      </c>
      <c r="I730" s="3" t="s">
        <v>4063</v>
      </c>
    </row>
    <row r="731" spans="2:9" hidden="1" x14ac:dyDescent="0.4">
      <c r="B731" s="8" t="s">
        <v>517</v>
      </c>
      <c r="C731" s="3" t="s">
        <v>1473</v>
      </c>
      <c r="D731" s="3" t="s">
        <v>1516</v>
      </c>
      <c r="F731" s="3" t="s">
        <v>399</v>
      </c>
      <c r="G731" s="3" t="s">
        <v>402</v>
      </c>
      <c r="I731" s="3" t="s">
        <v>1489</v>
      </c>
    </row>
    <row r="732" spans="2:9" hidden="1" x14ac:dyDescent="0.4">
      <c r="B732" s="8" t="s">
        <v>517</v>
      </c>
      <c r="C732" s="3" t="s">
        <v>1583</v>
      </c>
      <c r="D732" s="3" t="s">
        <v>1516</v>
      </c>
      <c r="F732" s="3" t="s">
        <v>402</v>
      </c>
      <c r="I732" s="3" t="s">
        <v>1489</v>
      </c>
    </row>
    <row r="733" spans="2:9" hidden="1" x14ac:dyDescent="0.4">
      <c r="B733" s="8" t="s">
        <v>517</v>
      </c>
      <c r="C733" s="3" t="s">
        <v>3460</v>
      </c>
      <c r="D733" s="3" t="s">
        <v>3768</v>
      </c>
      <c r="F733" s="3" t="s">
        <v>399</v>
      </c>
      <c r="G733" s="3" t="s">
        <v>402</v>
      </c>
      <c r="I733" s="3" t="s">
        <v>4063</v>
      </c>
    </row>
    <row r="734" spans="2:9" hidden="1" x14ac:dyDescent="0.4">
      <c r="B734" s="8" t="s">
        <v>517</v>
      </c>
      <c r="C734" s="3" t="s">
        <v>5784</v>
      </c>
      <c r="D734" s="3" t="s">
        <v>4888</v>
      </c>
      <c r="F734" s="3" t="s">
        <v>399</v>
      </c>
      <c r="I734" s="3" t="s">
        <v>4063</v>
      </c>
    </row>
    <row r="735" spans="2:9" hidden="1" x14ac:dyDescent="0.4">
      <c r="B735" s="8" t="s">
        <v>517</v>
      </c>
      <c r="C735" s="3" t="s">
        <v>6127</v>
      </c>
      <c r="D735" s="3" t="s">
        <v>5456</v>
      </c>
      <c r="F735" s="3" t="s">
        <v>402</v>
      </c>
      <c r="I735" s="3" t="s">
        <v>4063</v>
      </c>
    </row>
    <row r="736" spans="2:9" hidden="1" x14ac:dyDescent="0.4">
      <c r="B736" s="8" t="s">
        <v>517</v>
      </c>
      <c r="C736" s="3" t="s">
        <v>4162</v>
      </c>
      <c r="D736" s="3" t="s">
        <v>3768</v>
      </c>
      <c r="F736" s="3" t="s">
        <v>399</v>
      </c>
      <c r="G736" s="3" t="s">
        <v>402</v>
      </c>
      <c r="I736" s="3" t="s">
        <v>4064</v>
      </c>
    </row>
    <row r="737" spans="2:9" hidden="1" x14ac:dyDescent="0.4">
      <c r="B737" s="8" t="s">
        <v>517</v>
      </c>
      <c r="C737" s="3" t="s">
        <v>4637</v>
      </c>
      <c r="D737" s="3" t="s">
        <v>4888</v>
      </c>
      <c r="F737" s="3" t="s">
        <v>399</v>
      </c>
      <c r="I737" s="3" t="s">
        <v>4064</v>
      </c>
    </row>
    <row r="738" spans="2:9" hidden="1" x14ac:dyDescent="0.4">
      <c r="B738" s="8" t="s">
        <v>517</v>
      </c>
      <c r="C738" s="3" t="s">
        <v>5133</v>
      </c>
      <c r="D738" s="3" t="s">
        <v>5456</v>
      </c>
      <c r="F738" s="3" t="s">
        <v>402</v>
      </c>
      <c r="I738" s="3" t="s">
        <v>4064</v>
      </c>
    </row>
    <row r="739" spans="2:9" hidden="1" x14ac:dyDescent="0.4">
      <c r="B739" s="8" t="s">
        <v>517</v>
      </c>
      <c r="C739" s="3" t="s">
        <v>2244</v>
      </c>
      <c r="D739" s="3" t="s">
        <v>2401</v>
      </c>
      <c r="E739" s="3" t="s">
        <v>1272</v>
      </c>
      <c r="F739" s="3" t="s">
        <v>399</v>
      </c>
      <c r="I739" s="3" t="s">
        <v>1833</v>
      </c>
    </row>
    <row r="740" spans="2:9" hidden="1" x14ac:dyDescent="0.4">
      <c r="B740" s="8" t="s">
        <v>517</v>
      </c>
      <c r="C740" s="3" t="s">
        <v>2556</v>
      </c>
      <c r="D740" s="3" t="s">
        <v>2401</v>
      </c>
      <c r="E740" s="3" t="s">
        <v>1272</v>
      </c>
      <c r="F740" s="3" t="s">
        <v>402</v>
      </c>
      <c r="I740" s="3" t="s">
        <v>1833</v>
      </c>
    </row>
    <row r="741" spans="2:9" hidden="1" x14ac:dyDescent="0.4">
      <c r="B741" s="8" t="s">
        <v>518</v>
      </c>
      <c r="C741" s="3" t="s">
        <v>1935</v>
      </c>
      <c r="D741" s="3" t="s">
        <v>1966</v>
      </c>
      <c r="E741" s="3" t="s">
        <v>7805</v>
      </c>
      <c r="F741" s="3" t="s">
        <v>402</v>
      </c>
      <c r="I741" s="3" t="s">
        <v>1865</v>
      </c>
    </row>
    <row r="742" spans="2:9" hidden="1" x14ac:dyDescent="0.4">
      <c r="B742" s="8" t="s">
        <v>526</v>
      </c>
      <c r="C742" s="3" t="s">
        <v>2131</v>
      </c>
      <c r="D742" s="3" t="s">
        <v>2141</v>
      </c>
      <c r="F742" s="3" t="s">
        <v>399</v>
      </c>
      <c r="I742" s="3" t="s">
        <v>1865</v>
      </c>
    </row>
    <row r="743" spans="2:9" hidden="1" x14ac:dyDescent="0.4">
      <c r="B743" s="8" t="s">
        <v>526</v>
      </c>
      <c r="C743" s="3" t="s">
        <v>2126</v>
      </c>
      <c r="D743" s="3" t="s">
        <v>2136</v>
      </c>
      <c r="F743" s="3" t="s">
        <v>399</v>
      </c>
      <c r="I743" s="3" t="s">
        <v>1865</v>
      </c>
    </row>
    <row r="744" spans="2:9" hidden="1" x14ac:dyDescent="0.4">
      <c r="B744" s="8" t="s">
        <v>517</v>
      </c>
      <c r="C744" s="3" t="s">
        <v>1457</v>
      </c>
      <c r="D744" s="3" t="s">
        <v>1499</v>
      </c>
      <c r="F744" s="3" t="s">
        <v>399</v>
      </c>
      <c r="G744" s="3" t="s">
        <v>402</v>
      </c>
      <c r="I744" s="3" t="s">
        <v>1489</v>
      </c>
    </row>
    <row r="745" spans="2:9" hidden="1" x14ac:dyDescent="0.4">
      <c r="B745" s="8" t="s">
        <v>823</v>
      </c>
      <c r="C745" s="3" t="s">
        <v>1680</v>
      </c>
      <c r="D745" s="3" t="s">
        <v>1499</v>
      </c>
      <c r="F745" s="3" t="s">
        <v>1124</v>
      </c>
      <c r="I745" s="3" t="s">
        <v>1489</v>
      </c>
    </row>
    <row r="746" spans="2:9" hidden="1" x14ac:dyDescent="0.4">
      <c r="B746" s="8" t="s">
        <v>517</v>
      </c>
      <c r="C746" s="3" t="s">
        <v>1567</v>
      </c>
      <c r="D746" s="3" t="s">
        <v>1499</v>
      </c>
      <c r="F746" s="3" t="s">
        <v>402</v>
      </c>
      <c r="I746" s="3" t="s">
        <v>1489</v>
      </c>
    </row>
    <row r="747" spans="2:9" hidden="1" x14ac:dyDescent="0.4">
      <c r="B747" s="8" t="s">
        <v>531</v>
      </c>
      <c r="C747" s="3" t="s">
        <v>2895</v>
      </c>
      <c r="D747" s="3" t="s">
        <v>3136</v>
      </c>
      <c r="E747" s="3">
        <v>1</v>
      </c>
      <c r="F747" s="3" t="s">
        <v>402</v>
      </c>
      <c r="I747" s="3" t="s">
        <v>245</v>
      </c>
    </row>
    <row r="748" spans="2:9" hidden="1" x14ac:dyDescent="0.4">
      <c r="B748" s="8" t="s">
        <v>517</v>
      </c>
      <c r="C748" s="3" t="s">
        <v>3013</v>
      </c>
      <c r="D748" s="3" t="s">
        <v>3249</v>
      </c>
      <c r="E748" s="3">
        <v>1</v>
      </c>
      <c r="F748" s="3" t="s">
        <v>3350</v>
      </c>
      <c r="G748" s="3" t="s">
        <v>399</v>
      </c>
      <c r="H748" s="3" t="s">
        <v>988</v>
      </c>
      <c r="I748" s="3" t="s">
        <v>245</v>
      </c>
    </row>
    <row r="749" spans="2:9" hidden="1" x14ac:dyDescent="0.4">
      <c r="B749" s="8" t="s">
        <v>517</v>
      </c>
      <c r="C749" s="3" t="s">
        <v>3845</v>
      </c>
      <c r="D749" s="3" t="s">
        <v>3846</v>
      </c>
      <c r="F749" s="3" t="s">
        <v>399</v>
      </c>
      <c r="G749" s="3" t="s">
        <v>402</v>
      </c>
      <c r="I749" s="3" t="s">
        <v>4063</v>
      </c>
    </row>
    <row r="750" spans="2:9" hidden="1" x14ac:dyDescent="0.4">
      <c r="B750" s="8" t="s">
        <v>517</v>
      </c>
      <c r="C750" s="3" t="s">
        <v>6001</v>
      </c>
      <c r="D750" s="3" t="s">
        <v>4952</v>
      </c>
      <c r="F750" s="3" t="s">
        <v>399</v>
      </c>
      <c r="I750" s="3" t="s">
        <v>4063</v>
      </c>
    </row>
    <row r="751" spans="2:9" hidden="1" x14ac:dyDescent="0.4">
      <c r="B751" s="8" t="s">
        <v>517</v>
      </c>
      <c r="C751" s="3" t="s">
        <v>6350</v>
      </c>
      <c r="D751" s="3" t="s">
        <v>5535</v>
      </c>
      <c r="F751" s="3" t="s">
        <v>402</v>
      </c>
      <c r="I751" s="3" t="s">
        <v>4063</v>
      </c>
    </row>
    <row r="752" spans="2:9" hidden="1" x14ac:dyDescent="0.4">
      <c r="B752" s="8" t="s">
        <v>517</v>
      </c>
      <c r="C752" s="3" t="s">
        <v>4233</v>
      </c>
      <c r="D752" s="3" t="s">
        <v>3846</v>
      </c>
      <c r="F752" s="3" t="s">
        <v>399</v>
      </c>
      <c r="G752" s="3" t="s">
        <v>402</v>
      </c>
      <c r="I752" s="3" t="s">
        <v>4064</v>
      </c>
    </row>
    <row r="753" spans="2:9" hidden="1" x14ac:dyDescent="0.4">
      <c r="B753" s="8" t="s">
        <v>517</v>
      </c>
      <c r="C753" s="3" t="s">
        <v>4458</v>
      </c>
      <c r="D753" s="3" t="s">
        <v>4952</v>
      </c>
      <c r="F753" s="3" t="s">
        <v>399</v>
      </c>
      <c r="I753" s="3" t="s">
        <v>4064</v>
      </c>
    </row>
    <row r="754" spans="2:9" hidden="1" x14ac:dyDescent="0.4">
      <c r="B754" s="8" t="s">
        <v>517</v>
      </c>
      <c r="C754" s="3" t="s">
        <v>5213</v>
      </c>
      <c r="D754" s="3" t="s">
        <v>5535</v>
      </c>
      <c r="F754" s="3" t="s">
        <v>402</v>
      </c>
      <c r="I754" s="3" t="s">
        <v>4064</v>
      </c>
    </row>
    <row r="755" spans="2:9" hidden="1" x14ac:dyDescent="0.4">
      <c r="B755" s="8" t="s">
        <v>517</v>
      </c>
      <c r="C755" s="3" t="s">
        <v>1825</v>
      </c>
      <c r="D755" s="3" t="s">
        <v>1894</v>
      </c>
      <c r="F755" s="3" t="s">
        <v>399</v>
      </c>
      <c r="I755" s="3" t="s">
        <v>1865</v>
      </c>
    </row>
    <row r="756" spans="2:9" hidden="1" x14ac:dyDescent="0.4">
      <c r="B756" s="8" t="s">
        <v>517</v>
      </c>
      <c r="C756" s="3" t="s">
        <v>3048</v>
      </c>
      <c r="D756" s="3" t="s">
        <v>3283</v>
      </c>
      <c r="E756" s="3">
        <v>1</v>
      </c>
      <c r="F756" s="3" t="s">
        <v>402</v>
      </c>
      <c r="G756" s="3" t="s">
        <v>399</v>
      </c>
      <c r="H756" s="3" t="s">
        <v>988</v>
      </c>
      <c r="I756" s="3" t="s">
        <v>245</v>
      </c>
    </row>
    <row r="757" spans="2:9" hidden="1" x14ac:dyDescent="0.4">
      <c r="B757" s="8" t="s">
        <v>517</v>
      </c>
      <c r="C757" s="3" t="s">
        <v>3537</v>
      </c>
      <c r="D757" s="3" t="s">
        <v>3843</v>
      </c>
      <c r="F757" s="3" t="s">
        <v>399</v>
      </c>
      <c r="G757" s="3" t="s">
        <v>402</v>
      </c>
      <c r="I757" s="3" t="s">
        <v>4063</v>
      </c>
    </row>
    <row r="758" spans="2:9" hidden="1" x14ac:dyDescent="0.4">
      <c r="B758" s="8" t="s">
        <v>517</v>
      </c>
      <c r="C758" s="3" t="s">
        <v>3537</v>
      </c>
      <c r="D758" s="3" t="s">
        <v>3843</v>
      </c>
      <c r="F758" s="3" t="s">
        <v>399</v>
      </c>
      <c r="G758" s="3" t="s">
        <v>402</v>
      </c>
      <c r="I758" s="3" t="s">
        <v>4064</v>
      </c>
    </row>
    <row r="759" spans="2:9" hidden="1" x14ac:dyDescent="0.4">
      <c r="B759" s="8" t="s">
        <v>517</v>
      </c>
      <c r="C759" s="3" t="s">
        <v>5848</v>
      </c>
      <c r="D759" s="3" t="s">
        <v>4810</v>
      </c>
      <c r="F759" s="3" t="s">
        <v>399</v>
      </c>
      <c r="I759" s="3" t="s">
        <v>4063</v>
      </c>
    </row>
    <row r="760" spans="2:9" hidden="1" x14ac:dyDescent="0.4">
      <c r="B760" s="8" t="s">
        <v>517</v>
      </c>
      <c r="C760" s="3" t="s">
        <v>6193</v>
      </c>
      <c r="D760" s="3" t="s">
        <v>5533</v>
      </c>
      <c r="F760" s="3" t="s">
        <v>402</v>
      </c>
      <c r="I760" s="3" t="s">
        <v>4063</v>
      </c>
    </row>
    <row r="761" spans="2:9" hidden="1" x14ac:dyDescent="0.4">
      <c r="B761" s="8" t="s">
        <v>517</v>
      </c>
      <c r="C761" s="3" t="s">
        <v>4666</v>
      </c>
      <c r="D761" s="3" t="s">
        <v>4810</v>
      </c>
      <c r="F761" s="3" t="s">
        <v>399</v>
      </c>
      <c r="I761" s="3" t="s">
        <v>4064</v>
      </c>
    </row>
    <row r="762" spans="2:9" hidden="1" x14ac:dyDescent="0.4">
      <c r="B762" s="8" t="s">
        <v>517</v>
      </c>
      <c r="C762" s="3" t="s">
        <v>5211</v>
      </c>
      <c r="D762" s="3" t="s">
        <v>5533</v>
      </c>
      <c r="F762" s="3" t="s">
        <v>402</v>
      </c>
      <c r="I762" s="3" t="s">
        <v>4064</v>
      </c>
    </row>
    <row r="763" spans="2:9" hidden="1" x14ac:dyDescent="0.4">
      <c r="B763" s="8" t="s">
        <v>517</v>
      </c>
      <c r="C763" s="3" t="s">
        <v>3000</v>
      </c>
      <c r="D763" s="3" t="s">
        <v>3238</v>
      </c>
      <c r="E763" s="3">
        <v>1</v>
      </c>
      <c r="F763" s="3" t="s">
        <v>402</v>
      </c>
      <c r="G763" s="3" t="s">
        <v>988</v>
      </c>
      <c r="H763" s="3" t="s">
        <v>399</v>
      </c>
      <c r="I763" s="3" t="s">
        <v>245</v>
      </c>
    </row>
    <row r="764" spans="2:9" hidden="1" x14ac:dyDescent="0.4">
      <c r="B764" s="8" t="s">
        <v>517</v>
      </c>
      <c r="C764" s="3" t="s">
        <v>3602</v>
      </c>
      <c r="D764" s="3" t="s">
        <v>4036</v>
      </c>
      <c r="F764" s="3" t="s">
        <v>399</v>
      </c>
      <c r="G764" s="3" t="s">
        <v>402</v>
      </c>
      <c r="I764" s="3" t="s">
        <v>4063</v>
      </c>
    </row>
    <row r="765" spans="2:9" hidden="1" x14ac:dyDescent="0.4">
      <c r="B765" s="8" t="s">
        <v>517</v>
      </c>
      <c r="C765" s="3" t="s">
        <v>5903</v>
      </c>
      <c r="D765" s="3" t="s">
        <v>4989</v>
      </c>
      <c r="F765" s="3" t="s">
        <v>399</v>
      </c>
      <c r="I765" s="3" t="s">
        <v>4063</v>
      </c>
    </row>
    <row r="766" spans="2:9" hidden="1" x14ac:dyDescent="0.4">
      <c r="B766" s="8" t="s">
        <v>517</v>
      </c>
      <c r="C766" s="3" t="s">
        <v>6249</v>
      </c>
      <c r="D766" s="3" t="s">
        <v>5596</v>
      </c>
      <c r="F766" s="3" t="s">
        <v>402</v>
      </c>
      <c r="I766" s="3" t="s">
        <v>4063</v>
      </c>
    </row>
    <row r="767" spans="2:9" hidden="1" x14ac:dyDescent="0.4">
      <c r="B767" s="8" t="s">
        <v>517</v>
      </c>
      <c r="C767" s="3" t="s">
        <v>4284</v>
      </c>
      <c r="D767" s="3" t="s">
        <v>4036</v>
      </c>
      <c r="F767" s="3" t="s">
        <v>399</v>
      </c>
      <c r="G767" s="3" t="s">
        <v>402</v>
      </c>
      <c r="I767" s="3" t="s">
        <v>4064</v>
      </c>
    </row>
    <row r="768" spans="2:9" hidden="1" x14ac:dyDescent="0.4">
      <c r="B768" s="8" t="s">
        <v>517</v>
      </c>
      <c r="C768" s="3" t="s">
        <v>4681</v>
      </c>
      <c r="D768" s="3" t="s">
        <v>4989</v>
      </c>
      <c r="F768" s="3" t="s">
        <v>399</v>
      </c>
      <c r="I768" s="3" t="s">
        <v>4064</v>
      </c>
    </row>
    <row r="769" spans="2:9" hidden="1" x14ac:dyDescent="0.4">
      <c r="B769" s="8" t="s">
        <v>517</v>
      </c>
      <c r="C769" s="3" t="s">
        <v>5276</v>
      </c>
      <c r="D769" s="3" t="s">
        <v>5596</v>
      </c>
      <c r="F769" s="3" t="s">
        <v>402</v>
      </c>
      <c r="I769" s="3" t="s">
        <v>4064</v>
      </c>
    </row>
    <row r="770" spans="2:9" hidden="1" x14ac:dyDescent="0.4">
      <c r="B770" s="8" t="s">
        <v>517</v>
      </c>
      <c r="C770" s="3" t="s">
        <v>2945</v>
      </c>
      <c r="D770" s="3" t="s">
        <v>3184</v>
      </c>
      <c r="E770" s="3">
        <v>1</v>
      </c>
      <c r="F770" s="3" t="s">
        <v>402</v>
      </c>
      <c r="G770" s="3" t="s">
        <v>988</v>
      </c>
      <c r="I770" s="3" t="s">
        <v>245</v>
      </c>
    </row>
    <row r="771" spans="2:9" hidden="1" x14ac:dyDescent="0.4">
      <c r="B771" s="8" t="s">
        <v>518</v>
      </c>
      <c r="C771" s="3" t="s">
        <v>2296</v>
      </c>
      <c r="D771" s="3" t="s">
        <v>2453</v>
      </c>
      <c r="E771" s="3" t="s">
        <v>1272</v>
      </c>
      <c r="F771" s="3" t="s">
        <v>399</v>
      </c>
      <c r="I771" s="3" t="s">
        <v>1833</v>
      </c>
    </row>
    <row r="772" spans="2:9" hidden="1" x14ac:dyDescent="0.4">
      <c r="B772" s="8" t="s">
        <v>518</v>
      </c>
      <c r="C772" s="3" t="s">
        <v>2532</v>
      </c>
      <c r="D772" s="3" t="s">
        <v>2453</v>
      </c>
      <c r="E772" s="3" t="s">
        <v>1272</v>
      </c>
      <c r="F772" s="3" t="s">
        <v>402</v>
      </c>
      <c r="I772" s="3" t="s">
        <v>1833</v>
      </c>
    </row>
    <row r="773" spans="2:9" hidden="1" x14ac:dyDescent="0.4">
      <c r="B773" s="8" t="s">
        <v>518</v>
      </c>
      <c r="C773" s="3" t="s">
        <v>1482</v>
      </c>
      <c r="D773" s="3" t="s">
        <v>1525</v>
      </c>
      <c r="F773" s="3" t="s">
        <v>399</v>
      </c>
      <c r="G773" s="3" t="s">
        <v>402</v>
      </c>
      <c r="I773" s="3" t="s">
        <v>1489</v>
      </c>
    </row>
    <row r="774" spans="2:9" hidden="1" x14ac:dyDescent="0.4">
      <c r="B774" s="8" t="s">
        <v>518</v>
      </c>
      <c r="C774" s="3" t="s">
        <v>1590</v>
      </c>
      <c r="D774" s="3" t="s">
        <v>1525</v>
      </c>
      <c r="F774" s="3" t="s">
        <v>402</v>
      </c>
      <c r="I774" s="3" t="s">
        <v>1489</v>
      </c>
    </row>
    <row r="775" spans="2:9" hidden="1" x14ac:dyDescent="0.4">
      <c r="B775" s="8" t="s">
        <v>518</v>
      </c>
      <c r="C775" s="3" t="s">
        <v>2822</v>
      </c>
      <c r="D775" s="3" t="s">
        <v>2826</v>
      </c>
      <c r="E775" s="3" t="s">
        <v>1272</v>
      </c>
      <c r="F775" s="3" t="s">
        <v>399</v>
      </c>
      <c r="I775" s="3" t="s">
        <v>2370</v>
      </c>
    </row>
    <row r="776" spans="2:9" hidden="1" x14ac:dyDescent="0.4">
      <c r="B776" s="8" t="s">
        <v>518</v>
      </c>
      <c r="C776" s="3" t="s">
        <v>3585</v>
      </c>
      <c r="D776" s="3" t="s">
        <v>3888</v>
      </c>
      <c r="F776" s="3" t="s">
        <v>399</v>
      </c>
      <c r="G776" s="3" t="s">
        <v>402</v>
      </c>
      <c r="I776" s="3" t="s">
        <v>4063</v>
      </c>
    </row>
    <row r="777" spans="2:9" hidden="1" x14ac:dyDescent="0.4">
      <c r="B777" s="8" t="s">
        <v>518</v>
      </c>
      <c r="C777" s="3" t="s">
        <v>5888</v>
      </c>
      <c r="D777" s="3" t="s">
        <v>4839</v>
      </c>
      <c r="F777" s="3" t="s">
        <v>399</v>
      </c>
      <c r="I777" s="3" t="s">
        <v>4063</v>
      </c>
    </row>
    <row r="778" spans="2:9" hidden="1" x14ac:dyDescent="0.4">
      <c r="B778" s="8" t="s">
        <v>518</v>
      </c>
      <c r="C778" s="3" t="s">
        <v>6235</v>
      </c>
      <c r="D778" s="3" t="s">
        <v>5580</v>
      </c>
      <c r="F778" s="3" t="s">
        <v>402</v>
      </c>
      <c r="I778" s="3" t="s">
        <v>4063</v>
      </c>
    </row>
    <row r="779" spans="2:9" hidden="1" x14ac:dyDescent="0.4">
      <c r="B779" s="8" t="s">
        <v>518</v>
      </c>
      <c r="C779" s="3" t="s">
        <v>1902</v>
      </c>
      <c r="D779" s="3" t="s">
        <v>1903</v>
      </c>
      <c r="F779" s="3" t="s">
        <v>399</v>
      </c>
      <c r="I779" s="3" t="s">
        <v>1865</v>
      </c>
    </row>
    <row r="780" spans="2:9" hidden="1" x14ac:dyDescent="0.4">
      <c r="B780" s="8" t="s">
        <v>518</v>
      </c>
      <c r="C780" s="3" t="s">
        <v>4274</v>
      </c>
      <c r="D780" s="3" t="s">
        <v>3888</v>
      </c>
      <c r="F780" s="3" t="s">
        <v>399</v>
      </c>
      <c r="G780" s="3" t="s">
        <v>402</v>
      </c>
      <c r="I780" s="3" t="s">
        <v>4064</v>
      </c>
    </row>
    <row r="781" spans="2:9" hidden="1" x14ac:dyDescent="0.4">
      <c r="B781" s="8" t="s">
        <v>518</v>
      </c>
      <c r="C781" s="3" t="s">
        <v>4484</v>
      </c>
      <c r="D781" s="3" t="s">
        <v>4839</v>
      </c>
      <c r="F781" s="3" t="s">
        <v>399</v>
      </c>
      <c r="I781" s="3" t="s">
        <v>4064</v>
      </c>
    </row>
    <row r="782" spans="2:9" hidden="1" x14ac:dyDescent="0.4">
      <c r="B782" s="8" t="s">
        <v>518</v>
      </c>
      <c r="C782" s="3" t="s">
        <v>5259</v>
      </c>
      <c r="D782" s="3" t="s">
        <v>5580</v>
      </c>
      <c r="F782" s="3" t="s">
        <v>402</v>
      </c>
      <c r="I782" s="3" t="s">
        <v>4064</v>
      </c>
    </row>
    <row r="783" spans="2:9" hidden="1" x14ac:dyDescent="0.4">
      <c r="B783" s="8" t="s">
        <v>517</v>
      </c>
      <c r="C783" s="3" t="s">
        <v>217</v>
      </c>
      <c r="D783" s="3" t="s">
        <v>253</v>
      </c>
      <c r="F783" s="3" t="s">
        <v>399</v>
      </c>
      <c r="I783" s="3" t="s">
        <v>268</v>
      </c>
    </row>
    <row r="784" spans="2:9" hidden="1" x14ac:dyDescent="0.4">
      <c r="B784" s="8" t="s">
        <v>517</v>
      </c>
      <c r="C784" s="3" t="s">
        <v>4186</v>
      </c>
      <c r="D784" s="3" t="s">
        <v>3793</v>
      </c>
      <c r="F784" s="3" t="s">
        <v>399</v>
      </c>
      <c r="G784" s="3" t="s">
        <v>402</v>
      </c>
      <c r="I784" s="3" t="s">
        <v>4064</v>
      </c>
    </row>
    <row r="785" spans="2:9" hidden="1" x14ac:dyDescent="0.4">
      <c r="B785" s="8" t="s">
        <v>517</v>
      </c>
      <c r="C785" s="3" t="s">
        <v>4652</v>
      </c>
      <c r="D785" s="3" t="s">
        <v>4776</v>
      </c>
      <c r="F785" s="3" t="s">
        <v>399</v>
      </c>
      <c r="I785" s="3" t="s">
        <v>4064</v>
      </c>
    </row>
    <row r="786" spans="2:9" hidden="1" x14ac:dyDescent="0.4">
      <c r="B786" s="8" t="s">
        <v>517</v>
      </c>
      <c r="C786" s="3" t="s">
        <v>5161</v>
      </c>
      <c r="D786" s="3" t="s">
        <v>5482</v>
      </c>
      <c r="F786" s="3" t="s">
        <v>402</v>
      </c>
      <c r="I786" s="3" t="s">
        <v>4064</v>
      </c>
    </row>
    <row r="787" spans="2:9" hidden="1" x14ac:dyDescent="0.4">
      <c r="B787" s="8" t="s">
        <v>517</v>
      </c>
      <c r="C787" s="3" t="s">
        <v>3488</v>
      </c>
      <c r="D787" s="3" t="s">
        <v>3793</v>
      </c>
      <c r="F787" s="3" t="s">
        <v>399</v>
      </c>
      <c r="G787" s="3" t="s">
        <v>402</v>
      </c>
      <c r="I787" s="3" t="s">
        <v>4063</v>
      </c>
    </row>
    <row r="788" spans="2:9" hidden="1" x14ac:dyDescent="0.4">
      <c r="B788" s="8" t="s">
        <v>517</v>
      </c>
      <c r="C788" s="3" t="s">
        <v>5810</v>
      </c>
      <c r="D788" s="3" t="s">
        <v>4776</v>
      </c>
      <c r="F788" s="3" t="s">
        <v>399</v>
      </c>
      <c r="I788" s="3" t="s">
        <v>4063</v>
      </c>
    </row>
    <row r="789" spans="2:9" hidden="1" x14ac:dyDescent="0.4">
      <c r="B789" s="8" t="s">
        <v>517</v>
      </c>
      <c r="C789" s="3" t="s">
        <v>6153</v>
      </c>
      <c r="D789" s="3" t="s">
        <v>5482</v>
      </c>
      <c r="F789" s="3" t="s">
        <v>402</v>
      </c>
      <c r="I789" s="3" t="s">
        <v>4063</v>
      </c>
    </row>
    <row r="790" spans="2:9" hidden="1" x14ac:dyDescent="0.4">
      <c r="B790" s="8" t="s">
        <v>517</v>
      </c>
      <c r="C790" s="3" t="s">
        <v>2326</v>
      </c>
      <c r="D790" s="3" t="s">
        <v>2482</v>
      </c>
      <c r="E790" s="3" t="s">
        <v>1272</v>
      </c>
      <c r="F790" s="3" t="s">
        <v>399</v>
      </c>
      <c r="I790" s="3" t="s">
        <v>1833</v>
      </c>
    </row>
    <row r="791" spans="2:9" hidden="1" x14ac:dyDescent="0.4">
      <c r="B791" s="8" t="s">
        <v>517</v>
      </c>
      <c r="C791" s="3" t="s">
        <v>2626</v>
      </c>
      <c r="D791" s="3" t="s">
        <v>2482</v>
      </c>
      <c r="E791" s="3" t="s">
        <v>1272</v>
      </c>
      <c r="F791" s="3" t="s">
        <v>402</v>
      </c>
      <c r="I791" s="3" t="s">
        <v>1833</v>
      </c>
    </row>
    <row r="792" spans="2:9" ht="29.25" hidden="1" x14ac:dyDescent="0.4">
      <c r="B792" s="8" t="s">
        <v>536</v>
      </c>
      <c r="C792" s="3" t="s">
        <v>2024</v>
      </c>
      <c r="D792" s="3" t="s">
        <v>2094</v>
      </c>
      <c r="F792" s="3" t="s">
        <v>2065</v>
      </c>
      <c r="I792" s="3" t="s">
        <v>248</v>
      </c>
    </row>
    <row r="793" spans="2:9" hidden="1" x14ac:dyDescent="0.4">
      <c r="B793" s="8" t="s">
        <v>517</v>
      </c>
      <c r="C793" s="3" t="s">
        <v>3416</v>
      </c>
      <c r="D793" s="3" t="s">
        <v>3725</v>
      </c>
      <c r="F793" s="3" t="s">
        <v>399</v>
      </c>
      <c r="G793" s="3" t="s">
        <v>402</v>
      </c>
      <c r="I793" s="3" t="s">
        <v>4063</v>
      </c>
    </row>
    <row r="794" spans="2:9" hidden="1" x14ac:dyDescent="0.4">
      <c r="B794" s="8" t="s">
        <v>517</v>
      </c>
      <c r="C794" s="3" t="s">
        <v>5748</v>
      </c>
      <c r="D794" s="3" t="s">
        <v>4740</v>
      </c>
      <c r="F794" s="3" t="s">
        <v>399</v>
      </c>
      <c r="I794" s="3" t="s">
        <v>4063</v>
      </c>
    </row>
    <row r="795" spans="2:9" hidden="1" x14ac:dyDescent="0.4">
      <c r="B795" s="8" t="s">
        <v>517</v>
      </c>
      <c r="C795" s="3" t="s">
        <v>6090</v>
      </c>
      <c r="D795" s="3" t="s">
        <v>5414</v>
      </c>
      <c r="F795" s="3" t="s">
        <v>402</v>
      </c>
      <c r="I795" s="3" t="s">
        <v>4063</v>
      </c>
    </row>
    <row r="796" spans="2:9" hidden="1" x14ac:dyDescent="0.4">
      <c r="B796" s="8" t="s">
        <v>518</v>
      </c>
      <c r="C796" s="3" t="s">
        <v>1767</v>
      </c>
      <c r="D796" s="3" t="s">
        <v>1841</v>
      </c>
      <c r="F796" s="3" t="s">
        <v>399</v>
      </c>
      <c r="I796" s="3" t="s">
        <v>1842</v>
      </c>
    </row>
    <row r="797" spans="2:9" hidden="1" x14ac:dyDescent="0.4">
      <c r="B797" s="8" t="s">
        <v>517</v>
      </c>
      <c r="C797" s="3" t="s">
        <v>1768</v>
      </c>
      <c r="D797" s="3" t="s">
        <v>1843</v>
      </c>
      <c r="F797" s="3" t="s">
        <v>402</v>
      </c>
      <c r="I797" s="3" t="s">
        <v>1838</v>
      </c>
    </row>
    <row r="798" spans="2:9" hidden="1" x14ac:dyDescent="0.4">
      <c r="B798" s="8" t="s">
        <v>517</v>
      </c>
      <c r="C798" s="3" t="s">
        <v>2148</v>
      </c>
      <c r="D798" s="3" t="s">
        <v>2163</v>
      </c>
      <c r="F798" s="3" t="s">
        <v>399</v>
      </c>
      <c r="I798" s="3" t="s">
        <v>1838</v>
      </c>
    </row>
    <row r="799" spans="2:9" hidden="1" x14ac:dyDescent="0.4">
      <c r="B799" s="8" t="s">
        <v>516</v>
      </c>
      <c r="C799" s="3" t="s">
        <v>2178</v>
      </c>
      <c r="D799" s="3" t="s">
        <v>2163</v>
      </c>
      <c r="F799" s="3" t="s">
        <v>399</v>
      </c>
      <c r="I799" s="3" t="s">
        <v>1838</v>
      </c>
    </row>
    <row r="800" spans="2:9" hidden="1" x14ac:dyDescent="0.4">
      <c r="B800" s="8" t="s">
        <v>517</v>
      </c>
      <c r="C800" s="3" t="s">
        <v>3420</v>
      </c>
      <c r="D800" s="3" t="s">
        <v>3728</v>
      </c>
      <c r="F800" s="3" t="s">
        <v>399</v>
      </c>
      <c r="G800" s="3" t="s">
        <v>402</v>
      </c>
      <c r="I800" s="3" t="s">
        <v>4063</v>
      </c>
    </row>
    <row r="801" spans="2:9" hidden="1" x14ac:dyDescent="0.4">
      <c r="B801" s="8" t="s">
        <v>517</v>
      </c>
      <c r="C801" s="3" t="s">
        <v>5752</v>
      </c>
      <c r="D801" s="3" t="s">
        <v>4743</v>
      </c>
      <c r="F801" s="3" t="s">
        <v>399</v>
      </c>
      <c r="I801" s="3" t="s">
        <v>4063</v>
      </c>
    </row>
    <row r="802" spans="2:9" hidden="1" x14ac:dyDescent="0.4">
      <c r="B802" s="8" t="s">
        <v>517</v>
      </c>
      <c r="C802" s="3" t="s">
        <v>6094</v>
      </c>
      <c r="D802" s="3" t="s">
        <v>5418</v>
      </c>
      <c r="F802" s="3" t="s">
        <v>402</v>
      </c>
      <c r="I802" s="3" t="s">
        <v>4063</v>
      </c>
    </row>
    <row r="803" spans="2:9" hidden="1" x14ac:dyDescent="0.4">
      <c r="B803" s="8" t="s">
        <v>517</v>
      </c>
      <c r="C803" s="3" t="s">
        <v>4130</v>
      </c>
      <c r="D803" s="3" t="s">
        <v>3728</v>
      </c>
      <c r="F803" s="3" t="s">
        <v>399</v>
      </c>
      <c r="G803" s="3" t="s">
        <v>402</v>
      </c>
      <c r="I803" s="3" t="s">
        <v>4064</v>
      </c>
    </row>
    <row r="804" spans="2:9" hidden="1" x14ac:dyDescent="0.4">
      <c r="B804" s="8" t="s">
        <v>517</v>
      </c>
      <c r="C804" s="3" t="s">
        <v>4396</v>
      </c>
      <c r="D804" s="3" t="s">
        <v>4743</v>
      </c>
      <c r="F804" s="3" t="s">
        <v>399</v>
      </c>
      <c r="I804" s="3" t="s">
        <v>4064</v>
      </c>
    </row>
    <row r="805" spans="2:9" hidden="1" x14ac:dyDescent="0.4">
      <c r="B805" s="8" t="s">
        <v>517</v>
      </c>
      <c r="C805" s="3" t="s">
        <v>5095</v>
      </c>
      <c r="D805" s="3" t="s">
        <v>5418</v>
      </c>
      <c r="F805" s="3" t="s">
        <v>402</v>
      </c>
      <c r="I805" s="3" t="s">
        <v>4064</v>
      </c>
    </row>
    <row r="806" spans="2:9" hidden="1" x14ac:dyDescent="0.4">
      <c r="B806" s="8" t="s">
        <v>516</v>
      </c>
      <c r="C806" s="3" t="s">
        <v>3572</v>
      </c>
      <c r="D806" s="3" t="s">
        <v>3878</v>
      </c>
      <c r="F806" s="3" t="s">
        <v>399</v>
      </c>
      <c r="G806" s="3" t="s">
        <v>402</v>
      </c>
      <c r="I806" s="3" t="s">
        <v>4063</v>
      </c>
    </row>
    <row r="807" spans="2:9" hidden="1" x14ac:dyDescent="0.4">
      <c r="B807" s="8" t="s">
        <v>516</v>
      </c>
      <c r="C807" s="3" t="s">
        <v>3572</v>
      </c>
      <c r="D807" s="3" t="s">
        <v>3878</v>
      </c>
      <c r="F807" s="3" t="s">
        <v>399</v>
      </c>
      <c r="G807" s="3" t="s">
        <v>402</v>
      </c>
      <c r="I807" s="3" t="s">
        <v>4064</v>
      </c>
    </row>
    <row r="808" spans="2:9" hidden="1" x14ac:dyDescent="0.4">
      <c r="B808" s="8" t="s">
        <v>516</v>
      </c>
      <c r="C808" s="3" t="s">
        <v>6003</v>
      </c>
      <c r="D808" s="3" t="s">
        <v>4971</v>
      </c>
      <c r="F808" s="3" t="s">
        <v>399</v>
      </c>
      <c r="I808" s="3" t="s">
        <v>4063</v>
      </c>
    </row>
    <row r="809" spans="2:9" hidden="1" x14ac:dyDescent="0.4">
      <c r="B809" s="8" t="s">
        <v>516</v>
      </c>
      <c r="C809" s="3" t="s">
        <v>6352</v>
      </c>
      <c r="D809" s="3" t="s">
        <v>5568</v>
      </c>
      <c r="F809" s="3" t="s">
        <v>402</v>
      </c>
      <c r="I809" s="3" t="s">
        <v>4063</v>
      </c>
    </row>
    <row r="810" spans="2:9" hidden="1" x14ac:dyDescent="0.4">
      <c r="B810" s="8" t="s">
        <v>516</v>
      </c>
      <c r="C810" s="3" t="s">
        <v>4475</v>
      </c>
      <c r="D810" s="3" t="s">
        <v>4971</v>
      </c>
      <c r="F810" s="3" t="s">
        <v>399</v>
      </c>
      <c r="I810" s="3" t="s">
        <v>4064</v>
      </c>
    </row>
    <row r="811" spans="2:9" hidden="1" x14ac:dyDescent="0.4">
      <c r="B811" s="8" t="s">
        <v>516</v>
      </c>
      <c r="C811" s="3" t="s">
        <v>5246</v>
      </c>
      <c r="D811" s="3" t="s">
        <v>5568</v>
      </c>
      <c r="F811" s="3" t="s">
        <v>402</v>
      </c>
      <c r="I811" s="3" t="s">
        <v>4064</v>
      </c>
    </row>
    <row r="812" spans="2:9" hidden="1" x14ac:dyDescent="0.4">
      <c r="B812" s="8" t="s">
        <v>516</v>
      </c>
      <c r="C812" s="3" t="s">
        <v>3574</v>
      </c>
      <c r="D812" s="3" t="s">
        <v>3879</v>
      </c>
      <c r="F812" s="3" t="s">
        <v>399</v>
      </c>
      <c r="G812" s="3" t="s">
        <v>402</v>
      </c>
      <c r="I812" s="3" t="s">
        <v>4063</v>
      </c>
    </row>
    <row r="813" spans="2:9" hidden="1" x14ac:dyDescent="0.4">
      <c r="B813" s="8" t="s">
        <v>516</v>
      </c>
      <c r="C813" s="3" t="s">
        <v>3574</v>
      </c>
      <c r="D813" s="3" t="s">
        <v>6031</v>
      </c>
      <c r="F813" s="3" t="s">
        <v>399</v>
      </c>
      <c r="I813" s="3" t="s">
        <v>4063</v>
      </c>
    </row>
    <row r="814" spans="2:9" hidden="1" x14ac:dyDescent="0.4">
      <c r="B814" s="8" t="s">
        <v>516</v>
      </c>
      <c r="C814" s="3" t="s">
        <v>3574</v>
      </c>
      <c r="D814" s="3" t="s">
        <v>6370</v>
      </c>
      <c r="F814" s="3" t="s">
        <v>402</v>
      </c>
      <c r="I814" s="3" t="s">
        <v>4063</v>
      </c>
    </row>
    <row r="815" spans="2:9" hidden="1" x14ac:dyDescent="0.4">
      <c r="B815" s="8" t="s">
        <v>515</v>
      </c>
      <c r="C815" s="3" t="s">
        <v>3575</v>
      </c>
      <c r="D815" s="3" t="s">
        <v>3880</v>
      </c>
      <c r="F815" s="3" t="s">
        <v>399</v>
      </c>
      <c r="G815" s="3" t="s">
        <v>402</v>
      </c>
      <c r="I815" s="3" t="s">
        <v>4063</v>
      </c>
    </row>
    <row r="816" spans="2:9" hidden="1" x14ac:dyDescent="0.4">
      <c r="B816" s="8" t="s">
        <v>515</v>
      </c>
      <c r="C816" s="3" t="s">
        <v>3575</v>
      </c>
      <c r="D816" s="3" t="s">
        <v>6030</v>
      </c>
      <c r="F816" s="3" t="s">
        <v>399</v>
      </c>
      <c r="I816" s="3" t="s">
        <v>4063</v>
      </c>
    </row>
    <row r="817" spans="2:9" hidden="1" x14ac:dyDescent="0.4">
      <c r="B817" s="8" t="s">
        <v>515</v>
      </c>
      <c r="C817" s="3" t="s">
        <v>3575</v>
      </c>
      <c r="D817" s="3" t="s">
        <v>6371</v>
      </c>
      <c r="F817" s="3" t="s">
        <v>402</v>
      </c>
      <c r="I817" s="3" t="s">
        <v>4063</v>
      </c>
    </row>
    <row r="818" spans="2:9" hidden="1" x14ac:dyDescent="0.4">
      <c r="B818" s="8" t="s">
        <v>517</v>
      </c>
      <c r="C818" s="3" t="s">
        <v>4227</v>
      </c>
      <c r="D818" s="3" t="s">
        <v>3836</v>
      </c>
      <c r="F818" s="3" t="s">
        <v>399</v>
      </c>
      <c r="G818" s="3" t="s">
        <v>402</v>
      </c>
      <c r="I818" s="3" t="s">
        <v>4064</v>
      </c>
    </row>
    <row r="819" spans="2:9" hidden="1" x14ac:dyDescent="0.4">
      <c r="B819" s="8" t="s">
        <v>517</v>
      </c>
      <c r="C819" s="3" t="s">
        <v>4454</v>
      </c>
      <c r="D819" s="3" t="s">
        <v>4804</v>
      </c>
      <c r="F819" s="3" t="s">
        <v>399</v>
      </c>
      <c r="I819" s="3" t="s">
        <v>4064</v>
      </c>
    </row>
    <row r="820" spans="2:9" hidden="1" x14ac:dyDescent="0.4">
      <c r="B820" s="8" t="s">
        <v>517</v>
      </c>
      <c r="C820" s="3" t="s">
        <v>5205</v>
      </c>
      <c r="D820" s="3" t="s">
        <v>5526</v>
      </c>
      <c r="F820" s="3" t="s">
        <v>402</v>
      </c>
      <c r="I820" s="3" t="s">
        <v>4064</v>
      </c>
    </row>
    <row r="821" spans="2:9" hidden="1" x14ac:dyDescent="0.4">
      <c r="B821" s="8" t="s">
        <v>517</v>
      </c>
      <c r="C821" s="3" t="s">
        <v>3532</v>
      </c>
      <c r="D821" s="3" t="s">
        <v>3836</v>
      </c>
      <c r="F821" s="3" t="s">
        <v>399</v>
      </c>
      <c r="G821" s="3" t="s">
        <v>402</v>
      </c>
      <c r="I821" s="3" t="s">
        <v>4063</v>
      </c>
    </row>
    <row r="822" spans="2:9" hidden="1" x14ac:dyDescent="0.4">
      <c r="B822" s="8" t="s">
        <v>517</v>
      </c>
      <c r="C822" s="3" t="s">
        <v>5844</v>
      </c>
      <c r="D822" s="3" t="s">
        <v>4804</v>
      </c>
      <c r="F822" s="3" t="s">
        <v>399</v>
      </c>
      <c r="I822" s="3" t="s">
        <v>4063</v>
      </c>
    </row>
    <row r="823" spans="2:9" hidden="1" x14ac:dyDescent="0.4">
      <c r="B823" s="8" t="s">
        <v>517</v>
      </c>
      <c r="C823" s="3" t="s">
        <v>6187</v>
      </c>
      <c r="D823" s="3" t="s">
        <v>5526</v>
      </c>
      <c r="F823" s="3" t="s">
        <v>402</v>
      </c>
      <c r="I823" s="3" t="s">
        <v>4063</v>
      </c>
    </row>
    <row r="824" spans="2:9" hidden="1" x14ac:dyDescent="0.4">
      <c r="B824" s="8" t="s">
        <v>517</v>
      </c>
      <c r="C824" s="3" t="s">
        <v>3573</v>
      </c>
      <c r="D824" s="3" t="s">
        <v>3878</v>
      </c>
      <c r="F824" s="3" t="s">
        <v>399</v>
      </c>
      <c r="G824" s="3" t="s">
        <v>402</v>
      </c>
      <c r="I824" s="3" t="s">
        <v>4063</v>
      </c>
    </row>
    <row r="825" spans="2:9" hidden="1" x14ac:dyDescent="0.4">
      <c r="B825" s="8" t="s">
        <v>517</v>
      </c>
      <c r="C825" s="3" t="s">
        <v>3573</v>
      </c>
      <c r="D825" s="3" t="s">
        <v>3878</v>
      </c>
      <c r="F825" s="3" t="s">
        <v>399</v>
      </c>
      <c r="G825" s="3" t="s">
        <v>402</v>
      </c>
      <c r="I825" s="3" t="s">
        <v>4064</v>
      </c>
    </row>
    <row r="826" spans="2:9" hidden="1" x14ac:dyDescent="0.4">
      <c r="B826" s="8" t="s">
        <v>517</v>
      </c>
      <c r="C826" s="3" t="s">
        <v>3573</v>
      </c>
      <c r="D826" s="3" t="s">
        <v>4971</v>
      </c>
      <c r="F826" s="3" t="s">
        <v>399</v>
      </c>
      <c r="I826" s="3" t="s">
        <v>4063</v>
      </c>
    </row>
    <row r="827" spans="2:9" hidden="1" x14ac:dyDescent="0.4">
      <c r="B827" s="8" t="s">
        <v>517</v>
      </c>
      <c r="C827" s="3" t="s">
        <v>3573</v>
      </c>
      <c r="D827" s="3" t="s">
        <v>5568</v>
      </c>
      <c r="F827" s="3" t="s">
        <v>402</v>
      </c>
      <c r="I827" s="3" t="s">
        <v>4063</v>
      </c>
    </row>
    <row r="828" spans="2:9" hidden="1" x14ac:dyDescent="0.4">
      <c r="B828" s="8" t="s">
        <v>517</v>
      </c>
      <c r="C828" s="3" t="s">
        <v>4476</v>
      </c>
      <c r="D828" s="3" t="s">
        <v>4971</v>
      </c>
      <c r="F828" s="3" t="s">
        <v>399</v>
      </c>
      <c r="I828" s="3" t="s">
        <v>4064</v>
      </c>
    </row>
    <row r="829" spans="2:9" hidden="1" x14ac:dyDescent="0.4">
      <c r="B829" s="8" t="s">
        <v>517</v>
      </c>
      <c r="C829" s="3" t="s">
        <v>5247</v>
      </c>
      <c r="D829" s="3" t="s">
        <v>5568</v>
      </c>
      <c r="F829" s="3" t="s">
        <v>402</v>
      </c>
      <c r="I829" s="3" t="s">
        <v>4064</v>
      </c>
    </row>
    <row r="830" spans="2:9" hidden="1" x14ac:dyDescent="0.4">
      <c r="B830" s="8" t="s">
        <v>517</v>
      </c>
      <c r="C830" s="3" t="s">
        <v>1770</v>
      </c>
      <c r="D830" s="3" t="s">
        <v>1845</v>
      </c>
      <c r="F830" s="3" t="s">
        <v>402</v>
      </c>
      <c r="I830" s="3" t="s">
        <v>1838</v>
      </c>
    </row>
    <row r="831" spans="2:9" hidden="1" x14ac:dyDescent="0.4">
      <c r="B831" s="8" t="s">
        <v>517</v>
      </c>
      <c r="C831" s="3" t="s">
        <v>2149</v>
      </c>
      <c r="D831" s="3" t="s">
        <v>2164</v>
      </c>
      <c r="F831" s="3" t="s">
        <v>399</v>
      </c>
      <c r="I831" s="3" t="s">
        <v>1838</v>
      </c>
    </row>
    <row r="832" spans="2:9" hidden="1" x14ac:dyDescent="0.4">
      <c r="B832" s="8" t="s">
        <v>516</v>
      </c>
      <c r="C832" s="3" t="s">
        <v>2179</v>
      </c>
      <c r="D832" s="3" t="s">
        <v>2164</v>
      </c>
      <c r="F832" s="3" t="s">
        <v>399</v>
      </c>
      <c r="I832" s="3" t="s">
        <v>1838</v>
      </c>
    </row>
    <row r="833" spans="2:9" hidden="1" x14ac:dyDescent="0.4">
      <c r="B833" s="8" t="s">
        <v>517</v>
      </c>
      <c r="C833" s="3" t="s">
        <v>1769</v>
      </c>
      <c r="D833" s="3" t="s">
        <v>1844</v>
      </c>
      <c r="F833" s="3" t="s">
        <v>399</v>
      </c>
      <c r="I833" s="3" t="s">
        <v>1842</v>
      </c>
    </row>
    <row r="834" spans="2:9" hidden="1" x14ac:dyDescent="0.4">
      <c r="B834" s="8" t="s">
        <v>517</v>
      </c>
      <c r="C834" s="3" t="s">
        <v>4177</v>
      </c>
      <c r="D834" s="3" t="s">
        <v>3783</v>
      </c>
      <c r="F834" s="3" t="s">
        <v>399</v>
      </c>
      <c r="G834" s="3" t="s">
        <v>402</v>
      </c>
      <c r="I834" s="3" t="s">
        <v>4064</v>
      </c>
    </row>
    <row r="835" spans="2:9" hidden="1" x14ac:dyDescent="0.4">
      <c r="B835" s="8" t="s">
        <v>517</v>
      </c>
      <c r="C835" s="3" t="s">
        <v>3476</v>
      </c>
      <c r="D835" s="3" t="s">
        <v>3783</v>
      </c>
      <c r="F835" s="3" t="s">
        <v>399</v>
      </c>
      <c r="G835" s="3" t="s">
        <v>402</v>
      </c>
      <c r="I835" s="3" t="s">
        <v>4063</v>
      </c>
    </row>
    <row r="836" spans="2:9" hidden="1" x14ac:dyDescent="0.4">
      <c r="B836" s="8" t="s">
        <v>517</v>
      </c>
      <c r="C836" s="3" t="s">
        <v>5798</v>
      </c>
      <c r="D836" s="3" t="s">
        <v>4898</v>
      </c>
      <c r="F836" s="3" t="s">
        <v>399</v>
      </c>
      <c r="I836" s="3" t="s">
        <v>4063</v>
      </c>
    </row>
    <row r="837" spans="2:9" hidden="1" x14ac:dyDescent="0.4">
      <c r="B837" s="8" t="s">
        <v>517</v>
      </c>
      <c r="C837" s="3" t="s">
        <v>6141</v>
      </c>
      <c r="D837" s="3" t="s">
        <v>5471</v>
      </c>
      <c r="F837" s="3" t="s">
        <v>402</v>
      </c>
      <c r="I837" s="3" t="s">
        <v>4063</v>
      </c>
    </row>
    <row r="838" spans="2:9" hidden="1" x14ac:dyDescent="0.4">
      <c r="B838" s="8" t="s">
        <v>517</v>
      </c>
      <c r="C838" s="3" t="s">
        <v>4418</v>
      </c>
      <c r="D838" s="3" t="s">
        <v>4898</v>
      </c>
      <c r="F838" s="3" t="s">
        <v>399</v>
      </c>
      <c r="I838" s="3" t="s">
        <v>4064</v>
      </c>
    </row>
    <row r="839" spans="2:9" hidden="1" x14ac:dyDescent="0.4">
      <c r="B839" s="8" t="s">
        <v>517</v>
      </c>
      <c r="C839" s="3" t="s">
        <v>5149</v>
      </c>
      <c r="D839" s="3" t="s">
        <v>5471</v>
      </c>
      <c r="F839" s="3" t="s">
        <v>402</v>
      </c>
      <c r="I839" s="3" t="s">
        <v>4064</v>
      </c>
    </row>
    <row r="840" spans="2:9" hidden="1" x14ac:dyDescent="0.4">
      <c r="B840" s="8" t="s">
        <v>517</v>
      </c>
      <c r="C840" s="3" t="s">
        <v>4167</v>
      </c>
      <c r="D840" s="3" t="s">
        <v>3773</v>
      </c>
      <c r="F840" s="3" t="s">
        <v>399</v>
      </c>
      <c r="G840" s="3" t="s">
        <v>402</v>
      </c>
      <c r="I840" s="3" t="s">
        <v>4064</v>
      </c>
    </row>
    <row r="841" spans="2:9" hidden="1" x14ac:dyDescent="0.4">
      <c r="B841" s="8" t="s">
        <v>517</v>
      </c>
      <c r="C841" s="3" t="s">
        <v>4412</v>
      </c>
      <c r="D841" s="3" t="s">
        <v>4890</v>
      </c>
      <c r="F841" s="3" t="s">
        <v>399</v>
      </c>
      <c r="I841" s="3" t="s">
        <v>4064</v>
      </c>
    </row>
    <row r="842" spans="2:9" hidden="1" x14ac:dyDescent="0.4">
      <c r="B842" s="8" t="s">
        <v>517</v>
      </c>
      <c r="C842" s="3" t="s">
        <v>5138</v>
      </c>
      <c r="D842" s="3" t="s">
        <v>5461</v>
      </c>
      <c r="F842" s="3" t="s">
        <v>402</v>
      </c>
      <c r="I842" s="3" t="s">
        <v>4064</v>
      </c>
    </row>
    <row r="843" spans="2:9" hidden="1" x14ac:dyDescent="0.4">
      <c r="B843" s="8" t="s">
        <v>517</v>
      </c>
      <c r="C843" s="3" t="s">
        <v>3465</v>
      </c>
      <c r="D843" s="3" t="s">
        <v>3773</v>
      </c>
      <c r="F843" s="3" t="s">
        <v>399</v>
      </c>
      <c r="G843" s="3" t="s">
        <v>402</v>
      </c>
      <c r="I843" s="3" t="s">
        <v>4063</v>
      </c>
    </row>
    <row r="844" spans="2:9" hidden="1" x14ac:dyDescent="0.4">
      <c r="B844" s="8" t="s">
        <v>517</v>
      </c>
      <c r="C844" s="3" t="s">
        <v>5787</v>
      </c>
      <c r="D844" s="3" t="s">
        <v>4890</v>
      </c>
      <c r="F844" s="3" t="s">
        <v>399</v>
      </c>
      <c r="I844" s="3" t="s">
        <v>4063</v>
      </c>
    </row>
    <row r="845" spans="2:9" hidden="1" x14ac:dyDescent="0.4">
      <c r="B845" s="8" t="s">
        <v>517</v>
      </c>
      <c r="C845" s="3" t="s">
        <v>6130</v>
      </c>
      <c r="D845" s="3" t="s">
        <v>5461</v>
      </c>
      <c r="F845" s="3" t="s">
        <v>402</v>
      </c>
      <c r="I845" s="3" t="s">
        <v>4063</v>
      </c>
    </row>
    <row r="846" spans="2:9" hidden="1" x14ac:dyDescent="0.4">
      <c r="B846" s="8" t="s">
        <v>517</v>
      </c>
      <c r="C846" s="3" t="s">
        <v>2253</v>
      </c>
      <c r="D846" s="3" t="s">
        <v>2410</v>
      </c>
      <c r="E846" s="3" t="s">
        <v>1272</v>
      </c>
      <c r="F846" s="3" t="s">
        <v>399</v>
      </c>
      <c r="I846" s="3" t="s">
        <v>1833</v>
      </c>
    </row>
    <row r="847" spans="2:9" hidden="1" x14ac:dyDescent="0.4">
      <c r="B847" s="8" t="s">
        <v>517</v>
      </c>
      <c r="C847" s="3" t="s">
        <v>2562</v>
      </c>
      <c r="D847" s="3" t="s">
        <v>2410</v>
      </c>
      <c r="E847" s="3" t="s">
        <v>1272</v>
      </c>
      <c r="F847" s="3" t="s">
        <v>402</v>
      </c>
      <c r="I847" s="3" t="s">
        <v>1833</v>
      </c>
    </row>
    <row r="848" spans="2:9" hidden="1" x14ac:dyDescent="0.4">
      <c r="B848" s="8" t="s">
        <v>517</v>
      </c>
      <c r="C848" s="3" t="s">
        <v>4621</v>
      </c>
      <c r="D848" s="3" t="s">
        <v>4740</v>
      </c>
      <c r="F848" s="3" t="s">
        <v>399</v>
      </c>
      <c r="I848" s="3" t="s">
        <v>4064</v>
      </c>
    </row>
    <row r="849" spans="2:9" hidden="1" x14ac:dyDescent="0.4">
      <c r="B849" s="8" t="s">
        <v>517</v>
      </c>
      <c r="C849" s="3" t="s">
        <v>5091</v>
      </c>
      <c r="D849" s="3" t="s">
        <v>5414</v>
      </c>
      <c r="F849" s="3" t="s">
        <v>402</v>
      </c>
      <c r="I849" s="3" t="s">
        <v>4064</v>
      </c>
    </row>
    <row r="850" spans="2:9" hidden="1" x14ac:dyDescent="0.4">
      <c r="B850" s="8" t="s">
        <v>517</v>
      </c>
      <c r="C850" s="3" t="s">
        <v>4128</v>
      </c>
      <c r="D850" s="3" t="s">
        <v>3725</v>
      </c>
      <c r="F850" s="3" t="s">
        <v>399</v>
      </c>
      <c r="G850" s="3" t="s">
        <v>402</v>
      </c>
      <c r="I850" s="3" t="s">
        <v>4064</v>
      </c>
    </row>
    <row r="851" spans="2:9" hidden="1" x14ac:dyDescent="0.4">
      <c r="B851" s="8" t="s">
        <v>517</v>
      </c>
      <c r="C851" s="3" t="s">
        <v>3083</v>
      </c>
      <c r="D851" s="3" t="s">
        <v>3315</v>
      </c>
      <c r="E851" s="3">
        <v>1</v>
      </c>
      <c r="F851" s="3" t="s">
        <v>402</v>
      </c>
      <c r="G851" s="3" t="s">
        <v>1279</v>
      </c>
      <c r="I851" s="3" t="s">
        <v>245</v>
      </c>
    </row>
    <row r="852" spans="2:9" hidden="1" x14ac:dyDescent="0.4">
      <c r="B852" s="8" t="s">
        <v>518</v>
      </c>
      <c r="C852" s="3" t="s">
        <v>4219</v>
      </c>
      <c r="D852" s="3" t="s">
        <v>3828</v>
      </c>
      <c r="F852" s="3" t="s">
        <v>399</v>
      </c>
      <c r="G852" s="3" t="s">
        <v>402</v>
      </c>
      <c r="I852" s="3" t="s">
        <v>4064</v>
      </c>
    </row>
    <row r="853" spans="2:9" hidden="1" x14ac:dyDescent="0.4">
      <c r="B853" s="8" t="s">
        <v>518</v>
      </c>
      <c r="C853" s="3" t="s">
        <v>2246</v>
      </c>
      <c r="D853" s="3" t="s">
        <v>2403</v>
      </c>
      <c r="E853" s="3" t="s">
        <v>1272</v>
      </c>
      <c r="F853" s="3" t="s">
        <v>399</v>
      </c>
      <c r="I853" s="3" t="s">
        <v>1833</v>
      </c>
    </row>
    <row r="854" spans="2:9" hidden="1" x14ac:dyDescent="0.4">
      <c r="B854" s="8" t="s">
        <v>518</v>
      </c>
      <c r="C854" s="3" t="s">
        <v>2558</v>
      </c>
      <c r="D854" s="3" t="s">
        <v>2403</v>
      </c>
      <c r="E854" s="3" t="s">
        <v>1272</v>
      </c>
      <c r="F854" s="3" t="s">
        <v>402</v>
      </c>
      <c r="I854" s="3" t="s">
        <v>1833</v>
      </c>
    </row>
    <row r="855" spans="2:9" hidden="1" x14ac:dyDescent="0.4">
      <c r="B855" s="8" t="s">
        <v>518</v>
      </c>
      <c r="C855" s="3" t="s">
        <v>4447</v>
      </c>
      <c r="D855" s="3" t="s">
        <v>4796</v>
      </c>
      <c r="F855" s="3" t="s">
        <v>399</v>
      </c>
      <c r="I855" s="3" t="s">
        <v>4064</v>
      </c>
    </row>
    <row r="856" spans="2:9" hidden="1" x14ac:dyDescent="0.4">
      <c r="B856" s="8" t="s">
        <v>518</v>
      </c>
      <c r="C856" s="3" t="s">
        <v>5197</v>
      </c>
      <c r="D856" s="3" t="s">
        <v>5518</v>
      </c>
      <c r="F856" s="3" t="s">
        <v>402</v>
      </c>
      <c r="I856" s="3" t="s">
        <v>4064</v>
      </c>
    </row>
    <row r="857" spans="2:9" hidden="1" x14ac:dyDescent="0.4">
      <c r="B857" s="8" t="s">
        <v>518</v>
      </c>
      <c r="C857" s="3" t="s">
        <v>3524</v>
      </c>
      <c r="D857" s="3" t="s">
        <v>3828</v>
      </c>
      <c r="F857" s="3" t="s">
        <v>399</v>
      </c>
      <c r="G857" s="3" t="s">
        <v>402</v>
      </c>
      <c r="I857" s="3" t="s">
        <v>4063</v>
      </c>
    </row>
    <row r="858" spans="2:9" hidden="1" x14ac:dyDescent="0.4">
      <c r="B858" s="8" t="s">
        <v>518</v>
      </c>
      <c r="C858" s="3" t="s">
        <v>5836</v>
      </c>
      <c r="D858" s="3" t="s">
        <v>4796</v>
      </c>
      <c r="F858" s="3" t="s">
        <v>399</v>
      </c>
      <c r="I858" s="3" t="s">
        <v>4063</v>
      </c>
    </row>
    <row r="859" spans="2:9" hidden="1" x14ac:dyDescent="0.4">
      <c r="B859" s="8" t="s">
        <v>518</v>
      </c>
      <c r="C859" s="3" t="s">
        <v>6179</v>
      </c>
      <c r="D859" s="3" t="s">
        <v>5518</v>
      </c>
      <c r="F859" s="3" t="s">
        <v>402</v>
      </c>
      <c r="I859" s="3" t="s">
        <v>4063</v>
      </c>
    </row>
    <row r="860" spans="2:9" hidden="1" x14ac:dyDescent="0.4">
      <c r="B860" s="8" t="s">
        <v>517</v>
      </c>
      <c r="C860" s="3" t="s">
        <v>3021</v>
      </c>
      <c r="D860" s="3" t="s">
        <v>3258</v>
      </c>
      <c r="E860" s="3">
        <v>1</v>
      </c>
      <c r="F860" s="3" t="s">
        <v>402</v>
      </c>
      <c r="I860" s="3" t="s">
        <v>245</v>
      </c>
    </row>
    <row r="861" spans="2:9" hidden="1" x14ac:dyDescent="0.4">
      <c r="B861" s="8" t="s">
        <v>517</v>
      </c>
      <c r="C861" s="3" t="s">
        <v>3022</v>
      </c>
      <c r="D861" s="3" t="s">
        <v>3258</v>
      </c>
      <c r="E861" s="3">
        <v>1</v>
      </c>
      <c r="F861" s="3" t="s">
        <v>402</v>
      </c>
      <c r="I861" s="3" t="s">
        <v>245</v>
      </c>
    </row>
    <row r="862" spans="2:9" hidden="1" x14ac:dyDescent="0.4">
      <c r="B862" s="8" t="s">
        <v>517</v>
      </c>
      <c r="C862" s="3" t="s">
        <v>2996</v>
      </c>
      <c r="D862" s="3" t="s">
        <v>3234</v>
      </c>
      <c r="E862" s="3">
        <v>1</v>
      </c>
      <c r="F862" s="3" t="s">
        <v>3350</v>
      </c>
      <c r="G862" s="3" t="s">
        <v>988</v>
      </c>
      <c r="H862" s="3" t="s">
        <v>399</v>
      </c>
      <c r="I862" s="3" t="s">
        <v>245</v>
      </c>
    </row>
    <row r="863" spans="2:9" hidden="1" x14ac:dyDescent="0.4">
      <c r="B863" s="8" t="s">
        <v>517</v>
      </c>
      <c r="C863" s="3" t="s">
        <v>3090</v>
      </c>
      <c r="D863" s="3" t="s">
        <v>3322</v>
      </c>
      <c r="E863" s="3">
        <v>1</v>
      </c>
      <c r="F863" s="3" t="s">
        <v>402</v>
      </c>
      <c r="G863" s="3" t="s">
        <v>988</v>
      </c>
      <c r="I863" s="3" t="s">
        <v>245</v>
      </c>
    </row>
    <row r="864" spans="2:9" hidden="1" x14ac:dyDescent="0.4">
      <c r="B864" s="8" t="s">
        <v>518</v>
      </c>
      <c r="C864" s="3" t="s">
        <v>2965</v>
      </c>
      <c r="D864" s="3" t="s">
        <v>3204</v>
      </c>
      <c r="E864" s="3">
        <v>1</v>
      </c>
      <c r="F864" s="3" t="s">
        <v>402</v>
      </c>
      <c r="G864" s="3" t="s">
        <v>399</v>
      </c>
      <c r="I864" s="3" t="s">
        <v>245</v>
      </c>
    </row>
    <row r="865" spans="2:9" hidden="1" x14ac:dyDescent="0.4">
      <c r="B865" s="8" t="s">
        <v>520</v>
      </c>
      <c r="C865" s="3" t="s">
        <v>4313</v>
      </c>
      <c r="D865" s="3" t="s">
        <v>3927</v>
      </c>
      <c r="F865" s="3" t="s">
        <v>399</v>
      </c>
      <c r="G865" s="3" t="s">
        <v>402</v>
      </c>
      <c r="I865" s="3" t="s">
        <v>4064</v>
      </c>
    </row>
    <row r="866" spans="2:9" hidden="1" x14ac:dyDescent="0.4">
      <c r="B866" s="8" t="s">
        <v>520</v>
      </c>
      <c r="C866" s="3" t="s">
        <v>3633</v>
      </c>
      <c r="D866" s="3" t="s">
        <v>3927</v>
      </c>
      <c r="F866" s="3" t="s">
        <v>399</v>
      </c>
      <c r="G866" s="3" t="s">
        <v>402</v>
      </c>
      <c r="I866" s="3" t="s">
        <v>4063</v>
      </c>
    </row>
    <row r="867" spans="2:9" hidden="1" x14ac:dyDescent="0.4">
      <c r="B867" s="8" t="s">
        <v>520</v>
      </c>
      <c r="C867" s="3" t="s">
        <v>6010</v>
      </c>
      <c r="D867" s="3" t="s">
        <v>5003</v>
      </c>
      <c r="F867" s="3" t="s">
        <v>399</v>
      </c>
      <c r="I867" s="3" t="s">
        <v>4063</v>
      </c>
    </row>
    <row r="868" spans="2:9" hidden="1" x14ac:dyDescent="0.4">
      <c r="B868" s="8" t="s">
        <v>520</v>
      </c>
      <c r="C868" s="3" t="s">
        <v>6359</v>
      </c>
      <c r="D868" s="3" t="s">
        <v>5632</v>
      </c>
      <c r="F868" s="3" t="s">
        <v>402</v>
      </c>
      <c r="I868" s="3" t="s">
        <v>4063</v>
      </c>
    </row>
    <row r="869" spans="2:9" hidden="1" x14ac:dyDescent="0.4">
      <c r="B869" s="8" t="s">
        <v>520</v>
      </c>
      <c r="C869" s="3" t="s">
        <v>4640</v>
      </c>
      <c r="D869" s="3" t="s">
        <v>5003</v>
      </c>
      <c r="F869" s="3" t="s">
        <v>399</v>
      </c>
      <c r="I869" s="3" t="s">
        <v>4064</v>
      </c>
    </row>
    <row r="870" spans="2:9" hidden="1" x14ac:dyDescent="0.4">
      <c r="B870" s="8" t="s">
        <v>520</v>
      </c>
      <c r="C870" s="3" t="s">
        <v>5312</v>
      </c>
      <c r="D870" s="3" t="s">
        <v>5632</v>
      </c>
      <c r="F870" s="3" t="s">
        <v>402</v>
      </c>
      <c r="I870" s="3" t="s">
        <v>4064</v>
      </c>
    </row>
    <row r="871" spans="2:9" hidden="1" x14ac:dyDescent="0.4">
      <c r="B871" s="8" t="s">
        <v>517</v>
      </c>
      <c r="C871" s="3" t="s">
        <v>2309</v>
      </c>
      <c r="D871" s="3" t="s">
        <v>2466</v>
      </c>
      <c r="E871" s="3" t="s">
        <v>1272</v>
      </c>
      <c r="F871" s="3" t="s">
        <v>399</v>
      </c>
      <c r="I871" s="3" t="s">
        <v>1833</v>
      </c>
    </row>
    <row r="872" spans="2:9" hidden="1" x14ac:dyDescent="0.4">
      <c r="B872" s="8" t="s">
        <v>517</v>
      </c>
      <c r="C872" s="3" t="s">
        <v>2609</v>
      </c>
      <c r="D872" s="3" t="s">
        <v>2466</v>
      </c>
      <c r="E872" s="3" t="s">
        <v>1272</v>
      </c>
      <c r="F872" s="3" t="s">
        <v>402</v>
      </c>
      <c r="I872" s="3" t="s">
        <v>1833</v>
      </c>
    </row>
    <row r="873" spans="2:9" hidden="1" x14ac:dyDescent="0.4">
      <c r="B873" s="8" t="s">
        <v>517</v>
      </c>
      <c r="C873" s="3" t="s">
        <v>3471</v>
      </c>
      <c r="D873" s="3" t="s">
        <v>3779</v>
      </c>
      <c r="F873" s="3" t="s">
        <v>399</v>
      </c>
      <c r="G873" s="3" t="s">
        <v>402</v>
      </c>
      <c r="I873" s="3" t="s">
        <v>4063</v>
      </c>
    </row>
    <row r="874" spans="2:9" hidden="1" x14ac:dyDescent="0.4">
      <c r="B874" s="8" t="s">
        <v>517</v>
      </c>
      <c r="C874" s="3" t="s">
        <v>3471</v>
      </c>
      <c r="D874" s="3" t="s">
        <v>3779</v>
      </c>
      <c r="F874" s="3" t="s">
        <v>399</v>
      </c>
      <c r="G874" s="3" t="s">
        <v>402</v>
      </c>
      <c r="I874" s="3" t="s">
        <v>4064</v>
      </c>
    </row>
    <row r="875" spans="2:9" hidden="1" x14ac:dyDescent="0.4">
      <c r="B875" s="8" t="s">
        <v>517</v>
      </c>
      <c r="C875" s="3" t="s">
        <v>5793</v>
      </c>
      <c r="D875" s="3" t="s">
        <v>4894</v>
      </c>
      <c r="F875" s="3" t="s">
        <v>399</v>
      </c>
      <c r="I875" s="3" t="s">
        <v>4063</v>
      </c>
    </row>
    <row r="876" spans="2:9" hidden="1" x14ac:dyDescent="0.4">
      <c r="B876" s="8" t="s">
        <v>517</v>
      </c>
      <c r="C876" s="3" t="s">
        <v>6136</v>
      </c>
      <c r="D876" s="3" t="s">
        <v>5466</v>
      </c>
      <c r="F876" s="3" t="s">
        <v>402</v>
      </c>
      <c r="I876" s="3" t="s">
        <v>4063</v>
      </c>
    </row>
    <row r="877" spans="2:9" hidden="1" x14ac:dyDescent="0.4">
      <c r="B877" s="8" t="s">
        <v>517</v>
      </c>
      <c r="C877" s="3" t="s">
        <v>4573</v>
      </c>
      <c r="D877" s="3" t="s">
        <v>4894</v>
      </c>
      <c r="F877" s="3" t="s">
        <v>399</v>
      </c>
      <c r="I877" s="3" t="s">
        <v>4064</v>
      </c>
    </row>
    <row r="878" spans="2:9" hidden="1" x14ac:dyDescent="0.4">
      <c r="B878" s="8" t="s">
        <v>517</v>
      </c>
      <c r="C878" s="3" t="s">
        <v>5144</v>
      </c>
      <c r="D878" s="3" t="s">
        <v>5466</v>
      </c>
      <c r="F878" s="3" t="s">
        <v>402</v>
      </c>
      <c r="I878" s="3" t="s">
        <v>4064</v>
      </c>
    </row>
    <row r="879" spans="2:9" hidden="1" x14ac:dyDescent="0.4">
      <c r="B879" s="8" t="s">
        <v>517</v>
      </c>
      <c r="C879" s="3" t="s">
        <v>4324</v>
      </c>
      <c r="D879" s="3" t="s">
        <v>3939</v>
      </c>
      <c r="F879" s="3" t="s">
        <v>399</v>
      </c>
      <c r="G879" s="3" t="s">
        <v>402</v>
      </c>
      <c r="I879" s="3" t="s">
        <v>4064</v>
      </c>
    </row>
    <row r="880" spans="2:9" hidden="1" x14ac:dyDescent="0.4">
      <c r="B880" s="8" t="s">
        <v>517</v>
      </c>
      <c r="C880" s="3" t="s">
        <v>4520</v>
      </c>
      <c r="D880" s="3" t="s">
        <v>4935</v>
      </c>
      <c r="F880" s="3" t="s">
        <v>399</v>
      </c>
      <c r="I880" s="3" t="s">
        <v>4064</v>
      </c>
    </row>
    <row r="881" spans="2:9" hidden="1" x14ac:dyDescent="0.4">
      <c r="B881" s="8" t="s">
        <v>517</v>
      </c>
      <c r="C881" s="3" t="s">
        <v>5326</v>
      </c>
      <c r="D881" s="3" t="s">
        <v>5646</v>
      </c>
      <c r="F881" s="3" t="s">
        <v>402</v>
      </c>
      <c r="I881" s="3" t="s">
        <v>4064</v>
      </c>
    </row>
    <row r="882" spans="2:9" hidden="1" x14ac:dyDescent="0.4">
      <c r="B882" s="8" t="s">
        <v>517</v>
      </c>
      <c r="C882" s="3" t="s">
        <v>3647</v>
      </c>
      <c r="D882" s="3" t="s">
        <v>3939</v>
      </c>
      <c r="F882" s="3" t="s">
        <v>399</v>
      </c>
      <c r="G882" s="3" t="s">
        <v>402</v>
      </c>
      <c r="I882" s="3" t="s">
        <v>4063</v>
      </c>
    </row>
    <row r="883" spans="2:9" hidden="1" x14ac:dyDescent="0.4">
      <c r="B883" s="8" t="s">
        <v>517</v>
      </c>
      <c r="C883" s="3" t="s">
        <v>5949</v>
      </c>
      <c r="D883" s="3" t="s">
        <v>4935</v>
      </c>
      <c r="F883" s="3" t="s">
        <v>399</v>
      </c>
      <c r="I883" s="3" t="s">
        <v>4063</v>
      </c>
    </row>
    <row r="884" spans="2:9" hidden="1" x14ac:dyDescent="0.4">
      <c r="B884" s="8" t="s">
        <v>517</v>
      </c>
      <c r="C884" s="3" t="s">
        <v>6296</v>
      </c>
      <c r="D884" s="3" t="s">
        <v>5646</v>
      </c>
      <c r="F884" s="3" t="s">
        <v>402</v>
      </c>
      <c r="I884" s="3" t="s">
        <v>4063</v>
      </c>
    </row>
    <row r="885" spans="2:9" hidden="1" x14ac:dyDescent="0.4">
      <c r="B885" s="8" t="s">
        <v>517</v>
      </c>
      <c r="C885" s="3" t="s">
        <v>4322</v>
      </c>
      <c r="D885" s="3" t="s">
        <v>3938</v>
      </c>
      <c r="F885" s="3" t="s">
        <v>399</v>
      </c>
      <c r="G885" s="3" t="s">
        <v>402</v>
      </c>
      <c r="I885" s="3" t="s">
        <v>4064</v>
      </c>
    </row>
    <row r="886" spans="2:9" hidden="1" x14ac:dyDescent="0.4">
      <c r="B886" s="8" t="s">
        <v>517</v>
      </c>
      <c r="C886" s="3" t="s">
        <v>4518</v>
      </c>
      <c r="D886" s="3" t="s">
        <v>5006</v>
      </c>
      <c r="F886" s="3" t="s">
        <v>399</v>
      </c>
      <c r="I886" s="3" t="s">
        <v>4064</v>
      </c>
    </row>
    <row r="887" spans="2:9" hidden="1" x14ac:dyDescent="0.4">
      <c r="B887" s="8" t="s">
        <v>517</v>
      </c>
      <c r="C887" s="3" t="s">
        <v>5324</v>
      </c>
      <c r="D887" s="3" t="s">
        <v>5644</v>
      </c>
      <c r="F887" s="3" t="s">
        <v>402</v>
      </c>
      <c r="I887" s="3" t="s">
        <v>4064</v>
      </c>
    </row>
    <row r="888" spans="2:9" hidden="1" x14ac:dyDescent="0.4">
      <c r="B888" s="8" t="s">
        <v>517</v>
      </c>
      <c r="C888" s="3" t="s">
        <v>3645</v>
      </c>
      <c r="D888" s="3" t="s">
        <v>3938</v>
      </c>
      <c r="F888" s="3" t="s">
        <v>399</v>
      </c>
      <c r="G888" s="3" t="s">
        <v>402</v>
      </c>
      <c r="I888" s="3" t="s">
        <v>4063</v>
      </c>
    </row>
    <row r="889" spans="2:9" hidden="1" x14ac:dyDescent="0.4">
      <c r="B889" s="8" t="s">
        <v>517</v>
      </c>
      <c r="C889" s="3" t="s">
        <v>5947</v>
      </c>
      <c r="D889" s="3" t="s">
        <v>5006</v>
      </c>
      <c r="F889" s="3" t="s">
        <v>399</v>
      </c>
      <c r="I889" s="3" t="s">
        <v>4063</v>
      </c>
    </row>
    <row r="890" spans="2:9" hidden="1" x14ac:dyDescent="0.4">
      <c r="B890" s="8" t="s">
        <v>517</v>
      </c>
      <c r="C890" s="3" t="s">
        <v>6294</v>
      </c>
      <c r="D890" s="3" t="s">
        <v>5644</v>
      </c>
      <c r="F890" s="3" t="s">
        <v>402</v>
      </c>
      <c r="I890" s="3" t="s">
        <v>4063</v>
      </c>
    </row>
    <row r="891" spans="2:9" hidden="1" x14ac:dyDescent="0.4">
      <c r="B891" s="8" t="s">
        <v>517</v>
      </c>
      <c r="C891" s="3" t="s">
        <v>1388</v>
      </c>
      <c r="D891" s="3" t="s">
        <v>1422</v>
      </c>
      <c r="F891" s="3" t="s">
        <v>399</v>
      </c>
      <c r="G891" s="3" t="s">
        <v>402</v>
      </c>
      <c r="H891" s="3" t="s">
        <v>1279</v>
      </c>
      <c r="I891" s="3" t="s">
        <v>1414</v>
      </c>
    </row>
    <row r="892" spans="2:9" hidden="1" x14ac:dyDescent="0.4">
      <c r="B892" s="8" t="s">
        <v>517</v>
      </c>
      <c r="C892" s="3" t="s">
        <v>1532</v>
      </c>
      <c r="D892" s="3" t="s">
        <v>1422</v>
      </c>
      <c r="F892" s="3" t="s">
        <v>402</v>
      </c>
      <c r="I892" s="3" t="s">
        <v>1414</v>
      </c>
    </row>
    <row r="893" spans="2:9" hidden="1" x14ac:dyDescent="0.4">
      <c r="B893" s="8" t="s">
        <v>517</v>
      </c>
      <c r="C893" s="3" t="s">
        <v>1485</v>
      </c>
      <c r="D893" s="3" t="s">
        <v>1529</v>
      </c>
      <c r="F893" s="3" t="s">
        <v>399</v>
      </c>
      <c r="G893" s="3" t="s">
        <v>402</v>
      </c>
      <c r="I893" s="3" t="s">
        <v>1489</v>
      </c>
    </row>
    <row r="894" spans="2:9" hidden="1" x14ac:dyDescent="0.4">
      <c r="B894" s="8" t="s">
        <v>517</v>
      </c>
      <c r="C894" s="3" t="s">
        <v>1593</v>
      </c>
      <c r="D894" s="3" t="s">
        <v>1529</v>
      </c>
      <c r="F894" s="3" t="s">
        <v>402</v>
      </c>
      <c r="I894" s="3" t="s">
        <v>1489</v>
      </c>
    </row>
    <row r="895" spans="2:9" hidden="1" x14ac:dyDescent="0.4">
      <c r="B895" s="8" t="s">
        <v>517</v>
      </c>
      <c r="C895" s="3" t="s">
        <v>3449</v>
      </c>
      <c r="D895" s="3" t="s">
        <v>3758</v>
      </c>
      <c r="F895" s="3" t="s">
        <v>399</v>
      </c>
      <c r="G895" s="3" t="s">
        <v>402</v>
      </c>
      <c r="I895" s="3" t="s">
        <v>4063</v>
      </c>
    </row>
    <row r="896" spans="2:9" hidden="1" x14ac:dyDescent="0.4">
      <c r="B896" s="8" t="s">
        <v>517</v>
      </c>
      <c r="C896" s="3" t="s">
        <v>5988</v>
      </c>
      <c r="D896" s="3" t="s">
        <v>4764</v>
      </c>
      <c r="F896" s="3" t="s">
        <v>399</v>
      </c>
      <c r="I896" s="3" t="s">
        <v>4063</v>
      </c>
    </row>
    <row r="897" spans="2:9" hidden="1" x14ac:dyDescent="0.4">
      <c r="B897" s="8" t="s">
        <v>517</v>
      </c>
      <c r="C897" s="3" t="s">
        <v>6336</v>
      </c>
      <c r="D897" s="3" t="s">
        <v>5446</v>
      </c>
      <c r="F897" s="3" t="s">
        <v>402</v>
      </c>
      <c r="I897" s="3" t="s">
        <v>4063</v>
      </c>
    </row>
    <row r="898" spans="2:9" hidden="1" x14ac:dyDescent="0.4">
      <c r="B898" s="8" t="s">
        <v>517</v>
      </c>
      <c r="C898" s="3" t="s">
        <v>4152</v>
      </c>
      <c r="D898" s="3" t="s">
        <v>3758</v>
      </c>
      <c r="F898" s="3" t="s">
        <v>399</v>
      </c>
      <c r="G898" s="3" t="s">
        <v>402</v>
      </c>
      <c r="I898" s="3" t="s">
        <v>4064</v>
      </c>
    </row>
    <row r="899" spans="2:9" hidden="1" x14ac:dyDescent="0.4">
      <c r="B899" s="8" t="s">
        <v>517</v>
      </c>
      <c r="C899" s="3" t="s">
        <v>4407</v>
      </c>
      <c r="D899" s="3" t="s">
        <v>4764</v>
      </c>
      <c r="F899" s="3" t="s">
        <v>399</v>
      </c>
      <c r="I899" s="3" t="s">
        <v>4064</v>
      </c>
    </row>
    <row r="900" spans="2:9" hidden="1" x14ac:dyDescent="0.4">
      <c r="B900" s="8" t="s">
        <v>517</v>
      </c>
      <c r="C900" s="3" t="s">
        <v>5123</v>
      </c>
      <c r="D900" s="3" t="s">
        <v>5446</v>
      </c>
      <c r="F900" s="3" t="s">
        <v>402</v>
      </c>
      <c r="I900" s="3" t="s">
        <v>4064</v>
      </c>
    </row>
    <row r="901" spans="2:9" hidden="1" x14ac:dyDescent="0.4">
      <c r="B901" s="8" t="s">
        <v>517</v>
      </c>
      <c r="C901" s="3" t="s">
        <v>2041</v>
      </c>
      <c r="D901" s="3" t="s">
        <v>2050</v>
      </c>
      <c r="E901" s="3" t="s">
        <v>2038</v>
      </c>
      <c r="F901" s="3" t="s">
        <v>399</v>
      </c>
      <c r="I901" s="3" t="s">
        <v>1865</v>
      </c>
    </row>
    <row r="902" spans="2:9" hidden="1" x14ac:dyDescent="0.4">
      <c r="B902" s="8" t="s">
        <v>517</v>
      </c>
      <c r="C902" s="3" t="s">
        <v>1815</v>
      </c>
      <c r="D902" s="3" t="s">
        <v>1886</v>
      </c>
      <c r="F902" s="3" t="s">
        <v>399</v>
      </c>
      <c r="I902" s="3" t="s">
        <v>1865</v>
      </c>
    </row>
    <row r="903" spans="2:9" hidden="1" x14ac:dyDescent="0.4">
      <c r="B903" s="8" t="s">
        <v>517</v>
      </c>
      <c r="C903" s="3" t="s">
        <v>1816</v>
      </c>
      <c r="D903" s="3" t="s">
        <v>1887</v>
      </c>
      <c r="F903" s="3" t="s">
        <v>399</v>
      </c>
      <c r="I903" s="3" t="s">
        <v>1865</v>
      </c>
    </row>
    <row r="904" spans="2:9" hidden="1" x14ac:dyDescent="0.4">
      <c r="B904" s="8" t="s">
        <v>536</v>
      </c>
      <c r="C904" s="3" t="s">
        <v>412</v>
      </c>
      <c r="D904" s="3" t="s">
        <v>428</v>
      </c>
      <c r="E904" s="3" t="s">
        <v>432</v>
      </c>
      <c r="F904" s="3" t="s">
        <v>430</v>
      </c>
      <c r="I904" s="3" t="s">
        <v>431</v>
      </c>
    </row>
    <row r="905" spans="2:9" hidden="1" x14ac:dyDescent="0.4">
      <c r="B905" s="8" t="s">
        <v>517</v>
      </c>
      <c r="C905" s="3" t="s">
        <v>282</v>
      </c>
      <c r="D905" s="3" t="s">
        <v>570</v>
      </c>
      <c r="F905" s="3" t="s">
        <v>399</v>
      </c>
      <c r="I905" s="3" t="s">
        <v>267</v>
      </c>
    </row>
    <row r="906" spans="2:9" hidden="1" x14ac:dyDescent="0.4">
      <c r="B906" s="8" t="s">
        <v>517</v>
      </c>
      <c r="C906" s="3" t="s">
        <v>2986</v>
      </c>
      <c r="D906" s="3" t="s">
        <v>3224</v>
      </c>
      <c r="E906" s="3">
        <v>1</v>
      </c>
      <c r="F906" s="3" t="s">
        <v>402</v>
      </c>
      <c r="G906" s="3" t="s">
        <v>399</v>
      </c>
      <c r="I906" s="3" t="s">
        <v>245</v>
      </c>
    </row>
    <row r="907" spans="2:9" hidden="1" x14ac:dyDescent="0.4">
      <c r="B907" s="8" t="s">
        <v>517</v>
      </c>
      <c r="C907" s="3" t="s">
        <v>3029</v>
      </c>
      <c r="D907" s="3" t="s">
        <v>3266</v>
      </c>
      <c r="E907" s="3">
        <v>1</v>
      </c>
      <c r="F907" s="3" t="s">
        <v>402</v>
      </c>
      <c r="G907" s="3" t="s">
        <v>988</v>
      </c>
      <c r="I907" s="3" t="s">
        <v>245</v>
      </c>
    </row>
    <row r="908" spans="2:9" hidden="1" x14ac:dyDescent="0.4">
      <c r="B908" s="8" t="s">
        <v>517</v>
      </c>
      <c r="C908" s="3" t="s">
        <v>3086</v>
      </c>
      <c r="D908" s="3" t="s">
        <v>3318</v>
      </c>
      <c r="E908" s="3">
        <v>1</v>
      </c>
      <c r="F908" s="3" t="s">
        <v>402</v>
      </c>
      <c r="G908" s="3" t="s">
        <v>399</v>
      </c>
      <c r="H908" s="3" t="s">
        <v>988</v>
      </c>
      <c r="I908" s="3" t="s">
        <v>245</v>
      </c>
    </row>
    <row r="909" spans="2:9" hidden="1" x14ac:dyDescent="0.4">
      <c r="B909" s="8" t="s">
        <v>517</v>
      </c>
      <c r="C909" s="3" t="s">
        <v>2324</v>
      </c>
      <c r="D909" s="15" t="s">
        <v>2480</v>
      </c>
      <c r="E909" s="3" t="s">
        <v>1272</v>
      </c>
      <c r="F909" s="3" t="s">
        <v>399</v>
      </c>
      <c r="I909" s="3" t="s">
        <v>1833</v>
      </c>
    </row>
    <row r="910" spans="2:9" hidden="1" x14ac:dyDescent="0.4">
      <c r="B910" s="8" t="s">
        <v>517</v>
      </c>
      <c r="C910" s="3" t="s">
        <v>2624</v>
      </c>
      <c r="D910" s="3" t="s">
        <v>2480</v>
      </c>
      <c r="E910" s="3" t="s">
        <v>1272</v>
      </c>
      <c r="F910" s="3" t="s">
        <v>402</v>
      </c>
      <c r="I910" s="3" t="s">
        <v>1833</v>
      </c>
    </row>
    <row r="911" spans="2:9" hidden="1" x14ac:dyDescent="0.4">
      <c r="B911" s="8" t="s">
        <v>536</v>
      </c>
      <c r="C911" s="3" t="s">
        <v>2029</v>
      </c>
      <c r="D911" s="3" t="s">
        <v>2120</v>
      </c>
      <c r="F911" s="3" t="s">
        <v>2065</v>
      </c>
      <c r="G911" s="3" t="s">
        <v>403</v>
      </c>
      <c r="I911" s="3" t="s">
        <v>248</v>
      </c>
    </row>
    <row r="912" spans="2:9" hidden="1" x14ac:dyDescent="0.4">
      <c r="B912" s="8" t="s">
        <v>517</v>
      </c>
      <c r="C912" s="3" t="s">
        <v>2970</v>
      </c>
      <c r="D912" s="3" t="s">
        <v>3209</v>
      </c>
      <c r="E912" s="3">
        <v>1</v>
      </c>
      <c r="F912" s="3" t="s">
        <v>402</v>
      </c>
      <c r="G912" s="3" t="s">
        <v>399</v>
      </c>
      <c r="I912" s="3" t="s">
        <v>245</v>
      </c>
    </row>
    <row r="913" spans="2:9" hidden="1" x14ac:dyDescent="0.4">
      <c r="B913" s="8" t="s">
        <v>536</v>
      </c>
      <c r="C913" s="3" t="s">
        <v>2686</v>
      </c>
      <c r="D913" s="3">
        <v>10</v>
      </c>
      <c r="F913" s="3" t="s">
        <v>1124</v>
      </c>
      <c r="I913" s="3" t="s">
        <v>252</v>
      </c>
    </row>
    <row r="914" spans="2:9" hidden="1" x14ac:dyDescent="0.4">
      <c r="B914" s="8">
        <v>0</v>
      </c>
      <c r="C914" s="3" t="s">
        <v>70</v>
      </c>
      <c r="D914" s="3" t="s">
        <v>125</v>
      </c>
      <c r="F914" s="3" t="s">
        <v>825</v>
      </c>
      <c r="I914" s="3" t="s">
        <v>252</v>
      </c>
    </row>
    <row r="915" spans="2:9" hidden="1" x14ac:dyDescent="0.4">
      <c r="B915" s="8">
        <v>1</v>
      </c>
      <c r="C915" s="3" t="s">
        <v>69</v>
      </c>
      <c r="D915" s="3" t="s">
        <v>125</v>
      </c>
      <c r="F915" s="3" t="s">
        <v>400</v>
      </c>
      <c r="I915" s="3" t="s">
        <v>252</v>
      </c>
    </row>
    <row r="916" spans="2:9" hidden="1" x14ac:dyDescent="0.4">
      <c r="B916" s="8" t="s">
        <v>529</v>
      </c>
      <c r="C916" s="8" t="s">
        <v>837</v>
      </c>
      <c r="D916" s="3" t="s">
        <v>821</v>
      </c>
      <c r="F916" s="3" t="s">
        <v>399</v>
      </c>
      <c r="I916" s="3" t="s">
        <v>824</v>
      </c>
    </row>
    <row r="917" spans="2:9" hidden="1" x14ac:dyDescent="0.4">
      <c r="B917" s="8" t="s">
        <v>529</v>
      </c>
      <c r="C917" s="8" t="s">
        <v>935</v>
      </c>
      <c r="D917" s="3" t="s">
        <v>821</v>
      </c>
      <c r="F917" s="3" t="s">
        <v>402</v>
      </c>
      <c r="I917" s="3" t="s">
        <v>824</v>
      </c>
    </row>
    <row r="918" spans="2:9" hidden="1" x14ac:dyDescent="0.4">
      <c r="B918" s="8" t="s">
        <v>531</v>
      </c>
      <c r="C918" s="3" t="s">
        <v>3376</v>
      </c>
      <c r="D918" s="3" t="s">
        <v>3684</v>
      </c>
      <c r="F918" s="3" t="s">
        <v>399</v>
      </c>
      <c r="G918" s="3" t="s">
        <v>402</v>
      </c>
      <c r="I918" s="3" t="s">
        <v>4063</v>
      </c>
    </row>
    <row r="919" spans="2:9" hidden="1" x14ac:dyDescent="0.4">
      <c r="B919" s="8" t="s">
        <v>531</v>
      </c>
      <c r="C919" s="3" t="s">
        <v>5711</v>
      </c>
      <c r="D919" s="3" t="s">
        <v>4866</v>
      </c>
      <c r="F919" s="3" t="s">
        <v>399</v>
      </c>
      <c r="I919" s="3" t="s">
        <v>4063</v>
      </c>
    </row>
    <row r="920" spans="2:9" hidden="1" x14ac:dyDescent="0.4">
      <c r="B920" s="8" t="s">
        <v>531</v>
      </c>
      <c r="C920" s="3" t="s">
        <v>6052</v>
      </c>
      <c r="D920" s="3" t="s">
        <v>5688</v>
      </c>
      <c r="F920" s="3" t="s">
        <v>402</v>
      </c>
      <c r="I920" s="3" t="s">
        <v>4063</v>
      </c>
    </row>
    <row r="921" spans="2:9" hidden="1" x14ac:dyDescent="0.4">
      <c r="B921" s="8" t="s">
        <v>518</v>
      </c>
      <c r="C921" s="3" t="s">
        <v>160</v>
      </c>
      <c r="D921" s="3" t="s">
        <v>631</v>
      </c>
      <c r="F921" s="3" t="s">
        <v>399</v>
      </c>
      <c r="I921" s="3" t="s">
        <v>267</v>
      </c>
    </row>
    <row r="922" spans="2:9" hidden="1" x14ac:dyDescent="0.4">
      <c r="B922" s="8" t="s">
        <v>517</v>
      </c>
      <c r="C922" s="3" t="s">
        <v>1811</v>
      </c>
      <c r="D922" s="3" t="s">
        <v>1880</v>
      </c>
      <c r="F922" s="3" t="s">
        <v>399</v>
      </c>
      <c r="I922" s="3" t="s">
        <v>1865</v>
      </c>
    </row>
    <row r="923" spans="2:9" hidden="1" x14ac:dyDescent="0.4">
      <c r="B923" s="8" t="s">
        <v>517</v>
      </c>
      <c r="C923" s="3" t="s">
        <v>1812</v>
      </c>
      <c r="D923" s="3" t="s">
        <v>1881</v>
      </c>
      <c r="F923" s="3" t="s">
        <v>399</v>
      </c>
      <c r="I923" s="3" t="s">
        <v>1865</v>
      </c>
    </row>
    <row r="924" spans="2:9" hidden="1" x14ac:dyDescent="0.4">
      <c r="B924" s="8" t="s">
        <v>516</v>
      </c>
      <c r="C924" s="3" t="s">
        <v>1987</v>
      </c>
      <c r="D924" s="3" t="s">
        <v>1993</v>
      </c>
      <c r="F924" s="3" t="s">
        <v>399</v>
      </c>
      <c r="I924" s="3" t="s">
        <v>1865</v>
      </c>
    </row>
    <row r="925" spans="2:9" hidden="1" x14ac:dyDescent="0.4">
      <c r="B925" s="8" t="s">
        <v>517</v>
      </c>
      <c r="C925" s="3" t="s">
        <v>2954</v>
      </c>
      <c r="D925" s="3" t="s">
        <v>3193</v>
      </c>
      <c r="E925" s="3">
        <v>1</v>
      </c>
      <c r="F925" s="3" t="s">
        <v>402</v>
      </c>
      <c r="G925" s="3" t="s">
        <v>988</v>
      </c>
      <c r="H925" s="3" t="s">
        <v>399</v>
      </c>
      <c r="I925" s="3" t="s">
        <v>245</v>
      </c>
    </row>
    <row r="926" spans="2:9" hidden="1" x14ac:dyDescent="0.4">
      <c r="B926" s="8" t="s">
        <v>517</v>
      </c>
      <c r="C926" s="3" t="s">
        <v>347</v>
      </c>
      <c r="D926" s="3" t="s">
        <v>371</v>
      </c>
      <c r="F926" s="3" t="s">
        <v>399</v>
      </c>
      <c r="I926" s="3" t="s">
        <v>267</v>
      </c>
    </row>
    <row r="927" spans="2:9" hidden="1" x14ac:dyDescent="0.4">
      <c r="B927" s="8" t="s">
        <v>517</v>
      </c>
      <c r="C927" s="3" t="s">
        <v>3041</v>
      </c>
      <c r="D927" s="3" t="s">
        <v>3277</v>
      </c>
      <c r="E927" s="3">
        <v>1</v>
      </c>
      <c r="F927" s="3" t="s">
        <v>399</v>
      </c>
      <c r="G927" s="3" t="s">
        <v>402</v>
      </c>
      <c r="H927" s="3" t="s">
        <v>988</v>
      </c>
      <c r="I927" s="3" t="s">
        <v>1335</v>
      </c>
    </row>
    <row r="928" spans="2:9" hidden="1" x14ac:dyDescent="0.4">
      <c r="B928" s="8" t="s">
        <v>517</v>
      </c>
      <c r="C928" s="3" t="s">
        <v>2975</v>
      </c>
      <c r="D928" s="3" t="s">
        <v>3213</v>
      </c>
      <c r="E928" s="3">
        <v>1</v>
      </c>
      <c r="F928" s="3" t="s">
        <v>402</v>
      </c>
      <c r="G928" s="3" t="s">
        <v>988</v>
      </c>
      <c r="H928" s="3" t="s">
        <v>399</v>
      </c>
      <c r="I928" s="3" t="s">
        <v>245</v>
      </c>
    </row>
    <row r="929" spans="2:9" hidden="1" x14ac:dyDescent="0.4">
      <c r="B929" s="8" t="s">
        <v>517</v>
      </c>
      <c r="C929" s="3" t="s">
        <v>2959</v>
      </c>
      <c r="D929" s="3" t="s">
        <v>3198</v>
      </c>
      <c r="E929" s="3">
        <v>1</v>
      </c>
      <c r="F929" s="3" t="s">
        <v>402</v>
      </c>
      <c r="G929" s="3" t="s">
        <v>399</v>
      </c>
      <c r="I929" s="3" t="s">
        <v>245</v>
      </c>
    </row>
    <row r="930" spans="2:9" hidden="1" x14ac:dyDescent="0.4">
      <c r="B930" s="8" t="s">
        <v>517</v>
      </c>
      <c r="C930" s="3" t="s">
        <v>3016</v>
      </c>
      <c r="D930" s="3" t="s">
        <v>3252</v>
      </c>
      <c r="E930" s="3">
        <v>1</v>
      </c>
      <c r="F930" s="3" t="s">
        <v>402</v>
      </c>
      <c r="I930" s="3" t="s">
        <v>245</v>
      </c>
    </row>
    <row r="931" spans="2:9" hidden="1" x14ac:dyDescent="0.4">
      <c r="B931" s="8" t="s">
        <v>520</v>
      </c>
      <c r="C931" s="3" t="s">
        <v>2998</v>
      </c>
      <c r="D931" s="3" t="s">
        <v>3236</v>
      </c>
      <c r="E931" s="3">
        <v>1</v>
      </c>
      <c r="F931" s="3" t="s">
        <v>3350</v>
      </c>
      <c r="G931" s="3" t="s">
        <v>988</v>
      </c>
      <c r="H931" s="3" t="s">
        <v>399</v>
      </c>
      <c r="I931" s="3" t="s">
        <v>245</v>
      </c>
    </row>
    <row r="932" spans="2:9" hidden="1" x14ac:dyDescent="0.4">
      <c r="B932" s="8" t="s">
        <v>517</v>
      </c>
      <c r="C932" s="3" t="s">
        <v>2891</v>
      </c>
      <c r="D932" s="3" t="s">
        <v>3132</v>
      </c>
      <c r="E932" s="3">
        <v>1</v>
      </c>
      <c r="F932" s="3" t="s">
        <v>402</v>
      </c>
      <c r="I932" s="3" t="s">
        <v>245</v>
      </c>
    </row>
    <row r="933" spans="2:9" hidden="1" x14ac:dyDescent="0.4">
      <c r="B933" s="8" t="s">
        <v>517</v>
      </c>
      <c r="C933" s="3" t="s">
        <v>2279</v>
      </c>
      <c r="D933" s="3" t="s">
        <v>2437</v>
      </c>
      <c r="E933" s="3" t="s">
        <v>1272</v>
      </c>
      <c r="F933" s="3" t="s">
        <v>399</v>
      </c>
      <c r="I933" s="3" t="s">
        <v>1833</v>
      </c>
    </row>
    <row r="934" spans="2:9" hidden="1" x14ac:dyDescent="0.4">
      <c r="B934" s="8" t="s">
        <v>517</v>
      </c>
      <c r="C934" s="3" t="s">
        <v>2585</v>
      </c>
      <c r="D934" s="3" t="s">
        <v>2437</v>
      </c>
      <c r="E934" s="3" t="s">
        <v>1272</v>
      </c>
      <c r="F934" s="3" t="s">
        <v>402</v>
      </c>
      <c r="I934" s="3" t="s">
        <v>1833</v>
      </c>
    </row>
    <row r="935" spans="2:9" hidden="1" x14ac:dyDescent="0.4">
      <c r="B935" s="8" t="s">
        <v>518</v>
      </c>
      <c r="C935" s="3" t="s">
        <v>186</v>
      </c>
      <c r="D935" s="3" t="s">
        <v>543</v>
      </c>
      <c r="F935" s="3" t="s">
        <v>399</v>
      </c>
      <c r="I935" s="3" t="s">
        <v>267</v>
      </c>
    </row>
    <row r="936" spans="2:9" hidden="1" x14ac:dyDescent="0.4">
      <c r="B936" s="8" t="s">
        <v>536</v>
      </c>
      <c r="C936" s="3" t="s">
        <v>186</v>
      </c>
      <c r="D936" s="3" t="s">
        <v>2121</v>
      </c>
      <c r="F936" s="3" t="s">
        <v>2065</v>
      </c>
      <c r="I936" s="3" t="s">
        <v>248</v>
      </c>
    </row>
    <row r="937" spans="2:9" hidden="1" x14ac:dyDescent="0.4">
      <c r="B937" s="8" t="s">
        <v>531</v>
      </c>
      <c r="C937" s="3" t="s">
        <v>4082</v>
      </c>
      <c r="D937" s="3" t="s">
        <v>3684</v>
      </c>
      <c r="F937" s="3" t="s">
        <v>399</v>
      </c>
      <c r="G937" s="3" t="s">
        <v>402</v>
      </c>
      <c r="I937" s="3" t="s">
        <v>4064</v>
      </c>
    </row>
    <row r="938" spans="2:9" hidden="1" x14ac:dyDescent="0.4">
      <c r="B938" s="8" t="s">
        <v>531</v>
      </c>
      <c r="C938" s="3" t="s">
        <v>4605</v>
      </c>
      <c r="D938" s="3" t="s">
        <v>4866</v>
      </c>
      <c r="F938" s="3" t="s">
        <v>399</v>
      </c>
      <c r="I938" s="3" t="s">
        <v>4064</v>
      </c>
    </row>
    <row r="939" spans="2:9" hidden="1" x14ac:dyDescent="0.4">
      <c r="B939" s="8" t="s">
        <v>531</v>
      </c>
      <c r="C939" s="3" t="s">
        <v>5043</v>
      </c>
      <c r="D939" s="3" t="s">
        <v>5689</v>
      </c>
      <c r="F939" s="3" t="s">
        <v>402</v>
      </c>
      <c r="I939" s="3" t="s">
        <v>4064</v>
      </c>
    </row>
    <row r="940" spans="2:9" hidden="1" x14ac:dyDescent="0.4">
      <c r="B940" s="8" t="s">
        <v>520</v>
      </c>
      <c r="C940" s="3" t="s">
        <v>1918</v>
      </c>
      <c r="D940" s="3" t="s">
        <v>1950</v>
      </c>
      <c r="F940" s="3" t="s">
        <v>399</v>
      </c>
      <c r="I940" s="3" t="s">
        <v>1865</v>
      </c>
    </row>
    <row r="941" spans="2:9" hidden="1" x14ac:dyDescent="0.4">
      <c r="B941" s="8" t="s">
        <v>520</v>
      </c>
      <c r="C941" s="3" t="s">
        <v>1917</v>
      </c>
      <c r="D941" s="3" t="s">
        <v>1950</v>
      </c>
      <c r="F941" s="3" t="s">
        <v>399</v>
      </c>
      <c r="I941" s="3" t="s">
        <v>1865</v>
      </c>
    </row>
    <row r="942" spans="2:9" hidden="1" x14ac:dyDescent="0.4">
      <c r="B942" s="8" t="s">
        <v>536</v>
      </c>
      <c r="C942" s="3" t="s">
        <v>2674</v>
      </c>
      <c r="D942" s="3">
        <v>2</v>
      </c>
      <c r="F942" s="3" t="s">
        <v>1124</v>
      </c>
      <c r="I942" s="3" t="s">
        <v>252</v>
      </c>
    </row>
    <row r="943" spans="2:9" hidden="1" x14ac:dyDescent="0.4">
      <c r="B943" s="8" t="s">
        <v>517</v>
      </c>
      <c r="C943" s="3" t="s">
        <v>2953</v>
      </c>
      <c r="D943" s="3" t="s">
        <v>3192</v>
      </c>
      <c r="E943" s="3">
        <v>1</v>
      </c>
      <c r="F943" s="3" t="s">
        <v>402</v>
      </c>
      <c r="G943" s="3" t="s">
        <v>988</v>
      </c>
      <c r="H943" s="3" t="s">
        <v>399</v>
      </c>
      <c r="I943" s="3" t="s">
        <v>245</v>
      </c>
    </row>
    <row r="944" spans="2:9" hidden="1" x14ac:dyDescent="0.4">
      <c r="B944" s="8" t="s">
        <v>517</v>
      </c>
      <c r="C944" s="3" t="s">
        <v>2754</v>
      </c>
      <c r="D944" s="3" t="s">
        <v>2772</v>
      </c>
      <c r="E944" s="3" t="s">
        <v>1272</v>
      </c>
      <c r="F944" s="3" t="s">
        <v>399</v>
      </c>
      <c r="I944" s="3" t="s">
        <v>2370</v>
      </c>
    </row>
    <row r="945" spans="2:9" hidden="1" x14ac:dyDescent="0.4">
      <c r="B945" s="8" t="s">
        <v>536</v>
      </c>
      <c r="C945" s="3" t="s">
        <v>2726</v>
      </c>
      <c r="D945" s="3">
        <v>200</v>
      </c>
      <c r="F945" s="3" t="s">
        <v>1124</v>
      </c>
      <c r="I945" s="3" t="s">
        <v>252</v>
      </c>
    </row>
    <row r="946" spans="2:9" hidden="1" x14ac:dyDescent="0.4">
      <c r="B946" s="8" t="s">
        <v>536</v>
      </c>
      <c r="C946" s="3" t="s">
        <v>2698</v>
      </c>
      <c r="D946" s="3">
        <v>22</v>
      </c>
      <c r="F946" s="3" t="s">
        <v>1124</v>
      </c>
      <c r="I946" s="3" t="s">
        <v>252</v>
      </c>
    </row>
    <row r="947" spans="2:9" hidden="1" x14ac:dyDescent="0.4">
      <c r="B947" s="8" t="s">
        <v>536</v>
      </c>
      <c r="C947" s="3" t="s">
        <v>2688</v>
      </c>
      <c r="D947" s="3">
        <v>12</v>
      </c>
      <c r="F947" s="3" t="s">
        <v>1124</v>
      </c>
      <c r="I947" s="3" t="s">
        <v>252</v>
      </c>
    </row>
    <row r="948" spans="2:9" hidden="1" x14ac:dyDescent="0.4">
      <c r="B948" s="8" t="s">
        <v>536</v>
      </c>
      <c r="C948" s="3" t="s">
        <v>2734</v>
      </c>
      <c r="D948" s="3">
        <v>2000</v>
      </c>
      <c r="F948" s="3" t="s">
        <v>1124</v>
      </c>
      <c r="I948" s="3" t="s">
        <v>252</v>
      </c>
    </row>
    <row r="949" spans="2:9" hidden="1" x14ac:dyDescent="0.4">
      <c r="B949" s="8" t="s">
        <v>517</v>
      </c>
      <c r="C949" s="3" t="s">
        <v>4134</v>
      </c>
      <c r="D949" s="3" t="s">
        <v>3733</v>
      </c>
      <c r="F949" s="3" t="s">
        <v>399</v>
      </c>
      <c r="G949" s="3" t="s">
        <v>402</v>
      </c>
      <c r="I949" s="3" t="s">
        <v>4064</v>
      </c>
    </row>
    <row r="950" spans="2:9" hidden="1" x14ac:dyDescent="0.4">
      <c r="B950" s="8" t="s">
        <v>517</v>
      </c>
      <c r="C950" s="3" t="s">
        <v>4398</v>
      </c>
      <c r="D950" s="3" t="s">
        <v>4748</v>
      </c>
      <c r="F950" s="3" t="s">
        <v>399</v>
      </c>
      <c r="I950" s="3" t="s">
        <v>4064</v>
      </c>
    </row>
    <row r="951" spans="2:9" hidden="1" x14ac:dyDescent="0.4">
      <c r="B951" s="8" t="s">
        <v>517</v>
      </c>
      <c r="C951" s="3" t="s">
        <v>5101</v>
      </c>
      <c r="D951" s="3" t="s">
        <v>5424</v>
      </c>
      <c r="F951" s="3" t="s">
        <v>402</v>
      </c>
      <c r="I951" s="3" t="s">
        <v>4064</v>
      </c>
    </row>
    <row r="952" spans="2:9" hidden="1" x14ac:dyDescent="0.4">
      <c r="B952" s="8" t="s">
        <v>517</v>
      </c>
      <c r="C952" s="3" t="s">
        <v>3426</v>
      </c>
      <c r="D952" s="3" t="s">
        <v>3733</v>
      </c>
      <c r="F952" s="3" t="s">
        <v>399</v>
      </c>
      <c r="G952" s="3" t="s">
        <v>402</v>
      </c>
      <c r="I952" s="3" t="s">
        <v>4063</v>
      </c>
    </row>
    <row r="953" spans="2:9" hidden="1" x14ac:dyDescent="0.4">
      <c r="B953" s="8" t="s">
        <v>517</v>
      </c>
      <c r="C953" s="3" t="s">
        <v>5758</v>
      </c>
      <c r="D953" s="3" t="s">
        <v>4748</v>
      </c>
      <c r="F953" s="3" t="s">
        <v>399</v>
      </c>
      <c r="I953" s="3" t="s">
        <v>4063</v>
      </c>
    </row>
    <row r="954" spans="2:9" hidden="1" x14ac:dyDescent="0.4">
      <c r="B954" s="8" t="s">
        <v>517</v>
      </c>
      <c r="C954" s="3" t="s">
        <v>6100</v>
      </c>
      <c r="D954" s="3" t="s">
        <v>5424</v>
      </c>
      <c r="F954" s="3" t="s">
        <v>402</v>
      </c>
      <c r="I954" s="3" t="s">
        <v>4063</v>
      </c>
    </row>
    <row r="955" spans="2:9" hidden="1" x14ac:dyDescent="0.4">
      <c r="B955" s="8" t="s">
        <v>518</v>
      </c>
      <c r="C955" s="3" t="s">
        <v>2757</v>
      </c>
      <c r="D955" s="3" t="s">
        <v>2775</v>
      </c>
      <c r="E955" s="3" t="s">
        <v>1272</v>
      </c>
      <c r="F955" s="3" t="s">
        <v>399</v>
      </c>
      <c r="I955" s="3" t="s">
        <v>2370</v>
      </c>
    </row>
    <row r="956" spans="2:9" hidden="1" x14ac:dyDescent="0.4">
      <c r="B956" s="8" t="s">
        <v>518</v>
      </c>
      <c r="C956" s="3" t="s">
        <v>965</v>
      </c>
      <c r="D956" s="3" t="s">
        <v>978</v>
      </c>
      <c r="F956" s="3" t="s">
        <v>399</v>
      </c>
      <c r="I956" s="3" t="s">
        <v>510</v>
      </c>
    </row>
    <row r="957" spans="2:9" hidden="1" x14ac:dyDescent="0.4">
      <c r="B957" s="8" t="s">
        <v>518</v>
      </c>
      <c r="C957" s="3" t="s">
        <v>1127</v>
      </c>
      <c r="D957" s="3" t="s">
        <v>1136</v>
      </c>
      <c r="F957" s="3" t="s">
        <v>402</v>
      </c>
      <c r="I957" s="3" t="s">
        <v>510</v>
      </c>
    </row>
    <row r="958" spans="2:9" hidden="1" x14ac:dyDescent="0.4">
      <c r="B958" s="8" t="s">
        <v>518</v>
      </c>
      <c r="C958" s="3" t="s">
        <v>494</v>
      </c>
      <c r="D958" s="3" t="s">
        <v>663</v>
      </c>
      <c r="E958" s="3" t="s">
        <v>425</v>
      </c>
      <c r="F958" s="3" t="s">
        <v>522</v>
      </c>
      <c r="I958" s="3" t="s">
        <v>510</v>
      </c>
    </row>
    <row r="959" spans="2:9" hidden="1" x14ac:dyDescent="0.4">
      <c r="B959" s="8" t="s">
        <v>518</v>
      </c>
      <c r="C959" s="3" t="s">
        <v>685</v>
      </c>
      <c r="D959" s="3" t="s">
        <v>663</v>
      </c>
      <c r="E959" s="3" t="s">
        <v>425</v>
      </c>
      <c r="F959" s="3" t="s">
        <v>684</v>
      </c>
      <c r="I959" s="3" t="s">
        <v>510</v>
      </c>
    </row>
    <row r="960" spans="2:9" hidden="1" x14ac:dyDescent="0.4">
      <c r="B960" s="8" t="s">
        <v>518</v>
      </c>
      <c r="C960" s="3" t="s">
        <v>1083</v>
      </c>
      <c r="D960" s="3" t="s">
        <v>980</v>
      </c>
      <c r="F960" s="3" t="s">
        <v>402</v>
      </c>
      <c r="G960" s="3" t="s">
        <v>399</v>
      </c>
      <c r="H960" s="3" t="s">
        <v>988</v>
      </c>
      <c r="I960" s="3" t="s">
        <v>510</v>
      </c>
    </row>
    <row r="961" spans="2:9" hidden="1" x14ac:dyDescent="0.4">
      <c r="B961" s="8" t="s">
        <v>518</v>
      </c>
      <c r="C961" s="3" t="s">
        <v>1095</v>
      </c>
      <c r="D961" s="3" t="s">
        <v>980</v>
      </c>
      <c r="F961" s="3" t="s">
        <v>402</v>
      </c>
      <c r="I961" s="3" t="s">
        <v>510</v>
      </c>
    </row>
    <row r="962" spans="2:9" hidden="1" x14ac:dyDescent="0.4">
      <c r="B962" s="8" t="s">
        <v>518</v>
      </c>
      <c r="C962" s="3" t="s">
        <v>1104</v>
      </c>
      <c r="D962" s="3" t="s">
        <v>980</v>
      </c>
      <c r="F962" s="3" t="s">
        <v>399</v>
      </c>
      <c r="I962" s="3" t="s">
        <v>510</v>
      </c>
    </row>
    <row r="963" spans="2:9" hidden="1" x14ac:dyDescent="0.4">
      <c r="B963" s="8" t="s">
        <v>529</v>
      </c>
      <c r="C963" s="3" t="s">
        <v>2794</v>
      </c>
      <c r="D963" s="3" t="s">
        <v>2810</v>
      </c>
      <c r="E963" s="3" t="s">
        <v>1272</v>
      </c>
      <c r="F963" s="3" t="s">
        <v>399</v>
      </c>
      <c r="I963" s="3" t="s">
        <v>2370</v>
      </c>
    </row>
    <row r="964" spans="2:9" hidden="1" x14ac:dyDescent="0.4">
      <c r="B964" s="8" t="s">
        <v>529</v>
      </c>
      <c r="C964" s="3" t="s">
        <v>2762</v>
      </c>
      <c r="D964" s="3" t="s">
        <v>2780</v>
      </c>
      <c r="E964" s="3" t="s">
        <v>1272</v>
      </c>
      <c r="F964" s="3" t="s">
        <v>399</v>
      </c>
      <c r="I964" s="3" t="s">
        <v>2370</v>
      </c>
    </row>
    <row r="965" spans="2:9" hidden="1" x14ac:dyDescent="0.4">
      <c r="B965" s="8" t="s">
        <v>517</v>
      </c>
      <c r="C965" s="3" t="s">
        <v>2767</v>
      </c>
      <c r="D965" s="3" t="s">
        <v>2783</v>
      </c>
      <c r="E965" s="3" t="s">
        <v>1272</v>
      </c>
      <c r="F965" s="3" t="s">
        <v>399</v>
      </c>
      <c r="I965" s="3" t="s">
        <v>2370</v>
      </c>
    </row>
    <row r="966" spans="2:9" hidden="1" x14ac:dyDescent="0.4">
      <c r="B966" s="8" t="s">
        <v>536</v>
      </c>
      <c r="C966" s="3" t="s">
        <v>2708</v>
      </c>
      <c r="D966" s="3">
        <v>32</v>
      </c>
      <c r="F966" s="3" t="s">
        <v>1124</v>
      </c>
      <c r="I966" s="3" t="s">
        <v>252</v>
      </c>
    </row>
    <row r="967" spans="2:9" hidden="1" x14ac:dyDescent="0.4">
      <c r="B967" s="8" t="s">
        <v>536</v>
      </c>
      <c r="C967" s="3" t="s">
        <v>2742</v>
      </c>
      <c r="D967" s="3">
        <v>20000</v>
      </c>
      <c r="F967" s="3" t="s">
        <v>1124</v>
      </c>
      <c r="I967" s="3" t="s">
        <v>252</v>
      </c>
    </row>
    <row r="968" spans="2:9" hidden="1" x14ac:dyDescent="0.4">
      <c r="B968" s="8" t="s">
        <v>517</v>
      </c>
      <c r="C968" s="3" t="s">
        <v>4278</v>
      </c>
      <c r="D968" s="3" t="s">
        <v>4045</v>
      </c>
      <c r="F968" s="3" t="s">
        <v>399</v>
      </c>
      <c r="G968" s="3" t="s">
        <v>402</v>
      </c>
      <c r="I968" s="3" t="s">
        <v>4064</v>
      </c>
    </row>
    <row r="969" spans="2:9" hidden="1" x14ac:dyDescent="0.4">
      <c r="B969" s="8" t="s">
        <v>517</v>
      </c>
      <c r="C969" s="3" t="s">
        <v>3590</v>
      </c>
      <c r="D969" s="3" t="s">
        <v>4045</v>
      </c>
      <c r="F969" s="3" t="s">
        <v>399</v>
      </c>
      <c r="G969" s="3" t="s">
        <v>402</v>
      </c>
      <c r="I969" s="3" t="s">
        <v>4063</v>
      </c>
    </row>
    <row r="970" spans="2:9" hidden="1" x14ac:dyDescent="0.4">
      <c r="B970" s="8" t="s">
        <v>517</v>
      </c>
      <c r="C970" s="3" t="s">
        <v>5892</v>
      </c>
      <c r="D970" s="3" t="s">
        <v>4980</v>
      </c>
      <c r="F970" s="3" t="s">
        <v>399</v>
      </c>
      <c r="I970" s="3" t="s">
        <v>4063</v>
      </c>
    </row>
    <row r="971" spans="2:9" hidden="1" x14ac:dyDescent="0.4">
      <c r="B971" s="8" t="s">
        <v>517</v>
      </c>
      <c r="C971" s="3" t="s">
        <v>6239</v>
      </c>
      <c r="D971" s="3" t="s">
        <v>5585</v>
      </c>
      <c r="F971" s="3" t="s">
        <v>402</v>
      </c>
      <c r="I971" s="3" t="s">
        <v>4063</v>
      </c>
    </row>
    <row r="972" spans="2:9" hidden="1" x14ac:dyDescent="0.4">
      <c r="B972" s="8" t="s">
        <v>517</v>
      </c>
      <c r="C972" s="3" t="s">
        <v>4489</v>
      </c>
      <c r="D972" s="3" t="s">
        <v>4980</v>
      </c>
      <c r="F972" s="3" t="s">
        <v>399</v>
      </c>
      <c r="I972" s="3" t="s">
        <v>4064</v>
      </c>
    </row>
    <row r="973" spans="2:9" hidden="1" x14ac:dyDescent="0.4">
      <c r="B973" s="8" t="s">
        <v>517</v>
      </c>
      <c r="C973" s="3" t="s">
        <v>5264</v>
      </c>
      <c r="D973" s="3" t="s">
        <v>5585</v>
      </c>
      <c r="F973" s="3" t="s">
        <v>402</v>
      </c>
      <c r="I973" s="3" t="s">
        <v>4064</v>
      </c>
    </row>
    <row r="974" spans="2:9" ht="29.25" hidden="1" x14ac:dyDescent="0.4">
      <c r="B974" s="8" t="s">
        <v>536</v>
      </c>
      <c r="C974" s="3" t="s">
        <v>2013</v>
      </c>
      <c r="D974" s="3" t="s">
        <v>2083</v>
      </c>
      <c r="F974" s="3" t="s">
        <v>2065</v>
      </c>
      <c r="I974" s="3" t="s">
        <v>248</v>
      </c>
    </row>
    <row r="975" spans="2:9" hidden="1" x14ac:dyDescent="0.4">
      <c r="B975" s="8" t="s">
        <v>536</v>
      </c>
      <c r="C975" s="3" t="s">
        <v>656</v>
      </c>
      <c r="D975" s="3" t="s">
        <v>657</v>
      </c>
      <c r="F975" s="3" t="s">
        <v>825</v>
      </c>
      <c r="I975" s="3" t="s">
        <v>658</v>
      </c>
    </row>
    <row r="976" spans="2:9" hidden="1" x14ac:dyDescent="0.4">
      <c r="B976" s="8" t="s">
        <v>518</v>
      </c>
      <c r="C976" s="3" t="s">
        <v>3024</v>
      </c>
      <c r="D976" s="3" t="s">
        <v>3262</v>
      </c>
      <c r="E976" s="3">
        <v>1</v>
      </c>
      <c r="F976" s="3" t="s">
        <v>402</v>
      </c>
      <c r="G976" s="3" t="s">
        <v>399</v>
      </c>
      <c r="H976" s="3" t="s">
        <v>988</v>
      </c>
      <c r="I976" s="3" t="s">
        <v>245</v>
      </c>
    </row>
    <row r="977" spans="2:9" hidden="1" x14ac:dyDescent="0.4">
      <c r="B977" s="8" t="s">
        <v>517</v>
      </c>
      <c r="C977" s="3" t="s">
        <v>3082</v>
      </c>
      <c r="D977" s="3" t="s">
        <v>3314</v>
      </c>
      <c r="E977" s="3">
        <v>1</v>
      </c>
      <c r="F977" s="3" t="s">
        <v>402</v>
      </c>
      <c r="G977" s="3" t="s">
        <v>399</v>
      </c>
      <c r="H977" s="3" t="s">
        <v>1279</v>
      </c>
      <c r="I977" s="3" t="s">
        <v>245</v>
      </c>
    </row>
    <row r="978" spans="2:9" hidden="1" x14ac:dyDescent="0.4">
      <c r="B978" s="8" t="s">
        <v>756</v>
      </c>
      <c r="C978" s="3" t="s">
        <v>771</v>
      </c>
      <c r="D978" s="3" t="s">
        <v>780</v>
      </c>
      <c r="F978" s="3" t="s">
        <v>399</v>
      </c>
      <c r="G978" s="3" t="s">
        <v>402</v>
      </c>
      <c r="I978" s="3" t="s">
        <v>781</v>
      </c>
    </row>
    <row r="979" spans="2:9" hidden="1" x14ac:dyDescent="0.4">
      <c r="B979" s="8" t="s">
        <v>756</v>
      </c>
      <c r="C979" s="3" t="s">
        <v>796</v>
      </c>
      <c r="D979" s="3" t="s">
        <v>780</v>
      </c>
      <c r="F979" s="3" t="s">
        <v>402</v>
      </c>
      <c r="I979" s="3" t="s">
        <v>781</v>
      </c>
    </row>
    <row r="980" spans="2:9" hidden="1" x14ac:dyDescent="0.4">
      <c r="B980" s="8" t="s">
        <v>518</v>
      </c>
      <c r="C980" s="3" t="s">
        <v>4222</v>
      </c>
      <c r="D980" s="3" t="s">
        <v>3831</v>
      </c>
      <c r="F980" s="3" t="s">
        <v>399</v>
      </c>
      <c r="G980" s="3" t="s">
        <v>402</v>
      </c>
      <c r="I980" s="3" t="s">
        <v>4064</v>
      </c>
    </row>
    <row r="981" spans="2:9" hidden="1" x14ac:dyDescent="0.4">
      <c r="B981" s="8" t="s">
        <v>517</v>
      </c>
      <c r="C981" s="3" t="s">
        <v>4222</v>
      </c>
      <c r="D981" s="3" t="s">
        <v>3840</v>
      </c>
      <c r="F981" s="3" t="s">
        <v>399</v>
      </c>
      <c r="G981" s="3" t="s">
        <v>402</v>
      </c>
      <c r="I981" s="3" t="s">
        <v>4064</v>
      </c>
    </row>
    <row r="982" spans="2:9" hidden="1" x14ac:dyDescent="0.4">
      <c r="B982" s="8" t="s">
        <v>518</v>
      </c>
      <c r="C982" s="3" t="s">
        <v>4450</v>
      </c>
      <c r="D982" s="3" t="s">
        <v>4799</v>
      </c>
      <c r="F982" s="3" t="s">
        <v>399</v>
      </c>
      <c r="I982" s="3" t="s">
        <v>4064</v>
      </c>
    </row>
    <row r="983" spans="2:9" hidden="1" x14ac:dyDescent="0.4">
      <c r="B983" s="8" t="s">
        <v>517</v>
      </c>
      <c r="C983" s="3" t="s">
        <v>4450</v>
      </c>
      <c r="D983" s="3" t="s">
        <v>4920</v>
      </c>
      <c r="F983" s="3" t="s">
        <v>399</v>
      </c>
      <c r="I983" s="3" t="s">
        <v>4064</v>
      </c>
    </row>
    <row r="984" spans="2:9" hidden="1" x14ac:dyDescent="0.4">
      <c r="B984" s="8" t="s">
        <v>518</v>
      </c>
      <c r="C984" s="3" t="s">
        <v>5200</v>
      </c>
      <c r="D984" s="3" t="s">
        <v>5521</v>
      </c>
      <c r="F984" s="3" t="s">
        <v>402</v>
      </c>
      <c r="I984" s="3" t="s">
        <v>4064</v>
      </c>
    </row>
    <row r="985" spans="2:9" hidden="1" x14ac:dyDescent="0.4">
      <c r="B985" s="8" t="s">
        <v>517</v>
      </c>
      <c r="C985" s="3" t="s">
        <v>5200</v>
      </c>
      <c r="D985" s="3" t="s">
        <v>5530</v>
      </c>
      <c r="F985" s="3" t="s">
        <v>402</v>
      </c>
      <c r="I985" s="3" t="s">
        <v>4064</v>
      </c>
    </row>
    <row r="986" spans="2:9" hidden="1" x14ac:dyDescent="0.4">
      <c r="B986" s="8" t="s">
        <v>518</v>
      </c>
      <c r="C986" s="3" t="s">
        <v>3527</v>
      </c>
      <c r="D986" s="3" t="s">
        <v>3831</v>
      </c>
      <c r="F986" s="3" t="s">
        <v>399</v>
      </c>
      <c r="G986" s="3" t="s">
        <v>402</v>
      </c>
      <c r="I986" s="3" t="s">
        <v>4063</v>
      </c>
    </row>
    <row r="987" spans="2:9" hidden="1" x14ac:dyDescent="0.4">
      <c r="B987" s="8" t="s">
        <v>517</v>
      </c>
      <c r="C987" s="3" t="s">
        <v>3527</v>
      </c>
      <c r="D987" s="3" t="s">
        <v>3840</v>
      </c>
      <c r="F987" s="3" t="s">
        <v>399</v>
      </c>
      <c r="G987" s="3" t="s">
        <v>402</v>
      </c>
      <c r="I987" s="3" t="s">
        <v>4063</v>
      </c>
    </row>
    <row r="988" spans="2:9" hidden="1" x14ac:dyDescent="0.4">
      <c r="B988" s="8" t="s">
        <v>518</v>
      </c>
      <c r="C988" s="3" t="s">
        <v>5839</v>
      </c>
      <c r="D988" s="3" t="s">
        <v>4799</v>
      </c>
      <c r="F988" s="3" t="s">
        <v>399</v>
      </c>
      <c r="I988" s="3" t="s">
        <v>4063</v>
      </c>
    </row>
    <row r="989" spans="2:9" hidden="1" x14ac:dyDescent="0.4">
      <c r="B989" s="8" t="s">
        <v>517</v>
      </c>
      <c r="C989" s="3" t="s">
        <v>5839</v>
      </c>
      <c r="D989" s="3" t="s">
        <v>4920</v>
      </c>
      <c r="F989" s="3" t="s">
        <v>399</v>
      </c>
      <c r="I989" s="3" t="s">
        <v>4063</v>
      </c>
    </row>
    <row r="990" spans="2:9" hidden="1" x14ac:dyDescent="0.4">
      <c r="B990" s="8" t="s">
        <v>518</v>
      </c>
      <c r="C990" s="3" t="s">
        <v>6182</v>
      </c>
      <c r="D990" s="3" t="s">
        <v>5521</v>
      </c>
      <c r="F990" s="3" t="s">
        <v>402</v>
      </c>
      <c r="I990" s="3" t="s">
        <v>4063</v>
      </c>
    </row>
    <row r="991" spans="2:9" hidden="1" x14ac:dyDescent="0.4">
      <c r="B991" s="8" t="s">
        <v>517</v>
      </c>
      <c r="C991" s="3" t="s">
        <v>6182</v>
      </c>
      <c r="D991" s="3" t="s">
        <v>5530</v>
      </c>
      <c r="F991" s="3" t="s">
        <v>402</v>
      </c>
      <c r="I991" s="3" t="s">
        <v>4063</v>
      </c>
    </row>
    <row r="992" spans="2:9" hidden="1" x14ac:dyDescent="0.4">
      <c r="B992" s="8" t="s">
        <v>518</v>
      </c>
      <c r="C992" s="3" t="s">
        <v>2990</v>
      </c>
      <c r="D992" s="3" t="s">
        <v>3228</v>
      </c>
      <c r="E992" s="3">
        <v>1</v>
      </c>
      <c r="F992" s="3" t="s">
        <v>402</v>
      </c>
      <c r="G992" s="3" t="s">
        <v>399</v>
      </c>
      <c r="H992" s="3" t="s">
        <v>1279</v>
      </c>
      <c r="I992" s="3" t="s">
        <v>245</v>
      </c>
    </row>
    <row r="993" spans="2:9" hidden="1" x14ac:dyDescent="0.4">
      <c r="B993" s="8" t="s">
        <v>517</v>
      </c>
      <c r="C993" s="3" t="s">
        <v>134</v>
      </c>
      <c r="D993" s="3" t="s">
        <v>146</v>
      </c>
      <c r="F993" s="3" t="s">
        <v>400</v>
      </c>
      <c r="I993" s="3" t="s">
        <v>252</v>
      </c>
    </row>
    <row r="994" spans="2:9" hidden="1" x14ac:dyDescent="0.4">
      <c r="B994" s="8" t="s">
        <v>519</v>
      </c>
      <c r="C994" s="3" t="s">
        <v>204</v>
      </c>
      <c r="D994" s="3" t="s">
        <v>544</v>
      </c>
      <c r="F994" s="3" t="s">
        <v>399</v>
      </c>
      <c r="I994" s="3" t="s">
        <v>267</v>
      </c>
    </row>
    <row r="995" spans="2:9" hidden="1" x14ac:dyDescent="0.4">
      <c r="B995" s="8" t="s">
        <v>519</v>
      </c>
      <c r="C995" s="3" t="s">
        <v>179</v>
      </c>
      <c r="D995" s="3" t="s">
        <v>632</v>
      </c>
      <c r="F995" s="3" t="s">
        <v>399</v>
      </c>
      <c r="I995" s="3" t="s">
        <v>267</v>
      </c>
    </row>
    <row r="996" spans="2:9" hidden="1" x14ac:dyDescent="0.4">
      <c r="B996" s="8" t="s">
        <v>518</v>
      </c>
      <c r="C996" s="3" t="s">
        <v>135</v>
      </c>
      <c r="D996" s="3" t="s">
        <v>147</v>
      </c>
      <c r="F996" s="3" t="s">
        <v>400</v>
      </c>
      <c r="I996" s="3" t="s">
        <v>252</v>
      </c>
    </row>
    <row r="997" spans="2:9" hidden="1" x14ac:dyDescent="0.4">
      <c r="B997" s="8">
        <v>0</v>
      </c>
      <c r="C997" s="3" t="s">
        <v>56</v>
      </c>
      <c r="D997" s="3" t="s">
        <v>110</v>
      </c>
      <c r="F997" s="3" t="s">
        <v>825</v>
      </c>
      <c r="I997" s="3" t="s">
        <v>252</v>
      </c>
    </row>
    <row r="998" spans="2:9" hidden="1" x14ac:dyDescent="0.4">
      <c r="B998" s="8" t="s">
        <v>517</v>
      </c>
      <c r="C998" s="3" t="s">
        <v>47</v>
      </c>
      <c r="D998" s="3" t="s">
        <v>110</v>
      </c>
      <c r="F998" s="3" t="s">
        <v>524</v>
      </c>
      <c r="I998" s="3" t="s">
        <v>252</v>
      </c>
    </row>
    <row r="999" spans="2:9" hidden="1" x14ac:dyDescent="0.4">
      <c r="B999" s="8" t="s">
        <v>520</v>
      </c>
      <c r="C999" s="3" t="s">
        <v>336</v>
      </c>
      <c r="D999" s="3" t="s">
        <v>571</v>
      </c>
      <c r="F999" s="3" t="s">
        <v>399</v>
      </c>
      <c r="I999" s="3" t="s">
        <v>267</v>
      </c>
    </row>
    <row r="1000" spans="2:9" hidden="1" x14ac:dyDescent="0.4">
      <c r="B1000" s="8" t="s">
        <v>517</v>
      </c>
      <c r="C1000" s="3" t="s">
        <v>3066</v>
      </c>
      <c r="D1000" s="3" t="s">
        <v>3298</v>
      </c>
      <c r="E1000" s="3">
        <v>1</v>
      </c>
      <c r="F1000" s="3" t="s">
        <v>402</v>
      </c>
      <c r="G1000" s="3" t="s">
        <v>399</v>
      </c>
      <c r="H1000" s="3" t="s">
        <v>988</v>
      </c>
      <c r="I1000" s="3" t="s">
        <v>245</v>
      </c>
    </row>
    <row r="1001" spans="2:9" hidden="1" x14ac:dyDescent="0.4">
      <c r="B1001" s="8" t="s">
        <v>517</v>
      </c>
      <c r="C1001" s="3" t="s">
        <v>2319</v>
      </c>
      <c r="D1001" s="13" t="s">
        <v>2475</v>
      </c>
      <c r="E1001" s="3" t="s">
        <v>1272</v>
      </c>
      <c r="F1001" s="3" t="s">
        <v>399</v>
      </c>
      <c r="I1001" s="3" t="s">
        <v>1833</v>
      </c>
    </row>
    <row r="1002" spans="2:9" hidden="1" x14ac:dyDescent="0.4">
      <c r="B1002" s="8" t="s">
        <v>517</v>
      </c>
      <c r="C1002" s="3" t="s">
        <v>2619</v>
      </c>
      <c r="D1002" s="13" t="s">
        <v>2475</v>
      </c>
      <c r="E1002" s="3" t="s">
        <v>1272</v>
      </c>
      <c r="F1002" s="3" t="s">
        <v>402</v>
      </c>
      <c r="I1002" s="3" t="s">
        <v>1833</v>
      </c>
    </row>
    <row r="1003" spans="2:9" hidden="1" x14ac:dyDescent="0.4">
      <c r="B1003" s="8" t="s">
        <v>518</v>
      </c>
      <c r="C1003" s="3" t="s">
        <v>3085</v>
      </c>
      <c r="D1003" s="3" t="s">
        <v>3317</v>
      </c>
      <c r="E1003" s="3">
        <v>1</v>
      </c>
      <c r="F1003" s="3" t="s">
        <v>402</v>
      </c>
      <c r="G1003" s="3" t="s">
        <v>399</v>
      </c>
      <c r="H1003" s="3" t="s">
        <v>1279</v>
      </c>
      <c r="I1003" s="3" t="s">
        <v>245</v>
      </c>
    </row>
    <row r="1004" spans="2:9" hidden="1" x14ac:dyDescent="0.4">
      <c r="B1004" s="8" t="s">
        <v>518</v>
      </c>
      <c r="C1004" s="3" t="s">
        <v>27</v>
      </c>
      <c r="D1004" s="3" t="s">
        <v>91</v>
      </c>
      <c r="F1004" s="3" t="s">
        <v>400</v>
      </c>
      <c r="I1004" s="3" t="s">
        <v>252</v>
      </c>
    </row>
    <row r="1005" spans="2:9" hidden="1" x14ac:dyDescent="0.4">
      <c r="B1005" s="8" t="s">
        <v>518</v>
      </c>
      <c r="C1005" s="3" t="s">
        <v>799</v>
      </c>
      <c r="D1005" s="3" t="s">
        <v>811</v>
      </c>
      <c r="F1005" s="3" t="s">
        <v>399</v>
      </c>
      <c r="I1005" s="3" t="s">
        <v>824</v>
      </c>
    </row>
    <row r="1006" spans="2:9" hidden="1" x14ac:dyDescent="0.4">
      <c r="B1006" s="8" t="s">
        <v>518</v>
      </c>
      <c r="C1006" s="3" t="s">
        <v>912</v>
      </c>
      <c r="D1006" s="3" t="s">
        <v>811</v>
      </c>
      <c r="F1006" s="3" t="s">
        <v>402</v>
      </c>
      <c r="I1006" s="3" t="s">
        <v>824</v>
      </c>
    </row>
    <row r="1007" spans="2:9" hidden="1" x14ac:dyDescent="0.4">
      <c r="B1007" s="8" t="s">
        <v>518</v>
      </c>
      <c r="C1007" s="3" t="s">
        <v>3106</v>
      </c>
      <c r="D1007" s="3" t="s">
        <v>3334</v>
      </c>
      <c r="E1007" s="3">
        <v>1</v>
      </c>
      <c r="F1007" s="3" t="s">
        <v>402</v>
      </c>
      <c r="I1007" s="3" t="s">
        <v>245</v>
      </c>
    </row>
    <row r="1008" spans="2:9" hidden="1" x14ac:dyDescent="0.4">
      <c r="B1008" s="8" t="s">
        <v>512</v>
      </c>
      <c r="C1008" s="3" t="s">
        <v>142</v>
      </c>
      <c r="D1008" s="3" t="s">
        <v>132</v>
      </c>
      <c r="F1008" s="3" t="s">
        <v>825</v>
      </c>
      <c r="I1008" s="3" t="s">
        <v>252</v>
      </c>
    </row>
    <row r="1009" spans="2:9" hidden="1" x14ac:dyDescent="0.4">
      <c r="B1009" s="8" t="s">
        <v>513</v>
      </c>
      <c r="C1009" s="3" t="s">
        <v>143</v>
      </c>
      <c r="D1009" s="3" t="s">
        <v>154</v>
      </c>
      <c r="F1009" s="3" t="s">
        <v>825</v>
      </c>
      <c r="I1009" s="3" t="s">
        <v>252</v>
      </c>
    </row>
    <row r="1010" spans="2:9" hidden="1" x14ac:dyDescent="0.4">
      <c r="B1010" s="8" t="s">
        <v>4062</v>
      </c>
      <c r="C1010" s="3" t="s">
        <v>4352</v>
      </c>
      <c r="D1010" s="3" t="s">
        <v>4011</v>
      </c>
      <c r="F1010" s="3" t="s">
        <v>399</v>
      </c>
      <c r="G1010" s="3" t="s">
        <v>402</v>
      </c>
      <c r="I1010" s="3" t="s">
        <v>4064</v>
      </c>
    </row>
    <row r="1011" spans="2:9" hidden="1" x14ac:dyDescent="0.4">
      <c r="B1011" s="8" t="s">
        <v>4062</v>
      </c>
      <c r="C1011" s="3" t="s">
        <v>4010</v>
      </c>
      <c r="D1011" s="3" t="s">
        <v>4011</v>
      </c>
      <c r="F1011" s="3" t="s">
        <v>399</v>
      </c>
      <c r="G1011" s="3" t="s">
        <v>402</v>
      </c>
      <c r="I1011" s="3" t="s">
        <v>4063</v>
      </c>
    </row>
    <row r="1012" spans="2:9" hidden="1" x14ac:dyDescent="0.4">
      <c r="B1012" s="8" t="s">
        <v>4062</v>
      </c>
      <c r="C1012" s="3" t="s">
        <v>5972</v>
      </c>
      <c r="D1012" s="3" t="s">
        <v>5018</v>
      </c>
      <c r="F1012" s="3" t="s">
        <v>399</v>
      </c>
      <c r="I1012" s="3" t="s">
        <v>4063</v>
      </c>
    </row>
    <row r="1013" spans="2:9" hidden="1" x14ac:dyDescent="0.4">
      <c r="B1013" s="8" t="s">
        <v>4062</v>
      </c>
      <c r="C1013" s="3" t="s">
        <v>6320</v>
      </c>
      <c r="D1013" s="3" t="s">
        <v>5671</v>
      </c>
      <c r="F1013" s="3" t="s">
        <v>402</v>
      </c>
      <c r="I1013" s="3" t="s">
        <v>4063</v>
      </c>
    </row>
    <row r="1014" spans="2:9" hidden="1" x14ac:dyDescent="0.4">
      <c r="B1014" s="8" t="s">
        <v>4062</v>
      </c>
      <c r="C1014" s="3" t="s">
        <v>4538</v>
      </c>
      <c r="D1014" s="3" t="s">
        <v>5018</v>
      </c>
      <c r="F1014" s="3" t="s">
        <v>399</v>
      </c>
      <c r="I1014" s="3" t="s">
        <v>4064</v>
      </c>
    </row>
    <row r="1015" spans="2:9" hidden="1" x14ac:dyDescent="0.4">
      <c r="B1015" s="8" t="s">
        <v>4062</v>
      </c>
      <c r="C1015" s="3" t="s">
        <v>5352</v>
      </c>
      <c r="D1015" s="3" t="s">
        <v>5671</v>
      </c>
      <c r="F1015" s="3" t="s">
        <v>402</v>
      </c>
      <c r="I1015" s="3" t="s">
        <v>4064</v>
      </c>
    </row>
    <row r="1016" spans="2:9" hidden="1" x14ac:dyDescent="0.4">
      <c r="B1016" s="8" t="s">
        <v>517</v>
      </c>
      <c r="C1016" s="3" t="s">
        <v>3049</v>
      </c>
      <c r="D1016" s="3" t="s">
        <v>3284</v>
      </c>
      <c r="E1016" s="3">
        <v>1</v>
      </c>
      <c r="F1016" s="3" t="s">
        <v>402</v>
      </c>
      <c r="G1016" s="3" t="s">
        <v>399</v>
      </c>
      <c r="I1016" s="3" t="s">
        <v>245</v>
      </c>
    </row>
    <row r="1017" spans="2:9" hidden="1" x14ac:dyDescent="0.4">
      <c r="B1017" s="8" t="s">
        <v>518</v>
      </c>
      <c r="C1017" s="3" t="s">
        <v>1931</v>
      </c>
      <c r="D1017" s="3" t="s">
        <v>1962</v>
      </c>
      <c r="F1017" s="3" t="s">
        <v>401</v>
      </c>
      <c r="I1017" s="3" t="s">
        <v>421</v>
      </c>
    </row>
    <row r="1018" spans="2:9" hidden="1" x14ac:dyDescent="0.4">
      <c r="B1018" s="8" t="s">
        <v>531</v>
      </c>
      <c r="C1018" s="3" t="s">
        <v>4190</v>
      </c>
      <c r="D1018" s="3" t="s">
        <v>3786</v>
      </c>
      <c r="F1018" s="3" t="s">
        <v>399</v>
      </c>
      <c r="G1018" s="3" t="s">
        <v>402</v>
      </c>
      <c r="I1018" s="3" t="s">
        <v>4064</v>
      </c>
    </row>
    <row r="1019" spans="2:9" hidden="1" x14ac:dyDescent="0.4">
      <c r="B1019" s="8" t="s">
        <v>531</v>
      </c>
      <c r="C1019" s="3" t="s">
        <v>4422</v>
      </c>
      <c r="D1019" s="3" t="s">
        <v>4902</v>
      </c>
      <c r="F1019" s="3" t="s">
        <v>399</v>
      </c>
      <c r="I1019" s="3" t="s">
        <v>4064</v>
      </c>
    </row>
    <row r="1020" spans="2:9" hidden="1" x14ac:dyDescent="0.4">
      <c r="B1020" s="8" t="s">
        <v>531</v>
      </c>
      <c r="C1020" s="3" t="s">
        <v>5153</v>
      </c>
      <c r="D1020" s="3" t="s">
        <v>5474</v>
      </c>
      <c r="F1020" s="3" t="s">
        <v>402</v>
      </c>
      <c r="I1020" s="3" t="s">
        <v>4064</v>
      </c>
    </row>
    <row r="1021" spans="2:9" hidden="1" x14ac:dyDescent="0.4">
      <c r="B1021" s="8" t="s">
        <v>531</v>
      </c>
      <c r="C1021" s="3" t="s">
        <v>3480</v>
      </c>
      <c r="D1021" s="3" t="s">
        <v>3786</v>
      </c>
      <c r="F1021" s="3" t="s">
        <v>399</v>
      </c>
      <c r="G1021" s="3" t="s">
        <v>402</v>
      </c>
      <c r="I1021" s="3" t="s">
        <v>4063</v>
      </c>
    </row>
    <row r="1022" spans="2:9" hidden="1" x14ac:dyDescent="0.4">
      <c r="B1022" s="8" t="s">
        <v>531</v>
      </c>
      <c r="C1022" s="3" t="s">
        <v>5802</v>
      </c>
      <c r="D1022" s="3" t="s">
        <v>4902</v>
      </c>
      <c r="F1022" s="3" t="s">
        <v>399</v>
      </c>
      <c r="I1022" s="3" t="s">
        <v>4063</v>
      </c>
    </row>
    <row r="1023" spans="2:9" hidden="1" x14ac:dyDescent="0.4">
      <c r="B1023" s="8" t="s">
        <v>531</v>
      </c>
      <c r="C1023" s="3" t="s">
        <v>6145</v>
      </c>
      <c r="D1023" s="3" t="s">
        <v>5474</v>
      </c>
      <c r="F1023" s="3" t="s">
        <v>402</v>
      </c>
      <c r="I1023" s="3" t="s">
        <v>4063</v>
      </c>
    </row>
    <row r="1024" spans="2:9" hidden="1" x14ac:dyDescent="0.4">
      <c r="B1024" s="8" t="s">
        <v>536</v>
      </c>
      <c r="C1024" s="3" t="s">
        <v>455</v>
      </c>
      <c r="D1024" s="3" t="s">
        <v>731</v>
      </c>
      <c r="E1024" s="3" t="s">
        <v>432</v>
      </c>
      <c r="F1024" s="3" t="s">
        <v>12779</v>
      </c>
      <c r="G1024" s="3" t="s">
        <v>430</v>
      </c>
      <c r="I1024" s="3" t="s">
        <v>472</v>
      </c>
    </row>
    <row r="1025" spans="2:9" hidden="1" x14ac:dyDescent="0.4">
      <c r="B1025" s="8" t="s">
        <v>529</v>
      </c>
      <c r="C1025" s="3" t="s">
        <v>1406</v>
      </c>
      <c r="D1025" s="3" t="s">
        <v>1440</v>
      </c>
      <c r="F1025" s="3" t="s">
        <v>399</v>
      </c>
      <c r="G1025" s="3" t="s">
        <v>402</v>
      </c>
      <c r="H1025" s="3" t="s">
        <v>1279</v>
      </c>
      <c r="I1025" s="3" t="s">
        <v>1414</v>
      </c>
    </row>
    <row r="1026" spans="2:9" hidden="1" x14ac:dyDescent="0.4">
      <c r="B1026" s="8" t="s">
        <v>529</v>
      </c>
      <c r="C1026" s="3" t="s">
        <v>1550</v>
      </c>
      <c r="D1026" s="3" t="s">
        <v>1440</v>
      </c>
      <c r="F1026" s="3" t="s">
        <v>402</v>
      </c>
      <c r="I1026" s="3" t="s">
        <v>1414</v>
      </c>
    </row>
    <row r="1027" spans="2:9" hidden="1" x14ac:dyDescent="0.4">
      <c r="B1027" s="8" t="s">
        <v>536</v>
      </c>
      <c r="C1027" s="3" t="s">
        <v>2696</v>
      </c>
      <c r="D1027" s="3">
        <v>20</v>
      </c>
      <c r="F1027" s="3" t="s">
        <v>1124</v>
      </c>
      <c r="I1027" s="3" t="s">
        <v>252</v>
      </c>
    </row>
    <row r="1028" spans="2:9" hidden="1" x14ac:dyDescent="0.4">
      <c r="B1028" s="8" t="s">
        <v>517</v>
      </c>
      <c r="C1028" s="3" t="s">
        <v>1265</v>
      </c>
      <c r="D1028" s="3" t="s">
        <v>1274</v>
      </c>
      <c r="E1028" s="3" t="s">
        <v>1272</v>
      </c>
      <c r="F1028" s="3" t="s">
        <v>399</v>
      </c>
      <c r="I1028" s="3" t="s">
        <v>510</v>
      </c>
    </row>
    <row r="1029" spans="2:9" hidden="1" x14ac:dyDescent="0.4">
      <c r="B1029" s="8" t="s">
        <v>517</v>
      </c>
      <c r="C1029" s="3" t="s">
        <v>209</v>
      </c>
      <c r="D1029" s="3" t="s">
        <v>245</v>
      </c>
      <c r="F1029" s="3" t="s">
        <v>399</v>
      </c>
      <c r="I1029" s="3" t="s">
        <v>268</v>
      </c>
    </row>
    <row r="1030" spans="2:9" hidden="1" x14ac:dyDescent="0.4">
      <c r="B1030" s="8" t="s">
        <v>517</v>
      </c>
      <c r="C1030" s="3" t="s">
        <v>507</v>
      </c>
      <c r="D1030" s="3" t="s">
        <v>538</v>
      </c>
      <c r="F1030" s="3" t="s">
        <v>522</v>
      </c>
      <c r="I1030" s="3" t="s">
        <v>510</v>
      </c>
    </row>
    <row r="1031" spans="2:9" hidden="1" x14ac:dyDescent="0.4">
      <c r="B1031" s="8" t="s">
        <v>517</v>
      </c>
      <c r="C1031" s="3" t="s">
        <v>686</v>
      </c>
      <c r="D1031" s="3" t="s">
        <v>538</v>
      </c>
      <c r="F1031" s="3" t="s">
        <v>684</v>
      </c>
      <c r="I1031" s="3" t="s">
        <v>510</v>
      </c>
    </row>
    <row r="1032" spans="2:9" hidden="1" x14ac:dyDescent="0.4">
      <c r="B1032" s="8" t="s">
        <v>517</v>
      </c>
      <c r="C1032" s="3" t="s">
        <v>508</v>
      </c>
      <c r="D1032" s="3" t="s">
        <v>538</v>
      </c>
      <c r="F1032" s="3" t="s">
        <v>522</v>
      </c>
      <c r="I1032" s="3" t="s">
        <v>510</v>
      </c>
    </row>
    <row r="1033" spans="2:9" hidden="1" x14ac:dyDescent="0.4">
      <c r="B1033" s="8" t="s">
        <v>517</v>
      </c>
      <c r="C1033" s="3" t="s">
        <v>687</v>
      </c>
      <c r="D1033" s="3" t="s">
        <v>538</v>
      </c>
      <c r="F1033" s="3" t="s">
        <v>684</v>
      </c>
      <c r="I1033" s="3" t="s">
        <v>510</v>
      </c>
    </row>
    <row r="1034" spans="2:9" hidden="1" x14ac:dyDescent="0.4">
      <c r="B1034" s="8" t="s">
        <v>517</v>
      </c>
      <c r="C1034" s="3" t="s">
        <v>715</v>
      </c>
      <c r="D1034" s="3" t="s">
        <v>659</v>
      </c>
      <c r="F1034" s="3" t="s">
        <v>684</v>
      </c>
      <c r="I1034" s="3" t="s">
        <v>510</v>
      </c>
    </row>
    <row r="1035" spans="2:9" hidden="1" x14ac:dyDescent="0.4">
      <c r="B1035" s="8" t="s">
        <v>517</v>
      </c>
      <c r="C1035" s="3" t="s">
        <v>509</v>
      </c>
      <c r="D1035" s="3" t="s">
        <v>659</v>
      </c>
      <c r="F1035" s="3" t="s">
        <v>522</v>
      </c>
      <c r="I1035" s="3" t="s">
        <v>510</v>
      </c>
    </row>
    <row r="1036" spans="2:9" hidden="1" x14ac:dyDescent="0.4">
      <c r="B1036" s="8" t="s">
        <v>517</v>
      </c>
      <c r="C1036" s="3" t="s">
        <v>688</v>
      </c>
      <c r="D1036" s="3" t="s">
        <v>659</v>
      </c>
      <c r="F1036" s="3" t="s">
        <v>684</v>
      </c>
      <c r="I1036" s="3" t="s">
        <v>510</v>
      </c>
    </row>
    <row r="1037" spans="2:9" hidden="1" x14ac:dyDescent="0.4">
      <c r="B1037" s="8" t="s">
        <v>517</v>
      </c>
      <c r="C1037" s="3" t="s">
        <v>210</v>
      </c>
      <c r="D1037" s="3" t="s">
        <v>246</v>
      </c>
      <c r="F1037" s="3" t="s">
        <v>399</v>
      </c>
      <c r="I1037" s="3" t="s">
        <v>268</v>
      </c>
    </row>
    <row r="1038" spans="2:9" hidden="1" x14ac:dyDescent="0.4">
      <c r="B1038" s="8" t="s">
        <v>520</v>
      </c>
      <c r="C1038" s="3" t="s">
        <v>3073</v>
      </c>
      <c r="D1038" s="3" t="s">
        <v>3307</v>
      </c>
      <c r="E1038" s="3">
        <v>1</v>
      </c>
      <c r="F1038" s="3" t="s">
        <v>402</v>
      </c>
      <c r="G1038" s="3" t="s">
        <v>988</v>
      </c>
      <c r="I1038" s="3" t="s">
        <v>245</v>
      </c>
    </row>
    <row r="1039" spans="2:9" hidden="1" x14ac:dyDescent="0.4">
      <c r="B1039" s="8" t="s">
        <v>529</v>
      </c>
      <c r="C1039" s="3" t="s">
        <v>187</v>
      </c>
      <c r="D1039" s="3" t="s">
        <v>545</v>
      </c>
      <c r="F1039" s="3" t="s">
        <v>399</v>
      </c>
      <c r="I1039" s="3" t="s">
        <v>267</v>
      </c>
    </row>
    <row r="1040" spans="2:9" hidden="1" x14ac:dyDescent="0.4">
      <c r="B1040" s="8" t="s">
        <v>517</v>
      </c>
      <c r="C1040" s="3" t="s">
        <v>3099</v>
      </c>
      <c r="D1040" s="3" t="s">
        <v>3331</v>
      </c>
      <c r="E1040" s="3">
        <v>1</v>
      </c>
      <c r="F1040" s="3" t="s">
        <v>402</v>
      </c>
      <c r="I1040" s="3" t="s">
        <v>245</v>
      </c>
    </row>
    <row r="1041" spans="2:9" hidden="1" x14ac:dyDescent="0.4">
      <c r="B1041" s="8" t="s">
        <v>529</v>
      </c>
      <c r="C1041" s="3" t="s">
        <v>3033</v>
      </c>
      <c r="D1041" s="3" t="s">
        <v>3269</v>
      </c>
      <c r="E1041" s="3">
        <v>1</v>
      </c>
      <c r="F1041" s="3" t="s">
        <v>402</v>
      </c>
      <c r="G1041" s="3" t="s">
        <v>399</v>
      </c>
      <c r="H1041" s="3" t="s">
        <v>988</v>
      </c>
      <c r="I1041" s="3" t="s">
        <v>245</v>
      </c>
    </row>
    <row r="1042" spans="2:9" hidden="1" x14ac:dyDescent="0.4">
      <c r="B1042" s="8" t="s">
        <v>518</v>
      </c>
      <c r="C1042" s="3" t="s">
        <v>3556</v>
      </c>
      <c r="D1042" s="3" t="s">
        <v>3863</v>
      </c>
      <c r="F1042" s="3" t="s">
        <v>399</v>
      </c>
      <c r="G1042" s="3" t="s">
        <v>402</v>
      </c>
      <c r="I1042" s="3" t="s">
        <v>4063</v>
      </c>
    </row>
    <row r="1043" spans="2:9" hidden="1" x14ac:dyDescent="0.4">
      <c r="B1043" s="8" t="s">
        <v>518</v>
      </c>
      <c r="C1043" s="3" t="s">
        <v>5866</v>
      </c>
      <c r="D1043" s="3" t="s">
        <v>4827</v>
      </c>
      <c r="F1043" s="3" t="s">
        <v>399</v>
      </c>
      <c r="I1043" s="3" t="s">
        <v>4063</v>
      </c>
    </row>
    <row r="1044" spans="2:9" hidden="1" x14ac:dyDescent="0.4">
      <c r="B1044" s="8" t="s">
        <v>518</v>
      </c>
      <c r="C1044" s="3" t="s">
        <v>6211</v>
      </c>
      <c r="D1044" s="3" t="s">
        <v>5552</v>
      </c>
      <c r="F1044" s="3" t="s">
        <v>402</v>
      </c>
      <c r="I1044" s="3" t="s">
        <v>4063</v>
      </c>
    </row>
    <row r="1045" spans="2:9" hidden="1" x14ac:dyDescent="0.4">
      <c r="B1045" s="8" t="s">
        <v>518</v>
      </c>
      <c r="C1045" s="3" t="s">
        <v>4247</v>
      </c>
      <c r="D1045" s="3" t="s">
        <v>3863</v>
      </c>
      <c r="F1045" s="3" t="s">
        <v>399</v>
      </c>
      <c r="G1045" s="3" t="s">
        <v>402</v>
      </c>
      <c r="I1045" s="3" t="s">
        <v>4064</v>
      </c>
    </row>
    <row r="1046" spans="2:9" hidden="1" x14ac:dyDescent="0.4">
      <c r="B1046" s="8" t="s">
        <v>518</v>
      </c>
      <c r="C1046" s="3" t="s">
        <v>4670</v>
      </c>
      <c r="D1046" s="3" t="s">
        <v>4827</v>
      </c>
      <c r="F1046" s="3" t="s">
        <v>399</v>
      </c>
      <c r="I1046" s="3" t="s">
        <v>4064</v>
      </c>
    </row>
    <row r="1047" spans="2:9" hidden="1" x14ac:dyDescent="0.4">
      <c r="B1047" s="8" t="s">
        <v>518</v>
      </c>
      <c r="C1047" s="3" t="s">
        <v>5230</v>
      </c>
      <c r="D1047" s="3" t="s">
        <v>5552</v>
      </c>
      <c r="F1047" s="3" t="s">
        <v>402</v>
      </c>
      <c r="I1047" s="3" t="s">
        <v>4064</v>
      </c>
    </row>
    <row r="1048" spans="2:9" hidden="1" x14ac:dyDescent="0.4">
      <c r="B1048" s="8" t="s">
        <v>518</v>
      </c>
      <c r="C1048" s="3" t="s">
        <v>3540</v>
      </c>
      <c r="D1048" s="3" t="s">
        <v>3848</v>
      </c>
      <c r="F1048" s="3" t="s">
        <v>399</v>
      </c>
      <c r="G1048" s="3" t="s">
        <v>402</v>
      </c>
      <c r="I1048" s="3" t="s">
        <v>4063</v>
      </c>
    </row>
    <row r="1049" spans="2:9" hidden="1" x14ac:dyDescent="0.4">
      <c r="B1049" s="8" t="s">
        <v>518</v>
      </c>
      <c r="C1049" s="3" t="s">
        <v>5850</v>
      </c>
      <c r="D1049" s="3" t="s">
        <v>4812</v>
      </c>
      <c r="F1049" s="3" t="s">
        <v>399</v>
      </c>
      <c r="I1049" s="3" t="s">
        <v>4063</v>
      </c>
    </row>
    <row r="1050" spans="2:9" hidden="1" x14ac:dyDescent="0.4">
      <c r="B1050" s="8" t="s">
        <v>518</v>
      </c>
      <c r="C1050" s="3" t="s">
        <v>6195</v>
      </c>
      <c r="D1050" s="3" t="s">
        <v>5537</v>
      </c>
      <c r="F1050" s="3" t="s">
        <v>402</v>
      </c>
      <c r="I1050" s="3" t="s">
        <v>4063</v>
      </c>
    </row>
    <row r="1051" spans="2:9" hidden="1" x14ac:dyDescent="0.4">
      <c r="B1051" s="8" t="s">
        <v>518</v>
      </c>
      <c r="C1051" s="3" t="s">
        <v>4235</v>
      </c>
      <c r="D1051" s="3" t="s">
        <v>3848</v>
      </c>
      <c r="F1051" s="3" t="s">
        <v>399</v>
      </c>
      <c r="G1051" s="3" t="s">
        <v>402</v>
      </c>
      <c r="I1051" s="3" t="s">
        <v>4064</v>
      </c>
    </row>
    <row r="1052" spans="2:9" hidden="1" x14ac:dyDescent="0.4">
      <c r="B1052" s="8" t="s">
        <v>518</v>
      </c>
      <c r="C1052" s="3" t="s">
        <v>4460</v>
      </c>
      <c r="D1052" s="3" t="s">
        <v>4812</v>
      </c>
      <c r="F1052" s="3" t="s">
        <v>399</v>
      </c>
      <c r="I1052" s="3" t="s">
        <v>4064</v>
      </c>
    </row>
    <row r="1053" spans="2:9" hidden="1" x14ac:dyDescent="0.4">
      <c r="B1053" s="8" t="s">
        <v>518</v>
      </c>
      <c r="C1053" s="3" t="s">
        <v>5215</v>
      </c>
      <c r="D1053" s="3" t="s">
        <v>5537</v>
      </c>
      <c r="F1053" s="3" t="s">
        <v>402</v>
      </c>
      <c r="I1053" s="3" t="s">
        <v>4064</v>
      </c>
    </row>
    <row r="1054" spans="2:9" hidden="1" x14ac:dyDescent="0.4">
      <c r="B1054" s="8" t="s">
        <v>517</v>
      </c>
      <c r="C1054" s="3" t="s">
        <v>2890</v>
      </c>
      <c r="D1054" s="3" t="s">
        <v>3131</v>
      </c>
      <c r="E1054" s="3">
        <v>1</v>
      </c>
      <c r="F1054" s="3" t="s">
        <v>402</v>
      </c>
      <c r="I1054" s="3" t="s">
        <v>245</v>
      </c>
    </row>
    <row r="1055" spans="2:9" hidden="1" x14ac:dyDescent="0.4">
      <c r="B1055" s="8" t="s">
        <v>536</v>
      </c>
      <c r="C1055" s="3" t="s">
        <v>3358</v>
      </c>
      <c r="D1055" s="3" t="s">
        <v>3131</v>
      </c>
      <c r="E1055" s="3">
        <v>1</v>
      </c>
      <c r="F1055" s="3" t="s">
        <v>1124</v>
      </c>
      <c r="I1055" s="3" t="s">
        <v>245</v>
      </c>
    </row>
    <row r="1056" spans="2:9" hidden="1" x14ac:dyDescent="0.4">
      <c r="B1056" s="8" t="s">
        <v>517</v>
      </c>
      <c r="C1056" s="3" t="s">
        <v>300</v>
      </c>
      <c r="D1056" s="3" t="s">
        <v>572</v>
      </c>
      <c r="F1056" s="3" t="s">
        <v>399</v>
      </c>
      <c r="I1056" s="3" t="s">
        <v>267</v>
      </c>
    </row>
    <row r="1057" spans="2:9" hidden="1" x14ac:dyDescent="0.4">
      <c r="B1057" s="8" t="s">
        <v>517</v>
      </c>
      <c r="C1057" s="3" t="s">
        <v>2313</v>
      </c>
      <c r="D1057" s="3" t="s">
        <v>2469</v>
      </c>
      <c r="E1057" s="3" t="s">
        <v>1272</v>
      </c>
      <c r="F1057" s="3" t="s">
        <v>399</v>
      </c>
      <c r="I1057" s="3" t="s">
        <v>1833</v>
      </c>
    </row>
    <row r="1058" spans="2:9" hidden="1" x14ac:dyDescent="0.4">
      <c r="B1058" s="8" t="s">
        <v>517</v>
      </c>
      <c r="C1058" s="3" t="s">
        <v>2613</v>
      </c>
      <c r="D1058" s="3" t="s">
        <v>2469</v>
      </c>
      <c r="E1058" s="3" t="s">
        <v>1272</v>
      </c>
      <c r="F1058" s="3" t="s">
        <v>402</v>
      </c>
      <c r="I1058" s="3" t="s">
        <v>1833</v>
      </c>
    </row>
    <row r="1059" spans="2:9" hidden="1" x14ac:dyDescent="0.4">
      <c r="B1059" s="8" t="s">
        <v>537</v>
      </c>
      <c r="C1059" s="3" t="s">
        <v>448</v>
      </c>
      <c r="D1059" s="3" t="s">
        <v>724</v>
      </c>
      <c r="E1059" s="3" t="s">
        <v>432</v>
      </c>
      <c r="F1059" s="3" t="s">
        <v>12779</v>
      </c>
      <c r="G1059" s="3" t="s">
        <v>430</v>
      </c>
      <c r="I1059" s="3" t="s">
        <v>472</v>
      </c>
    </row>
    <row r="1060" spans="2:9" hidden="1" x14ac:dyDescent="0.4">
      <c r="B1060" s="8" t="s">
        <v>517</v>
      </c>
      <c r="C1060" s="3" t="s">
        <v>3052</v>
      </c>
      <c r="D1060" s="3" t="s">
        <v>3287</v>
      </c>
      <c r="E1060" s="3">
        <v>1</v>
      </c>
      <c r="F1060" s="3" t="s">
        <v>402</v>
      </c>
      <c r="G1060" s="3" t="s">
        <v>988</v>
      </c>
      <c r="I1060" s="3" t="s">
        <v>245</v>
      </c>
    </row>
    <row r="1061" spans="2:9" hidden="1" x14ac:dyDescent="0.4">
      <c r="B1061" s="8" t="s">
        <v>517</v>
      </c>
      <c r="C1061" s="3" t="s">
        <v>194</v>
      </c>
      <c r="D1061" s="3" t="s">
        <v>546</v>
      </c>
      <c r="F1061" s="3" t="s">
        <v>399</v>
      </c>
      <c r="I1061" s="3" t="s">
        <v>267</v>
      </c>
    </row>
    <row r="1062" spans="2:9" hidden="1" x14ac:dyDescent="0.4">
      <c r="B1062" s="8" t="s">
        <v>529</v>
      </c>
      <c r="C1062" s="3" t="s">
        <v>2212</v>
      </c>
      <c r="D1062" s="3" t="s">
        <v>2360</v>
      </c>
      <c r="E1062" s="3" t="s">
        <v>432</v>
      </c>
      <c r="F1062" s="3" t="s">
        <v>399</v>
      </c>
      <c r="I1062" s="3" t="s">
        <v>1833</v>
      </c>
    </row>
    <row r="1063" spans="2:9" hidden="1" x14ac:dyDescent="0.4">
      <c r="B1063" s="8" t="s">
        <v>529</v>
      </c>
      <c r="C1063" s="3" t="s">
        <v>2509</v>
      </c>
      <c r="D1063" s="3" t="s">
        <v>2360</v>
      </c>
      <c r="E1063" s="3" t="s">
        <v>432</v>
      </c>
      <c r="F1063" s="3" t="s">
        <v>402</v>
      </c>
      <c r="I1063" s="3" t="s">
        <v>1833</v>
      </c>
    </row>
    <row r="1064" spans="2:9" hidden="1" x14ac:dyDescent="0.4">
      <c r="B1064" s="8" t="s">
        <v>516</v>
      </c>
      <c r="C1064" s="3" t="s">
        <v>2191</v>
      </c>
      <c r="D1064" s="3" t="s">
        <v>2343</v>
      </c>
      <c r="F1064" s="3" t="s">
        <v>399</v>
      </c>
      <c r="I1064" s="3" t="s">
        <v>2369</v>
      </c>
    </row>
    <row r="1065" spans="2:9" hidden="1" x14ac:dyDescent="0.4">
      <c r="B1065" s="8" t="s">
        <v>517</v>
      </c>
      <c r="C1065" s="3" t="s">
        <v>2190</v>
      </c>
      <c r="D1065" s="3" t="s">
        <v>2342</v>
      </c>
      <c r="F1065" s="3" t="s">
        <v>399</v>
      </c>
      <c r="I1065" s="3" t="s">
        <v>2369</v>
      </c>
    </row>
    <row r="1066" spans="2:9" hidden="1" x14ac:dyDescent="0.4">
      <c r="B1066" s="8" t="s">
        <v>536</v>
      </c>
      <c r="C1066" s="3" t="s">
        <v>450</v>
      </c>
      <c r="D1066" s="3" t="s">
        <v>726</v>
      </c>
      <c r="E1066" s="3" t="s">
        <v>432</v>
      </c>
      <c r="F1066" s="3" t="s">
        <v>12779</v>
      </c>
      <c r="G1066" s="3" t="s">
        <v>430</v>
      </c>
      <c r="I1066" s="3" t="s">
        <v>472</v>
      </c>
    </row>
    <row r="1067" spans="2:9" hidden="1" x14ac:dyDescent="0.4">
      <c r="B1067" s="8" t="s">
        <v>2046</v>
      </c>
      <c r="C1067" s="3" t="s">
        <v>4634</v>
      </c>
      <c r="D1067" s="3" t="s">
        <v>4884</v>
      </c>
      <c r="F1067" s="3" t="s">
        <v>399</v>
      </c>
      <c r="I1067" s="3" t="s">
        <v>4064</v>
      </c>
    </row>
    <row r="1068" spans="2:9" hidden="1" x14ac:dyDescent="0.4">
      <c r="B1068" s="8" t="s">
        <v>2046</v>
      </c>
      <c r="C1068" s="3" t="s">
        <v>5126</v>
      </c>
      <c r="D1068" s="3" t="s">
        <v>5449</v>
      </c>
      <c r="F1068" s="3" t="s">
        <v>402</v>
      </c>
      <c r="I1068" s="3" t="s">
        <v>4064</v>
      </c>
    </row>
    <row r="1069" spans="2:9" ht="29.25" hidden="1" x14ac:dyDescent="0.4">
      <c r="B1069" s="8" t="s">
        <v>2046</v>
      </c>
      <c r="C1069" s="3" t="s">
        <v>4155</v>
      </c>
      <c r="D1069" s="3" t="s">
        <v>4025</v>
      </c>
      <c r="F1069" s="3" t="s">
        <v>399</v>
      </c>
      <c r="G1069" s="3" t="s">
        <v>402</v>
      </c>
      <c r="I1069" s="3" t="s">
        <v>4064</v>
      </c>
    </row>
    <row r="1070" spans="2:9" hidden="1" x14ac:dyDescent="0.4">
      <c r="B1070" s="8" t="s">
        <v>529</v>
      </c>
      <c r="C1070" s="3" t="s">
        <v>2108</v>
      </c>
      <c r="D1070" s="3" t="s">
        <v>2109</v>
      </c>
      <c r="E1070" s="3" t="s">
        <v>1272</v>
      </c>
      <c r="F1070" s="3" t="s">
        <v>399</v>
      </c>
      <c r="G1070" s="3" t="s">
        <v>402</v>
      </c>
      <c r="I1070" s="3" t="s">
        <v>1700</v>
      </c>
    </row>
    <row r="1071" spans="2:9" ht="29.25" hidden="1" x14ac:dyDescent="0.4">
      <c r="B1071" s="8" t="s">
        <v>529</v>
      </c>
      <c r="C1071" s="3" t="s">
        <v>2111</v>
      </c>
      <c r="D1071" s="3" t="s">
        <v>2109</v>
      </c>
      <c r="E1071" s="3" t="s">
        <v>1272</v>
      </c>
      <c r="F1071" s="3" t="s">
        <v>402</v>
      </c>
      <c r="I1071" s="3" t="s">
        <v>1700</v>
      </c>
    </row>
    <row r="1072" spans="2:9" hidden="1" x14ac:dyDescent="0.4">
      <c r="B1072" s="8" t="s">
        <v>529</v>
      </c>
      <c r="C1072" s="3" t="s">
        <v>2113</v>
      </c>
      <c r="D1072" s="3" t="s">
        <v>2115</v>
      </c>
      <c r="E1072" s="3" t="s">
        <v>1272</v>
      </c>
      <c r="F1072" s="3" t="s">
        <v>399</v>
      </c>
      <c r="G1072" s="3" t="s">
        <v>402</v>
      </c>
      <c r="I1072" s="3" t="s">
        <v>1700</v>
      </c>
    </row>
    <row r="1073" spans="2:9" hidden="1" x14ac:dyDescent="0.4">
      <c r="B1073" s="8" t="s">
        <v>529</v>
      </c>
      <c r="C1073" s="3" t="s">
        <v>2117</v>
      </c>
      <c r="D1073" s="3" t="s">
        <v>2115</v>
      </c>
      <c r="E1073" s="3" t="s">
        <v>1272</v>
      </c>
      <c r="F1073" s="3" t="s">
        <v>402</v>
      </c>
      <c r="I1073" s="3" t="s">
        <v>1700</v>
      </c>
    </row>
    <row r="1074" spans="2:9" hidden="1" x14ac:dyDescent="0.4">
      <c r="B1074" s="8" t="s">
        <v>517</v>
      </c>
      <c r="C1074" s="3" t="s">
        <v>3008</v>
      </c>
      <c r="D1074" s="3" t="s">
        <v>3244</v>
      </c>
      <c r="E1074" s="3">
        <v>1</v>
      </c>
      <c r="F1074" s="3" t="s">
        <v>3350</v>
      </c>
      <c r="G1074" s="3" t="s">
        <v>399</v>
      </c>
      <c r="H1074" s="3" t="s">
        <v>988</v>
      </c>
      <c r="I1074" s="3" t="s">
        <v>245</v>
      </c>
    </row>
    <row r="1075" spans="2:9" hidden="1" x14ac:dyDescent="0.4">
      <c r="B1075" s="8" t="s">
        <v>520</v>
      </c>
      <c r="C1075" s="3" t="s">
        <v>3626</v>
      </c>
      <c r="D1075" s="3" t="s">
        <v>3920</v>
      </c>
      <c r="F1075" s="3" t="s">
        <v>399</v>
      </c>
      <c r="G1075" s="3" t="s">
        <v>402</v>
      </c>
      <c r="I1075" s="3" t="s">
        <v>4063</v>
      </c>
    </row>
    <row r="1076" spans="2:9" hidden="1" x14ac:dyDescent="0.4">
      <c r="B1076" s="8" t="s">
        <v>520</v>
      </c>
      <c r="C1076" s="3" t="s">
        <v>6008</v>
      </c>
      <c r="D1076" s="3" t="s">
        <v>4931</v>
      </c>
      <c r="F1076" s="3" t="s">
        <v>399</v>
      </c>
      <c r="I1076" s="3" t="s">
        <v>4063</v>
      </c>
    </row>
    <row r="1077" spans="2:9" hidden="1" x14ac:dyDescent="0.4">
      <c r="B1077" s="8" t="s">
        <v>520</v>
      </c>
      <c r="C1077" s="3" t="s">
        <v>6357</v>
      </c>
      <c r="D1077" s="3" t="s">
        <v>5625</v>
      </c>
      <c r="F1077" s="3" t="s">
        <v>402</v>
      </c>
      <c r="I1077" s="3" t="s">
        <v>4063</v>
      </c>
    </row>
    <row r="1078" spans="2:9" hidden="1" x14ac:dyDescent="0.4">
      <c r="B1078" s="8" t="s">
        <v>520</v>
      </c>
      <c r="C1078" s="3" t="s">
        <v>4307</v>
      </c>
      <c r="D1078" s="3" t="s">
        <v>3920</v>
      </c>
      <c r="F1078" s="3" t="s">
        <v>399</v>
      </c>
      <c r="G1078" s="3" t="s">
        <v>402</v>
      </c>
      <c r="I1078" s="3" t="s">
        <v>4064</v>
      </c>
    </row>
    <row r="1079" spans="2:9" hidden="1" x14ac:dyDescent="0.4">
      <c r="B1079" s="8" t="s">
        <v>520</v>
      </c>
      <c r="C1079" s="3" t="s">
        <v>4508</v>
      </c>
      <c r="D1079" s="3" t="s">
        <v>4931</v>
      </c>
      <c r="F1079" s="3" t="s">
        <v>399</v>
      </c>
      <c r="I1079" s="3" t="s">
        <v>4064</v>
      </c>
    </row>
    <row r="1080" spans="2:9" hidden="1" x14ac:dyDescent="0.4">
      <c r="B1080" s="8" t="s">
        <v>520</v>
      </c>
      <c r="C1080" s="3" t="s">
        <v>5305</v>
      </c>
      <c r="D1080" s="3" t="s">
        <v>5625</v>
      </c>
      <c r="F1080" s="3" t="s">
        <v>402</v>
      </c>
      <c r="I1080" s="3" t="s">
        <v>4064</v>
      </c>
    </row>
    <row r="1081" spans="2:9" hidden="1" x14ac:dyDescent="0.4">
      <c r="B1081" s="8" t="s">
        <v>518</v>
      </c>
      <c r="C1081" s="3" t="s">
        <v>2918</v>
      </c>
      <c r="D1081" s="3" t="s">
        <v>3158</v>
      </c>
      <c r="E1081" s="3">
        <v>1</v>
      </c>
      <c r="F1081" s="3" t="s">
        <v>402</v>
      </c>
      <c r="I1081" s="3" t="s">
        <v>245</v>
      </c>
    </row>
    <row r="1082" spans="2:9" hidden="1" x14ac:dyDescent="0.4">
      <c r="B1082" s="8" t="s">
        <v>536</v>
      </c>
      <c r="C1082" s="3" t="s">
        <v>3354</v>
      </c>
      <c r="D1082" s="3" t="s">
        <v>3112</v>
      </c>
      <c r="E1082" s="3">
        <v>1</v>
      </c>
      <c r="F1082" s="3" t="s">
        <v>1124</v>
      </c>
      <c r="I1082" s="3" t="s">
        <v>245</v>
      </c>
    </row>
    <row r="1083" spans="2:9" hidden="1" x14ac:dyDescent="0.4">
      <c r="B1083" s="8" t="s">
        <v>529</v>
      </c>
      <c r="C1083" s="3" t="s">
        <v>2868</v>
      </c>
      <c r="D1083" s="3" t="s">
        <v>3112</v>
      </c>
      <c r="E1083" s="3">
        <v>1</v>
      </c>
      <c r="F1083" s="3" t="s">
        <v>402</v>
      </c>
      <c r="G1083" s="3" t="s">
        <v>988</v>
      </c>
      <c r="H1083" s="3" t="s">
        <v>399</v>
      </c>
      <c r="I1083" s="3" t="s">
        <v>245</v>
      </c>
    </row>
    <row r="1084" spans="2:9" hidden="1" x14ac:dyDescent="0.4">
      <c r="B1084" s="8" t="s">
        <v>517</v>
      </c>
      <c r="C1084" s="3" t="s">
        <v>284</v>
      </c>
      <c r="D1084" s="3" t="s">
        <v>573</v>
      </c>
      <c r="F1084" s="3" t="s">
        <v>399</v>
      </c>
      <c r="I1084" s="3" t="s">
        <v>267</v>
      </c>
    </row>
    <row r="1085" spans="2:9" hidden="1" x14ac:dyDescent="0.4">
      <c r="B1085" s="8" t="s">
        <v>529</v>
      </c>
      <c r="C1085" s="3" t="s">
        <v>3994</v>
      </c>
      <c r="D1085" s="3" t="s">
        <v>3995</v>
      </c>
      <c r="F1085" s="3" t="s">
        <v>399</v>
      </c>
      <c r="G1085" s="3" t="s">
        <v>402</v>
      </c>
      <c r="I1085" s="3" t="s">
        <v>4063</v>
      </c>
    </row>
    <row r="1086" spans="2:9" hidden="1" x14ac:dyDescent="0.4">
      <c r="B1086" s="8" t="s">
        <v>529</v>
      </c>
      <c r="C1086" s="3" t="s">
        <v>5964</v>
      </c>
      <c r="D1086" s="3" t="s">
        <v>5012</v>
      </c>
      <c r="F1086" s="3" t="s">
        <v>399</v>
      </c>
      <c r="I1086" s="3" t="s">
        <v>4063</v>
      </c>
    </row>
    <row r="1087" spans="2:9" hidden="1" x14ac:dyDescent="0.4">
      <c r="B1087" s="8" t="s">
        <v>529</v>
      </c>
      <c r="C1087" s="3" t="s">
        <v>6312</v>
      </c>
      <c r="D1087" s="3" t="s">
        <v>5663</v>
      </c>
      <c r="F1087" s="3" t="s">
        <v>402</v>
      </c>
      <c r="I1087" s="3" t="s">
        <v>4063</v>
      </c>
    </row>
    <row r="1088" spans="2:9" hidden="1" x14ac:dyDescent="0.4">
      <c r="B1088" s="8" t="s">
        <v>529</v>
      </c>
      <c r="C1088" s="3" t="s">
        <v>4346</v>
      </c>
      <c r="D1088" s="3" t="s">
        <v>3995</v>
      </c>
      <c r="F1088" s="3" t="s">
        <v>399</v>
      </c>
      <c r="G1088" s="3" t="s">
        <v>402</v>
      </c>
      <c r="I1088" s="3" t="s">
        <v>4064</v>
      </c>
    </row>
    <row r="1089" spans="2:9" hidden="1" x14ac:dyDescent="0.4">
      <c r="B1089" s="8" t="s">
        <v>529</v>
      </c>
      <c r="C1089" s="3" t="s">
        <v>4695</v>
      </c>
      <c r="D1089" s="3" t="s">
        <v>5012</v>
      </c>
      <c r="F1089" s="3" t="s">
        <v>399</v>
      </c>
      <c r="I1089" s="3" t="s">
        <v>4064</v>
      </c>
    </row>
    <row r="1090" spans="2:9" hidden="1" x14ac:dyDescent="0.4">
      <c r="B1090" s="8" t="s">
        <v>529</v>
      </c>
      <c r="C1090" s="3" t="s">
        <v>5344</v>
      </c>
      <c r="D1090" s="3" t="s">
        <v>5663</v>
      </c>
      <c r="F1090" s="3" t="s">
        <v>402</v>
      </c>
      <c r="I1090" s="3" t="s">
        <v>4064</v>
      </c>
    </row>
    <row r="1091" spans="2:9" hidden="1" x14ac:dyDescent="0.4">
      <c r="B1091" s="8" t="s">
        <v>517</v>
      </c>
      <c r="C1091" s="3" t="s">
        <v>348</v>
      </c>
      <c r="D1091" s="3" t="s">
        <v>372</v>
      </c>
      <c r="F1091" s="3" t="s">
        <v>399</v>
      </c>
      <c r="I1091" s="3" t="s">
        <v>267</v>
      </c>
    </row>
    <row r="1092" spans="2:9" hidden="1" x14ac:dyDescent="0.4">
      <c r="B1092" s="8" t="s">
        <v>516</v>
      </c>
      <c r="C1092" s="3" t="s">
        <v>4271</v>
      </c>
      <c r="D1092" s="3" t="s">
        <v>3886</v>
      </c>
      <c r="F1092" s="3" t="s">
        <v>399</v>
      </c>
      <c r="G1092" s="3" t="s">
        <v>402</v>
      </c>
      <c r="I1092" s="3" t="s">
        <v>4064</v>
      </c>
    </row>
    <row r="1093" spans="2:9" hidden="1" x14ac:dyDescent="0.4">
      <c r="B1093" s="8" t="s">
        <v>516</v>
      </c>
      <c r="C1093" s="3" t="s">
        <v>4482</v>
      </c>
      <c r="D1093" s="3" t="s">
        <v>4837</v>
      </c>
      <c r="F1093" s="3" t="s">
        <v>399</v>
      </c>
      <c r="I1093" s="3" t="s">
        <v>4064</v>
      </c>
    </row>
    <row r="1094" spans="2:9" hidden="1" x14ac:dyDescent="0.4">
      <c r="B1094" s="8" t="s">
        <v>516</v>
      </c>
      <c r="C1094" s="3" t="s">
        <v>5256</v>
      </c>
      <c r="D1094" s="3" t="s">
        <v>5577</v>
      </c>
      <c r="F1094" s="3" t="s">
        <v>402</v>
      </c>
      <c r="I1094" s="3" t="s">
        <v>4064</v>
      </c>
    </row>
    <row r="1095" spans="2:9" hidden="1" x14ac:dyDescent="0.4">
      <c r="B1095" s="8" t="s">
        <v>516</v>
      </c>
      <c r="C1095" s="3" t="s">
        <v>3885</v>
      </c>
      <c r="D1095" s="3" t="s">
        <v>3886</v>
      </c>
      <c r="F1095" s="3" t="s">
        <v>399</v>
      </c>
      <c r="G1095" s="3" t="s">
        <v>402</v>
      </c>
      <c r="I1095" s="3" t="s">
        <v>4063</v>
      </c>
    </row>
    <row r="1096" spans="2:9" hidden="1" x14ac:dyDescent="0.4">
      <c r="B1096" s="8" t="s">
        <v>516</v>
      </c>
      <c r="C1096" s="3" t="s">
        <v>5887</v>
      </c>
      <c r="D1096" s="3" t="s">
        <v>4837</v>
      </c>
      <c r="F1096" s="3" t="s">
        <v>399</v>
      </c>
      <c r="I1096" s="3" t="s">
        <v>4063</v>
      </c>
    </row>
    <row r="1097" spans="2:9" ht="29.25" hidden="1" x14ac:dyDescent="0.4">
      <c r="B1097" s="8" t="s">
        <v>516</v>
      </c>
      <c r="C1097" s="3" t="s">
        <v>6233</v>
      </c>
      <c r="D1097" s="3" t="s">
        <v>5577</v>
      </c>
      <c r="F1097" s="3" t="s">
        <v>402</v>
      </c>
      <c r="I1097" s="3" t="s">
        <v>4063</v>
      </c>
    </row>
    <row r="1098" spans="2:9" hidden="1" x14ac:dyDescent="0.4">
      <c r="B1098" s="8" t="s">
        <v>531</v>
      </c>
      <c r="C1098" s="3" t="s">
        <v>449</v>
      </c>
      <c r="D1098" s="3" t="s">
        <v>725</v>
      </c>
      <c r="E1098" s="3" t="s">
        <v>432</v>
      </c>
      <c r="F1098" s="3" t="s">
        <v>12779</v>
      </c>
      <c r="G1098" s="3" t="s">
        <v>430</v>
      </c>
      <c r="I1098" s="3" t="s">
        <v>472</v>
      </c>
    </row>
    <row r="1099" spans="2:9" hidden="1" x14ac:dyDescent="0.4">
      <c r="B1099" s="8" t="s">
        <v>517</v>
      </c>
      <c r="C1099" s="3" t="s">
        <v>2281</v>
      </c>
      <c r="D1099" s="3" t="s">
        <v>2439</v>
      </c>
      <c r="E1099" s="3" t="s">
        <v>1272</v>
      </c>
      <c r="F1099" s="3" t="s">
        <v>399</v>
      </c>
      <c r="I1099" s="3" t="s">
        <v>1833</v>
      </c>
    </row>
    <row r="1100" spans="2:9" hidden="1" x14ac:dyDescent="0.4">
      <c r="B1100" s="8" t="s">
        <v>517</v>
      </c>
      <c r="C1100" s="3" t="s">
        <v>2587</v>
      </c>
      <c r="D1100" s="3" t="s">
        <v>2439</v>
      </c>
      <c r="E1100" s="3" t="s">
        <v>1272</v>
      </c>
      <c r="F1100" s="3" t="s">
        <v>402</v>
      </c>
      <c r="I1100" s="3" t="s">
        <v>1833</v>
      </c>
    </row>
    <row r="1101" spans="2:9" hidden="1" x14ac:dyDescent="0.4">
      <c r="B1101" s="8" t="s">
        <v>529</v>
      </c>
      <c r="C1101" s="3" t="s">
        <v>3589</v>
      </c>
      <c r="D1101" s="3" t="s">
        <v>4042</v>
      </c>
      <c r="F1101" s="3" t="s">
        <v>399</v>
      </c>
      <c r="G1101" s="3" t="s">
        <v>402</v>
      </c>
      <c r="I1101" s="3" t="s">
        <v>4063</v>
      </c>
    </row>
    <row r="1102" spans="2:9" hidden="1" x14ac:dyDescent="0.4">
      <c r="B1102" s="8" t="s">
        <v>529</v>
      </c>
      <c r="C1102" s="3" t="s">
        <v>3589</v>
      </c>
      <c r="D1102" s="3" t="s">
        <v>4042</v>
      </c>
      <c r="F1102" s="3" t="s">
        <v>399</v>
      </c>
      <c r="G1102" s="3" t="s">
        <v>402</v>
      </c>
      <c r="I1102" s="3" t="s">
        <v>4064</v>
      </c>
    </row>
    <row r="1103" spans="2:9" hidden="1" x14ac:dyDescent="0.4">
      <c r="B1103" s="8" t="s">
        <v>529</v>
      </c>
      <c r="C1103" s="3" t="s">
        <v>6006</v>
      </c>
      <c r="D1103" s="3" t="s">
        <v>4979</v>
      </c>
      <c r="F1103" s="3" t="s">
        <v>399</v>
      </c>
      <c r="I1103" s="3" t="s">
        <v>4063</v>
      </c>
    </row>
    <row r="1104" spans="2:9" hidden="1" x14ac:dyDescent="0.4">
      <c r="B1104" s="8" t="s">
        <v>529</v>
      </c>
      <c r="C1104" s="3" t="s">
        <v>6355</v>
      </c>
      <c r="D1104" s="3" t="s">
        <v>5584</v>
      </c>
      <c r="F1104" s="3" t="s">
        <v>402</v>
      </c>
      <c r="I1104" s="3" t="s">
        <v>4063</v>
      </c>
    </row>
    <row r="1105" spans="2:9" hidden="1" x14ac:dyDescent="0.4">
      <c r="B1105" s="8" t="s">
        <v>529</v>
      </c>
      <c r="C1105" s="3" t="s">
        <v>4488</v>
      </c>
      <c r="D1105" s="3" t="s">
        <v>4979</v>
      </c>
      <c r="F1105" s="3" t="s">
        <v>399</v>
      </c>
      <c r="I1105" s="3" t="s">
        <v>4064</v>
      </c>
    </row>
    <row r="1106" spans="2:9" hidden="1" x14ac:dyDescent="0.4">
      <c r="B1106" s="8" t="s">
        <v>529</v>
      </c>
      <c r="C1106" s="3" t="s">
        <v>5263</v>
      </c>
      <c r="D1106" s="3" t="s">
        <v>5584</v>
      </c>
      <c r="F1106" s="3" t="s">
        <v>402</v>
      </c>
      <c r="I1106" s="3" t="s">
        <v>4064</v>
      </c>
    </row>
    <row r="1107" spans="2:9" hidden="1" x14ac:dyDescent="0.4">
      <c r="B1107" s="8" t="s">
        <v>518</v>
      </c>
      <c r="C1107" s="3" t="s">
        <v>3014</v>
      </c>
      <c r="D1107" s="3" t="s">
        <v>3250</v>
      </c>
      <c r="E1107" s="3">
        <v>1</v>
      </c>
      <c r="F1107" s="3" t="s">
        <v>3350</v>
      </c>
      <c r="G1107" s="3" t="s">
        <v>399</v>
      </c>
      <c r="H1107" s="3" t="s">
        <v>988</v>
      </c>
      <c r="I1107" s="3" t="s">
        <v>245</v>
      </c>
    </row>
    <row r="1108" spans="2:9" hidden="1" x14ac:dyDescent="0.4">
      <c r="B1108" s="8" t="s">
        <v>517</v>
      </c>
      <c r="C1108" s="3" t="s">
        <v>1319</v>
      </c>
      <c r="D1108" s="3" t="s">
        <v>1333</v>
      </c>
      <c r="E1108" s="3" t="s">
        <v>1272</v>
      </c>
      <c r="F1108" s="3" t="s">
        <v>399</v>
      </c>
      <c r="I1108" s="3" t="s">
        <v>1317</v>
      </c>
    </row>
    <row r="1109" spans="2:9" hidden="1" x14ac:dyDescent="0.4">
      <c r="B1109" s="8" t="s">
        <v>517</v>
      </c>
      <c r="C1109" s="3" t="s">
        <v>1319</v>
      </c>
      <c r="D1109" s="3" t="s">
        <v>1334</v>
      </c>
      <c r="F1109" s="3" t="s">
        <v>399</v>
      </c>
      <c r="I1109" s="3" t="s">
        <v>1335</v>
      </c>
    </row>
    <row r="1110" spans="2:9" hidden="1" x14ac:dyDescent="0.4">
      <c r="B1110" s="8" t="s">
        <v>517</v>
      </c>
      <c r="C1110" s="3" t="s">
        <v>1353</v>
      </c>
      <c r="D1110" s="3" t="s">
        <v>1333</v>
      </c>
      <c r="E1110" s="3" t="s">
        <v>1272</v>
      </c>
      <c r="F1110" s="3" t="s">
        <v>402</v>
      </c>
      <c r="I1110" s="3" t="s">
        <v>1317</v>
      </c>
    </row>
    <row r="1111" spans="2:9" hidden="1" x14ac:dyDescent="0.4">
      <c r="B1111" s="8" t="s">
        <v>517</v>
      </c>
      <c r="C1111" s="3" t="s">
        <v>1353</v>
      </c>
      <c r="D1111" s="3" t="s">
        <v>1334</v>
      </c>
      <c r="F1111" s="3" t="s">
        <v>402</v>
      </c>
      <c r="I1111" s="3" t="s">
        <v>1335</v>
      </c>
    </row>
    <row r="1112" spans="2:9" hidden="1" x14ac:dyDescent="0.4">
      <c r="B1112" s="8" t="s">
        <v>536</v>
      </c>
      <c r="C1112" s="3" t="s">
        <v>2018</v>
      </c>
      <c r="D1112" s="3" t="s">
        <v>2088</v>
      </c>
      <c r="F1112" s="3" t="s">
        <v>2065</v>
      </c>
      <c r="I1112" s="3" t="s">
        <v>248</v>
      </c>
    </row>
    <row r="1113" spans="2:9" hidden="1" x14ac:dyDescent="0.4">
      <c r="B1113" s="8" t="s">
        <v>517</v>
      </c>
      <c r="C1113" s="3" t="s">
        <v>3366</v>
      </c>
      <c r="D1113" s="3" t="s">
        <v>3674</v>
      </c>
      <c r="F1113" s="3" t="s">
        <v>399</v>
      </c>
      <c r="G1113" s="3" t="s">
        <v>402</v>
      </c>
      <c r="I1113" s="3" t="s">
        <v>4063</v>
      </c>
    </row>
    <row r="1114" spans="2:9" hidden="1" x14ac:dyDescent="0.4">
      <c r="B1114" s="8" t="s">
        <v>517</v>
      </c>
      <c r="C1114" s="3" t="s">
        <v>3366</v>
      </c>
      <c r="D1114" s="3" t="s">
        <v>3674</v>
      </c>
      <c r="F1114" s="3" t="s">
        <v>399</v>
      </c>
      <c r="G1114" s="3" t="s">
        <v>402</v>
      </c>
      <c r="I1114" s="3" t="s">
        <v>4064</v>
      </c>
    </row>
    <row r="1115" spans="2:9" hidden="1" x14ac:dyDescent="0.4">
      <c r="B1115" s="8" t="s">
        <v>517</v>
      </c>
      <c r="C1115" s="3" t="s">
        <v>5701</v>
      </c>
      <c r="D1115" s="3" t="s">
        <v>4863</v>
      </c>
      <c r="F1115" s="3" t="s">
        <v>399</v>
      </c>
      <c r="I1115" s="3" t="s">
        <v>4063</v>
      </c>
    </row>
    <row r="1116" spans="2:9" hidden="1" x14ac:dyDescent="0.4">
      <c r="B1116" s="8" t="s">
        <v>517</v>
      </c>
      <c r="C1116" s="3" t="s">
        <v>6042</v>
      </c>
      <c r="D1116" s="3" t="s">
        <v>5369</v>
      </c>
      <c r="F1116" s="3" t="s">
        <v>402</v>
      </c>
      <c r="I1116" s="3" t="s">
        <v>4063</v>
      </c>
    </row>
    <row r="1117" spans="2:9" hidden="1" x14ac:dyDescent="0.4">
      <c r="B1117" s="8" t="s">
        <v>517</v>
      </c>
      <c r="C1117" s="3" t="s">
        <v>4562</v>
      </c>
      <c r="D1117" s="3" t="s">
        <v>4863</v>
      </c>
      <c r="F1117" s="3" t="s">
        <v>399</v>
      </c>
      <c r="I1117" s="3" t="s">
        <v>4064</v>
      </c>
    </row>
    <row r="1118" spans="2:9" hidden="1" x14ac:dyDescent="0.4">
      <c r="B1118" s="8" t="s">
        <v>517</v>
      </c>
      <c r="C1118" s="3" t="s">
        <v>5033</v>
      </c>
      <c r="D1118" s="3" t="s">
        <v>5369</v>
      </c>
      <c r="F1118" s="3" t="s">
        <v>402</v>
      </c>
      <c r="I1118" s="3" t="s">
        <v>4064</v>
      </c>
    </row>
    <row r="1119" spans="2:9" hidden="1" x14ac:dyDescent="0.4">
      <c r="B1119" s="8" t="s">
        <v>517</v>
      </c>
      <c r="C1119" s="3" t="s">
        <v>2898</v>
      </c>
      <c r="D1119" s="3" t="s">
        <v>3139</v>
      </c>
      <c r="E1119" s="3">
        <v>1</v>
      </c>
      <c r="F1119" s="3" t="s">
        <v>402</v>
      </c>
      <c r="I1119" s="3" t="s">
        <v>245</v>
      </c>
    </row>
    <row r="1120" spans="2:9" hidden="1" x14ac:dyDescent="0.4">
      <c r="B1120" s="8" t="s">
        <v>518</v>
      </c>
      <c r="C1120" s="3" t="s">
        <v>4122</v>
      </c>
      <c r="D1120" s="3" t="s">
        <v>3717</v>
      </c>
      <c r="F1120" s="3" t="s">
        <v>399</v>
      </c>
      <c r="G1120" s="3" t="s">
        <v>402</v>
      </c>
      <c r="I1120" s="3" t="s">
        <v>4064</v>
      </c>
    </row>
    <row r="1121" spans="2:9" hidden="1" x14ac:dyDescent="0.4">
      <c r="B1121" s="8" t="s">
        <v>518</v>
      </c>
      <c r="C1121" s="3" t="s">
        <v>4392</v>
      </c>
      <c r="D1121" s="3" t="s">
        <v>4734</v>
      </c>
      <c r="F1121" s="3" t="s">
        <v>399</v>
      </c>
      <c r="I1121" s="3" t="s">
        <v>4064</v>
      </c>
    </row>
    <row r="1122" spans="2:9" hidden="1" x14ac:dyDescent="0.4">
      <c r="B1122" s="8" t="s">
        <v>518</v>
      </c>
      <c r="C1122" s="3" t="s">
        <v>5083</v>
      </c>
      <c r="D1122" s="3" t="s">
        <v>5406</v>
      </c>
      <c r="F1122" s="3" t="s">
        <v>402</v>
      </c>
      <c r="I1122" s="3" t="s">
        <v>4064</v>
      </c>
    </row>
    <row r="1123" spans="2:9" hidden="1" x14ac:dyDescent="0.4">
      <c r="B1123" s="8" t="s">
        <v>517</v>
      </c>
      <c r="C1123" s="3" t="s">
        <v>3408</v>
      </c>
      <c r="D1123" s="3" t="s">
        <v>3717</v>
      </c>
      <c r="F1123" s="3" t="s">
        <v>399</v>
      </c>
      <c r="G1123" s="3" t="s">
        <v>402</v>
      </c>
      <c r="I1123" s="3" t="s">
        <v>4063</v>
      </c>
    </row>
    <row r="1124" spans="2:9" hidden="1" x14ac:dyDescent="0.4">
      <c r="B1124" s="8" t="s">
        <v>517</v>
      </c>
      <c r="C1124" s="3" t="s">
        <v>5741</v>
      </c>
      <c r="D1124" s="3" t="s">
        <v>4734</v>
      </c>
      <c r="F1124" s="3" t="s">
        <v>399</v>
      </c>
      <c r="I1124" s="3" t="s">
        <v>4063</v>
      </c>
    </row>
    <row r="1125" spans="2:9" hidden="1" x14ac:dyDescent="0.4">
      <c r="B1125" s="8" t="s">
        <v>517</v>
      </c>
      <c r="C1125" s="3" t="s">
        <v>6083</v>
      </c>
      <c r="D1125" s="3" t="s">
        <v>5406</v>
      </c>
      <c r="F1125" s="3" t="s">
        <v>402</v>
      </c>
      <c r="I1125" s="3" t="s">
        <v>4063</v>
      </c>
    </row>
    <row r="1126" spans="2:9" hidden="1" x14ac:dyDescent="0.4">
      <c r="B1126" s="8" t="s">
        <v>518</v>
      </c>
      <c r="C1126" s="3" t="s">
        <v>977</v>
      </c>
      <c r="D1126" s="3" t="s">
        <v>1166</v>
      </c>
      <c r="F1126" s="3" t="s">
        <v>399</v>
      </c>
      <c r="G1126" s="3" t="s">
        <v>402</v>
      </c>
      <c r="I1126" s="3" t="s">
        <v>987</v>
      </c>
    </row>
    <row r="1127" spans="2:9" hidden="1" x14ac:dyDescent="0.4">
      <c r="B1127" s="8" t="s">
        <v>518</v>
      </c>
      <c r="C1127" s="3" t="s">
        <v>1179</v>
      </c>
      <c r="D1127" s="3" t="s">
        <v>1166</v>
      </c>
      <c r="F1127" s="3" t="s">
        <v>402</v>
      </c>
      <c r="I1127" s="3" t="s">
        <v>987</v>
      </c>
    </row>
    <row r="1128" spans="2:9" hidden="1" x14ac:dyDescent="0.4">
      <c r="B1128" s="8" t="s">
        <v>512</v>
      </c>
      <c r="C1128" s="3" t="s">
        <v>1170</v>
      </c>
      <c r="D1128" s="3" t="s">
        <v>1174</v>
      </c>
      <c r="F1128" s="3" t="s">
        <v>399</v>
      </c>
      <c r="G1128" s="3" t="s">
        <v>402</v>
      </c>
      <c r="I1128" s="3" t="s">
        <v>987</v>
      </c>
    </row>
    <row r="1129" spans="2:9" hidden="1" x14ac:dyDescent="0.4">
      <c r="B1129" s="8" t="s">
        <v>512</v>
      </c>
      <c r="C1129" s="3" t="s">
        <v>1183</v>
      </c>
      <c r="D1129" s="3" t="s">
        <v>1174</v>
      </c>
      <c r="F1129" s="3" t="s">
        <v>402</v>
      </c>
      <c r="I1129" s="3" t="s">
        <v>987</v>
      </c>
    </row>
    <row r="1130" spans="2:9" hidden="1" x14ac:dyDescent="0.4">
      <c r="B1130" s="8" t="s">
        <v>518</v>
      </c>
      <c r="C1130" s="3" t="s">
        <v>1223</v>
      </c>
      <c r="D1130" s="3" t="s">
        <v>1227</v>
      </c>
      <c r="F1130" s="3" t="s">
        <v>402</v>
      </c>
      <c r="G1130" s="3" t="s">
        <v>399</v>
      </c>
      <c r="H1130" s="3" t="s">
        <v>988</v>
      </c>
      <c r="I1130" s="3" t="s">
        <v>987</v>
      </c>
    </row>
    <row r="1131" spans="2:9" hidden="1" x14ac:dyDescent="0.4">
      <c r="B1131" s="8" t="s">
        <v>518</v>
      </c>
      <c r="C1131" s="3" t="s">
        <v>1231</v>
      </c>
      <c r="D1131" s="3" t="s">
        <v>1227</v>
      </c>
      <c r="F1131" s="3" t="s">
        <v>399</v>
      </c>
      <c r="I1131" s="3" t="s">
        <v>987</v>
      </c>
    </row>
    <row r="1132" spans="2:9" hidden="1" x14ac:dyDescent="0.4">
      <c r="B1132" s="8" t="s">
        <v>517</v>
      </c>
      <c r="C1132" s="3" t="s">
        <v>295</v>
      </c>
      <c r="D1132" s="3" t="s">
        <v>574</v>
      </c>
      <c r="F1132" s="3" t="s">
        <v>399</v>
      </c>
      <c r="I1132" s="3" t="s">
        <v>267</v>
      </c>
    </row>
    <row r="1133" spans="2:9" hidden="1" x14ac:dyDescent="0.4">
      <c r="B1133" s="8" t="s">
        <v>517</v>
      </c>
      <c r="C1133" s="3" t="s">
        <v>350</v>
      </c>
      <c r="D1133" s="3" t="s">
        <v>374</v>
      </c>
      <c r="F1133" s="3" t="s">
        <v>399</v>
      </c>
      <c r="I1133" s="3" t="s">
        <v>267</v>
      </c>
    </row>
    <row r="1134" spans="2:9" hidden="1" x14ac:dyDescent="0.4">
      <c r="B1134" s="8" t="s">
        <v>517</v>
      </c>
      <c r="C1134" s="3" t="s">
        <v>212</v>
      </c>
      <c r="D1134" s="3" t="s">
        <v>248</v>
      </c>
      <c r="F1134" s="3" t="s">
        <v>399</v>
      </c>
      <c r="I1134" s="3" t="s">
        <v>268</v>
      </c>
    </row>
    <row r="1135" spans="2:9" hidden="1" x14ac:dyDescent="0.4">
      <c r="B1135" s="8" t="s">
        <v>518</v>
      </c>
      <c r="C1135" s="3" t="s">
        <v>1765</v>
      </c>
      <c r="D1135" s="3" t="s">
        <v>2384</v>
      </c>
      <c r="F1135" s="3" t="s">
        <v>399</v>
      </c>
      <c r="I1135" s="3" t="s">
        <v>1833</v>
      </c>
    </row>
    <row r="1136" spans="2:9" hidden="1" x14ac:dyDescent="0.4">
      <c r="B1136" s="8" t="s">
        <v>518</v>
      </c>
      <c r="C1136" s="3" t="s">
        <v>2501</v>
      </c>
      <c r="D1136" s="3" t="s">
        <v>2384</v>
      </c>
      <c r="F1136" s="3" t="s">
        <v>402</v>
      </c>
      <c r="I1136" s="3" t="s">
        <v>1833</v>
      </c>
    </row>
    <row r="1137" spans="2:9" hidden="1" x14ac:dyDescent="0.4">
      <c r="B1137" s="8" t="s">
        <v>518</v>
      </c>
      <c r="C1137" s="3" t="s">
        <v>1766</v>
      </c>
      <c r="D1137" s="3" t="s">
        <v>1840</v>
      </c>
      <c r="F1137" s="3" t="s">
        <v>402</v>
      </c>
      <c r="I1137" s="3" t="s">
        <v>1838</v>
      </c>
    </row>
    <row r="1138" spans="2:9" hidden="1" x14ac:dyDescent="0.4">
      <c r="B1138" s="8" t="s">
        <v>518</v>
      </c>
      <c r="C1138" s="3" t="s">
        <v>2147</v>
      </c>
      <c r="D1138" s="3" t="s">
        <v>2161</v>
      </c>
      <c r="F1138" s="3" t="s">
        <v>399</v>
      </c>
      <c r="I1138" s="3" t="s">
        <v>1838</v>
      </c>
    </row>
    <row r="1139" spans="2:9" hidden="1" x14ac:dyDescent="0.4">
      <c r="B1139" s="8" t="s">
        <v>526</v>
      </c>
      <c r="C1139" s="3" t="s">
        <v>2177</v>
      </c>
      <c r="D1139" s="3" t="s">
        <v>2161</v>
      </c>
      <c r="F1139" s="3" t="s">
        <v>399</v>
      </c>
      <c r="I1139" s="3" t="s">
        <v>1838</v>
      </c>
    </row>
    <row r="1140" spans="2:9" hidden="1" x14ac:dyDescent="0.4">
      <c r="B1140" s="8" t="s">
        <v>518</v>
      </c>
      <c r="C1140" s="3" t="s">
        <v>2796</v>
      </c>
      <c r="D1140" s="3" t="s">
        <v>2813</v>
      </c>
      <c r="E1140" s="3" t="s">
        <v>1272</v>
      </c>
      <c r="F1140" s="3" t="s">
        <v>399</v>
      </c>
      <c r="I1140" s="3" t="s">
        <v>2370</v>
      </c>
    </row>
    <row r="1141" spans="2:9" hidden="1" x14ac:dyDescent="0.4">
      <c r="B1141" s="8" t="s">
        <v>518</v>
      </c>
      <c r="C1141" s="3" t="s">
        <v>4087</v>
      </c>
      <c r="D1141" s="3" t="s">
        <v>3687</v>
      </c>
      <c r="F1141" s="3" t="s">
        <v>399</v>
      </c>
      <c r="G1141" s="3" t="s">
        <v>402</v>
      </c>
      <c r="I1141" s="3" t="s">
        <v>4064</v>
      </c>
    </row>
    <row r="1142" spans="2:9" hidden="1" x14ac:dyDescent="0.4">
      <c r="B1142" s="8" t="s">
        <v>518</v>
      </c>
      <c r="C1142" s="3" t="s">
        <v>4374</v>
      </c>
      <c r="D1142" s="3" t="s">
        <v>4867</v>
      </c>
      <c r="F1142" s="3" t="s">
        <v>399</v>
      </c>
      <c r="I1142" s="3" t="s">
        <v>4064</v>
      </c>
    </row>
    <row r="1143" spans="2:9" hidden="1" x14ac:dyDescent="0.4">
      <c r="B1143" s="8" t="s">
        <v>518</v>
      </c>
      <c r="C1143" s="3" t="s">
        <v>5046</v>
      </c>
      <c r="D1143" s="3" t="s">
        <v>5691</v>
      </c>
      <c r="F1143" s="3" t="s">
        <v>402</v>
      </c>
      <c r="I1143" s="3" t="s">
        <v>4064</v>
      </c>
    </row>
    <row r="1144" spans="2:9" hidden="1" x14ac:dyDescent="0.4">
      <c r="B1144" s="8" t="s">
        <v>526</v>
      </c>
      <c r="C1144" s="3" t="s">
        <v>4086</v>
      </c>
      <c r="D1144" s="3" t="s">
        <v>3687</v>
      </c>
      <c r="F1144" s="3" t="s">
        <v>399</v>
      </c>
      <c r="G1144" s="3" t="s">
        <v>402</v>
      </c>
      <c r="I1144" s="3" t="s">
        <v>4064</v>
      </c>
    </row>
    <row r="1145" spans="2:9" hidden="1" x14ac:dyDescent="0.4">
      <c r="B1145" s="8" t="s">
        <v>526</v>
      </c>
      <c r="C1145" s="3" t="s">
        <v>3378</v>
      </c>
      <c r="D1145" s="3" t="s">
        <v>3687</v>
      </c>
      <c r="F1145" s="3" t="s">
        <v>399</v>
      </c>
      <c r="G1145" s="3" t="s">
        <v>402</v>
      </c>
      <c r="I1145" s="3" t="s">
        <v>4063</v>
      </c>
    </row>
    <row r="1146" spans="2:9" hidden="1" x14ac:dyDescent="0.4">
      <c r="B1146" s="8" t="s">
        <v>526</v>
      </c>
      <c r="C1146" s="3" t="s">
        <v>6055</v>
      </c>
      <c r="D1146" s="3" t="s">
        <v>5690</v>
      </c>
      <c r="F1146" s="3" t="s">
        <v>402</v>
      </c>
      <c r="I1146" s="3" t="s">
        <v>4063</v>
      </c>
    </row>
    <row r="1147" spans="2:9" hidden="1" x14ac:dyDescent="0.4">
      <c r="B1147" s="8" t="s">
        <v>526</v>
      </c>
      <c r="C1147" s="3" t="s">
        <v>5714</v>
      </c>
      <c r="D1147" s="3" t="s">
        <v>4867</v>
      </c>
      <c r="F1147" s="3" t="s">
        <v>399</v>
      </c>
      <c r="I1147" s="3" t="s">
        <v>4063</v>
      </c>
    </row>
    <row r="1148" spans="2:9" hidden="1" x14ac:dyDescent="0.4">
      <c r="B1148" s="8" t="s">
        <v>529</v>
      </c>
      <c r="C1148" s="3" t="s">
        <v>3591</v>
      </c>
      <c r="D1148" s="3" t="s">
        <v>4035</v>
      </c>
      <c r="F1148" s="3" t="s">
        <v>399</v>
      </c>
      <c r="G1148" s="3" t="s">
        <v>402</v>
      </c>
      <c r="I1148" s="3" t="s">
        <v>4063</v>
      </c>
    </row>
    <row r="1149" spans="2:9" hidden="1" x14ac:dyDescent="0.4">
      <c r="B1149" s="8" t="s">
        <v>529</v>
      </c>
      <c r="C1149" s="3" t="s">
        <v>3591</v>
      </c>
      <c r="D1149" s="3" t="s">
        <v>4035</v>
      </c>
      <c r="F1149" s="3" t="s">
        <v>399</v>
      </c>
      <c r="G1149" s="3" t="s">
        <v>402</v>
      </c>
      <c r="I1149" s="3" t="s">
        <v>4064</v>
      </c>
    </row>
    <row r="1150" spans="2:9" hidden="1" x14ac:dyDescent="0.4">
      <c r="B1150" s="8" t="s">
        <v>529</v>
      </c>
      <c r="C1150" s="3" t="s">
        <v>5893</v>
      </c>
      <c r="D1150" s="3" t="s">
        <v>4981</v>
      </c>
      <c r="F1150" s="3" t="s">
        <v>399</v>
      </c>
      <c r="I1150" s="3" t="s">
        <v>4063</v>
      </c>
    </row>
    <row r="1151" spans="2:9" hidden="1" x14ac:dyDescent="0.4">
      <c r="B1151" s="8" t="s">
        <v>529</v>
      </c>
      <c r="C1151" s="3" t="s">
        <v>6240</v>
      </c>
      <c r="D1151" s="3" t="s">
        <v>5586</v>
      </c>
      <c r="F1151" s="3" t="s">
        <v>402</v>
      </c>
      <c r="I1151" s="3" t="s">
        <v>4063</v>
      </c>
    </row>
    <row r="1152" spans="2:9" hidden="1" x14ac:dyDescent="0.4">
      <c r="B1152" s="8" t="s">
        <v>529</v>
      </c>
      <c r="C1152" s="3" t="s">
        <v>4586</v>
      </c>
      <c r="D1152" s="3" t="s">
        <v>4981</v>
      </c>
      <c r="F1152" s="3" t="s">
        <v>399</v>
      </c>
      <c r="I1152" s="3" t="s">
        <v>4064</v>
      </c>
    </row>
    <row r="1153" spans="2:9" hidden="1" x14ac:dyDescent="0.4">
      <c r="B1153" s="8" t="s">
        <v>529</v>
      </c>
      <c r="C1153" s="3" t="s">
        <v>5265</v>
      </c>
      <c r="D1153" s="3" t="s">
        <v>5586</v>
      </c>
      <c r="F1153" s="3" t="s">
        <v>402</v>
      </c>
      <c r="I1153" s="3" t="s">
        <v>4064</v>
      </c>
    </row>
    <row r="1154" spans="2:9" ht="29.25" hidden="1" x14ac:dyDescent="0.4">
      <c r="B1154" s="8" t="s">
        <v>517</v>
      </c>
      <c r="C1154" s="3" t="s">
        <v>1261</v>
      </c>
      <c r="D1154" s="3" t="s">
        <v>1268</v>
      </c>
      <c r="E1154" s="3" t="s">
        <v>1272</v>
      </c>
      <c r="F1154" s="3" t="s">
        <v>399</v>
      </c>
      <c r="G1154" s="3" t="s">
        <v>1277</v>
      </c>
      <c r="I1154" s="3" t="s">
        <v>510</v>
      </c>
    </row>
    <row r="1155" spans="2:9" hidden="1" x14ac:dyDescent="0.4">
      <c r="B1155" s="8" t="s">
        <v>517</v>
      </c>
      <c r="C1155" s="3" t="s">
        <v>1284</v>
      </c>
      <c r="D1155" s="3" t="s">
        <v>1288</v>
      </c>
      <c r="E1155" s="3" t="s">
        <v>1272</v>
      </c>
      <c r="F1155" s="3" t="s">
        <v>402</v>
      </c>
      <c r="I1155" s="3" t="s">
        <v>510</v>
      </c>
    </row>
    <row r="1156" spans="2:9" hidden="1" x14ac:dyDescent="0.4">
      <c r="B1156" s="8" t="s">
        <v>517</v>
      </c>
      <c r="C1156" s="3" t="s">
        <v>1280</v>
      </c>
      <c r="D1156" s="3" t="s">
        <v>1268</v>
      </c>
      <c r="E1156" s="3" t="s">
        <v>1272</v>
      </c>
      <c r="F1156" s="3" t="s">
        <v>402</v>
      </c>
      <c r="I1156" s="3" t="s">
        <v>510</v>
      </c>
    </row>
    <row r="1157" spans="2:9" hidden="1" x14ac:dyDescent="0.4">
      <c r="B1157" s="8" t="s">
        <v>517</v>
      </c>
      <c r="C1157" s="3" t="s">
        <v>1296</v>
      </c>
      <c r="D1157" s="3" t="s">
        <v>1306</v>
      </c>
      <c r="E1157" s="3" t="s">
        <v>1272</v>
      </c>
      <c r="F1157" s="3" t="s">
        <v>402</v>
      </c>
      <c r="G1157" s="3" t="s">
        <v>399</v>
      </c>
      <c r="H1157" s="3" t="s">
        <v>988</v>
      </c>
      <c r="I1157" s="3" t="s">
        <v>510</v>
      </c>
    </row>
    <row r="1158" spans="2:9" hidden="1" x14ac:dyDescent="0.4">
      <c r="B1158" s="8" t="s">
        <v>517</v>
      </c>
      <c r="C1158" s="3" t="s">
        <v>1301</v>
      </c>
      <c r="D1158" s="3" t="s">
        <v>1306</v>
      </c>
      <c r="E1158" s="3" t="s">
        <v>1272</v>
      </c>
      <c r="F1158" s="3" t="s">
        <v>399</v>
      </c>
      <c r="I1158" s="3" t="s">
        <v>510</v>
      </c>
    </row>
    <row r="1159" spans="2:9" hidden="1" x14ac:dyDescent="0.4">
      <c r="B1159" s="8" t="s">
        <v>517</v>
      </c>
      <c r="C1159" s="3" t="s">
        <v>1292</v>
      </c>
      <c r="D1159" s="3" t="s">
        <v>1268</v>
      </c>
      <c r="E1159" s="3" t="s">
        <v>1272</v>
      </c>
      <c r="F1159" s="3" t="s">
        <v>399</v>
      </c>
      <c r="I1159" s="3" t="s">
        <v>510</v>
      </c>
    </row>
    <row r="1160" spans="2:9" hidden="1" x14ac:dyDescent="0.4">
      <c r="B1160" s="8" t="s">
        <v>518</v>
      </c>
      <c r="C1160" s="3" t="s">
        <v>2189</v>
      </c>
      <c r="D1160" s="3" t="s">
        <v>1833</v>
      </c>
      <c r="F1160" s="3" t="s">
        <v>399</v>
      </c>
      <c r="I1160" s="3" t="s">
        <v>1833</v>
      </c>
    </row>
    <row r="1161" spans="2:9" hidden="1" x14ac:dyDescent="0.4">
      <c r="B1161" s="8" t="s">
        <v>518</v>
      </c>
      <c r="C1161" s="3" t="s">
        <v>2197</v>
      </c>
      <c r="D1161" s="3" t="s">
        <v>1833</v>
      </c>
      <c r="F1161" s="3" t="s">
        <v>399</v>
      </c>
      <c r="I1161" s="3" t="s">
        <v>1833</v>
      </c>
    </row>
    <row r="1162" spans="2:9" hidden="1" x14ac:dyDescent="0.4">
      <c r="B1162" s="8" t="s">
        <v>529</v>
      </c>
      <c r="C1162" s="3" t="s">
        <v>3654</v>
      </c>
      <c r="D1162" s="3" t="s">
        <v>3946</v>
      </c>
      <c r="E1162" s="3" t="s">
        <v>1272</v>
      </c>
      <c r="F1162" s="3" t="s">
        <v>399</v>
      </c>
      <c r="G1162" s="3" t="s">
        <v>402</v>
      </c>
      <c r="I1162" s="3" t="s">
        <v>4362</v>
      </c>
    </row>
    <row r="1163" spans="2:9" hidden="1" x14ac:dyDescent="0.4">
      <c r="B1163" s="8" t="s">
        <v>532</v>
      </c>
      <c r="C1163" s="3" t="s">
        <v>2277</v>
      </c>
      <c r="D1163" s="3" t="s">
        <v>2435</v>
      </c>
      <c r="E1163" s="3" t="s">
        <v>1272</v>
      </c>
      <c r="F1163" s="3" t="s">
        <v>399</v>
      </c>
      <c r="I1163" s="3" t="s">
        <v>1833</v>
      </c>
    </row>
    <row r="1164" spans="2:9" hidden="1" x14ac:dyDescent="0.4">
      <c r="B1164" s="8" t="s">
        <v>532</v>
      </c>
      <c r="C1164" s="3" t="s">
        <v>2583</v>
      </c>
      <c r="D1164" s="3" t="s">
        <v>2435</v>
      </c>
      <c r="E1164" s="3" t="s">
        <v>1272</v>
      </c>
      <c r="F1164" s="3" t="s">
        <v>402</v>
      </c>
      <c r="I1164" s="3" t="s">
        <v>1833</v>
      </c>
    </row>
    <row r="1165" spans="2:9" hidden="1" x14ac:dyDescent="0.4">
      <c r="B1165" s="8" t="s">
        <v>517</v>
      </c>
      <c r="C1165" s="3" t="s">
        <v>4110</v>
      </c>
      <c r="D1165" s="3" t="s">
        <v>3711</v>
      </c>
      <c r="F1165" s="3" t="s">
        <v>399</v>
      </c>
      <c r="G1165" s="3" t="s">
        <v>402</v>
      </c>
      <c r="I1165" s="3" t="s">
        <v>4064</v>
      </c>
    </row>
    <row r="1166" spans="2:9" hidden="1" x14ac:dyDescent="0.4">
      <c r="B1166" s="8" t="s">
        <v>517</v>
      </c>
      <c r="C1166" s="3" t="s">
        <v>4384</v>
      </c>
      <c r="D1166" s="3" t="s">
        <v>4871</v>
      </c>
      <c r="F1166" s="3" t="s">
        <v>399</v>
      </c>
      <c r="I1166" s="3" t="s">
        <v>4064</v>
      </c>
    </row>
    <row r="1167" spans="2:9" hidden="1" x14ac:dyDescent="0.4">
      <c r="B1167" s="8" t="s">
        <v>517</v>
      </c>
      <c r="C1167" s="3" t="s">
        <v>5070</v>
      </c>
      <c r="D1167" s="3" t="s">
        <v>5401</v>
      </c>
      <c r="F1167" s="3" t="s">
        <v>402</v>
      </c>
      <c r="I1167" s="3" t="s">
        <v>4064</v>
      </c>
    </row>
    <row r="1168" spans="2:9" hidden="1" x14ac:dyDescent="0.4">
      <c r="B1168" s="8" t="s">
        <v>517</v>
      </c>
      <c r="C1168" s="3" t="s">
        <v>487</v>
      </c>
      <c r="D1168" s="3" t="s">
        <v>666</v>
      </c>
      <c r="F1168" s="3" t="s">
        <v>399</v>
      </c>
      <c r="I1168" s="3" t="s">
        <v>510</v>
      </c>
    </row>
    <row r="1169" spans="2:9" hidden="1" x14ac:dyDescent="0.4">
      <c r="B1169" s="8" t="s">
        <v>517</v>
      </c>
      <c r="C1169" s="3" t="s">
        <v>689</v>
      </c>
      <c r="D1169" s="3" t="s">
        <v>666</v>
      </c>
      <c r="F1169" s="3" t="s">
        <v>684</v>
      </c>
      <c r="I1169" s="3" t="s">
        <v>510</v>
      </c>
    </row>
    <row r="1170" spans="2:9" hidden="1" x14ac:dyDescent="0.4">
      <c r="B1170" s="8" t="s">
        <v>518</v>
      </c>
      <c r="C1170" s="3" t="s">
        <v>321</v>
      </c>
      <c r="D1170" s="3" t="s">
        <v>575</v>
      </c>
      <c r="F1170" s="3" t="s">
        <v>399</v>
      </c>
      <c r="I1170" s="3" t="s">
        <v>267</v>
      </c>
    </row>
    <row r="1171" spans="2:9" hidden="1" x14ac:dyDescent="0.4">
      <c r="B1171" s="8" t="s">
        <v>536</v>
      </c>
      <c r="C1171" s="3" t="s">
        <v>2022</v>
      </c>
      <c r="D1171" s="3" t="s">
        <v>2092</v>
      </c>
      <c r="F1171" s="3" t="s">
        <v>2065</v>
      </c>
      <c r="I1171" s="3" t="s">
        <v>248</v>
      </c>
    </row>
    <row r="1172" spans="2:9" hidden="1" x14ac:dyDescent="0.4">
      <c r="B1172" s="8" t="s">
        <v>529</v>
      </c>
      <c r="C1172" s="3" t="s">
        <v>205</v>
      </c>
      <c r="D1172" s="3" t="s">
        <v>547</v>
      </c>
      <c r="F1172" s="3" t="s">
        <v>399</v>
      </c>
      <c r="I1172" s="3" t="s">
        <v>267</v>
      </c>
    </row>
    <row r="1173" spans="2:9" hidden="1" x14ac:dyDescent="0.4">
      <c r="B1173" s="8" t="s">
        <v>517</v>
      </c>
      <c r="C1173" s="3" t="s">
        <v>314</v>
      </c>
      <c r="D1173" s="3" t="s">
        <v>576</v>
      </c>
      <c r="F1173" s="3" t="s">
        <v>399</v>
      </c>
      <c r="I1173" s="3" t="s">
        <v>267</v>
      </c>
    </row>
    <row r="1174" spans="2:9" hidden="1" x14ac:dyDescent="0.4">
      <c r="B1174" s="8" t="s">
        <v>517</v>
      </c>
      <c r="C1174" s="3" t="s">
        <v>1830</v>
      </c>
      <c r="D1174" s="3" t="s">
        <v>1899</v>
      </c>
      <c r="F1174" s="3" t="s">
        <v>399</v>
      </c>
      <c r="I1174" s="3" t="s">
        <v>1865</v>
      </c>
    </row>
    <row r="1175" spans="2:9" hidden="1" x14ac:dyDescent="0.4">
      <c r="B1175" s="8" t="s">
        <v>517</v>
      </c>
      <c r="C1175" s="3" t="s">
        <v>3103</v>
      </c>
      <c r="D1175" s="3" t="s">
        <v>3340</v>
      </c>
      <c r="E1175" s="3">
        <v>1</v>
      </c>
      <c r="F1175" s="3" t="s">
        <v>402</v>
      </c>
      <c r="I1175" s="3" t="s">
        <v>245</v>
      </c>
    </row>
    <row r="1176" spans="2:9" hidden="1" x14ac:dyDescent="0.4">
      <c r="B1176" s="8" t="s">
        <v>823</v>
      </c>
      <c r="C1176" s="3" t="s">
        <v>2069</v>
      </c>
      <c r="D1176" s="3" t="s">
        <v>2077</v>
      </c>
      <c r="F1176" s="3" t="s">
        <v>2065</v>
      </c>
      <c r="I1176" s="3" t="s">
        <v>248</v>
      </c>
    </row>
    <row r="1177" spans="2:9" hidden="1" x14ac:dyDescent="0.4">
      <c r="B1177" s="8" t="s">
        <v>518</v>
      </c>
      <c r="C1177" s="3" t="s">
        <v>2069</v>
      </c>
      <c r="D1177" s="3" t="s">
        <v>2077</v>
      </c>
      <c r="F1177" s="3" t="s">
        <v>402</v>
      </c>
      <c r="I1177" s="3" t="s">
        <v>1728</v>
      </c>
    </row>
    <row r="1178" spans="2:9" hidden="1" x14ac:dyDescent="0.4">
      <c r="B1178" s="8" t="s">
        <v>517</v>
      </c>
      <c r="C1178" s="3" t="s">
        <v>2952</v>
      </c>
      <c r="D1178" s="3" t="s">
        <v>3191</v>
      </c>
      <c r="E1178" s="3">
        <v>1</v>
      </c>
      <c r="F1178" s="3" t="s">
        <v>399</v>
      </c>
      <c r="G1178" s="3" t="s">
        <v>402</v>
      </c>
      <c r="H1178" s="3" t="s">
        <v>988</v>
      </c>
      <c r="I1178" s="3" t="s">
        <v>1335</v>
      </c>
    </row>
    <row r="1179" spans="2:9" hidden="1" x14ac:dyDescent="0.4">
      <c r="B1179" s="8" t="s">
        <v>517</v>
      </c>
      <c r="C1179" s="3" t="s">
        <v>1797</v>
      </c>
      <c r="D1179" s="3" t="s">
        <v>1867</v>
      </c>
      <c r="F1179" s="3" t="s">
        <v>399</v>
      </c>
      <c r="I1179" s="3" t="s">
        <v>1865</v>
      </c>
    </row>
    <row r="1180" spans="2:9" hidden="1" x14ac:dyDescent="0.4">
      <c r="B1180" s="8" t="s">
        <v>517</v>
      </c>
      <c r="C1180" s="3" t="s">
        <v>1798</v>
      </c>
      <c r="D1180" s="3" t="s">
        <v>1867</v>
      </c>
      <c r="F1180" s="3" t="s">
        <v>402</v>
      </c>
      <c r="I1180" s="3" t="s">
        <v>1865</v>
      </c>
    </row>
    <row r="1181" spans="2:9" hidden="1" x14ac:dyDescent="0.4">
      <c r="B1181" s="8" t="s">
        <v>520</v>
      </c>
      <c r="C1181" s="3" t="s">
        <v>3028</v>
      </c>
      <c r="D1181" s="3" t="s">
        <v>3265</v>
      </c>
      <c r="E1181" s="3">
        <v>1</v>
      </c>
      <c r="F1181" s="3" t="s">
        <v>402</v>
      </c>
      <c r="I1181" s="3" t="s">
        <v>245</v>
      </c>
    </row>
    <row r="1182" spans="2:9" hidden="1" x14ac:dyDescent="0.4">
      <c r="B1182" s="8" t="s">
        <v>517</v>
      </c>
      <c r="C1182" s="3" t="s">
        <v>162</v>
      </c>
      <c r="D1182" s="3" t="s">
        <v>633</v>
      </c>
      <c r="F1182" s="3" t="s">
        <v>399</v>
      </c>
      <c r="I1182" s="3" t="s">
        <v>267</v>
      </c>
    </row>
    <row r="1183" spans="2:9" hidden="1" x14ac:dyDescent="0.4">
      <c r="B1183" s="8" t="s">
        <v>517</v>
      </c>
      <c r="C1183" s="3" t="s">
        <v>2982</v>
      </c>
      <c r="D1183" s="3" t="s">
        <v>3220</v>
      </c>
      <c r="E1183" s="3">
        <v>1</v>
      </c>
      <c r="F1183" s="3" t="s">
        <v>402</v>
      </c>
      <c r="G1183" s="3" t="s">
        <v>430</v>
      </c>
      <c r="I1183" s="3" t="s">
        <v>245</v>
      </c>
    </row>
    <row r="1184" spans="2:9" hidden="1" x14ac:dyDescent="0.4">
      <c r="B1184" s="8" t="s">
        <v>520</v>
      </c>
      <c r="C1184" s="3" t="s">
        <v>1773</v>
      </c>
      <c r="D1184" s="3" t="s">
        <v>2385</v>
      </c>
      <c r="F1184" s="3" t="s">
        <v>399</v>
      </c>
      <c r="I1184" s="3" t="s">
        <v>1833</v>
      </c>
    </row>
    <row r="1185" spans="2:9" hidden="1" x14ac:dyDescent="0.4">
      <c r="B1185" s="8" t="s">
        <v>520</v>
      </c>
      <c r="C1185" s="3" t="s">
        <v>2536</v>
      </c>
      <c r="D1185" s="3" t="s">
        <v>2385</v>
      </c>
      <c r="F1185" s="3" t="s">
        <v>402</v>
      </c>
      <c r="I1185" s="3" t="s">
        <v>1833</v>
      </c>
    </row>
    <row r="1186" spans="2:9" hidden="1" x14ac:dyDescent="0.4">
      <c r="B1186" s="8" t="s">
        <v>520</v>
      </c>
      <c r="C1186" s="3" t="s">
        <v>1774</v>
      </c>
      <c r="D1186" s="3" t="s">
        <v>1848</v>
      </c>
      <c r="F1186" s="3" t="s">
        <v>402</v>
      </c>
      <c r="I1186" s="3" t="s">
        <v>1838</v>
      </c>
    </row>
    <row r="1187" spans="2:9" hidden="1" x14ac:dyDescent="0.4">
      <c r="B1187" s="8" t="s">
        <v>520</v>
      </c>
      <c r="C1187" s="3" t="s">
        <v>2151</v>
      </c>
      <c r="D1187" s="3" t="s">
        <v>2166</v>
      </c>
      <c r="F1187" s="3" t="s">
        <v>399</v>
      </c>
      <c r="I1187" s="3" t="s">
        <v>1838</v>
      </c>
    </row>
    <row r="1188" spans="2:9" hidden="1" x14ac:dyDescent="0.4">
      <c r="B1188" s="8" t="s">
        <v>1990</v>
      </c>
      <c r="C1188" s="3" t="s">
        <v>2181</v>
      </c>
      <c r="D1188" s="3" t="s">
        <v>2166</v>
      </c>
      <c r="F1188" s="3" t="s">
        <v>399</v>
      </c>
      <c r="I1188" s="3" t="s">
        <v>1838</v>
      </c>
    </row>
    <row r="1189" spans="2:9" hidden="1" x14ac:dyDescent="0.4">
      <c r="B1189" s="8" t="s">
        <v>517</v>
      </c>
      <c r="C1189" s="3" t="s">
        <v>4318</v>
      </c>
      <c r="D1189" s="3" t="s">
        <v>4059</v>
      </c>
      <c r="F1189" s="3" t="s">
        <v>399</v>
      </c>
      <c r="G1189" s="3" t="s">
        <v>402</v>
      </c>
      <c r="I1189" s="3" t="s">
        <v>4064</v>
      </c>
    </row>
    <row r="1190" spans="2:9" hidden="1" x14ac:dyDescent="0.4">
      <c r="B1190" s="8" t="s">
        <v>517</v>
      </c>
      <c r="C1190" s="3" t="s">
        <v>4513</v>
      </c>
      <c r="D1190" s="3" t="s">
        <v>5004</v>
      </c>
      <c r="F1190" s="3" t="s">
        <v>399</v>
      </c>
      <c r="I1190" s="3" t="s">
        <v>4064</v>
      </c>
    </row>
    <row r="1191" spans="2:9" hidden="1" x14ac:dyDescent="0.4">
      <c r="B1191" s="8" t="s">
        <v>517</v>
      </c>
      <c r="C1191" s="3" t="s">
        <v>5318</v>
      </c>
      <c r="D1191" s="3" t="s">
        <v>5638</v>
      </c>
      <c r="F1191" s="3" t="s">
        <v>402</v>
      </c>
      <c r="I1191" s="3" t="s">
        <v>4064</v>
      </c>
    </row>
    <row r="1192" spans="2:9" hidden="1" x14ac:dyDescent="0.4">
      <c r="B1192" s="8" t="s">
        <v>517</v>
      </c>
      <c r="C1192" s="3" t="s">
        <v>3639</v>
      </c>
      <c r="D1192" s="3" t="s">
        <v>4059</v>
      </c>
      <c r="F1192" s="3" t="s">
        <v>399</v>
      </c>
      <c r="G1192" s="3" t="s">
        <v>402</v>
      </c>
      <c r="I1192" s="3" t="s">
        <v>4063</v>
      </c>
    </row>
    <row r="1193" spans="2:9" hidden="1" x14ac:dyDescent="0.4">
      <c r="B1193" s="8" t="s">
        <v>517</v>
      </c>
      <c r="C1193" s="3" t="s">
        <v>5943</v>
      </c>
      <c r="D1193" s="3" t="s">
        <v>5004</v>
      </c>
      <c r="F1193" s="3" t="s">
        <v>399</v>
      </c>
      <c r="I1193" s="3" t="s">
        <v>4063</v>
      </c>
    </row>
    <row r="1194" spans="2:9" hidden="1" x14ac:dyDescent="0.4">
      <c r="B1194" s="8" t="s">
        <v>517</v>
      </c>
      <c r="C1194" s="3" t="s">
        <v>6289</v>
      </c>
      <c r="D1194" s="3" t="s">
        <v>5638</v>
      </c>
      <c r="F1194" s="3" t="s">
        <v>402</v>
      </c>
      <c r="I1194" s="3" t="s">
        <v>4063</v>
      </c>
    </row>
    <row r="1195" spans="2:9" hidden="1" x14ac:dyDescent="0.4">
      <c r="B1195" s="8" t="s">
        <v>517</v>
      </c>
      <c r="C1195" s="3" t="s">
        <v>2314</v>
      </c>
      <c r="D1195" s="3" t="s">
        <v>2470</v>
      </c>
      <c r="E1195" s="3" t="s">
        <v>1272</v>
      </c>
      <c r="F1195" s="3" t="s">
        <v>399</v>
      </c>
      <c r="I1195" s="3" t="s">
        <v>1833</v>
      </c>
    </row>
    <row r="1196" spans="2:9" hidden="1" x14ac:dyDescent="0.4">
      <c r="B1196" s="8" t="s">
        <v>517</v>
      </c>
      <c r="C1196" s="3" t="s">
        <v>2614</v>
      </c>
      <c r="D1196" s="3" t="s">
        <v>2470</v>
      </c>
      <c r="E1196" s="3" t="s">
        <v>1272</v>
      </c>
      <c r="F1196" s="3" t="s">
        <v>402</v>
      </c>
      <c r="I1196" s="3" t="s">
        <v>1833</v>
      </c>
    </row>
    <row r="1197" spans="2:9" hidden="1" x14ac:dyDescent="0.4">
      <c r="B1197" s="8" t="s">
        <v>518</v>
      </c>
      <c r="C1197" s="3" t="s">
        <v>285</v>
      </c>
      <c r="D1197" s="3" t="s">
        <v>577</v>
      </c>
      <c r="F1197" s="3" t="s">
        <v>399</v>
      </c>
      <c r="I1197" s="3" t="s">
        <v>267</v>
      </c>
    </row>
    <row r="1198" spans="2:9" hidden="1" x14ac:dyDescent="0.4">
      <c r="B1198" s="8" t="s">
        <v>517</v>
      </c>
      <c r="C1198" s="8" t="s">
        <v>827</v>
      </c>
      <c r="D1198" s="3" t="s">
        <v>811</v>
      </c>
      <c r="F1198" s="3" t="s">
        <v>399</v>
      </c>
      <c r="I1198" s="3" t="s">
        <v>824</v>
      </c>
    </row>
    <row r="1199" spans="2:9" hidden="1" x14ac:dyDescent="0.4">
      <c r="B1199" s="8" t="s">
        <v>517</v>
      </c>
      <c r="C1199" s="8" t="s">
        <v>924</v>
      </c>
      <c r="D1199" s="3" t="s">
        <v>811</v>
      </c>
      <c r="F1199" s="3" t="s">
        <v>402</v>
      </c>
      <c r="I1199" s="3" t="s">
        <v>824</v>
      </c>
    </row>
    <row r="1200" spans="2:9" hidden="1" x14ac:dyDescent="0.4">
      <c r="B1200" s="8" t="s">
        <v>517</v>
      </c>
      <c r="C1200" s="3" t="s">
        <v>3068</v>
      </c>
      <c r="D1200" s="3" t="s">
        <v>3300</v>
      </c>
      <c r="E1200" s="3">
        <v>1</v>
      </c>
      <c r="F1200" s="3" t="s">
        <v>402</v>
      </c>
      <c r="G1200" s="3" t="s">
        <v>399</v>
      </c>
      <c r="H1200" s="3" t="s">
        <v>988</v>
      </c>
      <c r="I1200" s="3" t="s">
        <v>245</v>
      </c>
    </row>
    <row r="1201" spans="2:9" hidden="1" x14ac:dyDescent="0.4">
      <c r="B1201" s="8" t="s">
        <v>517</v>
      </c>
      <c r="C1201" s="3" t="s">
        <v>2948</v>
      </c>
      <c r="D1201" s="3" t="s">
        <v>3187</v>
      </c>
      <c r="E1201" s="3">
        <v>1</v>
      </c>
      <c r="F1201" s="3" t="s">
        <v>402</v>
      </c>
      <c r="I1201" s="3" t="s">
        <v>245</v>
      </c>
    </row>
    <row r="1202" spans="2:9" hidden="1" x14ac:dyDescent="0.4">
      <c r="B1202" s="8" t="s">
        <v>518</v>
      </c>
      <c r="C1202" s="3" t="s">
        <v>364</v>
      </c>
      <c r="D1202" s="3" t="s">
        <v>388</v>
      </c>
      <c r="F1202" s="3" t="s">
        <v>399</v>
      </c>
      <c r="I1202" s="3" t="s">
        <v>267</v>
      </c>
    </row>
    <row r="1203" spans="2:9" hidden="1" x14ac:dyDescent="0.4">
      <c r="B1203" s="8" t="s">
        <v>518</v>
      </c>
      <c r="C1203" s="3" t="s">
        <v>3063</v>
      </c>
      <c r="D1203" s="3" t="s">
        <v>3296</v>
      </c>
      <c r="E1203" s="3">
        <v>1</v>
      </c>
      <c r="F1203" s="3" t="s">
        <v>402</v>
      </c>
      <c r="G1203" s="3" t="s">
        <v>399</v>
      </c>
      <c r="I1203" s="3" t="s">
        <v>245</v>
      </c>
    </row>
    <row r="1204" spans="2:9" hidden="1" x14ac:dyDescent="0.4">
      <c r="B1204" s="8" t="s">
        <v>823</v>
      </c>
      <c r="C1204" s="3" t="s">
        <v>2071</v>
      </c>
      <c r="D1204" s="3" t="s">
        <v>2079</v>
      </c>
      <c r="F1204" s="3" t="s">
        <v>2065</v>
      </c>
      <c r="I1204" s="3" t="s">
        <v>248</v>
      </c>
    </row>
    <row r="1205" spans="2:9" hidden="1" x14ac:dyDescent="0.4">
      <c r="B1205" s="8" t="s">
        <v>518</v>
      </c>
      <c r="C1205" s="3" t="s">
        <v>2071</v>
      </c>
      <c r="D1205" s="3" t="s">
        <v>2079</v>
      </c>
      <c r="F1205" s="3" t="s">
        <v>402</v>
      </c>
      <c r="I1205" s="3" t="s">
        <v>1728</v>
      </c>
    </row>
    <row r="1206" spans="2:9" hidden="1" x14ac:dyDescent="0.4">
      <c r="B1206" s="8" t="s">
        <v>1008</v>
      </c>
      <c r="C1206" s="3" t="s">
        <v>1030</v>
      </c>
      <c r="D1206" s="3" t="s">
        <v>1045</v>
      </c>
      <c r="F1206" s="3" t="s">
        <v>399</v>
      </c>
      <c r="I1206" s="3" t="s">
        <v>510</v>
      </c>
    </row>
    <row r="1207" spans="2:9" hidden="1" x14ac:dyDescent="0.4">
      <c r="B1207" s="8" t="s">
        <v>1002</v>
      </c>
      <c r="C1207" s="3" t="s">
        <v>1020</v>
      </c>
      <c r="D1207" s="3" t="s">
        <v>1021</v>
      </c>
      <c r="F1207" s="3" t="s">
        <v>399</v>
      </c>
      <c r="I1207" s="3" t="s">
        <v>510</v>
      </c>
    </row>
    <row r="1208" spans="2:9" hidden="1" x14ac:dyDescent="0.4">
      <c r="B1208" s="8" t="s">
        <v>1006</v>
      </c>
      <c r="C1208" s="3" t="s">
        <v>1024</v>
      </c>
      <c r="D1208" s="3" t="s">
        <v>1039</v>
      </c>
      <c r="F1208" s="3" t="s">
        <v>399</v>
      </c>
      <c r="I1208" s="3" t="s">
        <v>510</v>
      </c>
    </row>
    <row r="1209" spans="2:9" hidden="1" x14ac:dyDescent="0.4">
      <c r="B1209" s="8" t="s">
        <v>1006</v>
      </c>
      <c r="C1209" s="3" t="s">
        <v>1032</v>
      </c>
      <c r="D1209" s="3" t="s">
        <v>1047</v>
      </c>
      <c r="F1209" s="3" t="s">
        <v>399</v>
      </c>
      <c r="I1209" s="3" t="s">
        <v>510</v>
      </c>
    </row>
    <row r="1210" spans="2:9" hidden="1" x14ac:dyDescent="0.4">
      <c r="B1210" s="8" t="s">
        <v>1002</v>
      </c>
      <c r="C1210" s="3" t="s">
        <v>1026</v>
      </c>
      <c r="D1210" s="3" t="s">
        <v>1041</v>
      </c>
      <c r="F1210" s="3" t="s">
        <v>399</v>
      </c>
      <c r="I1210" s="3" t="s">
        <v>510</v>
      </c>
    </row>
    <row r="1211" spans="2:9" hidden="1" x14ac:dyDescent="0.4">
      <c r="B1211" s="8" t="s">
        <v>1037</v>
      </c>
      <c r="C1211" s="3" t="s">
        <v>1036</v>
      </c>
      <c r="D1211" s="3" t="s">
        <v>1051</v>
      </c>
      <c r="F1211" s="3" t="s">
        <v>399</v>
      </c>
      <c r="I1211" s="3" t="s">
        <v>510</v>
      </c>
    </row>
    <row r="1212" spans="2:9" hidden="1" x14ac:dyDescent="0.4">
      <c r="B1212" s="8" t="s">
        <v>1002</v>
      </c>
      <c r="C1212" s="3" t="s">
        <v>1028</v>
      </c>
      <c r="D1212" s="3" t="s">
        <v>1043</v>
      </c>
      <c r="F1212" s="3" t="s">
        <v>399</v>
      </c>
      <c r="I1212" s="3" t="s">
        <v>510</v>
      </c>
    </row>
    <row r="1213" spans="2:9" hidden="1" x14ac:dyDescent="0.4">
      <c r="B1213" s="8" t="s">
        <v>1002</v>
      </c>
      <c r="C1213" s="3" t="s">
        <v>1034</v>
      </c>
      <c r="D1213" s="3" t="s">
        <v>1049</v>
      </c>
      <c r="F1213" s="3" t="s">
        <v>399</v>
      </c>
      <c r="I1213" s="3" t="s">
        <v>510</v>
      </c>
    </row>
    <row r="1214" spans="2:9" hidden="1" x14ac:dyDescent="0.4">
      <c r="B1214" s="8" t="s">
        <v>530</v>
      </c>
      <c r="C1214" s="3" t="s">
        <v>1059</v>
      </c>
      <c r="D1214" s="3" t="s">
        <v>1045</v>
      </c>
      <c r="F1214" s="3" t="s">
        <v>399</v>
      </c>
      <c r="I1214" s="3" t="s">
        <v>510</v>
      </c>
    </row>
    <row r="1215" spans="2:9" hidden="1" x14ac:dyDescent="0.4">
      <c r="B1215" s="8" t="s">
        <v>530</v>
      </c>
      <c r="C1215" s="3" t="s">
        <v>1073</v>
      </c>
      <c r="D1215" s="3" t="s">
        <v>1045</v>
      </c>
      <c r="F1215" s="3" t="s">
        <v>402</v>
      </c>
      <c r="I1215" s="3" t="s">
        <v>510</v>
      </c>
    </row>
    <row r="1216" spans="2:9" hidden="1" x14ac:dyDescent="0.4">
      <c r="B1216" s="8" t="s">
        <v>518</v>
      </c>
      <c r="C1216" s="3" t="s">
        <v>1082</v>
      </c>
      <c r="D1216" s="3" t="s">
        <v>1021</v>
      </c>
      <c r="F1216" s="3" t="s">
        <v>399</v>
      </c>
      <c r="I1216" s="3" t="s">
        <v>510</v>
      </c>
    </row>
    <row r="1217" spans="2:9" hidden="1" x14ac:dyDescent="0.4">
      <c r="B1217" s="8" t="s">
        <v>518</v>
      </c>
      <c r="C1217" s="3" t="s">
        <v>1081</v>
      </c>
      <c r="D1217" s="3" t="s">
        <v>1021</v>
      </c>
      <c r="F1217" s="3" t="s">
        <v>402</v>
      </c>
      <c r="I1217" s="3" t="s">
        <v>510</v>
      </c>
    </row>
    <row r="1218" spans="2:9" ht="29.25" hidden="1" x14ac:dyDescent="0.4">
      <c r="B1218" s="8" t="s">
        <v>1006</v>
      </c>
      <c r="C1218" s="3" t="s">
        <v>1266</v>
      </c>
      <c r="D1218" s="3" t="s">
        <v>1275</v>
      </c>
      <c r="E1218" s="3" t="s">
        <v>425</v>
      </c>
      <c r="F1218" s="3" t="s">
        <v>399</v>
      </c>
      <c r="I1218" s="3" t="s">
        <v>510</v>
      </c>
    </row>
    <row r="1219" spans="2:9" hidden="1" x14ac:dyDescent="0.4">
      <c r="B1219" s="8" t="s">
        <v>517</v>
      </c>
      <c r="C1219" s="3" t="s">
        <v>1053</v>
      </c>
      <c r="D1219" s="3" t="s">
        <v>1039</v>
      </c>
      <c r="F1219" s="3" t="s">
        <v>399</v>
      </c>
      <c r="I1219" s="3" t="s">
        <v>510</v>
      </c>
    </row>
    <row r="1220" spans="2:9" hidden="1" x14ac:dyDescent="0.4">
      <c r="B1220" s="8" t="s">
        <v>517</v>
      </c>
      <c r="C1220" s="3" t="s">
        <v>1067</v>
      </c>
      <c r="D1220" s="3" t="s">
        <v>1039</v>
      </c>
      <c r="F1220" s="3" t="s">
        <v>402</v>
      </c>
      <c r="I1220" s="3" t="s">
        <v>510</v>
      </c>
    </row>
    <row r="1221" spans="2:9" hidden="1" x14ac:dyDescent="0.4">
      <c r="B1221" s="8" t="s">
        <v>517</v>
      </c>
      <c r="C1221" s="3" t="s">
        <v>1061</v>
      </c>
      <c r="D1221" s="3" t="s">
        <v>1047</v>
      </c>
      <c r="F1221" s="3" t="s">
        <v>399</v>
      </c>
      <c r="I1221" s="3" t="s">
        <v>510</v>
      </c>
    </row>
    <row r="1222" spans="2:9" hidden="1" x14ac:dyDescent="0.4">
      <c r="B1222" s="8" t="s">
        <v>517</v>
      </c>
      <c r="C1222" s="3" t="s">
        <v>1075</v>
      </c>
      <c r="D1222" s="3" t="s">
        <v>1047</v>
      </c>
      <c r="F1222" s="3" t="s">
        <v>402</v>
      </c>
      <c r="I1222" s="3" t="s">
        <v>510</v>
      </c>
    </row>
    <row r="1223" spans="2:9" hidden="1" x14ac:dyDescent="0.4">
      <c r="B1223" s="8" t="s">
        <v>518</v>
      </c>
      <c r="C1223" s="3" t="s">
        <v>1055</v>
      </c>
      <c r="D1223" s="3" t="s">
        <v>1041</v>
      </c>
      <c r="F1223" s="3" t="s">
        <v>399</v>
      </c>
      <c r="I1223" s="3" t="s">
        <v>510</v>
      </c>
    </row>
    <row r="1224" spans="2:9" hidden="1" x14ac:dyDescent="0.4">
      <c r="B1224" s="8" t="s">
        <v>518</v>
      </c>
      <c r="C1224" s="3" t="s">
        <v>1069</v>
      </c>
      <c r="D1224" s="3" t="s">
        <v>1041</v>
      </c>
      <c r="F1224" s="3" t="s">
        <v>402</v>
      </c>
      <c r="I1224" s="3" t="s">
        <v>510</v>
      </c>
    </row>
    <row r="1225" spans="2:9" hidden="1" x14ac:dyDescent="0.4">
      <c r="B1225" s="8" t="s">
        <v>520</v>
      </c>
      <c r="C1225" s="3" t="s">
        <v>1065</v>
      </c>
      <c r="D1225" s="3" t="s">
        <v>1051</v>
      </c>
      <c r="F1225" s="3" t="s">
        <v>399</v>
      </c>
      <c r="I1225" s="3" t="s">
        <v>510</v>
      </c>
    </row>
    <row r="1226" spans="2:9" hidden="1" x14ac:dyDescent="0.4">
      <c r="B1226" s="8" t="s">
        <v>520</v>
      </c>
      <c r="C1226" s="3" t="s">
        <v>1079</v>
      </c>
      <c r="D1226" s="3" t="s">
        <v>1051</v>
      </c>
      <c r="F1226" s="3" t="s">
        <v>402</v>
      </c>
      <c r="I1226" s="3" t="s">
        <v>510</v>
      </c>
    </row>
    <row r="1227" spans="2:9" hidden="1" x14ac:dyDescent="0.4">
      <c r="B1227" s="8" t="s">
        <v>518</v>
      </c>
      <c r="C1227" s="3" t="s">
        <v>1057</v>
      </c>
      <c r="D1227" s="3" t="s">
        <v>1043</v>
      </c>
      <c r="F1227" s="3" t="s">
        <v>399</v>
      </c>
      <c r="I1227" s="3" t="s">
        <v>510</v>
      </c>
    </row>
    <row r="1228" spans="2:9" hidden="1" x14ac:dyDescent="0.4">
      <c r="B1228" s="8" t="s">
        <v>518</v>
      </c>
      <c r="C1228" s="3" t="s">
        <v>1071</v>
      </c>
      <c r="D1228" s="3" t="s">
        <v>1043</v>
      </c>
      <c r="F1228" s="3" t="s">
        <v>402</v>
      </c>
      <c r="I1228" s="3" t="s">
        <v>510</v>
      </c>
    </row>
    <row r="1229" spans="2:9" hidden="1" x14ac:dyDescent="0.4">
      <c r="B1229" s="8" t="s">
        <v>518</v>
      </c>
      <c r="C1229" s="3" t="s">
        <v>1063</v>
      </c>
      <c r="D1229" s="3" t="s">
        <v>1049</v>
      </c>
      <c r="F1229" s="3" t="s">
        <v>399</v>
      </c>
      <c r="I1229" s="3" t="s">
        <v>510</v>
      </c>
    </row>
    <row r="1230" spans="2:9" hidden="1" x14ac:dyDescent="0.4">
      <c r="B1230" s="8" t="s">
        <v>518</v>
      </c>
      <c r="C1230" s="3" t="s">
        <v>1077</v>
      </c>
      <c r="D1230" s="3" t="s">
        <v>1049</v>
      </c>
      <c r="F1230" s="3" t="s">
        <v>402</v>
      </c>
      <c r="I1230" s="3" t="s">
        <v>510</v>
      </c>
    </row>
    <row r="1231" spans="2:9" hidden="1" x14ac:dyDescent="0.4">
      <c r="B1231" s="8" t="s">
        <v>518</v>
      </c>
      <c r="C1231" s="3" t="s">
        <v>4215</v>
      </c>
      <c r="D1231" s="3" t="s">
        <v>3823</v>
      </c>
      <c r="F1231" s="3" t="s">
        <v>399</v>
      </c>
      <c r="G1231" s="3" t="s">
        <v>402</v>
      </c>
      <c r="I1231" s="3" t="s">
        <v>4064</v>
      </c>
    </row>
    <row r="1232" spans="2:9" hidden="1" x14ac:dyDescent="0.4">
      <c r="B1232" s="8" t="s">
        <v>518</v>
      </c>
      <c r="C1232" s="3" t="s">
        <v>3520</v>
      </c>
      <c r="D1232" s="3" t="s">
        <v>3823</v>
      </c>
      <c r="F1232" s="3" t="s">
        <v>399</v>
      </c>
      <c r="G1232" s="3" t="s">
        <v>402</v>
      </c>
      <c r="I1232" s="3" t="s">
        <v>4063</v>
      </c>
    </row>
    <row r="1233" spans="2:9" hidden="1" x14ac:dyDescent="0.4">
      <c r="B1233" s="8" t="s">
        <v>518</v>
      </c>
      <c r="C1233" s="3" t="s">
        <v>5833</v>
      </c>
      <c r="D1233" s="3" t="s">
        <v>4791</v>
      </c>
      <c r="F1233" s="3" t="s">
        <v>399</v>
      </c>
      <c r="I1233" s="3" t="s">
        <v>4063</v>
      </c>
    </row>
    <row r="1234" spans="2:9" hidden="1" x14ac:dyDescent="0.4">
      <c r="B1234" s="8" t="s">
        <v>518</v>
      </c>
      <c r="C1234" s="3" t="s">
        <v>6176</v>
      </c>
      <c r="D1234" s="3" t="s">
        <v>5513</v>
      </c>
      <c r="F1234" s="3" t="s">
        <v>402</v>
      </c>
      <c r="I1234" s="3" t="s">
        <v>4063</v>
      </c>
    </row>
    <row r="1235" spans="2:9" hidden="1" x14ac:dyDescent="0.4">
      <c r="B1235" s="8" t="s">
        <v>518</v>
      </c>
      <c r="C1235" s="3" t="s">
        <v>4442</v>
      </c>
      <c r="D1235" s="3" t="s">
        <v>4791</v>
      </c>
      <c r="F1235" s="3" t="s">
        <v>399</v>
      </c>
      <c r="I1235" s="3" t="s">
        <v>4064</v>
      </c>
    </row>
    <row r="1236" spans="2:9" hidden="1" x14ac:dyDescent="0.4">
      <c r="B1236" s="8" t="s">
        <v>518</v>
      </c>
      <c r="C1236" s="3" t="s">
        <v>5192</v>
      </c>
      <c r="D1236" s="3" t="s">
        <v>5513</v>
      </c>
      <c r="F1236" s="3" t="s">
        <v>402</v>
      </c>
      <c r="I1236" s="3" t="s">
        <v>4064</v>
      </c>
    </row>
    <row r="1237" spans="2:9" hidden="1" x14ac:dyDescent="0.4">
      <c r="B1237" s="8" t="s">
        <v>517</v>
      </c>
      <c r="C1237" s="3" t="s">
        <v>4204</v>
      </c>
      <c r="D1237" s="3" t="s">
        <v>3808</v>
      </c>
      <c r="F1237" s="3" t="s">
        <v>399</v>
      </c>
      <c r="G1237" s="3" t="s">
        <v>402</v>
      </c>
      <c r="I1237" s="3" t="s">
        <v>4064</v>
      </c>
    </row>
    <row r="1238" spans="2:9" hidden="1" x14ac:dyDescent="0.4">
      <c r="B1238" s="8" t="s">
        <v>517</v>
      </c>
      <c r="C1238" s="3" t="s">
        <v>4660</v>
      </c>
      <c r="D1238" s="3" t="s">
        <v>4782</v>
      </c>
      <c r="F1238" s="3" t="s">
        <v>399</v>
      </c>
      <c r="I1238" s="3" t="s">
        <v>4064</v>
      </c>
    </row>
    <row r="1239" spans="2:9" hidden="1" x14ac:dyDescent="0.4">
      <c r="B1239" s="8" t="s">
        <v>517</v>
      </c>
      <c r="C1239" s="3" t="s">
        <v>5178</v>
      </c>
      <c r="D1239" s="3" t="s">
        <v>5499</v>
      </c>
      <c r="F1239" s="3" t="s">
        <v>402</v>
      </c>
      <c r="I1239" s="3" t="s">
        <v>4064</v>
      </c>
    </row>
    <row r="1240" spans="2:9" hidden="1" x14ac:dyDescent="0.4">
      <c r="B1240" s="8" t="s">
        <v>517</v>
      </c>
      <c r="C1240" s="3" t="s">
        <v>3505</v>
      </c>
      <c r="D1240" s="3" t="s">
        <v>3808</v>
      </c>
      <c r="F1240" s="3" t="s">
        <v>399</v>
      </c>
      <c r="G1240" s="3" t="s">
        <v>402</v>
      </c>
      <c r="I1240" s="3" t="s">
        <v>4063</v>
      </c>
    </row>
    <row r="1241" spans="2:9" hidden="1" x14ac:dyDescent="0.4">
      <c r="B1241" s="8" t="s">
        <v>517</v>
      </c>
      <c r="C1241" s="3" t="s">
        <v>5822</v>
      </c>
      <c r="D1241" s="3" t="s">
        <v>4782</v>
      </c>
      <c r="F1241" s="3" t="s">
        <v>399</v>
      </c>
      <c r="I1241" s="3" t="s">
        <v>4063</v>
      </c>
    </row>
    <row r="1242" spans="2:9" hidden="1" x14ac:dyDescent="0.4">
      <c r="B1242" s="8" t="s">
        <v>517</v>
      </c>
      <c r="C1242" s="3" t="s">
        <v>6165</v>
      </c>
      <c r="D1242" s="3" t="s">
        <v>5499</v>
      </c>
      <c r="F1242" s="3" t="s">
        <v>402</v>
      </c>
      <c r="I1242" s="3" t="s">
        <v>4063</v>
      </c>
    </row>
    <row r="1243" spans="2:9" hidden="1" x14ac:dyDescent="0.4">
      <c r="B1243" s="8" t="s">
        <v>517</v>
      </c>
      <c r="C1243" s="3" t="s">
        <v>1189</v>
      </c>
      <c r="D1243" s="3" t="s">
        <v>1192</v>
      </c>
      <c r="F1243" s="3" t="s">
        <v>399</v>
      </c>
      <c r="I1243" s="3" t="s">
        <v>781</v>
      </c>
    </row>
    <row r="1244" spans="2:9" hidden="1" x14ac:dyDescent="0.4">
      <c r="B1244" s="8" t="s">
        <v>517</v>
      </c>
      <c r="C1244" s="3" t="s">
        <v>1201</v>
      </c>
      <c r="D1244" s="3" t="s">
        <v>1204</v>
      </c>
      <c r="F1244" s="3" t="s">
        <v>402</v>
      </c>
      <c r="I1244" s="3" t="s">
        <v>781</v>
      </c>
    </row>
    <row r="1245" spans="2:9" hidden="1" x14ac:dyDescent="0.4">
      <c r="B1245" s="8" t="s">
        <v>517</v>
      </c>
      <c r="C1245" s="3" t="s">
        <v>1196</v>
      </c>
      <c r="D1245" s="3" t="s">
        <v>1192</v>
      </c>
      <c r="F1245" s="3" t="s">
        <v>402</v>
      </c>
      <c r="I1245" s="3" t="s">
        <v>781</v>
      </c>
    </row>
    <row r="1246" spans="2:9" hidden="1" x14ac:dyDescent="0.4">
      <c r="B1246" s="8" t="s">
        <v>517</v>
      </c>
      <c r="C1246" s="3" t="s">
        <v>1213</v>
      </c>
      <c r="D1246" s="3" t="s">
        <v>1221</v>
      </c>
      <c r="F1246" s="3" t="s">
        <v>402</v>
      </c>
      <c r="G1246" s="3" t="s">
        <v>399</v>
      </c>
      <c r="H1246" s="3" t="s">
        <v>988</v>
      </c>
      <c r="I1246" s="3" t="s">
        <v>781</v>
      </c>
    </row>
    <row r="1247" spans="2:9" hidden="1" x14ac:dyDescent="0.4">
      <c r="B1247" s="8" t="s">
        <v>517</v>
      </c>
      <c r="C1247" s="3" t="s">
        <v>1218</v>
      </c>
      <c r="D1247" s="3" t="s">
        <v>1221</v>
      </c>
      <c r="F1247" s="3" t="s">
        <v>399</v>
      </c>
      <c r="I1247" s="3" t="s">
        <v>781</v>
      </c>
    </row>
    <row r="1248" spans="2:9" hidden="1" x14ac:dyDescent="0.4">
      <c r="B1248" s="8" t="s">
        <v>517</v>
      </c>
      <c r="C1248" s="3" t="s">
        <v>4094</v>
      </c>
      <c r="D1248" s="3" t="s">
        <v>3694</v>
      </c>
      <c r="F1248" s="3" t="s">
        <v>399</v>
      </c>
      <c r="G1248" s="3" t="s">
        <v>402</v>
      </c>
      <c r="I1248" s="3" t="s">
        <v>4064</v>
      </c>
    </row>
    <row r="1249" spans="2:9" hidden="1" x14ac:dyDescent="0.4">
      <c r="B1249" s="8" t="s">
        <v>517</v>
      </c>
      <c r="C1249" s="3" t="s">
        <v>3385</v>
      </c>
      <c r="D1249" s="3" t="s">
        <v>3694</v>
      </c>
      <c r="F1249" s="3" t="s">
        <v>399</v>
      </c>
      <c r="G1249" s="3" t="s">
        <v>402</v>
      </c>
      <c r="I1249" s="3" t="s">
        <v>4063</v>
      </c>
    </row>
    <row r="1250" spans="2:9" hidden="1" x14ac:dyDescent="0.4">
      <c r="B1250" s="8" t="s">
        <v>517</v>
      </c>
      <c r="C1250" s="3" t="s">
        <v>5719</v>
      </c>
      <c r="D1250" s="3" t="s">
        <v>4717</v>
      </c>
      <c r="F1250" s="3" t="s">
        <v>399</v>
      </c>
      <c r="I1250" s="3" t="s">
        <v>4063</v>
      </c>
    </row>
    <row r="1251" spans="2:9" hidden="1" x14ac:dyDescent="0.4">
      <c r="B1251" s="8" t="s">
        <v>517</v>
      </c>
      <c r="C1251" s="3" t="s">
        <v>6060</v>
      </c>
      <c r="D1251" s="3" t="s">
        <v>5385</v>
      </c>
      <c r="F1251" s="3" t="s">
        <v>402</v>
      </c>
      <c r="I1251" s="3" t="s">
        <v>4063</v>
      </c>
    </row>
    <row r="1252" spans="2:9" hidden="1" x14ac:dyDescent="0.4">
      <c r="B1252" s="8" t="s">
        <v>517</v>
      </c>
      <c r="C1252" s="3" t="s">
        <v>4548</v>
      </c>
      <c r="D1252" s="3" t="s">
        <v>4717</v>
      </c>
      <c r="F1252" s="3" t="s">
        <v>399</v>
      </c>
      <c r="I1252" s="3" t="s">
        <v>4064</v>
      </c>
    </row>
    <row r="1253" spans="2:9" hidden="1" x14ac:dyDescent="0.4">
      <c r="B1253" s="8" t="s">
        <v>517</v>
      </c>
      <c r="C1253" s="3" t="s">
        <v>5053</v>
      </c>
      <c r="D1253" s="3" t="s">
        <v>5385</v>
      </c>
      <c r="F1253" s="3" t="s">
        <v>402</v>
      </c>
      <c r="I1253" s="3" t="s">
        <v>4064</v>
      </c>
    </row>
    <row r="1254" spans="2:9" hidden="1" x14ac:dyDescent="0.4">
      <c r="B1254" s="8" t="s">
        <v>517</v>
      </c>
      <c r="C1254" s="3" t="s">
        <v>4067</v>
      </c>
      <c r="D1254" s="3" t="s">
        <v>3673</v>
      </c>
      <c r="F1254" s="3" t="s">
        <v>399</v>
      </c>
      <c r="G1254" s="3" t="s">
        <v>402</v>
      </c>
      <c r="I1254" s="3" t="s">
        <v>4064</v>
      </c>
    </row>
    <row r="1255" spans="2:9" hidden="1" x14ac:dyDescent="0.4">
      <c r="B1255" s="8" t="s">
        <v>3360</v>
      </c>
      <c r="C1255" s="3" t="s">
        <v>4068</v>
      </c>
      <c r="D1255" s="3" t="s">
        <v>3673</v>
      </c>
      <c r="F1255" s="3" t="s">
        <v>399</v>
      </c>
      <c r="G1255" s="3" t="s">
        <v>402</v>
      </c>
      <c r="I1255" s="3" t="s">
        <v>4064</v>
      </c>
    </row>
    <row r="1256" spans="2:9" hidden="1" x14ac:dyDescent="0.4">
      <c r="B1256" s="8" t="s">
        <v>517</v>
      </c>
      <c r="C1256" s="3" t="s">
        <v>4561</v>
      </c>
      <c r="D1256" s="3" t="s">
        <v>4703</v>
      </c>
      <c r="F1256" s="3" t="s">
        <v>399</v>
      </c>
      <c r="I1256" s="3" t="s">
        <v>4064</v>
      </c>
    </row>
    <row r="1257" spans="2:9" hidden="1" x14ac:dyDescent="0.4">
      <c r="B1257" s="8" t="s">
        <v>517</v>
      </c>
      <c r="C1257" s="3" t="s">
        <v>5032</v>
      </c>
      <c r="D1257" s="3" t="s">
        <v>5368</v>
      </c>
      <c r="F1257" s="3" t="s">
        <v>402</v>
      </c>
      <c r="I1257" s="3" t="s">
        <v>4064</v>
      </c>
    </row>
    <row r="1258" spans="2:9" hidden="1" x14ac:dyDescent="0.4">
      <c r="B1258" s="8" t="s">
        <v>517</v>
      </c>
      <c r="C1258" s="3" t="s">
        <v>3365</v>
      </c>
      <c r="D1258" s="3" t="s">
        <v>3673</v>
      </c>
      <c r="F1258" s="3" t="s">
        <v>399</v>
      </c>
      <c r="G1258" s="3" t="s">
        <v>402</v>
      </c>
      <c r="I1258" s="3" t="s">
        <v>4063</v>
      </c>
    </row>
    <row r="1259" spans="2:9" hidden="1" x14ac:dyDescent="0.4">
      <c r="B1259" s="8" t="s">
        <v>517</v>
      </c>
      <c r="C1259" s="3" t="s">
        <v>5700</v>
      </c>
      <c r="D1259" s="3" t="s">
        <v>4703</v>
      </c>
      <c r="F1259" s="3" t="s">
        <v>399</v>
      </c>
      <c r="I1259" s="3" t="s">
        <v>4063</v>
      </c>
    </row>
    <row r="1260" spans="2:9" hidden="1" x14ac:dyDescent="0.4">
      <c r="B1260" s="8" t="s">
        <v>517</v>
      </c>
      <c r="C1260" s="3" t="s">
        <v>6041</v>
      </c>
      <c r="D1260" s="3" t="s">
        <v>5368</v>
      </c>
      <c r="F1260" s="3" t="s">
        <v>402</v>
      </c>
      <c r="I1260" s="3" t="s">
        <v>4063</v>
      </c>
    </row>
    <row r="1261" spans="2:9" hidden="1" x14ac:dyDescent="0.4">
      <c r="B1261" s="8" t="s">
        <v>517</v>
      </c>
      <c r="C1261" s="3" t="s">
        <v>1905</v>
      </c>
      <c r="D1261" s="3" t="s">
        <v>1938</v>
      </c>
      <c r="F1261" s="3" t="s">
        <v>399</v>
      </c>
      <c r="I1261" s="3" t="s">
        <v>1865</v>
      </c>
    </row>
    <row r="1262" spans="2:9" hidden="1" x14ac:dyDescent="0.4">
      <c r="B1262" s="8" t="s">
        <v>517</v>
      </c>
      <c r="C1262" s="3" t="s">
        <v>4066</v>
      </c>
      <c r="D1262" s="3" t="s">
        <v>3672</v>
      </c>
      <c r="F1262" s="3" t="s">
        <v>399</v>
      </c>
      <c r="G1262" s="3" t="s">
        <v>402</v>
      </c>
      <c r="I1262" s="3" t="s">
        <v>4064</v>
      </c>
    </row>
    <row r="1263" spans="2:9" hidden="1" x14ac:dyDescent="0.4">
      <c r="B1263" s="8" t="s">
        <v>519</v>
      </c>
      <c r="C1263" s="3" t="s">
        <v>4243</v>
      </c>
      <c r="D1263" s="3" t="s">
        <v>3857</v>
      </c>
      <c r="F1263" s="3" t="s">
        <v>399</v>
      </c>
      <c r="G1263" s="3" t="s">
        <v>402</v>
      </c>
      <c r="I1263" s="3" t="s">
        <v>4064</v>
      </c>
    </row>
    <row r="1264" spans="2:9" hidden="1" x14ac:dyDescent="0.4">
      <c r="B1264" s="8" t="s">
        <v>519</v>
      </c>
      <c r="C1264" s="3" t="s">
        <v>4467</v>
      </c>
      <c r="D1264" s="3" t="s">
        <v>4821</v>
      </c>
      <c r="F1264" s="3" t="s">
        <v>399</v>
      </c>
      <c r="I1264" s="3" t="s">
        <v>4064</v>
      </c>
    </row>
    <row r="1265" spans="2:9" hidden="1" x14ac:dyDescent="0.4">
      <c r="B1265" s="8" t="s">
        <v>519</v>
      </c>
      <c r="C1265" s="3" t="s">
        <v>5224</v>
      </c>
      <c r="D1265" s="3" t="s">
        <v>5546</v>
      </c>
      <c r="F1265" s="3" t="s">
        <v>402</v>
      </c>
      <c r="I1265" s="3" t="s">
        <v>4064</v>
      </c>
    </row>
    <row r="1266" spans="2:9" hidden="1" x14ac:dyDescent="0.4">
      <c r="B1266" s="8" t="s">
        <v>519</v>
      </c>
      <c r="C1266" s="3" t="s">
        <v>3550</v>
      </c>
      <c r="D1266" s="3" t="s">
        <v>3857</v>
      </c>
      <c r="F1266" s="3" t="s">
        <v>399</v>
      </c>
      <c r="G1266" s="3" t="s">
        <v>402</v>
      </c>
      <c r="I1266" s="3" t="s">
        <v>4063</v>
      </c>
    </row>
    <row r="1267" spans="2:9" ht="43.9" hidden="1" x14ac:dyDescent="0.4">
      <c r="B1267" s="8" t="s">
        <v>519</v>
      </c>
      <c r="C1267" s="3" t="s">
        <v>6205</v>
      </c>
      <c r="D1267" s="3" t="s">
        <v>5546</v>
      </c>
      <c r="F1267" s="3" t="s">
        <v>402</v>
      </c>
      <c r="I1267" s="3" t="s">
        <v>4063</v>
      </c>
    </row>
    <row r="1268" spans="2:9" hidden="1" x14ac:dyDescent="0.4">
      <c r="B1268" s="8" t="s">
        <v>519</v>
      </c>
      <c r="C1268" s="3" t="s">
        <v>5860</v>
      </c>
      <c r="D1268" s="3" t="s">
        <v>4821</v>
      </c>
      <c r="F1268" s="3" t="s">
        <v>399</v>
      </c>
      <c r="I1268" s="3" t="s">
        <v>4063</v>
      </c>
    </row>
    <row r="1269" spans="2:9" hidden="1" x14ac:dyDescent="0.4">
      <c r="B1269" s="8" t="s">
        <v>517</v>
      </c>
      <c r="C1269" s="3" t="s">
        <v>4365</v>
      </c>
      <c r="D1269" s="3" t="s">
        <v>4862</v>
      </c>
      <c r="F1269" s="3" t="s">
        <v>399</v>
      </c>
      <c r="I1269" s="3" t="s">
        <v>4064</v>
      </c>
    </row>
    <row r="1270" spans="2:9" hidden="1" x14ac:dyDescent="0.4">
      <c r="B1270" s="8" t="s">
        <v>517</v>
      </c>
      <c r="C1270" s="3" t="s">
        <v>5031</v>
      </c>
      <c r="D1270" s="3" t="s">
        <v>5687</v>
      </c>
      <c r="F1270" s="3" t="s">
        <v>402</v>
      </c>
      <c r="I1270" s="3" t="s">
        <v>4064</v>
      </c>
    </row>
    <row r="1271" spans="2:9" hidden="1" x14ac:dyDescent="0.4">
      <c r="B1271" s="8" t="s">
        <v>517</v>
      </c>
      <c r="C1271" s="3" t="s">
        <v>3364</v>
      </c>
      <c r="D1271" s="3" t="s">
        <v>3672</v>
      </c>
      <c r="F1271" s="3" t="s">
        <v>399</v>
      </c>
      <c r="G1271" s="3" t="s">
        <v>402</v>
      </c>
      <c r="I1271" s="3" t="s">
        <v>4063</v>
      </c>
    </row>
    <row r="1272" spans="2:9" hidden="1" x14ac:dyDescent="0.4">
      <c r="B1272" s="8" t="s">
        <v>517</v>
      </c>
      <c r="C1272" s="3" t="s">
        <v>5699</v>
      </c>
      <c r="D1272" s="3" t="s">
        <v>4862</v>
      </c>
      <c r="F1272" s="3" t="s">
        <v>399</v>
      </c>
      <c r="I1272" s="3" t="s">
        <v>4063</v>
      </c>
    </row>
    <row r="1273" spans="2:9" hidden="1" x14ac:dyDescent="0.4">
      <c r="B1273" s="8" t="s">
        <v>517</v>
      </c>
      <c r="C1273" s="3" t="s">
        <v>6040</v>
      </c>
      <c r="D1273" s="3" t="s">
        <v>5686</v>
      </c>
      <c r="F1273" s="3" t="s">
        <v>402</v>
      </c>
      <c r="I1273" s="3" t="s">
        <v>4063</v>
      </c>
    </row>
    <row r="1274" spans="2:9" hidden="1" x14ac:dyDescent="0.4">
      <c r="B1274" s="8" t="s">
        <v>517</v>
      </c>
      <c r="C1274" s="3" t="s">
        <v>2330</v>
      </c>
      <c r="D1274" s="12" t="s">
        <v>2486</v>
      </c>
      <c r="E1274" s="3" t="s">
        <v>1272</v>
      </c>
      <c r="F1274" s="3" t="s">
        <v>399</v>
      </c>
      <c r="I1274" s="3" t="s">
        <v>1833</v>
      </c>
    </row>
    <row r="1275" spans="2:9" hidden="1" x14ac:dyDescent="0.4">
      <c r="B1275" s="8" t="s">
        <v>517</v>
      </c>
      <c r="C1275" s="3" t="s">
        <v>2630</v>
      </c>
      <c r="D1275" s="12" t="s">
        <v>2486</v>
      </c>
      <c r="E1275" s="3" t="s">
        <v>1272</v>
      </c>
      <c r="F1275" s="3" t="s">
        <v>402</v>
      </c>
      <c r="I1275" s="3" t="s">
        <v>1833</v>
      </c>
    </row>
    <row r="1276" spans="2:9" hidden="1" x14ac:dyDescent="0.4">
      <c r="B1276" s="8" t="s">
        <v>823</v>
      </c>
      <c r="C1276" s="3" t="s">
        <v>1675</v>
      </c>
      <c r="D1276" s="3" t="s">
        <v>1693</v>
      </c>
      <c r="F1276" s="3" t="s">
        <v>1124</v>
      </c>
      <c r="I1276" s="3" t="s">
        <v>1489</v>
      </c>
    </row>
    <row r="1277" spans="2:9" hidden="1" x14ac:dyDescent="0.4">
      <c r="B1277" s="8" t="s">
        <v>517</v>
      </c>
      <c r="C1277" s="3" t="s">
        <v>1450</v>
      </c>
      <c r="D1277" s="3" t="s">
        <v>1492</v>
      </c>
      <c r="F1277" s="3" t="s">
        <v>399</v>
      </c>
      <c r="G1277" s="3" t="s">
        <v>402</v>
      </c>
      <c r="I1277" s="3" t="s">
        <v>1489</v>
      </c>
    </row>
    <row r="1278" spans="2:9" hidden="1" x14ac:dyDescent="0.4">
      <c r="B1278" s="8" t="s">
        <v>517</v>
      </c>
      <c r="C1278" s="3" t="s">
        <v>1560</v>
      </c>
      <c r="D1278" s="3" t="s">
        <v>1492</v>
      </c>
      <c r="F1278" s="3" t="s">
        <v>402</v>
      </c>
      <c r="I1278" s="3" t="s">
        <v>1489</v>
      </c>
    </row>
    <row r="1279" spans="2:9" hidden="1" x14ac:dyDescent="0.4">
      <c r="B1279" s="8" t="s">
        <v>516</v>
      </c>
      <c r="C1279" s="3" t="s">
        <v>1708</v>
      </c>
      <c r="D1279" s="3" t="s">
        <v>1713</v>
      </c>
      <c r="F1279" s="3" t="s">
        <v>399</v>
      </c>
      <c r="G1279" s="3" t="s">
        <v>402</v>
      </c>
      <c r="I1279" s="3" t="s">
        <v>1489</v>
      </c>
    </row>
    <row r="1280" spans="2:9" hidden="1" x14ac:dyDescent="0.4">
      <c r="B1280" s="8" t="s">
        <v>517</v>
      </c>
      <c r="C1280" s="3" t="s">
        <v>1709</v>
      </c>
      <c r="D1280" s="3" t="s">
        <v>1714</v>
      </c>
      <c r="F1280" s="3" t="s">
        <v>399</v>
      </c>
      <c r="G1280" s="3" t="s">
        <v>402</v>
      </c>
      <c r="I1280" s="3" t="s">
        <v>1489</v>
      </c>
    </row>
    <row r="1281" spans="2:9" hidden="1" x14ac:dyDescent="0.4">
      <c r="B1281" s="8" t="s">
        <v>518</v>
      </c>
      <c r="C1281" s="3" t="s">
        <v>2229</v>
      </c>
      <c r="D1281" s="3" t="s">
        <v>2381</v>
      </c>
      <c r="E1281" s="3" t="s">
        <v>1272</v>
      </c>
      <c r="F1281" s="3" t="s">
        <v>399</v>
      </c>
      <c r="I1281" s="3" t="s">
        <v>1833</v>
      </c>
    </row>
    <row r="1282" spans="2:9" hidden="1" x14ac:dyDescent="0.4">
      <c r="B1282" s="8" t="s">
        <v>518</v>
      </c>
      <c r="C1282" s="3" t="s">
        <v>2514</v>
      </c>
      <c r="D1282" s="3" t="s">
        <v>2381</v>
      </c>
      <c r="E1282" s="3" t="s">
        <v>1272</v>
      </c>
      <c r="F1282" s="3" t="s">
        <v>402</v>
      </c>
      <c r="I1282" s="3" t="s">
        <v>1833</v>
      </c>
    </row>
    <row r="1283" spans="2:9" ht="29.25" hidden="1" x14ac:dyDescent="0.4">
      <c r="B1283" s="8" t="s">
        <v>518</v>
      </c>
      <c r="C1283" s="3" t="s">
        <v>1351</v>
      </c>
      <c r="D1283" s="3" t="s">
        <v>1338</v>
      </c>
      <c r="E1283" s="3" t="s">
        <v>433</v>
      </c>
      <c r="F1283" s="3" t="s">
        <v>399</v>
      </c>
      <c r="I1283" s="3" t="s">
        <v>1317</v>
      </c>
    </row>
    <row r="1284" spans="2:9" ht="29.25" hidden="1" x14ac:dyDescent="0.4">
      <c r="B1284" s="8" t="s">
        <v>518</v>
      </c>
      <c r="C1284" s="3" t="s">
        <v>1369</v>
      </c>
      <c r="D1284" s="3" t="s">
        <v>1338</v>
      </c>
      <c r="E1284" s="3" t="s">
        <v>433</v>
      </c>
      <c r="F1284" s="3" t="s">
        <v>402</v>
      </c>
      <c r="I1284" s="3" t="s">
        <v>1317</v>
      </c>
    </row>
    <row r="1285" spans="2:9" hidden="1" x14ac:dyDescent="0.4">
      <c r="B1285" s="8" t="s">
        <v>518</v>
      </c>
      <c r="C1285" s="3" t="s">
        <v>2209</v>
      </c>
      <c r="D1285" s="3" t="s">
        <v>2357</v>
      </c>
      <c r="E1285" s="3" t="s">
        <v>432</v>
      </c>
      <c r="F1285" s="3" t="s">
        <v>399</v>
      </c>
      <c r="I1285" s="3" t="s">
        <v>1833</v>
      </c>
    </row>
    <row r="1286" spans="2:9" ht="29.25" hidden="1" x14ac:dyDescent="0.4">
      <c r="B1286" s="8" t="s">
        <v>518</v>
      </c>
      <c r="C1286" s="3" t="s">
        <v>1346</v>
      </c>
      <c r="D1286" s="3" t="s">
        <v>1338</v>
      </c>
      <c r="E1286" s="3" t="s">
        <v>433</v>
      </c>
      <c r="F1286" s="3" t="s">
        <v>399</v>
      </c>
      <c r="I1286" s="3" t="s">
        <v>1317</v>
      </c>
    </row>
    <row r="1287" spans="2:9" ht="29.25" hidden="1" x14ac:dyDescent="0.4">
      <c r="B1287" s="8" t="s">
        <v>518</v>
      </c>
      <c r="C1287" s="3" t="s">
        <v>1364</v>
      </c>
      <c r="D1287" s="3" t="s">
        <v>1338</v>
      </c>
      <c r="E1287" s="3" t="s">
        <v>433</v>
      </c>
      <c r="F1287" s="3" t="s">
        <v>402</v>
      </c>
      <c r="I1287" s="3" t="s">
        <v>1317</v>
      </c>
    </row>
    <row r="1288" spans="2:9" hidden="1" x14ac:dyDescent="0.4">
      <c r="B1288" s="8" t="s">
        <v>518</v>
      </c>
      <c r="C1288" s="3" t="s">
        <v>2544</v>
      </c>
      <c r="D1288" s="3" t="s">
        <v>2357</v>
      </c>
      <c r="E1288" s="3" t="s">
        <v>432</v>
      </c>
      <c r="F1288" s="3" t="s">
        <v>402</v>
      </c>
      <c r="I1288" s="3" t="s">
        <v>1833</v>
      </c>
    </row>
    <row r="1289" spans="2:9" hidden="1" x14ac:dyDescent="0.4">
      <c r="B1289" s="8" t="s">
        <v>529</v>
      </c>
      <c r="C1289" s="3" t="s">
        <v>844</v>
      </c>
      <c r="D1289" s="3" t="s">
        <v>857</v>
      </c>
      <c r="E1289" s="3" t="s">
        <v>7805</v>
      </c>
      <c r="F1289" s="3" t="s">
        <v>399</v>
      </c>
      <c r="I1289" s="3" t="s">
        <v>824</v>
      </c>
    </row>
    <row r="1290" spans="2:9" hidden="1" x14ac:dyDescent="0.4">
      <c r="B1290" s="8" t="s">
        <v>529</v>
      </c>
      <c r="C1290" s="3" t="s">
        <v>943</v>
      </c>
      <c r="D1290" s="3" t="s">
        <v>857</v>
      </c>
      <c r="E1290" s="3" t="s">
        <v>7805</v>
      </c>
      <c r="F1290" s="3" t="s">
        <v>402</v>
      </c>
      <c r="I1290" s="3" t="s">
        <v>824</v>
      </c>
    </row>
    <row r="1291" spans="2:9" hidden="1" x14ac:dyDescent="0.4">
      <c r="B1291" s="8" t="s">
        <v>518</v>
      </c>
      <c r="C1291" s="3" t="s">
        <v>2650</v>
      </c>
      <c r="D1291" s="3" t="s">
        <v>2661</v>
      </c>
      <c r="E1291" s="3" t="s">
        <v>1272</v>
      </c>
      <c r="F1291" s="3" t="s">
        <v>399</v>
      </c>
      <c r="I1291" s="3" t="s">
        <v>2370</v>
      </c>
    </row>
    <row r="1292" spans="2:9" hidden="1" x14ac:dyDescent="0.4">
      <c r="B1292" s="8" t="s">
        <v>517</v>
      </c>
      <c r="C1292" s="3" t="s">
        <v>3038</v>
      </c>
      <c r="D1292" s="3" t="s">
        <v>3274</v>
      </c>
      <c r="E1292" s="3">
        <v>1</v>
      </c>
      <c r="F1292" s="3" t="s">
        <v>402</v>
      </c>
      <c r="G1292" s="3" t="s">
        <v>399</v>
      </c>
      <c r="I1292" s="3" t="s">
        <v>245</v>
      </c>
    </row>
    <row r="1293" spans="2:9" hidden="1" x14ac:dyDescent="0.4">
      <c r="B1293" s="8" t="s">
        <v>517</v>
      </c>
      <c r="C1293" s="3" t="s">
        <v>3613</v>
      </c>
      <c r="D1293" s="3" t="s">
        <v>3907</v>
      </c>
      <c r="F1293" s="3" t="s">
        <v>399</v>
      </c>
      <c r="G1293" s="3" t="s">
        <v>402</v>
      </c>
      <c r="I1293" s="3" t="s">
        <v>4063</v>
      </c>
    </row>
    <row r="1294" spans="2:9" hidden="1" x14ac:dyDescent="0.4">
      <c r="B1294" s="8" t="s">
        <v>517</v>
      </c>
      <c r="C1294" s="3" t="s">
        <v>3613</v>
      </c>
      <c r="D1294" s="3" t="s">
        <v>3907</v>
      </c>
      <c r="F1294" s="3" t="s">
        <v>399</v>
      </c>
      <c r="G1294" s="3" t="s">
        <v>402</v>
      </c>
      <c r="I1294" s="3" t="s">
        <v>4064</v>
      </c>
    </row>
    <row r="1295" spans="2:9" hidden="1" x14ac:dyDescent="0.4">
      <c r="B1295" s="8" t="s">
        <v>517</v>
      </c>
      <c r="C1295" s="3" t="s">
        <v>5919</v>
      </c>
      <c r="D1295" s="3" t="s">
        <v>4925</v>
      </c>
      <c r="F1295" s="3" t="s">
        <v>399</v>
      </c>
      <c r="I1295" s="3" t="s">
        <v>4063</v>
      </c>
    </row>
    <row r="1296" spans="2:9" hidden="1" x14ac:dyDescent="0.4">
      <c r="B1296" s="8" t="s">
        <v>517</v>
      </c>
      <c r="C1296" s="3" t="s">
        <v>6265</v>
      </c>
      <c r="D1296" s="3" t="s">
        <v>5612</v>
      </c>
      <c r="F1296" s="3" t="s">
        <v>402</v>
      </c>
      <c r="I1296" s="3" t="s">
        <v>4063</v>
      </c>
    </row>
    <row r="1297" spans="2:9" hidden="1" x14ac:dyDescent="0.4">
      <c r="B1297" s="8" t="s">
        <v>517</v>
      </c>
      <c r="C1297" s="3" t="s">
        <v>4595</v>
      </c>
      <c r="D1297" s="3" t="s">
        <v>4925</v>
      </c>
      <c r="F1297" s="3" t="s">
        <v>399</v>
      </c>
      <c r="I1297" s="3" t="s">
        <v>4064</v>
      </c>
    </row>
    <row r="1298" spans="2:9" hidden="1" x14ac:dyDescent="0.4">
      <c r="B1298" s="8" t="s">
        <v>517</v>
      </c>
      <c r="C1298" s="3" t="s">
        <v>5292</v>
      </c>
      <c r="D1298" s="3" t="s">
        <v>5612</v>
      </c>
      <c r="F1298" s="3" t="s">
        <v>402</v>
      </c>
      <c r="I1298" s="3" t="s">
        <v>4064</v>
      </c>
    </row>
    <row r="1299" spans="2:9" hidden="1" x14ac:dyDescent="0.4">
      <c r="B1299" s="8" t="s">
        <v>823</v>
      </c>
      <c r="C1299" s="3" t="s">
        <v>1688</v>
      </c>
      <c r="D1299" s="3" t="s">
        <v>1506</v>
      </c>
      <c r="F1299" s="3" t="s">
        <v>1124</v>
      </c>
      <c r="I1299" s="3" t="s">
        <v>1489</v>
      </c>
    </row>
    <row r="1300" spans="2:9" hidden="1" x14ac:dyDescent="0.4">
      <c r="B1300" s="8" t="s">
        <v>517</v>
      </c>
      <c r="C1300" s="3" t="s">
        <v>1464</v>
      </c>
      <c r="D1300" s="3" t="s">
        <v>1506</v>
      </c>
      <c r="F1300" s="3" t="s">
        <v>399</v>
      </c>
      <c r="G1300" s="3" t="s">
        <v>402</v>
      </c>
      <c r="I1300" s="3" t="s">
        <v>1489</v>
      </c>
    </row>
    <row r="1301" spans="2:9" hidden="1" x14ac:dyDescent="0.4">
      <c r="B1301" s="8" t="s">
        <v>517</v>
      </c>
      <c r="C1301" s="3" t="s">
        <v>1464</v>
      </c>
      <c r="D1301" s="3" t="s">
        <v>2498</v>
      </c>
      <c r="F1301" s="3" t="s">
        <v>399</v>
      </c>
      <c r="I1301" s="3" t="s">
        <v>1833</v>
      </c>
    </row>
    <row r="1302" spans="2:9" hidden="1" x14ac:dyDescent="0.4">
      <c r="B1302" s="8" t="s">
        <v>517</v>
      </c>
      <c r="C1302" s="3" t="s">
        <v>1574</v>
      </c>
      <c r="D1302" s="3" t="s">
        <v>1506</v>
      </c>
      <c r="F1302" s="3" t="s">
        <v>402</v>
      </c>
      <c r="I1302" s="3" t="s">
        <v>1489</v>
      </c>
    </row>
    <row r="1303" spans="2:9" hidden="1" x14ac:dyDescent="0.4">
      <c r="B1303" s="8" t="s">
        <v>517</v>
      </c>
      <c r="C1303" s="3" t="s">
        <v>2502</v>
      </c>
      <c r="D1303" s="3" t="s">
        <v>2498</v>
      </c>
      <c r="F1303" s="3" t="s">
        <v>402</v>
      </c>
      <c r="I1303" s="3" t="s">
        <v>1833</v>
      </c>
    </row>
    <row r="1304" spans="2:9" hidden="1" x14ac:dyDescent="0.4">
      <c r="B1304" s="8" t="s">
        <v>517</v>
      </c>
      <c r="C1304" s="3" t="s">
        <v>1764</v>
      </c>
      <c r="D1304" s="3" t="s">
        <v>1839</v>
      </c>
      <c r="F1304" s="3" t="s">
        <v>402</v>
      </c>
      <c r="I1304" s="3" t="s">
        <v>1838</v>
      </c>
    </row>
    <row r="1305" spans="2:9" hidden="1" x14ac:dyDescent="0.4">
      <c r="B1305" s="8" t="s">
        <v>517</v>
      </c>
      <c r="C1305" s="3" t="s">
        <v>2146</v>
      </c>
      <c r="D1305" s="3" t="s">
        <v>2160</v>
      </c>
      <c r="F1305" s="3" t="s">
        <v>399</v>
      </c>
      <c r="I1305" s="3" t="s">
        <v>1838</v>
      </c>
    </row>
    <row r="1306" spans="2:9" hidden="1" x14ac:dyDescent="0.4">
      <c r="B1306" s="8" t="s">
        <v>516</v>
      </c>
      <c r="C1306" s="3" t="s">
        <v>2176</v>
      </c>
      <c r="D1306" s="3" t="s">
        <v>2160</v>
      </c>
      <c r="F1306" s="3" t="s">
        <v>399</v>
      </c>
      <c r="I1306" s="3" t="s">
        <v>1838</v>
      </c>
    </row>
    <row r="1307" spans="2:9" hidden="1" x14ac:dyDescent="0.4">
      <c r="B1307" s="8" t="s">
        <v>529</v>
      </c>
      <c r="C1307" s="3" t="s">
        <v>2845</v>
      </c>
      <c r="D1307" s="3" t="s">
        <v>2849</v>
      </c>
      <c r="E1307" s="3" t="s">
        <v>1272</v>
      </c>
      <c r="F1307" s="3" t="s">
        <v>399</v>
      </c>
      <c r="I1307" s="3" t="s">
        <v>2370</v>
      </c>
    </row>
    <row r="1308" spans="2:9" hidden="1" x14ac:dyDescent="0.4">
      <c r="B1308" s="8" t="s">
        <v>517</v>
      </c>
      <c r="C1308" s="3" t="s">
        <v>2234</v>
      </c>
      <c r="D1308" s="3" t="s">
        <v>2392</v>
      </c>
      <c r="E1308" s="3" t="s">
        <v>1272</v>
      </c>
      <c r="F1308" s="3" t="s">
        <v>399</v>
      </c>
      <c r="I1308" s="3" t="s">
        <v>1833</v>
      </c>
    </row>
    <row r="1309" spans="2:9" hidden="1" x14ac:dyDescent="0.4">
      <c r="B1309" s="8" t="s">
        <v>517</v>
      </c>
      <c r="C1309" s="3" t="s">
        <v>2517</v>
      </c>
      <c r="D1309" s="3" t="s">
        <v>2392</v>
      </c>
      <c r="E1309" s="3" t="s">
        <v>1272</v>
      </c>
      <c r="F1309" s="3" t="s">
        <v>402</v>
      </c>
      <c r="I1309" s="3" t="s">
        <v>1833</v>
      </c>
    </row>
    <row r="1310" spans="2:9" hidden="1" x14ac:dyDescent="0.4">
      <c r="B1310" s="8" t="s">
        <v>517</v>
      </c>
      <c r="C1310" s="3" t="s">
        <v>2763</v>
      </c>
      <c r="D1310" s="3" t="s">
        <v>2764</v>
      </c>
      <c r="E1310" s="3" t="s">
        <v>1272</v>
      </c>
      <c r="F1310" s="3" t="s">
        <v>399</v>
      </c>
      <c r="I1310" s="3" t="s">
        <v>2370</v>
      </c>
    </row>
    <row r="1311" spans="2:9" hidden="1" x14ac:dyDescent="0.4">
      <c r="B1311" s="8" t="s">
        <v>517</v>
      </c>
      <c r="C1311" s="3" t="s">
        <v>2300</v>
      </c>
      <c r="D1311" s="3" t="s">
        <v>2457</v>
      </c>
      <c r="E1311" s="3" t="s">
        <v>1272</v>
      </c>
      <c r="F1311" s="3" t="s">
        <v>399</v>
      </c>
      <c r="I1311" s="3" t="s">
        <v>1833</v>
      </c>
    </row>
    <row r="1312" spans="2:9" hidden="1" x14ac:dyDescent="0.4">
      <c r="B1312" s="8" t="s">
        <v>517</v>
      </c>
      <c r="C1312" s="3" t="s">
        <v>2602</v>
      </c>
      <c r="D1312" s="3" t="s">
        <v>2457</v>
      </c>
      <c r="E1312" s="3" t="s">
        <v>1272</v>
      </c>
      <c r="F1312" s="3" t="s">
        <v>402</v>
      </c>
      <c r="I1312" s="3" t="s">
        <v>1833</v>
      </c>
    </row>
    <row r="1313" spans="2:9" hidden="1" x14ac:dyDescent="0.4">
      <c r="B1313" s="8" t="s">
        <v>530</v>
      </c>
      <c r="C1313" s="3" t="s">
        <v>1398</v>
      </c>
      <c r="D1313" s="3" t="s">
        <v>1432</v>
      </c>
      <c r="F1313" s="3" t="s">
        <v>399</v>
      </c>
      <c r="G1313" s="3" t="s">
        <v>402</v>
      </c>
      <c r="H1313" s="3" t="s">
        <v>1279</v>
      </c>
      <c r="I1313" s="3" t="s">
        <v>1414</v>
      </c>
    </row>
    <row r="1314" spans="2:9" hidden="1" x14ac:dyDescent="0.4">
      <c r="B1314" s="8" t="s">
        <v>530</v>
      </c>
      <c r="C1314" s="3" t="s">
        <v>1542</v>
      </c>
      <c r="D1314" s="3" t="s">
        <v>1432</v>
      </c>
      <c r="F1314" s="3" t="s">
        <v>402</v>
      </c>
      <c r="I1314" s="3" t="s">
        <v>1414</v>
      </c>
    </row>
    <row r="1315" spans="2:9" hidden="1" x14ac:dyDescent="0.4">
      <c r="B1315" s="8" t="s">
        <v>756</v>
      </c>
      <c r="C1315" s="3" t="s">
        <v>768</v>
      </c>
      <c r="D1315" s="3" t="s">
        <v>778</v>
      </c>
      <c r="E1315" s="3" t="s">
        <v>425</v>
      </c>
      <c r="F1315" s="3" t="s">
        <v>399</v>
      </c>
      <c r="G1315" s="3" t="s">
        <v>402</v>
      </c>
      <c r="I1315" s="3" t="s">
        <v>781</v>
      </c>
    </row>
    <row r="1316" spans="2:9" hidden="1" x14ac:dyDescent="0.4">
      <c r="B1316" s="8" t="s">
        <v>756</v>
      </c>
      <c r="C1316" s="3" t="s">
        <v>793</v>
      </c>
      <c r="D1316" s="3" t="s">
        <v>778</v>
      </c>
      <c r="E1316" s="3" t="s">
        <v>425</v>
      </c>
      <c r="F1316" s="3" t="s">
        <v>402</v>
      </c>
      <c r="I1316" s="3" t="s">
        <v>781</v>
      </c>
    </row>
    <row r="1317" spans="2:9" hidden="1" x14ac:dyDescent="0.4">
      <c r="B1317" s="8" t="s">
        <v>517</v>
      </c>
      <c r="C1317" s="3" t="s">
        <v>854</v>
      </c>
      <c r="D1317" s="3" t="s">
        <v>851</v>
      </c>
      <c r="E1317" s="3" t="s">
        <v>7805</v>
      </c>
      <c r="F1317" s="3" t="s">
        <v>399</v>
      </c>
      <c r="I1317" s="3" t="s">
        <v>824</v>
      </c>
    </row>
    <row r="1318" spans="2:9" hidden="1" x14ac:dyDescent="0.4">
      <c r="B1318" s="8" t="s">
        <v>517</v>
      </c>
      <c r="C1318" s="3" t="s">
        <v>948</v>
      </c>
      <c r="D1318" s="3" t="s">
        <v>851</v>
      </c>
      <c r="E1318" s="3" t="s">
        <v>7805</v>
      </c>
      <c r="F1318" s="3" t="s">
        <v>402</v>
      </c>
      <c r="I1318" s="3" t="s">
        <v>824</v>
      </c>
    </row>
    <row r="1319" spans="2:9" hidden="1" x14ac:dyDescent="0.4">
      <c r="B1319" s="8" t="s">
        <v>520</v>
      </c>
      <c r="C1319" s="3" t="s">
        <v>2934</v>
      </c>
      <c r="D1319" s="3" t="s">
        <v>3171</v>
      </c>
      <c r="E1319" s="3">
        <v>1</v>
      </c>
      <c r="F1319" s="3" t="s">
        <v>402</v>
      </c>
      <c r="G1319" s="3" t="s">
        <v>988</v>
      </c>
      <c r="H1319" s="3" t="s">
        <v>399</v>
      </c>
      <c r="I1319" s="3" t="s">
        <v>245</v>
      </c>
    </row>
    <row r="1320" spans="2:9" hidden="1" x14ac:dyDescent="0.4">
      <c r="B1320" s="8" t="s">
        <v>517</v>
      </c>
      <c r="C1320" s="3" t="s">
        <v>848</v>
      </c>
      <c r="D1320" s="3" t="s">
        <v>861</v>
      </c>
      <c r="E1320" s="3" t="s">
        <v>7805</v>
      </c>
      <c r="F1320" s="3" t="s">
        <v>399</v>
      </c>
      <c r="I1320" s="3" t="s">
        <v>824</v>
      </c>
    </row>
    <row r="1321" spans="2:9" hidden="1" x14ac:dyDescent="0.4">
      <c r="B1321" s="8" t="s">
        <v>517</v>
      </c>
      <c r="C1321" s="3" t="s">
        <v>947</v>
      </c>
      <c r="D1321" s="3" t="s">
        <v>861</v>
      </c>
      <c r="E1321" s="3" t="s">
        <v>7805</v>
      </c>
      <c r="F1321" s="3" t="s">
        <v>402</v>
      </c>
      <c r="I1321" s="3" t="s">
        <v>824</v>
      </c>
    </row>
    <row r="1322" spans="2:9" hidden="1" x14ac:dyDescent="0.4">
      <c r="B1322" s="8" t="s">
        <v>529</v>
      </c>
      <c r="C1322" s="3" t="s">
        <v>2874</v>
      </c>
      <c r="D1322" s="3" t="s">
        <v>3341</v>
      </c>
      <c r="E1322" s="3">
        <v>1</v>
      </c>
      <c r="F1322" s="3" t="s">
        <v>402</v>
      </c>
      <c r="G1322" s="3" t="s">
        <v>399</v>
      </c>
      <c r="I1322" s="3" t="s">
        <v>245</v>
      </c>
    </row>
    <row r="1323" spans="2:9" hidden="1" x14ac:dyDescent="0.4">
      <c r="B1323" s="8" t="s">
        <v>517</v>
      </c>
      <c r="C1323" s="3" t="s">
        <v>3023</v>
      </c>
      <c r="D1323" s="3" t="s">
        <v>3259</v>
      </c>
      <c r="E1323" s="3">
        <v>1</v>
      </c>
      <c r="F1323" s="3" t="s">
        <v>402</v>
      </c>
      <c r="G1323" s="3" t="s">
        <v>399</v>
      </c>
      <c r="I1323" s="3" t="s">
        <v>245</v>
      </c>
    </row>
    <row r="1324" spans="2:9" hidden="1" x14ac:dyDescent="0.4">
      <c r="B1324" s="8" t="s">
        <v>517</v>
      </c>
      <c r="C1324" s="3" t="s">
        <v>3060</v>
      </c>
      <c r="D1324" s="3" t="s">
        <v>3293</v>
      </c>
      <c r="E1324" s="3">
        <v>1</v>
      </c>
      <c r="F1324" s="3" t="s">
        <v>3350</v>
      </c>
      <c r="G1324" s="3" t="s">
        <v>399</v>
      </c>
      <c r="H1324" s="3" t="s">
        <v>988</v>
      </c>
      <c r="I1324" s="3" t="s">
        <v>245</v>
      </c>
    </row>
    <row r="1325" spans="2:9" hidden="1" x14ac:dyDescent="0.4">
      <c r="B1325" s="8" t="s">
        <v>517</v>
      </c>
      <c r="C1325" s="3" t="s">
        <v>2924</v>
      </c>
      <c r="D1325" s="3" t="s">
        <v>3164</v>
      </c>
      <c r="E1325" s="3">
        <v>1</v>
      </c>
      <c r="F1325" s="3" t="s">
        <v>399</v>
      </c>
      <c r="G1325" s="3" t="s">
        <v>402</v>
      </c>
      <c r="H1325" s="3" t="s">
        <v>988</v>
      </c>
      <c r="I1325" s="3" t="s">
        <v>510</v>
      </c>
    </row>
    <row r="1326" spans="2:9" hidden="1" x14ac:dyDescent="0.4">
      <c r="B1326" s="8" t="s">
        <v>517</v>
      </c>
      <c r="C1326" s="3" t="s">
        <v>1920</v>
      </c>
      <c r="D1326" s="3" t="s">
        <v>1952</v>
      </c>
      <c r="F1326" s="3" t="s">
        <v>399</v>
      </c>
      <c r="I1326" s="3" t="s">
        <v>1968</v>
      </c>
    </row>
    <row r="1327" spans="2:9" hidden="1" x14ac:dyDescent="0.4">
      <c r="B1327" s="8" t="s">
        <v>517</v>
      </c>
      <c r="C1327" s="3" t="s">
        <v>1921</v>
      </c>
      <c r="D1327" s="3" t="s">
        <v>1953</v>
      </c>
      <c r="F1327" s="3" t="s">
        <v>399</v>
      </c>
      <c r="I1327" s="3" t="s">
        <v>1968</v>
      </c>
    </row>
    <row r="1328" spans="2:9" hidden="1" x14ac:dyDescent="0.4">
      <c r="B1328" s="8" t="s">
        <v>517</v>
      </c>
      <c r="C1328" s="3" t="s">
        <v>1804</v>
      </c>
      <c r="D1328" s="3" t="s">
        <v>1873</v>
      </c>
      <c r="F1328" s="3" t="s">
        <v>399</v>
      </c>
      <c r="I1328" s="3" t="s">
        <v>1865</v>
      </c>
    </row>
    <row r="1329" spans="2:9" hidden="1" x14ac:dyDescent="0.4">
      <c r="B1329" s="8" t="s">
        <v>536</v>
      </c>
      <c r="C1329" s="3" t="s">
        <v>459</v>
      </c>
      <c r="D1329" s="3" t="s">
        <v>736</v>
      </c>
      <c r="E1329" s="3" t="s">
        <v>432</v>
      </c>
      <c r="F1329" s="3" t="s">
        <v>12779</v>
      </c>
      <c r="G1329" s="3" t="s">
        <v>430</v>
      </c>
      <c r="I1329" s="3" t="s">
        <v>472</v>
      </c>
    </row>
    <row r="1330" spans="2:9" hidden="1" x14ac:dyDescent="0.4">
      <c r="B1330" s="8" t="s">
        <v>517</v>
      </c>
      <c r="C1330" s="3" t="s">
        <v>4273</v>
      </c>
      <c r="D1330" s="3" t="s">
        <v>4053</v>
      </c>
      <c r="F1330" s="3" t="s">
        <v>399</v>
      </c>
      <c r="G1330" s="3" t="s">
        <v>402</v>
      </c>
      <c r="I1330" s="3" t="s">
        <v>4064</v>
      </c>
    </row>
    <row r="1331" spans="2:9" hidden="1" x14ac:dyDescent="0.4">
      <c r="B1331" s="8" t="s">
        <v>517</v>
      </c>
      <c r="C1331" s="3" t="s">
        <v>4483</v>
      </c>
      <c r="D1331" s="3" t="s">
        <v>4978</v>
      </c>
      <c r="F1331" s="3" t="s">
        <v>399</v>
      </c>
      <c r="I1331" s="3" t="s">
        <v>4064</v>
      </c>
    </row>
    <row r="1332" spans="2:9" hidden="1" x14ac:dyDescent="0.4">
      <c r="B1332" s="8" t="s">
        <v>517</v>
      </c>
      <c r="C1332" s="3" t="s">
        <v>5258</v>
      </c>
      <c r="D1332" s="3" t="s">
        <v>5579</v>
      </c>
      <c r="F1332" s="3" t="s">
        <v>402</v>
      </c>
      <c r="I1332" s="3" t="s">
        <v>4064</v>
      </c>
    </row>
    <row r="1333" spans="2:9" hidden="1" x14ac:dyDescent="0.4">
      <c r="B1333" s="8" t="s">
        <v>517</v>
      </c>
      <c r="C1333" s="3" t="s">
        <v>3584</v>
      </c>
      <c r="D1333" s="3" t="s">
        <v>4053</v>
      </c>
      <c r="F1333" s="3" t="s">
        <v>399</v>
      </c>
      <c r="G1333" s="3" t="s">
        <v>402</v>
      </c>
      <c r="I1333" s="3" t="s">
        <v>4063</v>
      </c>
    </row>
    <row r="1334" spans="2:9" hidden="1" x14ac:dyDescent="0.4">
      <c r="B1334" s="8" t="s">
        <v>517</v>
      </c>
      <c r="C1334" s="3" t="s">
        <v>6005</v>
      </c>
      <c r="D1334" s="3" t="s">
        <v>4978</v>
      </c>
      <c r="F1334" s="3" t="s">
        <v>399</v>
      </c>
      <c r="I1334" s="3" t="s">
        <v>4063</v>
      </c>
    </row>
    <row r="1335" spans="2:9" hidden="1" x14ac:dyDescent="0.4">
      <c r="B1335" s="8" t="s">
        <v>517</v>
      </c>
      <c r="C1335" s="3" t="s">
        <v>6354</v>
      </c>
      <c r="D1335" s="3" t="s">
        <v>5579</v>
      </c>
      <c r="F1335" s="3" t="s">
        <v>402</v>
      </c>
      <c r="I1335" s="3" t="s">
        <v>4063</v>
      </c>
    </row>
    <row r="1336" spans="2:9" hidden="1" x14ac:dyDescent="0.4">
      <c r="B1336" s="8" t="s">
        <v>520</v>
      </c>
      <c r="C1336" s="3" t="s">
        <v>2292</v>
      </c>
      <c r="D1336" s="3" t="s">
        <v>2450</v>
      </c>
      <c r="E1336" s="3" t="s">
        <v>1272</v>
      </c>
      <c r="F1336" s="3" t="s">
        <v>399</v>
      </c>
      <c r="I1336" s="3" t="s">
        <v>1833</v>
      </c>
    </row>
    <row r="1337" spans="2:9" hidden="1" x14ac:dyDescent="0.4">
      <c r="B1337" s="8" t="s">
        <v>520</v>
      </c>
      <c r="C1337" s="3" t="s">
        <v>2597</v>
      </c>
      <c r="D1337" s="3" t="s">
        <v>2450</v>
      </c>
      <c r="E1337" s="3" t="s">
        <v>1272</v>
      </c>
      <c r="F1337" s="3" t="s">
        <v>402</v>
      </c>
      <c r="I1337" s="3" t="s">
        <v>1833</v>
      </c>
    </row>
    <row r="1338" spans="2:9" hidden="1" x14ac:dyDescent="0.4">
      <c r="B1338" s="8" t="s">
        <v>516</v>
      </c>
      <c r="C1338" s="3" t="s">
        <v>492</v>
      </c>
      <c r="D1338" s="3" t="s">
        <v>661</v>
      </c>
      <c r="E1338" s="3" t="s">
        <v>425</v>
      </c>
      <c r="F1338" s="3" t="s">
        <v>522</v>
      </c>
      <c r="I1338" s="3" t="s">
        <v>510</v>
      </c>
    </row>
    <row r="1339" spans="2:9" hidden="1" x14ac:dyDescent="0.4">
      <c r="B1339" s="8" t="s">
        <v>516</v>
      </c>
      <c r="C1339" s="3" t="s">
        <v>690</v>
      </c>
      <c r="D1339" s="3" t="s">
        <v>661</v>
      </c>
      <c r="E1339" s="3" t="s">
        <v>425</v>
      </c>
      <c r="F1339" s="3" t="s">
        <v>684</v>
      </c>
      <c r="I1339" s="3" t="s">
        <v>510</v>
      </c>
    </row>
    <row r="1340" spans="2:9" hidden="1" x14ac:dyDescent="0.4">
      <c r="B1340" s="8" t="s">
        <v>518</v>
      </c>
      <c r="C1340" s="3" t="s">
        <v>2248</v>
      </c>
      <c r="D1340" s="3" t="s">
        <v>2405</v>
      </c>
      <c r="E1340" s="3" t="s">
        <v>1272</v>
      </c>
      <c r="F1340" s="3" t="s">
        <v>399</v>
      </c>
      <c r="I1340" s="3" t="s">
        <v>1833</v>
      </c>
    </row>
    <row r="1341" spans="2:9" hidden="1" x14ac:dyDescent="0.4">
      <c r="B1341" s="8" t="s">
        <v>518</v>
      </c>
      <c r="C1341" s="3" t="s">
        <v>2525</v>
      </c>
      <c r="D1341" s="3" t="s">
        <v>2405</v>
      </c>
      <c r="E1341" s="3" t="s">
        <v>1272</v>
      </c>
      <c r="F1341" s="3" t="s">
        <v>402</v>
      </c>
      <c r="I1341" s="3" t="s">
        <v>1833</v>
      </c>
    </row>
    <row r="1342" spans="2:9" hidden="1" x14ac:dyDescent="0.4">
      <c r="B1342" s="8" t="s">
        <v>517</v>
      </c>
      <c r="C1342" s="3" t="s">
        <v>2908</v>
      </c>
      <c r="D1342" s="3" t="s">
        <v>3149</v>
      </c>
      <c r="E1342" s="3">
        <v>1</v>
      </c>
      <c r="F1342" s="3" t="s">
        <v>402</v>
      </c>
      <c r="I1342" s="3" t="s">
        <v>245</v>
      </c>
    </row>
    <row r="1343" spans="2:9" hidden="1" x14ac:dyDescent="0.4">
      <c r="B1343" s="8" t="s">
        <v>517</v>
      </c>
      <c r="C1343" s="3" t="s">
        <v>1384</v>
      </c>
      <c r="D1343" s="3" t="s">
        <v>1416</v>
      </c>
      <c r="F1343" s="3" t="s">
        <v>399</v>
      </c>
      <c r="I1343" s="3" t="s">
        <v>1335</v>
      </c>
    </row>
    <row r="1344" spans="2:9" hidden="1" x14ac:dyDescent="0.4">
      <c r="B1344" s="8" t="s">
        <v>517</v>
      </c>
      <c r="C1344" s="3" t="s">
        <v>3614</v>
      </c>
      <c r="D1344" s="3" t="s">
        <v>3908</v>
      </c>
      <c r="F1344" s="3" t="s">
        <v>399</v>
      </c>
      <c r="G1344" s="3" t="s">
        <v>402</v>
      </c>
      <c r="I1344" s="3" t="s">
        <v>4063</v>
      </c>
    </row>
    <row r="1345" spans="2:9" hidden="1" x14ac:dyDescent="0.4">
      <c r="B1345" s="8" t="s">
        <v>517</v>
      </c>
      <c r="C1345" s="3" t="s">
        <v>3614</v>
      </c>
      <c r="D1345" s="3" t="s">
        <v>3908</v>
      </c>
      <c r="F1345" s="3" t="s">
        <v>399</v>
      </c>
      <c r="G1345" s="3" t="s">
        <v>402</v>
      </c>
      <c r="I1345" s="3" t="s">
        <v>4064</v>
      </c>
    </row>
    <row r="1346" spans="2:9" hidden="1" x14ac:dyDescent="0.4">
      <c r="B1346" s="8" t="s">
        <v>517</v>
      </c>
      <c r="C1346" s="3" t="s">
        <v>5920</v>
      </c>
      <c r="D1346" s="3" t="s">
        <v>4849</v>
      </c>
      <c r="F1346" s="3" t="s">
        <v>399</v>
      </c>
      <c r="I1346" s="3" t="s">
        <v>4063</v>
      </c>
    </row>
    <row r="1347" spans="2:9" hidden="1" x14ac:dyDescent="0.4">
      <c r="B1347" s="8" t="s">
        <v>517</v>
      </c>
      <c r="C1347" s="3" t="s">
        <v>6266</v>
      </c>
      <c r="D1347" s="3" t="s">
        <v>5613</v>
      </c>
      <c r="F1347" s="3" t="s">
        <v>402</v>
      </c>
      <c r="I1347" s="3" t="s">
        <v>4063</v>
      </c>
    </row>
    <row r="1348" spans="2:9" hidden="1" x14ac:dyDescent="0.4">
      <c r="B1348" s="8" t="s">
        <v>517</v>
      </c>
      <c r="C1348" s="3" t="s">
        <v>4685</v>
      </c>
      <c r="D1348" s="3" t="s">
        <v>4849</v>
      </c>
      <c r="F1348" s="3" t="s">
        <v>399</v>
      </c>
      <c r="I1348" s="3" t="s">
        <v>4064</v>
      </c>
    </row>
    <row r="1349" spans="2:9" hidden="1" x14ac:dyDescent="0.4">
      <c r="B1349" s="8" t="s">
        <v>517</v>
      </c>
      <c r="C1349" s="3" t="s">
        <v>5293</v>
      </c>
      <c r="D1349" s="3" t="s">
        <v>5613</v>
      </c>
      <c r="F1349" s="3" t="s">
        <v>402</v>
      </c>
      <c r="I1349" s="3" t="s">
        <v>4064</v>
      </c>
    </row>
    <row r="1350" spans="2:9" hidden="1" x14ac:dyDescent="0.4">
      <c r="B1350" s="8" t="s">
        <v>518</v>
      </c>
      <c r="C1350" s="3" t="s">
        <v>2790</v>
      </c>
      <c r="D1350" s="3" t="s">
        <v>2804</v>
      </c>
      <c r="E1350" s="3" t="s">
        <v>1272</v>
      </c>
      <c r="F1350" s="3" t="s">
        <v>399</v>
      </c>
      <c r="I1350" s="3" t="s">
        <v>2370</v>
      </c>
    </row>
    <row r="1351" spans="2:9" hidden="1" x14ac:dyDescent="0.4">
      <c r="B1351" s="8" t="s">
        <v>517</v>
      </c>
      <c r="C1351" s="3" t="s">
        <v>3567</v>
      </c>
      <c r="D1351" s="3" t="s">
        <v>4049</v>
      </c>
      <c r="F1351" s="3" t="s">
        <v>399</v>
      </c>
      <c r="G1351" s="3" t="s">
        <v>402</v>
      </c>
      <c r="I1351" s="3" t="s">
        <v>4063</v>
      </c>
    </row>
    <row r="1352" spans="2:9" hidden="1" x14ac:dyDescent="0.4">
      <c r="B1352" s="8" t="s">
        <v>517</v>
      </c>
      <c r="C1352" s="3" t="s">
        <v>3567</v>
      </c>
      <c r="D1352" s="3" t="s">
        <v>4049</v>
      </c>
      <c r="F1352" s="3" t="s">
        <v>399</v>
      </c>
      <c r="G1352" s="3" t="s">
        <v>402</v>
      </c>
      <c r="I1352" s="3" t="s">
        <v>4064</v>
      </c>
    </row>
    <row r="1353" spans="2:9" hidden="1" x14ac:dyDescent="0.4">
      <c r="B1353" s="8" t="s">
        <v>517</v>
      </c>
      <c r="C1353" s="3" t="s">
        <v>5876</v>
      </c>
      <c r="D1353" s="3" t="s">
        <v>4969</v>
      </c>
      <c r="F1353" s="3" t="s">
        <v>399</v>
      </c>
      <c r="I1353" s="3" t="s">
        <v>4063</v>
      </c>
    </row>
    <row r="1354" spans="2:9" hidden="1" x14ac:dyDescent="0.4">
      <c r="B1354" s="8" t="s">
        <v>517</v>
      </c>
      <c r="C1354" s="3" t="s">
        <v>6222</v>
      </c>
      <c r="D1354" s="3" t="s">
        <v>5563</v>
      </c>
      <c r="F1354" s="3" t="s">
        <v>402</v>
      </c>
      <c r="I1354" s="3" t="s">
        <v>4063</v>
      </c>
    </row>
    <row r="1355" spans="2:9" hidden="1" x14ac:dyDescent="0.4">
      <c r="B1355" s="8" t="s">
        <v>517</v>
      </c>
      <c r="C1355" s="3" t="s">
        <v>4582</v>
      </c>
      <c r="D1355" s="3" t="s">
        <v>4969</v>
      </c>
      <c r="F1355" s="3" t="s">
        <v>399</v>
      </c>
      <c r="I1355" s="3" t="s">
        <v>4064</v>
      </c>
    </row>
    <row r="1356" spans="2:9" hidden="1" x14ac:dyDescent="0.4">
      <c r="B1356" s="8" t="s">
        <v>517</v>
      </c>
      <c r="C1356" s="3" t="s">
        <v>5241</v>
      </c>
      <c r="D1356" s="3" t="s">
        <v>5563</v>
      </c>
      <c r="F1356" s="3" t="s">
        <v>402</v>
      </c>
      <c r="I1356" s="3" t="s">
        <v>4064</v>
      </c>
    </row>
    <row r="1357" spans="2:9" hidden="1" x14ac:dyDescent="0.4">
      <c r="B1357" s="8" t="s">
        <v>517</v>
      </c>
      <c r="C1357" s="3" t="s">
        <v>346</v>
      </c>
      <c r="D1357" s="3" t="s">
        <v>370</v>
      </c>
      <c r="F1357" s="3" t="s">
        <v>399</v>
      </c>
      <c r="I1357" s="3" t="s">
        <v>267</v>
      </c>
    </row>
    <row r="1358" spans="2:9" hidden="1" x14ac:dyDescent="0.4">
      <c r="B1358" s="8" t="s">
        <v>520</v>
      </c>
      <c r="C1358" s="3" t="s">
        <v>500</v>
      </c>
      <c r="D1358" s="3" t="s">
        <v>660</v>
      </c>
      <c r="E1358" s="3" t="s">
        <v>425</v>
      </c>
      <c r="F1358" s="3" t="s">
        <v>522</v>
      </c>
      <c r="I1358" s="3" t="s">
        <v>510</v>
      </c>
    </row>
    <row r="1359" spans="2:9" hidden="1" x14ac:dyDescent="0.4">
      <c r="B1359" s="8" t="s">
        <v>520</v>
      </c>
      <c r="C1359" s="3" t="s">
        <v>691</v>
      </c>
      <c r="D1359" s="3" t="s">
        <v>660</v>
      </c>
      <c r="E1359" s="3" t="s">
        <v>425</v>
      </c>
      <c r="F1359" s="3" t="s">
        <v>684</v>
      </c>
      <c r="I1359" s="3" t="s">
        <v>510</v>
      </c>
    </row>
    <row r="1360" spans="2:9" hidden="1" x14ac:dyDescent="0.4">
      <c r="B1360" s="8" t="s">
        <v>520</v>
      </c>
      <c r="C1360" s="3" t="s">
        <v>203</v>
      </c>
      <c r="D1360" s="3" t="s">
        <v>548</v>
      </c>
      <c r="F1360" s="3" t="s">
        <v>399</v>
      </c>
      <c r="I1360" s="3" t="s">
        <v>267</v>
      </c>
    </row>
    <row r="1361" spans="2:9" hidden="1" x14ac:dyDescent="0.4">
      <c r="B1361" s="8" t="s">
        <v>517</v>
      </c>
      <c r="C1361" s="3" t="s">
        <v>163</v>
      </c>
      <c r="D1361" s="3" t="s">
        <v>634</v>
      </c>
      <c r="F1361" s="3" t="s">
        <v>399</v>
      </c>
      <c r="I1361" s="3" t="s">
        <v>267</v>
      </c>
    </row>
    <row r="1362" spans="2:9" hidden="1" x14ac:dyDescent="0.4">
      <c r="B1362" s="8" t="s">
        <v>517</v>
      </c>
      <c r="C1362" s="3" t="s">
        <v>4309</v>
      </c>
      <c r="D1362" s="3" t="s">
        <v>3922</v>
      </c>
      <c r="F1362" s="3" t="s">
        <v>399</v>
      </c>
      <c r="G1362" s="3" t="s">
        <v>402</v>
      </c>
      <c r="I1362" s="3" t="s">
        <v>4064</v>
      </c>
    </row>
    <row r="1363" spans="2:9" hidden="1" x14ac:dyDescent="0.4">
      <c r="B1363" s="8" t="s">
        <v>517</v>
      </c>
      <c r="C1363" s="3" t="s">
        <v>4509</v>
      </c>
      <c r="D1363" s="3" t="s">
        <v>5002</v>
      </c>
      <c r="F1363" s="3" t="s">
        <v>399</v>
      </c>
      <c r="I1363" s="3" t="s">
        <v>4064</v>
      </c>
    </row>
    <row r="1364" spans="2:9" hidden="1" x14ac:dyDescent="0.4">
      <c r="B1364" s="8" t="s">
        <v>517</v>
      </c>
      <c r="C1364" s="3" t="s">
        <v>5307</v>
      </c>
      <c r="D1364" s="3" t="s">
        <v>5627</v>
      </c>
      <c r="F1364" s="3" t="s">
        <v>402</v>
      </c>
      <c r="I1364" s="3" t="s">
        <v>4064</v>
      </c>
    </row>
    <row r="1365" spans="2:9" hidden="1" x14ac:dyDescent="0.4">
      <c r="B1365" s="8" t="s">
        <v>517</v>
      </c>
      <c r="C1365" s="3" t="s">
        <v>3628</v>
      </c>
      <c r="D1365" s="3" t="s">
        <v>3922</v>
      </c>
      <c r="F1365" s="3" t="s">
        <v>399</v>
      </c>
      <c r="G1365" s="3" t="s">
        <v>402</v>
      </c>
      <c r="I1365" s="3" t="s">
        <v>4063</v>
      </c>
    </row>
    <row r="1366" spans="2:9" hidden="1" x14ac:dyDescent="0.4">
      <c r="B1366" s="8" t="s">
        <v>517</v>
      </c>
      <c r="C1366" s="3" t="s">
        <v>5933</v>
      </c>
      <c r="D1366" s="3" t="s">
        <v>5002</v>
      </c>
      <c r="F1366" s="3" t="s">
        <v>399</v>
      </c>
      <c r="I1366" s="3" t="s">
        <v>4063</v>
      </c>
    </row>
    <row r="1367" spans="2:9" hidden="1" x14ac:dyDescent="0.4">
      <c r="B1367" s="8" t="s">
        <v>517</v>
      </c>
      <c r="C1367" s="3" t="s">
        <v>6279</v>
      </c>
      <c r="D1367" s="3" t="s">
        <v>5627</v>
      </c>
      <c r="F1367" s="3" t="s">
        <v>402</v>
      </c>
      <c r="I1367" s="3" t="s">
        <v>4063</v>
      </c>
    </row>
    <row r="1368" spans="2:9" hidden="1" x14ac:dyDescent="0.4">
      <c r="B1368" s="8" t="s">
        <v>517</v>
      </c>
      <c r="C1368" s="3" t="s">
        <v>3439</v>
      </c>
      <c r="D1368" s="3" t="s">
        <v>3746</v>
      </c>
      <c r="F1368" s="3" t="s">
        <v>399</v>
      </c>
      <c r="G1368" s="3" t="s">
        <v>402</v>
      </c>
      <c r="I1368" s="3" t="s">
        <v>4063</v>
      </c>
    </row>
    <row r="1369" spans="2:9" hidden="1" x14ac:dyDescent="0.4">
      <c r="B1369" s="8" t="s">
        <v>517</v>
      </c>
      <c r="C1369" s="3" t="s">
        <v>3439</v>
      </c>
      <c r="D1369" s="3" t="s">
        <v>3746</v>
      </c>
      <c r="F1369" s="3" t="s">
        <v>399</v>
      </c>
      <c r="G1369" s="3" t="s">
        <v>402</v>
      </c>
      <c r="I1369" s="3" t="s">
        <v>4064</v>
      </c>
    </row>
    <row r="1370" spans="2:9" hidden="1" x14ac:dyDescent="0.4">
      <c r="B1370" s="8" t="s">
        <v>517</v>
      </c>
      <c r="C1370" s="3" t="s">
        <v>5770</v>
      </c>
      <c r="D1370" s="3" t="s">
        <v>4879</v>
      </c>
      <c r="F1370" s="3" t="s">
        <v>399</v>
      </c>
      <c r="I1370" s="3" t="s">
        <v>4063</v>
      </c>
    </row>
    <row r="1371" spans="2:9" hidden="1" x14ac:dyDescent="0.4">
      <c r="B1371" s="8" t="s">
        <v>517</v>
      </c>
      <c r="C1371" s="3" t="s">
        <v>6112</v>
      </c>
      <c r="D1371" s="3" t="s">
        <v>5436</v>
      </c>
      <c r="F1371" s="3" t="s">
        <v>402</v>
      </c>
      <c r="I1371" s="3" t="s">
        <v>4063</v>
      </c>
    </row>
    <row r="1372" spans="2:9" hidden="1" x14ac:dyDescent="0.4">
      <c r="B1372" s="8" t="s">
        <v>517</v>
      </c>
      <c r="C1372" s="3" t="s">
        <v>4571</v>
      </c>
      <c r="D1372" s="3" t="s">
        <v>4879</v>
      </c>
      <c r="F1372" s="3" t="s">
        <v>399</v>
      </c>
      <c r="I1372" s="3" t="s">
        <v>4064</v>
      </c>
    </row>
    <row r="1373" spans="2:9" hidden="1" x14ac:dyDescent="0.4">
      <c r="B1373" s="8" t="s">
        <v>517</v>
      </c>
      <c r="C1373" s="3" t="s">
        <v>5113</v>
      </c>
      <c r="D1373" s="3" t="s">
        <v>5436</v>
      </c>
      <c r="F1373" s="3" t="s">
        <v>402</v>
      </c>
      <c r="I1373" s="3" t="s">
        <v>4064</v>
      </c>
    </row>
    <row r="1374" spans="2:9" hidden="1" x14ac:dyDescent="0.4">
      <c r="B1374" s="8" t="s">
        <v>517</v>
      </c>
      <c r="C1374" s="3" t="s">
        <v>2249</v>
      </c>
      <c r="D1374" s="3" t="s">
        <v>2406</v>
      </c>
      <c r="E1374" s="3" t="s">
        <v>1272</v>
      </c>
      <c r="F1374" s="3" t="s">
        <v>399</v>
      </c>
      <c r="I1374" s="3" t="s">
        <v>1833</v>
      </c>
    </row>
    <row r="1375" spans="2:9" hidden="1" x14ac:dyDescent="0.4">
      <c r="B1375" s="8" t="s">
        <v>517</v>
      </c>
      <c r="C1375" s="3" t="s">
        <v>2559</v>
      </c>
      <c r="D1375" s="3" t="s">
        <v>2406</v>
      </c>
      <c r="E1375" s="3" t="s">
        <v>1272</v>
      </c>
      <c r="F1375" s="3" t="s">
        <v>402</v>
      </c>
      <c r="I1375" s="3" t="s">
        <v>1833</v>
      </c>
    </row>
    <row r="1376" spans="2:9" hidden="1" x14ac:dyDescent="0.4">
      <c r="B1376" s="8" t="s">
        <v>517</v>
      </c>
      <c r="C1376" s="3" t="s">
        <v>2791</v>
      </c>
      <c r="D1376" s="3" t="s">
        <v>2805</v>
      </c>
      <c r="E1376" s="3" t="s">
        <v>1272</v>
      </c>
      <c r="F1376" s="3" t="s">
        <v>399</v>
      </c>
      <c r="I1376" s="3" t="s">
        <v>2370</v>
      </c>
    </row>
    <row r="1377" spans="2:9" hidden="1" x14ac:dyDescent="0.4">
      <c r="B1377" s="8" t="s">
        <v>529</v>
      </c>
      <c r="C1377" s="3" t="s">
        <v>843</v>
      </c>
      <c r="D1377" s="3" t="s">
        <v>856</v>
      </c>
      <c r="E1377" s="3" t="s">
        <v>7805</v>
      </c>
      <c r="F1377" s="3" t="s">
        <v>399</v>
      </c>
      <c r="I1377" s="3" t="s">
        <v>824</v>
      </c>
    </row>
    <row r="1378" spans="2:9" hidden="1" x14ac:dyDescent="0.4">
      <c r="B1378" s="8" t="s">
        <v>529</v>
      </c>
      <c r="C1378" s="3" t="s">
        <v>941</v>
      </c>
      <c r="D1378" s="3" t="s">
        <v>856</v>
      </c>
      <c r="E1378" s="3" t="s">
        <v>7805</v>
      </c>
      <c r="F1378" s="3" t="s">
        <v>402</v>
      </c>
      <c r="I1378" s="3" t="s">
        <v>824</v>
      </c>
    </row>
    <row r="1379" spans="2:9" hidden="1" x14ac:dyDescent="0.4">
      <c r="B1379" s="8" t="s">
        <v>529</v>
      </c>
      <c r="C1379" s="3" t="s">
        <v>942</v>
      </c>
      <c r="D1379" s="3" t="s">
        <v>856</v>
      </c>
      <c r="E1379" s="3" t="s">
        <v>7805</v>
      </c>
      <c r="F1379" s="3" t="s">
        <v>402</v>
      </c>
      <c r="I1379" s="3" t="s">
        <v>824</v>
      </c>
    </row>
    <row r="1380" spans="2:9" hidden="1" x14ac:dyDescent="0.4">
      <c r="B1380" s="8" t="s">
        <v>517</v>
      </c>
      <c r="C1380" s="3" t="s">
        <v>969</v>
      </c>
      <c r="D1380" s="3" t="s">
        <v>981</v>
      </c>
      <c r="E1380" s="3" t="s">
        <v>7805</v>
      </c>
      <c r="F1380" s="3" t="s">
        <v>399</v>
      </c>
      <c r="I1380" s="3" t="s">
        <v>510</v>
      </c>
    </row>
    <row r="1381" spans="2:9" hidden="1" x14ac:dyDescent="0.4">
      <c r="B1381" s="8" t="s">
        <v>517</v>
      </c>
      <c r="C1381" s="3" t="s">
        <v>1132</v>
      </c>
      <c r="D1381" s="3" t="s">
        <v>1139</v>
      </c>
      <c r="F1381" s="3" t="s">
        <v>402</v>
      </c>
      <c r="I1381" s="3" t="s">
        <v>510</v>
      </c>
    </row>
    <row r="1382" spans="2:9" hidden="1" x14ac:dyDescent="0.4">
      <c r="B1382" s="8" t="s">
        <v>517</v>
      </c>
      <c r="C1382" s="3" t="s">
        <v>1088</v>
      </c>
      <c r="D1382" s="3" t="s">
        <v>1093</v>
      </c>
      <c r="F1382" s="3" t="s">
        <v>402</v>
      </c>
      <c r="G1382" s="3" t="s">
        <v>399</v>
      </c>
      <c r="H1382" s="3" t="s">
        <v>988</v>
      </c>
      <c r="I1382" s="3" t="s">
        <v>510</v>
      </c>
    </row>
    <row r="1383" spans="2:9" hidden="1" x14ac:dyDescent="0.4">
      <c r="B1383" s="8" t="s">
        <v>517</v>
      </c>
      <c r="C1383" s="3" t="s">
        <v>1100</v>
      </c>
      <c r="D1383" s="3" t="s">
        <v>1093</v>
      </c>
      <c r="F1383" s="3" t="s">
        <v>402</v>
      </c>
      <c r="I1383" s="3" t="s">
        <v>510</v>
      </c>
    </row>
    <row r="1384" spans="2:9" hidden="1" x14ac:dyDescent="0.4">
      <c r="B1384" s="8" t="s">
        <v>517</v>
      </c>
      <c r="C1384" s="3" t="s">
        <v>1109</v>
      </c>
      <c r="D1384" s="3" t="s">
        <v>1093</v>
      </c>
      <c r="F1384" s="3" t="s">
        <v>399</v>
      </c>
      <c r="I1384" s="3" t="s">
        <v>510</v>
      </c>
    </row>
    <row r="1385" spans="2:9" hidden="1" x14ac:dyDescent="0.4">
      <c r="B1385" s="8" t="s">
        <v>518</v>
      </c>
      <c r="C1385" s="3" t="s">
        <v>4264</v>
      </c>
      <c r="D1385" s="3" t="s">
        <v>4029</v>
      </c>
      <c r="F1385" s="3" t="s">
        <v>399</v>
      </c>
      <c r="G1385" s="3" t="s">
        <v>402</v>
      </c>
      <c r="I1385" s="3" t="s">
        <v>4064</v>
      </c>
    </row>
    <row r="1386" spans="2:9" hidden="1" x14ac:dyDescent="0.4">
      <c r="B1386" s="8" t="s">
        <v>518</v>
      </c>
      <c r="C1386" s="3" t="s">
        <v>4477</v>
      </c>
      <c r="D1386" s="3" t="s">
        <v>4972</v>
      </c>
      <c r="F1386" s="3" t="s">
        <v>399</v>
      </c>
      <c r="I1386" s="3" t="s">
        <v>4064</v>
      </c>
    </row>
    <row r="1387" spans="2:9" hidden="1" x14ac:dyDescent="0.4">
      <c r="B1387" s="8" t="s">
        <v>518</v>
      </c>
      <c r="C1387" s="3" t="s">
        <v>5248</v>
      </c>
      <c r="D1387" s="3" t="s">
        <v>5569</v>
      </c>
      <c r="F1387" s="3" t="s">
        <v>402</v>
      </c>
      <c r="I1387" s="3" t="s">
        <v>4064</v>
      </c>
    </row>
    <row r="1388" spans="2:9" hidden="1" x14ac:dyDescent="0.4">
      <c r="B1388" s="8" t="s">
        <v>518</v>
      </c>
      <c r="C1388" s="3" t="s">
        <v>3881</v>
      </c>
      <c r="D1388" s="3" t="s">
        <v>4029</v>
      </c>
      <c r="F1388" s="3" t="s">
        <v>399</v>
      </c>
      <c r="G1388" s="3" t="s">
        <v>402</v>
      </c>
      <c r="I1388" s="3" t="s">
        <v>4063</v>
      </c>
    </row>
    <row r="1389" spans="2:9" hidden="1" x14ac:dyDescent="0.4">
      <c r="B1389" s="8" t="s">
        <v>518</v>
      </c>
      <c r="C1389" s="3" t="s">
        <v>5881</v>
      </c>
      <c r="D1389" s="3" t="s">
        <v>4972</v>
      </c>
      <c r="F1389" s="3" t="s">
        <v>399</v>
      </c>
      <c r="I1389" s="3" t="s">
        <v>4063</v>
      </c>
    </row>
    <row r="1390" spans="2:9" hidden="1" x14ac:dyDescent="0.4">
      <c r="B1390" s="8" t="s">
        <v>518</v>
      </c>
      <c r="C1390" s="3" t="s">
        <v>6227</v>
      </c>
      <c r="D1390" s="3" t="s">
        <v>5569</v>
      </c>
      <c r="F1390" s="3" t="s">
        <v>402</v>
      </c>
      <c r="I1390" s="3" t="s">
        <v>4063</v>
      </c>
    </row>
    <row r="1391" spans="2:9" hidden="1" x14ac:dyDescent="0.4">
      <c r="B1391" s="8" t="s">
        <v>518</v>
      </c>
      <c r="C1391" s="3" t="s">
        <v>2885</v>
      </c>
      <c r="D1391" s="3" t="s">
        <v>3128</v>
      </c>
      <c r="E1391" s="3">
        <v>1</v>
      </c>
      <c r="F1391" s="3" t="s">
        <v>402</v>
      </c>
      <c r="I1391" s="3" t="s">
        <v>245</v>
      </c>
    </row>
    <row r="1392" spans="2:9" hidden="1" x14ac:dyDescent="0.4">
      <c r="B1392" s="8">
        <v>5</v>
      </c>
      <c r="C1392" s="3" t="s">
        <v>166</v>
      </c>
      <c r="D1392" s="3" t="s">
        <v>635</v>
      </c>
      <c r="F1392" s="3" t="s">
        <v>399</v>
      </c>
      <c r="I1392" s="3" t="s">
        <v>267</v>
      </c>
    </row>
    <row r="1393" spans="2:9" hidden="1" x14ac:dyDescent="0.4">
      <c r="B1393" s="8" t="s">
        <v>517</v>
      </c>
      <c r="C1393" s="3" t="s">
        <v>1483</v>
      </c>
      <c r="D1393" s="3" t="s">
        <v>1526</v>
      </c>
      <c r="F1393" s="3" t="s">
        <v>399</v>
      </c>
      <c r="G1393" s="3" t="s">
        <v>402</v>
      </c>
      <c r="I1393" s="3" t="s">
        <v>1489</v>
      </c>
    </row>
    <row r="1394" spans="2:9" hidden="1" x14ac:dyDescent="0.4">
      <c r="B1394" s="8" t="s">
        <v>517</v>
      </c>
      <c r="C1394" s="3" t="s">
        <v>1591</v>
      </c>
      <c r="D1394" s="3" t="s">
        <v>1526</v>
      </c>
      <c r="F1394" s="3" t="s">
        <v>402</v>
      </c>
      <c r="I1394" s="3" t="s">
        <v>1489</v>
      </c>
    </row>
    <row r="1395" spans="2:9" hidden="1" x14ac:dyDescent="0.4">
      <c r="B1395" s="8" t="s">
        <v>517</v>
      </c>
      <c r="C1395" s="3" t="s">
        <v>4610</v>
      </c>
      <c r="D1395" s="3" t="s">
        <v>4721</v>
      </c>
      <c r="F1395" s="3" t="s">
        <v>399</v>
      </c>
      <c r="I1395" s="3" t="s">
        <v>4064</v>
      </c>
    </row>
    <row r="1396" spans="2:9" hidden="1" x14ac:dyDescent="0.4">
      <c r="B1396" s="8" t="s">
        <v>517</v>
      </c>
      <c r="C1396" s="3" t="s">
        <v>5058</v>
      </c>
      <c r="D1396" s="3" t="s">
        <v>5389</v>
      </c>
      <c r="F1396" s="3" t="s">
        <v>402</v>
      </c>
      <c r="I1396" s="3" t="s">
        <v>4064</v>
      </c>
    </row>
    <row r="1397" spans="2:9" hidden="1" x14ac:dyDescent="0.4">
      <c r="B1397" s="8" t="s">
        <v>517</v>
      </c>
      <c r="C1397" s="3" t="s">
        <v>4099</v>
      </c>
      <c r="D1397" s="3" t="s">
        <v>3698</v>
      </c>
      <c r="F1397" s="3" t="s">
        <v>399</v>
      </c>
      <c r="G1397" s="3" t="s">
        <v>402</v>
      </c>
      <c r="I1397" s="3" t="s">
        <v>4064</v>
      </c>
    </row>
    <row r="1398" spans="2:9" hidden="1" x14ac:dyDescent="0.4">
      <c r="B1398" s="8" t="s">
        <v>517</v>
      </c>
      <c r="C1398" s="3" t="s">
        <v>3390</v>
      </c>
      <c r="D1398" s="3" t="s">
        <v>3698</v>
      </c>
      <c r="F1398" s="3" t="s">
        <v>399</v>
      </c>
      <c r="G1398" s="3" t="s">
        <v>402</v>
      </c>
      <c r="I1398" s="3" t="s">
        <v>4063</v>
      </c>
    </row>
    <row r="1399" spans="2:9" hidden="1" x14ac:dyDescent="0.4">
      <c r="B1399" s="8" t="s">
        <v>517</v>
      </c>
      <c r="C1399" s="3" t="s">
        <v>5983</v>
      </c>
      <c r="D1399" s="3" t="s">
        <v>4721</v>
      </c>
      <c r="F1399" s="3" t="s">
        <v>399</v>
      </c>
      <c r="I1399" s="3" t="s">
        <v>4063</v>
      </c>
    </row>
    <row r="1400" spans="2:9" hidden="1" x14ac:dyDescent="0.4">
      <c r="B1400" s="8" t="s">
        <v>517</v>
      </c>
      <c r="C1400" s="3" t="s">
        <v>6331</v>
      </c>
      <c r="D1400" s="3" t="s">
        <v>5389</v>
      </c>
      <c r="F1400" s="3" t="s">
        <v>402</v>
      </c>
      <c r="I1400" s="3" t="s">
        <v>4063</v>
      </c>
    </row>
    <row r="1401" spans="2:9" hidden="1" x14ac:dyDescent="0.4">
      <c r="B1401" s="8" t="s">
        <v>517</v>
      </c>
      <c r="C1401" s="3" t="s">
        <v>286</v>
      </c>
      <c r="D1401" s="3" t="s">
        <v>578</v>
      </c>
      <c r="F1401" s="3" t="s">
        <v>399</v>
      </c>
      <c r="I1401" s="3" t="s">
        <v>267</v>
      </c>
    </row>
    <row r="1402" spans="2:9" hidden="1" x14ac:dyDescent="0.4">
      <c r="B1402" s="8" t="s">
        <v>517</v>
      </c>
      <c r="C1402" s="3" t="s">
        <v>863</v>
      </c>
      <c r="D1402" s="3" t="s">
        <v>875</v>
      </c>
      <c r="E1402" s="3" t="s">
        <v>425</v>
      </c>
      <c r="F1402" s="3" t="s">
        <v>399</v>
      </c>
      <c r="I1402" s="3" t="s">
        <v>824</v>
      </c>
    </row>
    <row r="1403" spans="2:9" hidden="1" x14ac:dyDescent="0.4">
      <c r="B1403" s="8" t="s">
        <v>517</v>
      </c>
      <c r="C1403" s="3" t="s">
        <v>863</v>
      </c>
      <c r="D1403" s="3" t="s">
        <v>900</v>
      </c>
      <c r="E1403" s="3" t="s">
        <v>425</v>
      </c>
      <c r="F1403" s="3" t="s">
        <v>399</v>
      </c>
      <c r="I1403" s="3" t="s">
        <v>523</v>
      </c>
    </row>
    <row r="1404" spans="2:9" hidden="1" x14ac:dyDescent="0.4">
      <c r="B1404" s="8" t="s">
        <v>517</v>
      </c>
      <c r="C1404" s="3" t="s">
        <v>863</v>
      </c>
      <c r="D1404" s="3" t="s">
        <v>887</v>
      </c>
      <c r="E1404" s="3" t="s">
        <v>425</v>
      </c>
      <c r="F1404" s="3" t="s">
        <v>399</v>
      </c>
      <c r="I1404" s="3" t="s">
        <v>898</v>
      </c>
    </row>
    <row r="1405" spans="2:9" hidden="1" x14ac:dyDescent="0.4">
      <c r="B1405" s="8" t="s">
        <v>517</v>
      </c>
      <c r="C1405" s="3" t="s">
        <v>950</v>
      </c>
      <c r="D1405" s="3" t="s">
        <v>875</v>
      </c>
      <c r="E1405" s="3" t="s">
        <v>425</v>
      </c>
      <c r="F1405" s="3" t="s">
        <v>402</v>
      </c>
      <c r="I1405" s="3" t="s">
        <v>824</v>
      </c>
    </row>
    <row r="1406" spans="2:9" hidden="1" x14ac:dyDescent="0.4">
      <c r="B1406" s="8" t="s">
        <v>517</v>
      </c>
      <c r="C1406" s="3" t="s">
        <v>950</v>
      </c>
      <c r="D1406" s="3" t="s">
        <v>900</v>
      </c>
      <c r="E1406" s="3" t="s">
        <v>425</v>
      </c>
      <c r="F1406" s="3" t="s">
        <v>402</v>
      </c>
      <c r="I1406" s="3" t="s">
        <v>523</v>
      </c>
    </row>
    <row r="1407" spans="2:9" hidden="1" x14ac:dyDescent="0.4">
      <c r="B1407" s="8" t="s">
        <v>517</v>
      </c>
      <c r="C1407" s="3" t="s">
        <v>950</v>
      </c>
      <c r="D1407" s="3" t="s">
        <v>887</v>
      </c>
      <c r="E1407" s="3" t="s">
        <v>425</v>
      </c>
      <c r="F1407" s="3" t="s">
        <v>402</v>
      </c>
      <c r="I1407" s="3" t="s">
        <v>898</v>
      </c>
    </row>
    <row r="1408" spans="2:9" hidden="1" x14ac:dyDescent="0.4">
      <c r="B1408" s="8" t="s">
        <v>517</v>
      </c>
      <c r="C1408" s="3" t="s">
        <v>525</v>
      </c>
      <c r="D1408" s="3" t="s">
        <v>665</v>
      </c>
      <c r="E1408" s="3" t="s">
        <v>425</v>
      </c>
      <c r="F1408" s="3" t="s">
        <v>522</v>
      </c>
      <c r="I1408" s="3" t="s">
        <v>528</v>
      </c>
    </row>
    <row r="1409" spans="2:9" hidden="1" x14ac:dyDescent="0.4">
      <c r="B1409" s="8" t="s">
        <v>823</v>
      </c>
      <c r="C1409" s="3" t="s">
        <v>525</v>
      </c>
      <c r="D1409" s="3" t="s">
        <v>2080</v>
      </c>
      <c r="F1409" s="3" t="s">
        <v>2065</v>
      </c>
      <c r="I1409" s="3" t="s">
        <v>248</v>
      </c>
    </row>
    <row r="1410" spans="2:9" hidden="1" x14ac:dyDescent="0.4">
      <c r="B1410" s="8" t="s">
        <v>517</v>
      </c>
      <c r="C1410" s="3" t="s">
        <v>525</v>
      </c>
      <c r="D1410" s="3" t="s">
        <v>2080</v>
      </c>
      <c r="F1410" s="3" t="s">
        <v>402</v>
      </c>
      <c r="I1410" s="3" t="s">
        <v>1728</v>
      </c>
    </row>
    <row r="1411" spans="2:9" hidden="1" x14ac:dyDescent="0.4">
      <c r="B1411" s="8" t="s">
        <v>517</v>
      </c>
      <c r="C1411" s="3" t="s">
        <v>714</v>
      </c>
      <c r="D1411" s="3" t="s">
        <v>665</v>
      </c>
      <c r="E1411" s="3" t="s">
        <v>425</v>
      </c>
      <c r="F1411" s="3" t="s">
        <v>684</v>
      </c>
      <c r="I1411" s="3" t="s">
        <v>528</v>
      </c>
    </row>
    <row r="1412" spans="2:9" hidden="1" x14ac:dyDescent="0.4">
      <c r="B1412" s="8" t="s">
        <v>517</v>
      </c>
      <c r="C1412" s="3" t="s">
        <v>225</v>
      </c>
      <c r="D1412" s="3" t="s">
        <v>259</v>
      </c>
      <c r="F1412" s="3" t="s">
        <v>522</v>
      </c>
      <c r="I1412" s="3" t="s">
        <v>420</v>
      </c>
    </row>
    <row r="1413" spans="2:9" hidden="1" x14ac:dyDescent="0.4">
      <c r="B1413" s="8" t="s">
        <v>517</v>
      </c>
      <c r="C1413" s="3" t="s">
        <v>436</v>
      </c>
      <c r="D1413" s="3" t="s">
        <v>474</v>
      </c>
      <c r="F1413" s="3" t="s">
        <v>430</v>
      </c>
      <c r="I1413" s="3" t="s">
        <v>431</v>
      </c>
    </row>
    <row r="1414" spans="2:9" hidden="1" x14ac:dyDescent="0.4">
      <c r="B1414" s="8" t="s">
        <v>529</v>
      </c>
      <c r="C1414" s="3" t="s">
        <v>485</v>
      </c>
      <c r="D1414" s="3" t="s">
        <v>662</v>
      </c>
      <c r="F1414" s="3" t="s">
        <v>522</v>
      </c>
      <c r="I1414" s="3" t="s">
        <v>510</v>
      </c>
    </row>
    <row r="1415" spans="2:9" hidden="1" x14ac:dyDescent="0.4">
      <c r="B1415" s="8" t="s">
        <v>529</v>
      </c>
      <c r="C1415" s="3" t="s">
        <v>692</v>
      </c>
      <c r="D1415" s="3" t="s">
        <v>662</v>
      </c>
      <c r="F1415" s="3" t="s">
        <v>522</v>
      </c>
      <c r="G1415" s="3" t="s">
        <v>684</v>
      </c>
      <c r="I1415" s="3" t="s">
        <v>510</v>
      </c>
    </row>
    <row r="1416" spans="2:9" hidden="1" x14ac:dyDescent="0.4">
      <c r="B1416" s="8" t="s">
        <v>517</v>
      </c>
      <c r="C1416" s="3" t="s">
        <v>2880</v>
      </c>
      <c r="D1416" s="3" t="s">
        <v>3122</v>
      </c>
      <c r="E1416" s="3">
        <v>1</v>
      </c>
      <c r="F1416" s="3" t="s">
        <v>402</v>
      </c>
      <c r="G1416" s="3" t="s">
        <v>988</v>
      </c>
      <c r="I1416" s="3" t="s">
        <v>245</v>
      </c>
    </row>
    <row r="1417" spans="2:9" hidden="1" x14ac:dyDescent="0.4">
      <c r="B1417" s="8" t="s">
        <v>518</v>
      </c>
      <c r="C1417" s="3" t="s">
        <v>1794</v>
      </c>
      <c r="D1417" s="3" t="s">
        <v>1864</v>
      </c>
      <c r="F1417" s="3" t="s">
        <v>399</v>
      </c>
      <c r="I1417" s="3" t="s">
        <v>1865</v>
      </c>
    </row>
    <row r="1418" spans="2:9" hidden="1" x14ac:dyDescent="0.4">
      <c r="B1418" s="8" t="s">
        <v>518</v>
      </c>
      <c r="C1418" s="3" t="s">
        <v>1796</v>
      </c>
      <c r="D1418" s="3" t="s">
        <v>1864</v>
      </c>
      <c r="F1418" s="3" t="s">
        <v>402</v>
      </c>
      <c r="I1418" s="3" t="s">
        <v>1865</v>
      </c>
    </row>
    <row r="1419" spans="2:9" hidden="1" x14ac:dyDescent="0.4">
      <c r="B1419" s="8" t="s">
        <v>518</v>
      </c>
      <c r="C1419" s="3" t="s">
        <v>1795</v>
      </c>
      <c r="D1419" s="3" t="s">
        <v>1866</v>
      </c>
      <c r="F1419" s="3" t="s">
        <v>402</v>
      </c>
      <c r="I1419" s="3" t="s">
        <v>1865</v>
      </c>
    </row>
    <row r="1420" spans="2:9" hidden="1" x14ac:dyDescent="0.4">
      <c r="B1420" s="8" t="s">
        <v>518</v>
      </c>
      <c r="C1420" s="3" t="s">
        <v>4079</v>
      </c>
      <c r="D1420" s="3" t="s">
        <v>4080</v>
      </c>
      <c r="F1420" s="3" t="s">
        <v>399</v>
      </c>
      <c r="G1420" s="3" t="s">
        <v>402</v>
      </c>
      <c r="I1420" s="3" t="s">
        <v>4064</v>
      </c>
    </row>
    <row r="1421" spans="2:9" hidden="1" x14ac:dyDescent="0.4">
      <c r="B1421" s="8" t="s">
        <v>518</v>
      </c>
      <c r="C1421" s="3" t="s">
        <v>4364</v>
      </c>
      <c r="D1421" s="3" t="s">
        <v>4911</v>
      </c>
      <c r="F1421" s="3" t="s">
        <v>399</v>
      </c>
      <c r="I1421" s="3" t="s">
        <v>4064</v>
      </c>
    </row>
    <row r="1422" spans="2:9" hidden="1" x14ac:dyDescent="0.4">
      <c r="B1422" s="8" t="s">
        <v>518</v>
      </c>
      <c r="C1422" s="3" t="s">
        <v>5028</v>
      </c>
      <c r="D1422" s="3" t="s">
        <v>5365</v>
      </c>
      <c r="F1422" s="3" t="s">
        <v>402</v>
      </c>
      <c r="I1422" s="3" t="s">
        <v>4064</v>
      </c>
    </row>
    <row r="1423" spans="2:9" hidden="1" x14ac:dyDescent="0.4">
      <c r="B1423" s="8" t="s">
        <v>518</v>
      </c>
      <c r="C1423" s="3" t="s">
        <v>4078</v>
      </c>
      <c r="D1423" s="3" t="s">
        <v>4080</v>
      </c>
      <c r="F1423" s="3" t="s">
        <v>399</v>
      </c>
      <c r="G1423" s="3" t="s">
        <v>402</v>
      </c>
      <c r="I1423" s="3" t="s">
        <v>4063</v>
      </c>
    </row>
    <row r="1424" spans="2:9" hidden="1" x14ac:dyDescent="0.4">
      <c r="B1424" s="8" t="s">
        <v>518</v>
      </c>
      <c r="C1424" s="3" t="s">
        <v>5978</v>
      </c>
      <c r="D1424" s="3" t="s">
        <v>4860</v>
      </c>
      <c r="F1424" s="3" t="s">
        <v>399</v>
      </c>
      <c r="I1424" s="3" t="s">
        <v>4063</v>
      </c>
    </row>
    <row r="1425" spans="2:9" hidden="1" x14ac:dyDescent="0.4">
      <c r="B1425" s="8" t="s">
        <v>518</v>
      </c>
      <c r="C1425" s="3" t="s">
        <v>6326</v>
      </c>
      <c r="D1425" s="3" t="s">
        <v>6376</v>
      </c>
      <c r="F1425" s="3" t="s">
        <v>402</v>
      </c>
      <c r="I1425" s="3" t="s">
        <v>4063</v>
      </c>
    </row>
    <row r="1426" spans="2:9" hidden="1" x14ac:dyDescent="0.4">
      <c r="B1426" s="8">
        <v>1</v>
      </c>
      <c r="C1426" s="3" t="s">
        <v>180</v>
      </c>
      <c r="D1426" s="3" t="s">
        <v>636</v>
      </c>
      <c r="F1426" s="3" t="s">
        <v>399</v>
      </c>
      <c r="I1426" s="3" t="s">
        <v>267</v>
      </c>
    </row>
    <row r="1427" spans="2:9" hidden="1" x14ac:dyDescent="0.4">
      <c r="B1427" s="8" t="s">
        <v>517</v>
      </c>
      <c r="C1427" s="3" t="s">
        <v>4259</v>
      </c>
      <c r="D1427" s="3" t="s">
        <v>3872</v>
      </c>
      <c r="F1427" s="3" t="s">
        <v>399</v>
      </c>
      <c r="G1427" s="3" t="s">
        <v>402</v>
      </c>
      <c r="I1427" s="3" t="s">
        <v>4064</v>
      </c>
    </row>
    <row r="1428" spans="2:9" hidden="1" x14ac:dyDescent="0.4">
      <c r="B1428" s="8" t="s">
        <v>517</v>
      </c>
      <c r="C1428" s="3" t="s">
        <v>4675</v>
      </c>
      <c r="D1428" s="3" t="s">
        <v>4923</v>
      </c>
      <c r="F1428" s="3" t="s">
        <v>399</v>
      </c>
      <c r="I1428" s="3" t="s">
        <v>4064</v>
      </c>
    </row>
    <row r="1429" spans="2:9" hidden="1" x14ac:dyDescent="0.4">
      <c r="B1429" s="8" t="s">
        <v>517</v>
      </c>
      <c r="C1429" s="3" t="s">
        <v>5239</v>
      </c>
      <c r="D1429" s="3" t="s">
        <v>5561</v>
      </c>
      <c r="F1429" s="3" t="s">
        <v>402</v>
      </c>
      <c r="I1429" s="3" t="s">
        <v>4064</v>
      </c>
    </row>
    <row r="1430" spans="2:9" hidden="1" x14ac:dyDescent="0.4">
      <c r="B1430" s="8" t="s">
        <v>517</v>
      </c>
      <c r="C1430" s="3" t="s">
        <v>3565</v>
      </c>
      <c r="D1430" s="3" t="s">
        <v>3872</v>
      </c>
      <c r="F1430" s="3" t="s">
        <v>399</v>
      </c>
      <c r="G1430" s="3" t="s">
        <v>402</v>
      </c>
      <c r="I1430" s="3" t="s">
        <v>4063</v>
      </c>
    </row>
    <row r="1431" spans="2:9" hidden="1" x14ac:dyDescent="0.4">
      <c r="B1431" s="8" t="s">
        <v>517</v>
      </c>
      <c r="C1431" s="3" t="s">
        <v>5874</v>
      </c>
      <c r="D1431" s="3" t="s">
        <v>4923</v>
      </c>
      <c r="F1431" s="3" t="s">
        <v>399</v>
      </c>
      <c r="I1431" s="3" t="s">
        <v>4063</v>
      </c>
    </row>
    <row r="1432" spans="2:9" hidden="1" x14ac:dyDescent="0.4">
      <c r="B1432" s="8" t="s">
        <v>517</v>
      </c>
      <c r="C1432" s="3" t="s">
        <v>6220</v>
      </c>
      <c r="D1432" s="3" t="s">
        <v>5561</v>
      </c>
      <c r="F1432" s="3" t="s">
        <v>402</v>
      </c>
      <c r="I1432" s="3" t="s">
        <v>4063</v>
      </c>
    </row>
    <row r="1433" spans="2:9" hidden="1" x14ac:dyDescent="0.4">
      <c r="B1433" s="8" t="s">
        <v>536</v>
      </c>
      <c r="C1433" s="3" t="s">
        <v>3353</v>
      </c>
      <c r="D1433" s="3" t="s">
        <v>3111</v>
      </c>
      <c r="E1433" s="3">
        <v>1</v>
      </c>
      <c r="F1433" s="3" t="s">
        <v>1124</v>
      </c>
      <c r="I1433" s="3" t="s">
        <v>245</v>
      </c>
    </row>
    <row r="1434" spans="2:9" hidden="1" x14ac:dyDescent="0.4">
      <c r="B1434" s="8" t="s">
        <v>517</v>
      </c>
      <c r="C1434" s="3" t="s">
        <v>2867</v>
      </c>
      <c r="D1434" s="3" t="s">
        <v>3111</v>
      </c>
      <c r="E1434" s="3">
        <v>1</v>
      </c>
      <c r="F1434" s="3" t="s">
        <v>402</v>
      </c>
      <c r="G1434" s="3" t="s">
        <v>988</v>
      </c>
      <c r="H1434" s="3" t="s">
        <v>399</v>
      </c>
      <c r="I1434" s="3" t="s">
        <v>245</v>
      </c>
    </row>
    <row r="1435" spans="2:9" hidden="1" x14ac:dyDescent="0.4">
      <c r="B1435" s="8" t="s">
        <v>517</v>
      </c>
      <c r="C1435" s="3" t="s">
        <v>2981</v>
      </c>
      <c r="D1435" s="3" t="s">
        <v>3219</v>
      </c>
      <c r="E1435" s="3">
        <v>1</v>
      </c>
      <c r="F1435" s="3" t="s">
        <v>402</v>
      </c>
      <c r="G1435" s="3" t="s">
        <v>988</v>
      </c>
      <c r="H1435" s="3" t="s">
        <v>1279</v>
      </c>
      <c r="I1435" s="3" t="s">
        <v>245</v>
      </c>
    </row>
    <row r="1436" spans="2:9" hidden="1" x14ac:dyDescent="0.4">
      <c r="B1436" s="8" t="s">
        <v>517</v>
      </c>
      <c r="C1436" s="3" t="s">
        <v>2909</v>
      </c>
      <c r="D1436" s="3" t="s">
        <v>3150</v>
      </c>
      <c r="E1436" s="3">
        <v>1</v>
      </c>
      <c r="F1436" s="3" t="s">
        <v>402</v>
      </c>
      <c r="I1436" s="3" t="s">
        <v>245</v>
      </c>
    </row>
    <row r="1437" spans="2:9" hidden="1" x14ac:dyDescent="0.4">
      <c r="B1437" s="8" t="s">
        <v>520</v>
      </c>
      <c r="C1437" s="3" t="s">
        <v>136</v>
      </c>
      <c r="D1437" s="3" t="s">
        <v>148</v>
      </c>
      <c r="E1437" s="3" t="s">
        <v>425</v>
      </c>
      <c r="F1437" s="3" t="s">
        <v>400</v>
      </c>
      <c r="I1437" s="3" t="s">
        <v>252</v>
      </c>
    </row>
    <row r="1438" spans="2:9" hidden="1" x14ac:dyDescent="0.4">
      <c r="B1438" s="8" t="s">
        <v>517</v>
      </c>
      <c r="C1438" s="3" t="s">
        <v>872</v>
      </c>
      <c r="D1438" s="3" t="s">
        <v>884</v>
      </c>
      <c r="E1438" s="3" t="s">
        <v>425</v>
      </c>
      <c r="F1438" s="3" t="s">
        <v>399</v>
      </c>
      <c r="I1438" s="3" t="s">
        <v>824</v>
      </c>
    </row>
    <row r="1439" spans="2:9" hidden="1" x14ac:dyDescent="0.4">
      <c r="B1439" s="8" t="s">
        <v>517</v>
      </c>
      <c r="C1439" s="3" t="s">
        <v>872</v>
      </c>
      <c r="D1439" s="3" t="s">
        <v>909</v>
      </c>
      <c r="E1439" s="3" t="s">
        <v>425</v>
      </c>
      <c r="F1439" s="3" t="s">
        <v>399</v>
      </c>
      <c r="I1439" s="3" t="s">
        <v>523</v>
      </c>
    </row>
    <row r="1440" spans="2:9" hidden="1" x14ac:dyDescent="0.4">
      <c r="B1440" s="8" t="s">
        <v>517</v>
      </c>
      <c r="C1440" s="3" t="s">
        <v>872</v>
      </c>
      <c r="D1440" s="3" t="s">
        <v>896</v>
      </c>
      <c r="E1440" s="3" t="s">
        <v>425</v>
      </c>
      <c r="F1440" s="3" t="s">
        <v>399</v>
      </c>
      <c r="I1440" s="3" t="s">
        <v>898</v>
      </c>
    </row>
    <row r="1441" spans="2:9" hidden="1" x14ac:dyDescent="0.4">
      <c r="B1441" s="8" t="s">
        <v>517</v>
      </c>
      <c r="C1441" s="3" t="s">
        <v>963</v>
      </c>
      <c r="D1441" s="3" t="s">
        <v>884</v>
      </c>
      <c r="E1441" s="3" t="s">
        <v>425</v>
      </c>
      <c r="F1441" s="3" t="s">
        <v>402</v>
      </c>
      <c r="I1441" s="3" t="s">
        <v>824</v>
      </c>
    </row>
    <row r="1442" spans="2:9" hidden="1" x14ac:dyDescent="0.4">
      <c r="B1442" s="8" t="s">
        <v>517</v>
      </c>
      <c r="C1442" s="3" t="s">
        <v>963</v>
      </c>
      <c r="D1442" s="3" t="s">
        <v>909</v>
      </c>
      <c r="E1442" s="3" t="s">
        <v>425</v>
      </c>
      <c r="F1442" s="3" t="s">
        <v>402</v>
      </c>
      <c r="I1442" s="3" t="s">
        <v>523</v>
      </c>
    </row>
    <row r="1443" spans="2:9" hidden="1" x14ac:dyDescent="0.4">
      <c r="B1443" s="8" t="s">
        <v>517</v>
      </c>
      <c r="C1443" s="3" t="s">
        <v>963</v>
      </c>
      <c r="D1443" s="3" t="s">
        <v>896</v>
      </c>
      <c r="E1443" s="3" t="s">
        <v>425</v>
      </c>
      <c r="F1443" s="3" t="s">
        <v>402</v>
      </c>
      <c r="I1443" s="3" t="s">
        <v>898</v>
      </c>
    </row>
    <row r="1444" spans="2:9" hidden="1" x14ac:dyDescent="0.4">
      <c r="B1444" s="8" t="s">
        <v>518</v>
      </c>
      <c r="C1444" s="3" t="s">
        <v>2211</v>
      </c>
      <c r="D1444" s="3" t="s">
        <v>2359</v>
      </c>
      <c r="E1444" s="3" t="s">
        <v>432</v>
      </c>
      <c r="F1444" s="3" t="s">
        <v>399</v>
      </c>
      <c r="I1444" s="3" t="s">
        <v>1833</v>
      </c>
    </row>
    <row r="1445" spans="2:9" hidden="1" x14ac:dyDescent="0.4">
      <c r="B1445" s="8" t="s">
        <v>512</v>
      </c>
      <c r="C1445" s="3" t="s">
        <v>2198</v>
      </c>
      <c r="D1445" s="3" t="s">
        <v>2348</v>
      </c>
      <c r="F1445" s="3" t="s">
        <v>399</v>
      </c>
      <c r="I1445" s="3" t="s">
        <v>1833</v>
      </c>
    </row>
    <row r="1446" spans="2:9" hidden="1" x14ac:dyDescent="0.4">
      <c r="B1446" s="8" t="s">
        <v>518</v>
      </c>
      <c r="C1446" s="3" t="s">
        <v>2508</v>
      </c>
      <c r="D1446" s="3" t="s">
        <v>2359</v>
      </c>
      <c r="E1446" s="3" t="s">
        <v>432</v>
      </c>
      <c r="F1446" s="3" t="s">
        <v>402</v>
      </c>
      <c r="I1446" s="3" t="s">
        <v>1833</v>
      </c>
    </row>
    <row r="1447" spans="2:9" hidden="1" x14ac:dyDescent="0.4">
      <c r="B1447" s="8" t="s">
        <v>531</v>
      </c>
      <c r="C1447" s="3" t="s">
        <v>4223</v>
      </c>
      <c r="D1447" s="3" t="s">
        <v>3832</v>
      </c>
      <c r="F1447" s="3" t="s">
        <v>399</v>
      </c>
      <c r="G1447" s="3" t="s">
        <v>402</v>
      </c>
      <c r="I1447" s="3" t="s">
        <v>4064</v>
      </c>
    </row>
    <row r="1448" spans="2:9" hidden="1" x14ac:dyDescent="0.4">
      <c r="B1448" s="8" t="s">
        <v>531</v>
      </c>
      <c r="C1448" s="3" t="s">
        <v>4451</v>
      </c>
      <c r="D1448" s="3" t="s">
        <v>4800</v>
      </c>
      <c r="F1448" s="3" t="s">
        <v>399</v>
      </c>
      <c r="I1448" s="3" t="s">
        <v>4064</v>
      </c>
    </row>
    <row r="1449" spans="2:9" hidden="1" x14ac:dyDescent="0.4">
      <c r="B1449" s="8" t="s">
        <v>531</v>
      </c>
      <c r="C1449" s="3" t="s">
        <v>5201</v>
      </c>
      <c r="D1449" s="3" t="s">
        <v>5522</v>
      </c>
      <c r="F1449" s="3" t="s">
        <v>402</v>
      </c>
      <c r="I1449" s="3" t="s">
        <v>4064</v>
      </c>
    </row>
    <row r="1450" spans="2:9" hidden="1" x14ac:dyDescent="0.4">
      <c r="B1450" s="8" t="s">
        <v>531</v>
      </c>
      <c r="C1450" s="3" t="s">
        <v>3528</v>
      </c>
      <c r="D1450" s="3" t="s">
        <v>3832</v>
      </c>
      <c r="F1450" s="3" t="s">
        <v>399</v>
      </c>
      <c r="G1450" s="3" t="s">
        <v>402</v>
      </c>
      <c r="I1450" s="3" t="s">
        <v>4063</v>
      </c>
    </row>
    <row r="1451" spans="2:9" hidden="1" x14ac:dyDescent="0.4">
      <c r="B1451" s="8" t="s">
        <v>531</v>
      </c>
      <c r="C1451" s="3" t="s">
        <v>5840</v>
      </c>
      <c r="D1451" s="3" t="s">
        <v>4800</v>
      </c>
      <c r="F1451" s="3" t="s">
        <v>399</v>
      </c>
      <c r="I1451" s="3" t="s">
        <v>4063</v>
      </c>
    </row>
    <row r="1452" spans="2:9" hidden="1" x14ac:dyDescent="0.4">
      <c r="B1452" s="8" t="s">
        <v>531</v>
      </c>
      <c r="C1452" s="3" t="s">
        <v>6183</v>
      </c>
      <c r="D1452" s="3" t="s">
        <v>5522</v>
      </c>
      <c r="F1452" s="3" t="s">
        <v>402</v>
      </c>
      <c r="I1452" s="3" t="s">
        <v>4063</v>
      </c>
    </row>
    <row r="1453" spans="2:9" hidden="1" x14ac:dyDescent="0.4">
      <c r="B1453" s="8" t="s">
        <v>529</v>
      </c>
      <c r="C1453" s="3" t="s">
        <v>4241</v>
      </c>
      <c r="D1453" s="3" t="s">
        <v>3855</v>
      </c>
      <c r="F1453" s="3" t="s">
        <v>399</v>
      </c>
      <c r="G1453" s="3" t="s">
        <v>402</v>
      </c>
      <c r="I1453" s="3" t="s">
        <v>4064</v>
      </c>
    </row>
    <row r="1454" spans="2:9" hidden="1" x14ac:dyDescent="0.4">
      <c r="B1454" s="8" t="s">
        <v>529</v>
      </c>
      <c r="C1454" s="3" t="s">
        <v>4466</v>
      </c>
      <c r="D1454" s="3" t="s">
        <v>4819</v>
      </c>
      <c r="F1454" s="3" t="s">
        <v>399</v>
      </c>
      <c r="I1454" s="3" t="s">
        <v>4064</v>
      </c>
    </row>
    <row r="1455" spans="2:9" hidden="1" x14ac:dyDescent="0.4">
      <c r="B1455" s="8" t="s">
        <v>529</v>
      </c>
      <c r="C1455" s="3" t="s">
        <v>5222</v>
      </c>
      <c r="D1455" s="3" t="s">
        <v>5544</v>
      </c>
      <c r="F1455" s="3" t="s">
        <v>402</v>
      </c>
      <c r="I1455" s="3" t="s">
        <v>4064</v>
      </c>
    </row>
    <row r="1456" spans="2:9" hidden="1" x14ac:dyDescent="0.4">
      <c r="B1456" s="8" t="s">
        <v>529</v>
      </c>
      <c r="C1456" s="3" t="s">
        <v>3548</v>
      </c>
      <c r="D1456" s="3" t="s">
        <v>3855</v>
      </c>
      <c r="F1456" s="3" t="s">
        <v>399</v>
      </c>
      <c r="G1456" s="3" t="s">
        <v>402</v>
      </c>
      <c r="I1456" s="3" t="s">
        <v>4063</v>
      </c>
    </row>
    <row r="1457" spans="2:9" ht="29.25" hidden="1" x14ac:dyDescent="0.4">
      <c r="B1457" s="8" t="s">
        <v>529</v>
      </c>
      <c r="C1457" s="3" t="s">
        <v>6203</v>
      </c>
      <c r="D1457" s="3" t="s">
        <v>5544</v>
      </c>
      <c r="F1457" s="3" t="s">
        <v>402</v>
      </c>
      <c r="I1457" s="3" t="s">
        <v>4063</v>
      </c>
    </row>
    <row r="1458" spans="2:9" hidden="1" x14ac:dyDescent="0.4">
      <c r="B1458" s="8" t="s">
        <v>529</v>
      </c>
      <c r="C1458" s="3" t="s">
        <v>5858</v>
      </c>
      <c r="D1458" s="3" t="s">
        <v>4819</v>
      </c>
      <c r="F1458" s="3" t="s">
        <v>399</v>
      </c>
      <c r="I1458" s="3" t="s">
        <v>4063</v>
      </c>
    </row>
    <row r="1459" spans="2:9" hidden="1" x14ac:dyDescent="0.4">
      <c r="B1459" s="8" t="s">
        <v>823</v>
      </c>
      <c r="C1459" s="3" t="s">
        <v>1686</v>
      </c>
      <c r="D1459" s="3" t="s">
        <v>1504</v>
      </c>
      <c r="F1459" s="3" t="s">
        <v>1124</v>
      </c>
      <c r="I1459" s="3" t="s">
        <v>1489</v>
      </c>
    </row>
    <row r="1460" spans="2:9" hidden="1" x14ac:dyDescent="0.4">
      <c r="B1460" s="8" t="s">
        <v>517</v>
      </c>
      <c r="C1460" s="3" t="s">
        <v>1462</v>
      </c>
      <c r="D1460" s="3" t="s">
        <v>1504</v>
      </c>
      <c r="F1460" s="3" t="s">
        <v>399</v>
      </c>
      <c r="G1460" s="3" t="s">
        <v>402</v>
      </c>
      <c r="I1460" s="3" t="s">
        <v>1489</v>
      </c>
    </row>
    <row r="1461" spans="2:9" hidden="1" x14ac:dyDescent="0.4">
      <c r="B1461" s="8" t="s">
        <v>517</v>
      </c>
      <c r="C1461" s="3" t="s">
        <v>1462</v>
      </c>
      <c r="D1461" s="3" t="s">
        <v>2386</v>
      </c>
      <c r="F1461" s="3" t="s">
        <v>399</v>
      </c>
      <c r="I1461" s="3" t="s">
        <v>1833</v>
      </c>
    </row>
    <row r="1462" spans="2:9" hidden="1" x14ac:dyDescent="0.4">
      <c r="B1462" s="8" t="s">
        <v>517</v>
      </c>
      <c r="C1462" s="3" t="s">
        <v>1572</v>
      </c>
      <c r="D1462" s="3" t="s">
        <v>1504</v>
      </c>
      <c r="F1462" s="3" t="s">
        <v>402</v>
      </c>
      <c r="I1462" s="3" t="s">
        <v>1489</v>
      </c>
    </row>
    <row r="1463" spans="2:9" hidden="1" x14ac:dyDescent="0.4">
      <c r="B1463" s="8" t="s">
        <v>517</v>
      </c>
      <c r="C1463" s="3" t="s">
        <v>2503</v>
      </c>
      <c r="D1463" s="3" t="s">
        <v>2386</v>
      </c>
      <c r="F1463" s="3" t="s">
        <v>402</v>
      </c>
      <c r="I1463" s="3" t="s">
        <v>1833</v>
      </c>
    </row>
    <row r="1464" spans="2:9" hidden="1" x14ac:dyDescent="0.4">
      <c r="B1464" s="8" t="s">
        <v>517</v>
      </c>
      <c r="C1464" s="3" t="s">
        <v>1763</v>
      </c>
      <c r="D1464" s="3" t="s">
        <v>1837</v>
      </c>
      <c r="F1464" s="3" t="s">
        <v>402</v>
      </c>
      <c r="I1464" s="3" t="s">
        <v>1838</v>
      </c>
    </row>
    <row r="1465" spans="2:9" hidden="1" x14ac:dyDescent="0.4">
      <c r="B1465" s="8" t="s">
        <v>517</v>
      </c>
      <c r="C1465" s="3" t="s">
        <v>2145</v>
      </c>
      <c r="D1465" s="3" t="s">
        <v>2159</v>
      </c>
      <c r="F1465" s="3" t="s">
        <v>399</v>
      </c>
      <c r="I1465" s="3" t="s">
        <v>1838</v>
      </c>
    </row>
    <row r="1466" spans="2:9" hidden="1" x14ac:dyDescent="0.4">
      <c r="B1466" s="8" t="s">
        <v>516</v>
      </c>
      <c r="C1466" s="3" t="s">
        <v>2175</v>
      </c>
      <c r="D1466" s="3" t="s">
        <v>2159</v>
      </c>
      <c r="F1466" s="3" t="s">
        <v>399</v>
      </c>
      <c r="I1466" s="3" t="s">
        <v>1838</v>
      </c>
    </row>
    <row r="1467" spans="2:9" hidden="1" x14ac:dyDescent="0.4">
      <c r="B1467" s="8" t="s">
        <v>517</v>
      </c>
      <c r="C1467" s="3" t="s">
        <v>4299</v>
      </c>
      <c r="D1467" s="3" t="s">
        <v>3912</v>
      </c>
      <c r="F1467" s="3" t="s">
        <v>399</v>
      </c>
      <c r="G1467" s="3" t="s">
        <v>402</v>
      </c>
      <c r="I1467" s="3" t="s">
        <v>4064</v>
      </c>
    </row>
    <row r="1468" spans="2:9" hidden="1" x14ac:dyDescent="0.4">
      <c r="B1468" s="8" t="s">
        <v>517</v>
      </c>
      <c r="C1468" s="3" t="s">
        <v>4504</v>
      </c>
      <c r="D1468" s="3" t="s">
        <v>4959</v>
      </c>
      <c r="F1468" s="3" t="s">
        <v>399</v>
      </c>
      <c r="I1468" s="3" t="s">
        <v>4064</v>
      </c>
    </row>
    <row r="1469" spans="2:9" hidden="1" x14ac:dyDescent="0.4">
      <c r="B1469" s="8" t="s">
        <v>517</v>
      </c>
      <c r="C1469" s="3" t="s">
        <v>5297</v>
      </c>
      <c r="D1469" s="3" t="s">
        <v>5617</v>
      </c>
      <c r="F1469" s="3" t="s">
        <v>402</v>
      </c>
      <c r="I1469" s="3" t="s">
        <v>4064</v>
      </c>
    </row>
    <row r="1470" spans="2:9" hidden="1" x14ac:dyDescent="0.4">
      <c r="B1470" s="8" t="s">
        <v>517</v>
      </c>
      <c r="C1470" s="3" t="s">
        <v>3618</v>
      </c>
      <c r="D1470" s="3" t="s">
        <v>3912</v>
      </c>
      <c r="F1470" s="3" t="s">
        <v>399</v>
      </c>
      <c r="G1470" s="3" t="s">
        <v>402</v>
      </c>
      <c r="I1470" s="3" t="s">
        <v>4063</v>
      </c>
    </row>
    <row r="1471" spans="2:9" hidden="1" x14ac:dyDescent="0.4">
      <c r="B1471" s="8" t="s">
        <v>517</v>
      </c>
      <c r="C1471" s="3" t="s">
        <v>5924</v>
      </c>
      <c r="D1471" s="3" t="s">
        <v>4959</v>
      </c>
      <c r="F1471" s="3" t="s">
        <v>399</v>
      </c>
      <c r="I1471" s="3" t="s">
        <v>4063</v>
      </c>
    </row>
    <row r="1472" spans="2:9" hidden="1" x14ac:dyDescent="0.4">
      <c r="B1472" s="8" t="s">
        <v>517</v>
      </c>
      <c r="C1472" s="3" t="s">
        <v>6270</v>
      </c>
      <c r="D1472" s="3" t="s">
        <v>5617</v>
      </c>
      <c r="F1472" s="3" t="s">
        <v>402</v>
      </c>
      <c r="I1472" s="3" t="s">
        <v>4063</v>
      </c>
    </row>
    <row r="1473" spans="2:9" hidden="1" x14ac:dyDescent="0.4">
      <c r="B1473" s="8" t="s">
        <v>517</v>
      </c>
      <c r="C1473" s="3" t="s">
        <v>4262</v>
      </c>
      <c r="D1473" s="3" t="s">
        <v>3875</v>
      </c>
      <c r="F1473" s="3" t="s">
        <v>399</v>
      </c>
      <c r="G1473" s="3" t="s">
        <v>402</v>
      </c>
      <c r="I1473" s="3" t="s">
        <v>4064</v>
      </c>
    </row>
    <row r="1474" spans="2:9" hidden="1" x14ac:dyDescent="0.4">
      <c r="B1474" s="8" t="s">
        <v>515</v>
      </c>
      <c r="C1474" s="3" t="s">
        <v>4261</v>
      </c>
      <c r="D1474" s="3" t="s">
        <v>3874</v>
      </c>
      <c r="F1474" s="3" t="s">
        <v>399</v>
      </c>
      <c r="G1474" s="3" t="s">
        <v>402</v>
      </c>
      <c r="I1474" s="3" t="s">
        <v>4064</v>
      </c>
    </row>
    <row r="1475" spans="2:9" hidden="1" x14ac:dyDescent="0.4">
      <c r="B1475" s="8" t="s">
        <v>515</v>
      </c>
      <c r="C1475" s="3" t="s">
        <v>4472</v>
      </c>
      <c r="D1475" s="3" t="s">
        <v>4832</v>
      </c>
      <c r="F1475" s="3" t="s">
        <v>399</v>
      </c>
      <c r="I1475" s="3" t="s">
        <v>4064</v>
      </c>
    </row>
    <row r="1476" spans="2:9" hidden="1" x14ac:dyDescent="0.4">
      <c r="B1476" s="8" t="s">
        <v>515</v>
      </c>
      <c r="C1476" s="3" t="s">
        <v>5242</v>
      </c>
      <c r="D1476" s="3" t="s">
        <v>5564</v>
      </c>
      <c r="F1476" s="3" t="s">
        <v>402</v>
      </c>
      <c r="I1476" s="3" t="s">
        <v>4064</v>
      </c>
    </row>
    <row r="1477" spans="2:9" hidden="1" x14ac:dyDescent="0.4">
      <c r="B1477" s="8" t="s">
        <v>517</v>
      </c>
      <c r="C1477" s="3" t="s">
        <v>4473</v>
      </c>
      <c r="D1477" s="3" t="s">
        <v>4833</v>
      </c>
      <c r="F1477" s="3" t="s">
        <v>399</v>
      </c>
      <c r="I1477" s="3" t="s">
        <v>4064</v>
      </c>
    </row>
    <row r="1478" spans="2:9" hidden="1" x14ac:dyDescent="0.4">
      <c r="B1478" s="8" t="s">
        <v>517</v>
      </c>
      <c r="C1478" s="3" t="s">
        <v>5243</v>
      </c>
      <c r="D1478" s="3" t="s">
        <v>5565</v>
      </c>
      <c r="F1478" s="3" t="s">
        <v>402</v>
      </c>
      <c r="I1478" s="3" t="s">
        <v>4064</v>
      </c>
    </row>
    <row r="1479" spans="2:9" hidden="1" x14ac:dyDescent="0.4">
      <c r="B1479" s="8" t="s">
        <v>517</v>
      </c>
      <c r="C1479" s="3" t="s">
        <v>3569</v>
      </c>
      <c r="D1479" s="3" t="s">
        <v>3875</v>
      </c>
      <c r="F1479" s="3" t="s">
        <v>399</v>
      </c>
      <c r="G1479" s="3" t="s">
        <v>402</v>
      </c>
      <c r="I1479" s="3" t="s">
        <v>4063</v>
      </c>
    </row>
    <row r="1480" spans="2:9" hidden="1" x14ac:dyDescent="0.4">
      <c r="B1480" s="8" t="s">
        <v>516</v>
      </c>
      <c r="C1480" s="3" t="s">
        <v>3568</v>
      </c>
      <c r="D1480" s="3" t="s">
        <v>3874</v>
      </c>
      <c r="F1480" s="3" t="s">
        <v>399</v>
      </c>
      <c r="G1480" s="3" t="s">
        <v>402</v>
      </c>
      <c r="I1480" s="3" t="s">
        <v>4063</v>
      </c>
    </row>
    <row r="1481" spans="2:9" hidden="1" x14ac:dyDescent="0.4">
      <c r="B1481" s="8" t="s">
        <v>517</v>
      </c>
      <c r="C1481" s="3" t="s">
        <v>5878</v>
      </c>
      <c r="D1481" s="3" t="s">
        <v>4833</v>
      </c>
      <c r="F1481" s="3" t="s">
        <v>399</v>
      </c>
      <c r="I1481" s="3" t="s">
        <v>4063</v>
      </c>
    </row>
    <row r="1482" spans="2:9" hidden="1" x14ac:dyDescent="0.4">
      <c r="B1482" s="8" t="s">
        <v>517</v>
      </c>
      <c r="C1482" s="3" t="s">
        <v>6224</v>
      </c>
      <c r="D1482" s="3" t="s">
        <v>5565</v>
      </c>
      <c r="F1482" s="3" t="s">
        <v>402</v>
      </c>
      <c r="I1482" s="3" t="s">
        <v>4063</v>
      </c>
    </row>
    <row r="1483" spans="2:9" ht="29.25" hidden="1" x14ac:dyDescent="0.4">
      <c r="B1483" s="8" t="s">
        <v>516</v>
      </c>
      <c r="C1483" s="3" t="s">
        <v>6223</v>
      </c>
      <c r="D1483" s="3" t="s">
        <v>5564</v>
      </c>
      <c r="F1483" s="3" t="s">
        <v>402</v>
      </c>
      <c r="I1483" s="3" t="s">
        <v>4063</v>
      </c>
    </row>
    <row r="1484" spans="2:9" hidden="1" x14ac:dyDescent="0.4">
      <c r="B1484" s="8" t="s">
        <v>516</v>
      </c>
      <c r="C1484" s="3" t="s">
        <v>5877</v>
      </c>
      <c r="D1484" s="3" t="s">
        <v>4832</v>
      </c>
      <c r="F1484" s="3" t="s">
        <v>399</v>
      </c>
      <c r="I1484" s="3" t="s">
        <v>4063</v>
      </c>
    </row>
    <row r="1485" spans="2:9" hidden="1" x14ac:dyDescent="0.4">
      <c r="B1485" s="8" t="s">
        <v>518</v>
      </c>
      <c r="C1485" s="3" t="s">
        <v>2285</v>
      </c>
      <c r="D1485" s="3" t="s">
        <v>2443</v>
      </c>
      <c r="E1485" s="3" t="s">
        <v>1272</v>
      </c>
      <c r="F1485" s="3" t="s">
        <v>399</v>
      </c>
      <c r="I1485" s="3" t="s">
        <v>1833</v>
      </c>
    </row>
    <row r="1486" spans="2:9" hidden="1" x14ac:dyDescent="0.4">
      <c r="B1486" s="8" t="s">
        <v>518</v>
      </c>
      <c r="C1486" s="3" t="s">
        <v>2591</v>
      </c>
      <c r="D1486" s="3" t="s">
        <v>2443</v>
      </c>
      <c r="E1486" s="3" t="s">
        <v>1272</v>
      </c>
      <c r="F1486" s="3" t="s">
        <v>402</v>
      </c>
      <c r="I1486" s="3" t="s">
        <v>1833</v>
      </c>
    </row>
    <row r="1487" spans="2:9" hidden="1" x14ac:dyDescent="0.4">
      <c r="B1487" s="8" t="s">
        <v>518</v>
      </c>
      <c r="C1487" s="3" t="s">
        <v>1402</v>
      </c>
      <c r="D1487" s="3" t="s">
        <v>1436</v>
      </c>
      <c r="F1487" s="3" t="s">
        <v>399</v>
      </c>
      <c r="G1487" s="3" t="s">
        <v>402</v>
      </c>
      <c r="H1487" s="3" t="s">
        <v>1279</v>
      </c>
      <c r="I1487" s="3" t="s">
        <v>1414</v>
      </c>
    </row>
    <row r="1488" spans="2:9" hidden="1" x14ac:dyDescent="0.4">
      <c r="B1488" s="8" t="s">
        <v>518</v>
      </c>
      <c r="C1488" s="3" t="s">
        <v>1546</v>
      </c>
      <c r="D1488" s="3" t="s">
        <v>1436</v>
      </c>
      <c r="F1488" s="3" t="s">
        <v>402</v>
      </c>
      <c r="I1488" s="3" t="s">
        <v>1414</v>
      </c>
    </row>
    <row r="1489" spans="2:9" hidden="1" x14ac:dyDescent="0.4">
      <c r="B1489" s="8" t="s">
        <v>529</v>
      </c>
      <c r="C1489" s="3" t="s">
        <v>2902</v>
      </c>
      <c r="D1489" s="3" t="s">
        <v>3143</v>
      </c>
      <c r="E1489" s="3">
        <v>1</v>
      </c>
      <c r="F1489" s="3" t="s">
        <v>402</v>
      </c>
      <c r="G1489" s="3" t="s">
        <v>988</v>
      </c>
      <c r="I1489" s="3" t="s">
        <v>245</v>
      </c>
    </row>
    <row r="1490" spans="2:9" hidden="1" x14ac:dyDescent="0.4">
      <c r="B1490" s="8" t="s">
        <v>518</v>
      </c>
      <c r="C1490" s="3" t="s">
        <v>4221</v>
      </c>
      <c r="D1490" s="3" t="s">
        <v>3830</v>
      </c>
      <c r="F1490" s="3" t="s">
        <v>399</v>
      </c>
      <c r="G1490" s="3" t="s">
        <v>402</v>
      </c>
      <c r="I1490" s="3" t="s">
        <v>4064</v>
      </c>
    </row>
    <row r="1491" spans="2:9" hidden="1" x14ac:dyDescent="0.4">
      <c r="B1491" s="8" t="s">
        <v>518</v>
      </c>
      <c r="C1491" s="3" t="s">
        <v>3526</v>
      </c>
      <c r="D1491" s="3" t="s">
        <v>3830</v>
      </c>
      <c r="F1491" s="3" t="s">
        <v>399</v>
      </c>
      <c r="G1491" s="3" t="s">
        <v>402</v>
      </c>
      <c r="I1491" s="3" t="s">
        <v>4063</v>
      </c>
    </row>
    <row r="1492" spans="2:9" hidden="1" x14ac:dyDescent="0.4">
      <c r="B1492" s="8" t="s">
        <v>518</v>
      </c>
      <c r="C1492" s="3" t="s">
        <v>5838</v>
      </c>
      <c r="D1492" s="3" t="s">
        <v>4798</v>
      </c>
      <c r="F1492" s="3" t="s">
        <v>399</v>
      </c>
      <c r="I1492" s="3" t="s">
        <v>4063</v>
      </c>
    </row>
    <row r="1493" spans="2:9" hidden="1" x14ac:dyDescent="0.4">
      <c r="B1493" s="8" t="s">
        <v>518</v>
      </c>
      <c r="C1493" s="3" t="s">
        <v>6181</v>
      </c>
      <c r="D1493" s="3" t="s">
        <v>5520</v>
      </c>
      <c r="F1493" s="3" t="s">
        <v>402</v>
      </c>
      <c r="I1493" s="3" t="s">
        <v>4063</v>
      </c>
    </row>
    <row r="1494" spans="2:9" hidden="1" x14ac:dyDescent="0.4">
      <c r="B1494" s="8" t="s">
        <v>518</v>
      </c>
      <c r="C1494" s="3" t="s">
        <v>4449</v>
      </c>
      <c r="D1494" s="3" t="s">
        <v>4798</v>
      </c>
      <c r="F1494" s="3" t="s">
        <v>399</v>
      </c>
      <c r="I1494" s="3" t="s">
        <v>4064</v>
      </c>
    </row>
    <row r="1495" spans="2:9" hidden="1" x14ac:dyDescent="0.4">
      <c r="B1495" s="8" t="s">
        <v>518</v>
      </c>
      <c r="C1495" s="3" t="s">
        <v>5199</v>
      </c>
      <c r="D1495" s="3" t="s">
        <v>5520</v>
      </c>
      <c r="F1495" s="3" t="s">
        <v>402</v>
      </c>
      <c r="I1495" s="3" t="s">
        <v>4064</v>
      </c>
    </row>
    <row r="1496" spans="2:9" hidden="1" x14ac:dyDescent="0.4">
      <c r="B1496" s="8" t="s">
        <v>517</v>
      </c>
      <c r="C1496" s="3" t="s">
        <v>1813</v>
      </c>
      <c r="D1496" s="3" t="s">
        <v>1882</v>
      </c>
      <c r="F1496" s="3" t="s">
        <v>399</v>
      </c>
      <c r="I1496" s="3" t="s">
        <v>1865</v>
      </c>
    </row>
    <row r="1497" spans="2:9" hidden="1" x14ac:dyDescent="0.4">
      <c r="B1497" s="8" t="s">
        <v>517</v>
      </c>
      <c r="C1497" s="3" t="s">
        <v>1814</v>
      </c>
      <c r="D1497" s="3" t="s">
        <v>1883</v>
      </c>
      <c r="F1497" s="3" t="s">
        <v>399</v>
      </c>
      <c r="I1497" s="3" t="s">
        <v>1865</v>
      </c>
    </row>
    <row r="1498" spans="2:9" hidden="1" x14ac:dyDescent="0.4">
      <c r="B1498" s="8" t="s">
        <v>517</v>
      </c>
      <c r="C1498" s="3" t="s">
        <v>157</v>
      </c>
      <c r="D1498" s="3" t="s">
        <v>637</v>
      </c>
      <c r="F1498" s="3" t="s">
        <v>399</v>
      </c>
      <c r="I1498" s="3" t="s">
        <v>267</v>
      </c>
    </row>
    <row r="1499" spans="2:9" hidden="1" x14ac:dyDescent="0.4">
      <c r="B1499" s="8" t="s">
        <v>518</v>
      </c>
      <c r="C1499" s="3" t="s">
        <v>6</v>
      </c>
      <c r="D1499" s="3" t="s">
        <v>76</v>
      </c>
      <c r="F1499" s="3" t="s">
        <v>401</v>
      </c>
      <c r="I1499" s="3" t="s">
        <v>421</v>
      </c>
    </row>
    <row r="1500" spans="2:9" hidden="1" x14ac:dyDescent="0.4">
      <c r="B1500" s="8" t="s">
        <v>517</v>
      </c>
      <c r="C1500" s="3" t="s">
        <v>3422</v>
      </c>
      <c r="D1500" s="3" t="s">
        <v>3730</v>
      </c>
      <c r="F1500" s="3" t="s">
        <v>399</v>
      </c>
      <c r="G1500" s="3" t="s">
        <v>402</v>
      </c>
      <c r="I1500" s="3" t="s">
        <v>4063</v>
      </c>
    </row>
    <row r="1501" spans="2:9" hidden="1" x14ac:dyDescent="0.4">
      <c r="B1501" s="8" t="s">
        <v>517</v>
      </c>
      <c r="C1501" s="3" t="s">
        <v>3422</v>
      </c>
      <c r="D1501" s="3" t="s">
        <v>3730</v>
      </c>
      <c r="F1501" s="3" t="s">
        <v>399</v>
      </c>
      <c r="G1501" s="3" t="s">
        <v>402</v>
      </c>
      <c r="I1501" s="3" t="s">
        <v>4064</v>
      </c>
    </row>
    <row r="1502" spans="2:9" hidden="1" x14ac:dyDescent="0.4">
      <c r="B1502" s="8" t="s">
        <v>517</v>
      </c>
      <c r="C1502" s="3" t="s">
        <v>5754</v>
      </c>
      <c r="D1502" s="3" t="s">
        <v>4745</v>
      </c>
      <c r="F1502" s="3" t="s">
        <v>399</v>
      </c>
      <c r="I1502" s="3" t="s">
        <v>4063</v>
      </c>
    </row>
    <row r="1503" spans="2:9" hidden="1" x14ac:dyDescent="0.4">
      <c r="B1503" s="8" t="s">
        <v>517</v>
      </c>
      <c r="C1503" s="3" t="s">
        <v>6096</v>
      </c>
      <c r="D1503" s="3" t="s">
        <v>5420</v>
      </c>
      <c r="F1503" s="3" t="s">
        <v>402</v>
      </c>
      <c r="I1503" s="3" t="s">
        <v>4063</v>
      </c>
    </row>
    <row r="1504" spans="2:9" hidden="1" x14ac:dyDescent="0.4">
      <c r="B1504" s="8" t="s">
        <v>517</v>
      </c>
      <c r="C1504" s="3" t="s">
        <v>4570</v>
      </c>
      <c r="D1504" s="3" t="s">
        <v>4745</v>
      </c>
      <c r="F1504" s="3" t="s">
        <v>399</v>
      </c>
      <c r="I1504" s="3" t="s">
        <v>4064</v>
      </c>
    </row>
    <row r="1505" spans="2:9" hidden="1" x14ac:dyDescent="0.4">
      <c r="B1505" s="8" t="s">
        <v>517</v>
      </c>
      <c r="C1505" s="3" t="s">
        <v>5097</v>
      </c>
      <c r="D1505" s="3" t="s">
        <v>5420</v>
      </c>
      <c r="F1505" s="3" t="s">
        <v>402</v>
      </c>
      <c r="I1505" s="3" t="s">
        <v>4064</v>
      </c>
    </row>
    <row r="1506" spans="2:9" hidden="1" x14ac:dyDescent="0.4">
      <c r="B1506" s="8" t="s">
        <v>518</v>
      </c>
      <c r="C1506" s="3" t="s">
        <v>7</v>
      </c>
      <c r="D1506" s="3" t="s">
        <v>77</v>
      </c>
      <c r="F1506" s="3" t="s">
        <v>401</v>
      </c>
      <c r="I1506" s="3" t="s">
        <v>421</v>
      </c>
    </row>
    <row r="1507" spans="2:9" hidden="1" x14ac:dyDescent="0.4">
      <c r="B1507" s="8" t="s">
        <v>518</v>
      </c>
      <c r="C1507" s="3" t="s">
        <v>19</v>
      </c>
      <c r="D1507" s="3" t="s">
        <v>85</v>
      </c>
      <c r="F1507" s="3" t="s">
        <v>401</v>
      </c>
      <c r="I1507" s="3" t="s">
        <v>421</v>
      </c>
    </row>
    <row r="1508" spans="2:9" hidden="1" x14ac:dyDescent="0.4">
      <c r="B1508" s="8" t="s">
        <v>518</v>
      </c>
      <c r="C1508" s="3" t="s">
        <v>18</v>
      </c>
      <c r="D1508" s="3" t="s">
        <v>86</v>
      </c>
      <c r="F1508" s="3" t="s">
        <v>401</v>
      </c>
      <c r="I1508" s="3" t="s">
        <v>421</v>
      </c>
    </row>
    <row r="1509" spans="2:9" hidden="1" x14ac:dyDescent="0.4">
      <c r="B1509" s="8" t="s">
        <v>517</v>
      </c>
      <c r="C1509" s="3" t="s">
        <v>2199</v>
      </c>
      <c r="D1509" s="3" t="s">
        <v>2349</v>
      </c>
      <c r="F1509" s="3" t="s">
        <v>399</v>
      </c>
      <c r="I1509" s="3" t="s">
        <v>1833</v>
      </c>
    </row>
    <row r="1510" spans="2:9" hidden="1" x14ac:dyDescent="0.4">
      <c r="B1510" s="8" t="s">
        <v>517</v>
      </c>
      <c r="C1510" s="3" t="s">
        <v>2505</v>
      </c>
      <c r="D1510" s="3" t="s">
        <v>2349</v>
      </c>
      <c r="F1510" s="3" t="s">
        <v>402</v>
      </c>
      <c r="I1510" s="3" t="s">
        <v>1833</v>
      </c>
    </row>
    <row r="1511" spans="2:9" hidden="1" x14ac:dyDescent="0.4">
      <c r="B1511" s="8" t="s">
        <v>517</v>
      </c>
      <c r="C1511" s="3" t="s">
        <v>1831</v>
      </c>
      <c r="D1511" s="3" t="s">
        <v>1900</v>
      </c>
      <c r="F1511" s="3" t="s">
        <v>399</v>
      </c>
      <c r="I1511" s="3" t="s">
        <v>1865</v>
      </c>
    </row>
    <row r="1512" spans="2:9" hidden="1" x14ac:dyDescent="0.4">
      <c r="B1512" s="8" t="s">
        <v>536</v>
      </c>
      <c r="C1512" s="3" t="s">
        <v>2669</v>
      </c>
      <c r="D1512" s="14" t="s">
        <v>2715</v>
      </c>
      <c r="F1512" s="3" t="s">
        <v>1124</v>
      </c>
      <c r="I1512" s="3" t="s">
        <v>252</v>
      </c>
    </row>
    <row r="1513" spans="2:9" hidden="1" x14ac:dyDescent="0.4">
      <c r="B1513" s="8" t="s">
        <v>517</v>
      </c>
      <c r="C1513" s="3" t="s">
        <v>2322</v>
      </c>
      <c r="D1513" s="15" t="s">
        <v>2478</v>
      </c>
      <c r="E1513" s="3" t="s">
        <v>1272</v>
      </c>
      <c r="F1513" s="3" t="s">
        <v>399</v>
      </c>
      <c r="I1513" s="3" t="s">
        <v>1833</v>
      </c>
    </row>
    <row r="1514" spans="2:9" hidden="1" x14ac:dyDescent="0.4">
      <c r="B1514" s="8" t="s">
        <v>517</v>
      </c>
      <c r="C1514" s="3" t="s">
        <v>2622</v>
      </c>
      <c r="D1514" s="3" t="s">
        <v>2478</v>
      </c>
      <c r="E1514" s="3" t="s">
        <v>1272</v>
      </c>
      <c r="F1514" s="3" t="s">
        <v>402</v>
      </c>
      <c r="I1514" s="3" t="s">
        <v>1833</v>
      </c>
    </row>
    <row r="1515" spans="2:9" hidden="1" x14ac:dyDescent="0.4">
      <c r="B1515" s="8" t="s">
        <v>517</v>
      </c>
      <c r="C1515" s="3" t="s">
        <v>2892</v>
      </c>
      <c r="D1515" s="3" t="s">
        <v>3133</v>
      </c>
      <c r="E1515" s="3">
        <v>1</v>
      </c>
      <c r="F1515" s="3" t="s">
        <v>402</v>
      </c>
      <c r="I1515" s="3" t="s">
        <v>245</v>
      </c>
    </row>
    <row r="1516" spans="2:9" hidden="1" x14ac:dyDescent="0.4">
      <c r="B1516" s="8" t="s">
        <v>520</v>
      </c>
      <c r="C1516" s="3" t="s">
        <v>4210</v>
      </c>
      <c r="D1516" s="3" t="s">
        <v>3815</v>
      </c>
      <c r="F1516" s="3" t="s">
        <v>399</v>
      </c>
      <c r="G1516" s="3" t="s">
        <v>402</v>
      </c>
      <c r="I1516" s="3" t="s">
        <v>4064</v>
      </c>
    </row>
    <row r="1517" spans="2:9" hidden="1" x14ac:dyDescent="0.4">
      <c r="B1517" s="8" t="s">
        <v>520</v>
      </c>
      <c r="C1517" s="3" t="s">
        <v>3512</v>
      </c>
      <c r="D1517" s="3" t="s">
        <v>3815</v>
      </c>
      <c r="F1517" s="3" t="s">
        <v>399</v>
      </c>
      <c r="G1517" s="3" t="s">
        <v>402</v>
      </c>
      <c r="I1517" s="3" t="s">
        <v>4063</v>
      </c>
    </row>
    <row r="1518" spans="2:9" hidden="1" x14ac:dyDescent="0.4">
      <c r="B1518" s="8" t="s">
        <v>520</v>
      </c>
      <c r="C1518" s="3" t="s">
        <v>5827</v>
      </c>
      <c r="D1518" s="3" t="s">
        <v>4919</v>
      </c>
      <c r="F1518" s="3" t="s">
        <v>399</v>
      </c>
      <c r="I1518" s="3" t="s">
        <v>4063</v>
      </c>
    </row>
    <row r="1519" spans="2:9" hidden="1" x14ac:dyDescent="0.4">
      <c r="B1519" s="8" t="s">
        <v>520</v>
      </c>
      <c r="C1519" s="3" t="s">
        <v>6170</v>
      </c>
      <c r="D1519" s="3" t="s">
        <v>5506</v>
      </c>
      <c r="F1519" s="3" t="s">
        <v>402</v>
      </c>
      <c r="I1519" s="3" t="s">
        <v>4063</v>
      </c>
    </row>
    <row r="1520" spans="2:9" hidden="1" x14ac:dyDescent="0.4">
      <c r="B1520" s="8" t="s">
        <v>520</v>
      </c>
      <c r="C1520" s="3" t="s">
        <v>4437</v>
      </c>
      <c r="D1520" s="3" t="s">
        <v>4919</v>
      </c>
      <c r="F1520" s="3" t="s">
        <v>399</v>
      </c>
      <c r="I1520" s="3" t="s">
        <v>4064</v>
      </c>
    </row>
    <row r="1521" spans="2:9" hidden="1" x14ac:dyDescent="0.4">
      <c r="B1521" s="8" t="s">
        <v>520</v>
      </c>
      <c r="C1521" s="3" t="s">
        <v>5185</v>
      </c>
      <c r="D1521" s="3" t="s">
        <v>5506</v>
      </c>
      <c r="F1521" s="3" t="s">
        <v>402</v>
      </c>
      <c r="I1521" s="3" t="s">
        <v>4064</v>
      </c>
    </row>
    <row r="1522" spans="2:9" hidden="1" x14ac:dyDescent="0.4">
      <c r="B1522" s="8" t="s">
        <v>517</v>
      </c>
      <c r="C1522" s="3" t="s">
        <v>3084</v>
      </c>
      <c r="D1522" s="3" t="s">
        <v>3316</v>
      </c>
      <c r="E1522" s="3">
        <v>1</v>
      </c>
      <c r="F1522" s="3" t="s">
        <v>402</v>
      </c>
      <c r="G1522" s="3" t="s">
        <v>399</v>
      </c>
      <c r="H1522" s="3" t="s">
        <v>1279</v>
      </c>
      <c r="I1522" s="3" t="s">
        <v>245</v>
      </c>
    </row>
    <row r="1523" spans="2:9" hidden="1" x14ac:dyDescent="0.4">
      <c r="B1523" s="8" t="s">
        <v>517</v>
      </c>
      <c r="C1523" s="3" t="s">
        <v>287</v>
      </c>
      <c r="D1523" s="3" t="s">
        <v>579</v>
      </c>
      <c r="F1523" s="3" t="s">
        <v>399</v>
      </c>
      <c r="I1523" s="3" t="s">
        <v>267</v>
      </c>
    </row>
    <row r="1524" spans="2:9" hidden="1" x14ac:dyDescent="0.4">
      <c r="B1524" s="8" t="s">
        <v>517</v>
      </c>
      <c r="C1524" s="3" t="s">
        <v>1090</v>
      </c>
      <c r="D1524" s="3" t="s">
        <v>998</v>
      </c>
      <c r="F1524" s="3" t="s">
        <v>402</v>
      </c>
      <c r="G1524" s="3" t="s">
        <v>399</v>
      </c>
      <c r="H1524" s="3" t="s">
        <v>988</v>
      </c>
      <c r="I1524" s="3" t="s">
        <v>510</v>
      </c>
    </row>
    <row r="1525" spans="2:9" hidden="1" x14ac:dyDescent="0.4">
      <c r="B1525" s="8" t="s">
        <v>517</v>
      </c>
      <c r="C1525" s="3" t="s">
        <v>1102</v>
      </c>
      <c r="D1525" s="3" t="s">
        <v>998</v>
      </c>
      <c r="F1525" s="3" t="s">
        <v>402</v>
      </c>
      <c r="I1525" s="3" t="s">
        <v>510</v>
      </c>
    </row>
    <row r="1526" spans="2:9" hidden="1" x14ac:dyDescent="0.4">
      <c r="B1526" s="8" t="s">
        <v>517</v>
      </c>
      <c r="C1526" s="3" t="s">
        <v>1111</v>
      </c>
      <c r="D1526" s="3" t="s">
        <v>998</v>
      </c>
      <c r="F1526" s="3" t="s">
        <v>399</v>
      </c>
      <c r="I1526" s="3" t="s">
        <v>510</v>
      </c>
    </row>
    <row r="1527" spans="2:9" hidden="1" x14ac:dyDescent="0.4">
      <c r="B1527" s="8" t="s">
        <v>517</v>
      </c>
      <c r="C1527" s="3" t="s">
        <v>973</v>
      </c>
      <c r="D1527" s="3" t="s">
        <v>985</v>
      </c>
      <c r="F1527" s="3" t="s">
        <v>399</v>
      </c>
      <c r="I1527" s="3" t="s">
        <v>510</v>
      </c>
    </row>
    <row r="1528" spans="2:9" ht="29.25" hidden="1" x14ac:dyDescent="0.4">
      <c r="B1528" s="8" t="s">
        <v>517</v>
      </c>
      <c r="C1528" s="3" t="s">
        <v>1134</v>
      </c>
      <c r="D1528" s="3" t="s">
        <v>1141</v>
      </c>
      <c r="F1528" s="3" t="s">
        <v>402</v>
      </c>
      <c r="I1528" s="3" t="s">
        <v>510</v>
      </c>
    </row>
    <row r="1529" spans="2:9" hidden="1" x14ac:dyDescent="0.4">
      <c r="B1529" s="8" t="s">
        <v>517</v>
      </c>
      <c r="C1529" s="3" t="s">
        <v>1089</v>
      </c>
      <c r="D1529" s="3" t="s">
        <v>998</v>
      </c>
      <c r="F1529" s="3" t="s">
        <v>402</v>
      </c>
      <c r="G1529" s="3" t="s">
        <v>399</v>
      </c>
      <c r="H1529" s="3" t="s">
        <v>988</v>
      </c>
      <c r="I1529" s="3" t="s">
        <v>510</v>
      </c>
    </row>
    <row r="1530" spans="2:9" hidden="1" x14ac:dyDescent="0.4">
      <c r="B1530" s="8" t="s">
        <v>517</v>
      </c>
      <c r="C1530" s="3" t="s">
        <v>1101</v>
      </c>
      <c r="D1530" s="3" t="s">
        <v>998</v>
      </c>
      <c r="F1530" s="3" t="s">
        <v>402</v>
      </c>
      <c r="I1530" s="3" t="s">
        <v>510</v>
      </c>
    </row>
    <row r="1531" spans="2:9" hidden="1" x14ac:dyDescent="0.4">
      <c r="B1531" s="8" t="s">
        <v>517</v>
      </c>
      <c r="C1531" s="3" t="s">
        <v>1110</v>
      </c>
      <c r="D1531" s="3" t="s">
        <v>998</v>
      </c>
      <c r="F1531" s="3" t="s">
        <v>399</v>
      </c>
      <c r="I1531" s="3" t="s">
        <v>510</v>
      </c>
    </row>
    <row r="1532" spans="2:9" hidden="1" x14ac:dyDescent="0.4">
      <c r="B1532" s="8" t="s">
        <v>517</v>
      </c>
      <c r="C1532" s="3" t="s">
        <v>4306</v>
      </c>
      <c r="D1532" s="3" t="s">
        <v>3919</v>
      </c>
      <c r="F1532" s="3" t="s">
        <v>399</v>
      </c>
      <c r="G1532" s="3" t="s">
        <v>402</v>
      </c>
      <c r="I1532" s="3" t="s">
        <v>4064</v>
      </c>
    </row>
    <row r="1533" spans="2:9" hidden="1" x14ac:dyDescent="0.4">
      <c r="B1533" s="8" t="s">
        <v>517</v>
      </c>
      <c r="C1533" s="3" t="s">
        <v>3625</v>
      </c>
      <c r="D1533" s="3" t="s">
        <v>3919</v>
      </c>
      <c r="F1533" s="3" t="s">
        <v>399</v>
      </c>
      <c r="G1533" s="3" t="s">
        <v>402</v>
      </c>
      <c r="I1533" s="3" t="s">
        <v>4063</v>
      </c>
    </row>
    <row r="1534" spans="2:9" hidden="1" x14ac:dyDescent="0.4">
      <c r="B1534" s="8" t="s">
        <v>517</v>
      </c>
      <c r="C1534" s="3" t="s">
        <v>5931</v>
      </c>
      <c r="D1534" s="3" t="s">
        <v>4930</v>
      </c>
      <c r="F1534" s="3" t="s">
        <v>399</v>
      </c>
      <c r="I1534" s="3" t="s">
        <v>4063</v>
      </c>
    </row>
    <row r="1535" spans="2:9" hidden="1" x14ac:dyDescent="0.4">
      <c r="B1535" s="8" t="s">
        <v>517</v>
      </c>
      <c r="C1535" s="3" t="s">
        <v>6277</v>
      </c>
      <c r="D1535" s="3" t="s">
        <v>5624</v>
      </c>
      <c r="F1535" s="3" t="s">
        <v>402</v>
      </c>
      <c r="I1535" s="3" t="s">
        <v>4063</v>
      </c>
    </row>
    <row r="1536" spans="2:9" hidden="1" x14ac:dyDescent="0.4">
      <c r="B1536" s="8" t="s">
        <v>517</v>
      </c>
      <c r="C1536" s="3" t="s">
        <v>4689</v>
      </c>
      <c r="D1536" s="3" t="s">
        <v>4930</v>
      </c>
      <c r="F1536" s="3" t="s">
        <v>399</v>
      </c>
      <c r="I1536" s="3" t="s">
        <v>4064</v>
      </c>
    </row>
    <row r="1537" spans="2:9" hidden="1" x14ac:dyDescent="0.4">
      <c r="B1537" s="8" t="s">
        <v>517</v>
      </c>
      <c r="C1537" s="3" t="s">
        <v>5304</v>
      </c>
      <c r="D1537" s="3" t="s">
        <v>5624</v>
      </c>
      <c r="F1537" s="3" t="s">
        <v>402</v>
      </c>
      <c r="I1537" s="3" t="s">
        <v>4064</v>
      </c>
    </row>
    <row r="1538" spans="2:9" hidden="1" x14ac:dyDescent="0.4">
      <c r="B1538" s="8" t="s">
        <v>517</v>
      </c>
      <c r="C1538" s="3" t="s">
        <v>161</v>
      </c>
      <c r="D1538" s="3" t="s">
        <v>638</v>
      </c>
      <c r="F1538" s="3" t="s">
        <v>399</v>
      </c>
      <c r="I1538" s="3" t="s">
        <v>267</v>
      </c>
    </row>
    <row r="1539" spans="2:9" hidden="1" x14ac:dyDescent="0.4">
      <c r="B1539" s="8" t="s">
        <v>531</v>
      </c>
      <c r="C1539" s="3" t="s">
        <v>2216</v>
      </c>
      <c r="D1539" s="3" t="s">
        <v>2374</v>
      </c>
      <c r="E1539" s="3" t="s">
        <v>1272</v>
      </c>
      <c r="F1539" s="3" t="s">
        <v>399</v>
      </c>
      <c r="I1539" s="3" t="s">
        <v>1833</v>
      </c>
    </row>
    <row r="1540" spans="2:9" hidden="1" x14ac:dyDescent="0.4">
      <c r="B1540" s="8" t="s">
        <v>531</v>
      </c>
      <c r="C1540" s="3" t="s">
        <v>2510</v>
      </c>
      <c r="D1540" s="3" t="s">
        <v>2374</v>
      </c>
      <c r="E1540" s="3" t="s">
        <v>1272</v>
      </c>
      <c r="F1540" s="3" t="s">
        <v>402</v>
      </c>
      <c r="I1540" s="3" t="s">
        <v>1833</v>
      </c>
    </row>
    <row r="1541" spans="2:9" hidden="1" x14ac:dyDescent="0.4">
      <c r="B1541" s="8" t="s">
        <v>517</v>
      </c>
      <c r="C1541" s="3" t="s">
        <v>4100</v>
      </c>
      <c r="D1541" s="3" t="s">
        <v>3700</v>
      </c>
      <c r="F1541" s="3" t="s">
        <v>399</v>
      </c>
      <c r="G1541" s="3" t="s">
        <v>402</v>
      </c>
      <c r="I1541" s="3" t="s">
        <v>4064</v>
      </c>
    </row>
    <row r="1542" spans="2:9" hidden="1" x14ac:dyDescent="0.4">
      <c r="B1542" s="8" t="s">
        <v>517</v>
      </c>
      <c r="C1542" s="3" t="s">
        <v>4379</v>
      </c>
      <c r="D1542" s="3" t="s">
        <v>4869</v>
      </c>
      <c r="F1542" s="3" t="s">
        <v>399</v>
      </c>
      <c r="I1542" s="3" t="s">
        <v>4064</v>
      </c>
    </row>
    <row r="1543" spans="2:9" hidden="1" x14ac:dyDescent="0.4">
      <c r="B1543" s="8" t="s">
        <v>517</v>
      </c>
      <c r="C1543" s="3" t="s">
        <v>5059</v>
      </c>
      <c r="D1543" s="3" t="s">
        <v>5390</v>
      </c>
      <c r="F1543" s="3" t="s">
        <v>402</v>
      </c>
      <c r="I1543" s="3" t="s">
        <v>4064</v>
      </c>
    </row>
    <row r="1544" spans="2:9" hidden="1" x14ac:dyDescent="0.4">
      <c r="B1544" s="8" t="s">
        <v>517</v>
      </c>
      <c r="C1544" s="3" t="s">
        <v>3391</v>
      </c>
      <c r="D1544" s="3" t="s">
        <v>3700</v>
      </c>
      <c r="F1544" s="3" t="s">
        <v>399</v>
      </c>
      <c r="G1544" s="3" t="s">
        <v>402</v>
      </c>
      <c r="I1544" s="3" t="s">
        <v>4063</v>
      </c>
    </row>
    <row r="1545" spans="2:9" hidden="1" x14ac:dyDescent="0.4">
      <c r="B1545" s="8" t="s">
        <v>517</v>
      </c>
      <c r="C1545" s="3" t="s">
        <v>5724</v>
      </c>
      <c r="D1545" s="3" t="s">
        <v>4869</v>
      </c>
      <c r="F1545" s="3" t="s">
        <v>399</v>
      </c>
      <c r="I1545" s="3" t="s">
        <v>4063</v>
      </c>
    </row>
    <row r="1546" spans="2:9" hidden="1" x14ac:dyDescent="0.4">
      <c r="B1546" s="8" t="s">
        <v>517</v>
      </c>
      <c r="C1546" s="3" t="s">
        <v>6065</v>
      </c>
      <c r="D1546" s="3" t="s">
        <v>5390</v>
      </c>
      <c r="F1546" s="3" t="s">
        <v>402</v>
      </c>
      <c r="I1546" s="3" t="s">
        <v>4063</v>
      </c>
    </row>
    <row r="1547" spans="2:9" hidden="1" x14ac:dyDescent="0.4">
      <c r="B1547" s="8" t="s">
        <v>536</v>
      </c>
      <c r="C1547" s="3" t="s">
        <v>2682</v>
      </c>
      <c r="D1547" s="3">
        <v>7</v>
      </c>
      <c r="F1547" s="3" t="s">
        <v>1124</v>
      </c>
      <c r="I1547" s="3" t="s">
        <v>252</v>
      </c>
    </row>
    <row r="1548" spans="2:9" hidden="1" x14ac:dyDescent="0.4">
      <c r="B1548" s="8" t="s">
        <v>536</v>
      </c>
      <c r="C1548" s="3" t="s">
        <v>2731</v>
      </c>
      <c r="D1548" s="3">
        <v>700</v>
      </c>
      <c r="F1548" s="3" t="s">
        <v>1124</v>
      </c>
      <c r="I1548" s="3" t="s">
        <v>252</v>
      </c>
    </row>
    <row r="1549" spans="2:9" hidden="1" x14ac:dyDescent="0.4">
      <c r="B1549" s="8" t="s">
        <v>536</v>
      </c>
      <c r="C1549" s="3" t="s">
        <v>2725</v>
      </c>
      <c r="D1549" s="3">
        <v>70</v>
      </c>
      <c r="F1549" s="3" t="s">
        <v>1124</v>
      </c>
      <c r="I1549" s="3" t="s">
        <v>252</v>
      </c>
    </row>
    <row r="1550" spans="2:9" hidden="1" x14ac:dyDescent="0.4">
      <c r="B1550" s="8" t="s">
        <v>536</v>
      </c>
      <c r="C1550" s="3" t="s">
        <v>2703</v>
      </c>
      <c r="D1550" s="3">
        <v>27</v>
      </c>
      <c r="F1550" s="3" t="s">
        <v>1124</v>
      </c>
      <c r="I1550" s="3" t="s">
        <v>252</v>
      </c>
    </row>
    <row r="1551" spans="2:9" hidden="1" x14ac:dyDescent="0.4">
      <c r="B1551" s="8" t="s">
        <v>536</v>
      </c>
      <c r="C1551" s="3" t="s">
        <v>2693</v>
      </c>
      <c r="D1551" s="3">
        <v>17</v>
      </c>
      <c r="F1551" s="3" t="s">
        <v>1124</v>
      </c>
      <c r="I1551" s="3" t="s">
        <v>252</v>
      </c>
    </row>
    <row r="1552" spans="2:9" hidden="1" x14ac:dyDescent="0.4">
      <c r="B1552" s="8" t="s">
        <v>536</v>
      </c>
      <c r="C1552" s="3" t="s">
        <v>2739</v>
      </c>
      <c r="D1552" s="3">
        <v>7000</v>
      </c>
      <c r="F1552" s="3" t="s">
        <v>1124</v>
      </c>
      <c r="I1552" s="3" t="s">
        <v>252</v>
      </c>
    </row>
    <row r="1553" spans="2:9" hidden="1" x14ac:dyDescent="0.4">
      <c r="B1553" s="8" t="s">
        <v>536</v>
      </c>
      <c r="C1553" s="3" t="s">
        <v>2713</v>
      </c>
      <c r="D1553" s="3">
        <v>37</v>
      </c>
      <c r="F1553" s="3" t="s">
        <v>1124</v>
      </c>
      <c r="I1553" s="3" t="s">
        <v>252</v>
      </c>
    </row>
    <row r="1554" spans="2:9" hidden="1" x14ac:dyDescent="0.4">
      <c r="B1554" s="8" t="s">
        <v>536</v>
      </c>
      <c r="C1554" s="3" t="s">
        <v>2747</v>
      </c>
      <c r="D1554" s="3">
        <v>70000</v>
      </c>
      <c r="F1554" s="3" t="s">
        <v>1124</v>
      </c>
      <c r="I1554" s="3" t="s">
        <v>252</v>
      </c>
    </row>
    <row r="1555" spans="2:9" hidden="1" x14ac:dyDescent="0.4">
      <c r="B1555" s="8" t="s">
        <v>517</v>
      </c>
      <c r="C1555" s="3" t="s">
        <v>1806</v>
      </c>
      <c r="D1555" s="3" t="s">
        <v>1875</v>
      </c>
      <c r="F1555" s="3" t="s">
        <v>399</v>
      </c>
      <c r="I1555" s="3" t="s">
        <v>1865</v>
      </c>
    </row>
    <row r="1556" spans="2:9" ht="29.25" hidden="1" x14ac:dyDescent="0.4">
      <c r="B1556" s="8" t="s">
        <v>517</v>
      </c>
      <c r="C1556" s="3" t="s">
        <v>2995</v>
      </c>
      <c r="D1556" s="3" t="s">
        <v>3233</v>
      </c>
      <c r="E1556" s="3">
        <v>1</v>
      </c>
      <c r="F1556" s="3" t="s">
        <v>3350</v>
      </c>
      <c r="G1556" s="3" t="s">
        <v>988</v>
      </c>
      <c r="H1556" s="3" t="s">
        <v>399</v>
      </c>
      <c r="I1556" s="3" t="s">
        <v>245</v>
      </c>
    </row>
    <row r="1557" spans="2:9" hidden="1" x14ac:dyDescent="0.4">
      <c r="B1557" s="8" t="s">
        <v>536</v>
      </c>
      <c r="C1557" s="3" t="s">
        <v>2680</v>
      </c>
      <c r="D1557" s="3">
        <v>6</v>
      </c>
      <c r="F1557" s="3" t="s">
        <v>1124</v>
      </c>
      <c r="I1557" s="3" t="s">
        <v>252</v>
      </c>
    </row>
    <row r="1558" spans="2:9" hidden="1" x14ac:dyDescent="0.4">
      <c r="B1558" s="8" t="s">
        <v>517</v>
      </c>
      <c r="C1558" s="3" t="s">
        <v>2668</v>
      </c>
      <c r="D1558" s="3" t="s">
        <v>2752</v>
      </c>
      <c r="E1558" s="3" t="s">
        <v>1272</v>
      </c>
      <c r="F1558" s="3" t="s">
        <v>399</v>
      </c>
      <c r="I1558" s="3" t="s">
        <v>2370</v>
      </c>
    </row>
    <row r="1559" spans="2:9" hidden="1" x14ac:dyDescent="0.4">
      <c r="B1559" s="8" t="s">
        <v>536</v>
      </c>
      <c r="C1559" s="3" t="s">
        <v>2730</v>
      </c>
      <c r="D1559" s="3">
        <v>600</v>
      </c>
      <c r="F1559" s="3" t="s">
        <v>1124</v>
      </c>
      <c r="I1559" s="3" t="s">
        <v>252</v>
      </c>
    </row>
    <row r="1560" spans="2:9" hidden="1" x14ac:dyDescent="0.4">
      <c r="B1560" s="8" t="s">
        <v>536</v>
      </c>
      <c r="C1560" s="3" t="s">
        <v>2722</v>
      </c>
      <c r="D1560" s="3">
        <v>60</v>
      </c>
      <c r="F1560" s="3" t="s">
        <v>1124</v>
      </c>
      <c r="I1560" s="3" t="s">
        <v>252</v>
      </c>
    </row>
    <row r="1561" spans="2:9" hidden="1" x14ac:dyDescent="0.4">
      <c r="B1561" s="8" t="s">
        <v>536</v>
      </c>
      <c r="C1561" s="3" t="s">
        <v>2702</v>
      </c>
      <c r="D1561" s="3">
        <v>26</v>
      </c>
      <c r="F1561" s="3" t="s">
        <v>1124</v>
      </c>
      <c r="I1561" s="3" t="s">
        <v>252</v>
      </c>
    </row>
    <row r="1562" spans="2:9" hidden="1" x14ac:dyDescent="0.4">
      <c r="B1562" s="8" t="s">
        <v>536</v>
      </c>
      <c r="C1562" s="3" t="s">
        <v>2692</v>
      </c>
      <c r="D1562" s="3">
        <v>16</v>
      </c>
      <c r="F1562" s="3" t="s">
        <v>1124</v>
      </c>
      <c r="I1562" s="3" t="s">
        <v>252</v>
      </c>
    </row>
    <row r="1563" spans="2:9" hidden="1" x14ac:dyDescent="0.4">
      <c r="B1563" s="8" t="s">
        <v>536</v>
      </c>
      <c r="C1563" s="3" t="s">
        <v>2738</v>
      </c>
      <c r="D1563" s="3">
        <v>6000</v>
      </c>
      <c r="F1563" s="3" t="s">
        <v>1124</v>
      </c>
      <c r="I1563" s="3" t="s">
        <v>252</v>
      </c>
    </row>
    <row r="1564" spans="2:9" hidden="1" x14ac:dyDescent="0.4">
      <c r="B1564" s="8" t="s">
        <v>536</v>
      </c>
      <c r="C1564" s="3" t="s">
        <v>2712</v>
      </c>
      <c r="D1564" s="3">
        <v>36</v>
      </c>
      <c r="F1564" s="3" t="s">
        <v>1124</v>
      </c>
      <c r="I1564" s="3" t="s">
        <v>252</v>
      </c>
    </row>
    <row r="1565" spans="2:9" hidden="1" x14ac:dyDescent="0.4">
      <c r="B1565" s="8" t="s">
        <v>536</v>
      </c>
      <c r="C1565" s="3" t="s">
        <v>2746</v>
      </c>
      <c r="D1565" s="3">
        <v>60000</v>
      </c>
      <c r="F1565" s="3" t="s">
        <v>1124</v>
      </c>
      <c r="I1565" s="3" t="s">
        <v>252</v>
      </c>
    </row>
    <row r="1566" spans="2:9" hidden="1" x14ac:dyDescent="0.4">
      <c r="B1566" s="8" t="s">
        <v>518</v>
      </c>
      <c r="C1566" s="3" t="s">
        <v>193</v>
      </c>
      <c r="D1566" s="3" t="s">
        <v>549</v>
      </c>
      <c r="F1566" s="3" t="s">
        <v>399</v>
      </c>
      <c r="I1566" s="3" t="s">
        <v>267</v>
      </c>
    </row>
    <row r="1567" spans="2:9" hidden="1" x14ac:dyDescent="0.4">
      <c r="B1567" s="8" t="s">
        <v>517</v>
      </c>
      <c r="C1567" s="3" t="s">
        <v>2904</v>
      </c>
      <c r="D1567" s="3" t="s">
        <v>3145</v>
      </c>
      <c r="E1567" s="3">
        <v>1</v>
      </c>
      <c r="F1567" s="3" t="s">
        <v>402</v>
      </c>
      <c r="G1567" s="3" t="s">
        <v>988</v>
      </c>
      <c r="I1567" s="3" t="s">
        <v>245</v>
      </c>
    </row>
    <row r="1568" spans="2:9" hidden="1" x14ac:dyDescent="0.4">
      <c r="B1568" s="8" t="s">
        <v>517</v>
      </c>
      <c r="C1568" s="3" t="s">
        <v>3107</v>
      </c>
      <c r="D1568" s="3" t="s">
        <v>3335</v>
      </c>
      <c r="E1568" s="3">
        <v>1</v>
      </c>
      <c r="F1568" s="3" t="s">
        <v>402</v>
      </c>
      <c r="I1568" s="3" t="s">
        <v>245</v>
      </c>
    </row>
    <row r="1569" spans="2:9" hidden="1" x14ac:dyDescent="0.4">
      <c r="B1569" s="8" t="s">
        <v>517</v>
      </c>
      <c r="C1569" s="3" t="s">
        <v>435</v>
      </c>
      <c r="D1569" s="3" t="s">
        <v>473</v>
      </c>
      <c r="F1569" s="3" t="s">
        <v>430</v>
      </c>
      <c r="I1569" s="3" t="s">
        <v>431</v>
      </c>
    </row>
    <row r="1570" spans="2:9" hidden="1" x14ac:dyDescent="0.4">
      <c r="B1570" s="8" t="s">
        <v>517</v>
      </c>
      <c r="C1570" s="3" t="s">
        <v>165</v>
      </c>
      <c r="D1570" s="3" t="s">
        <v>639</v>
      </c>
      <c r="F1570" s="3" t="s">
        <v>399</v>
      </c>
      <c r="I1570" s="3" t="s">
        <v>267</v>
      </c>
    </row>
    <row r="1571" spans="2:9" hidden="1" x14ac:dyDescent="0.4">
      <c r="B1571" s="8">
        <v>1</v>
      </c>
      <c r="C1571" s="3" t="s">
        <v>181</v>
      </c>
      <c r="D1571" s="3" t="s">
        <v>640</v>
      </c>
      <c r="F1571" s="3" t="s">
        <v>399</v>
      </c>
      <c r="I1571" s="3" t="s">
        <v>267</v>
      </c>
    </row>
    <row r="1572" spans="2:9" hidden="1" x14ac:dyDescent="0.4">
      <c r="B1572" s="8" t="s">
        <v>517</v>
      </c>
      <c r="C1572" s="3" t="s">
        <v>4114</v>
      </c>
      <c r="D1572" s="3" t="s">
        <v>3712</v>
      </c>
      <c r="F1572" s="3" t="s">
        <v>399</v>
      </c>
      <c r="G1572" s="3" t="s">
        <v>402</v>
      </c>
      <c r="I1572" s="3" t="s">
        <v>4064</v>
      </c>
    </row>
    <row r="1573" spans="2:9" hidden="1" x14ac:dyDescent="0.4">
      <c r="B1573" s="8" t="s">
        <v>517</v>
      </c>
      <c r="C1573" s="3" t="s">
        <v>4112</v>
      </c>
      <c r="D1573" s="3" t="s">
        <v>3712</v>
      </c>
      <c r="F1573" s="3" t="s">
        <v>399</v>
      </c>
      <c r="G1573" s="3" t="s">
        <v>402</v>
      </c>
      <c r="I1573" s="3" t="s">
        <v>4063</v>
      </c>
    </row>
    <row r="1574" spans="2:9" hidden="1" x14ac:dyDescent="0.4">
      <c r="B1574" s="8" t="s">
        <v>517</v>
      </c>
      <c r="C1574" s="3" t="s">
        <v>5735</v>
      </c>
      <c r="D1574" s="3" t="s">
        <v>4731</v>
      </c>
      <c r="F1574" s="3" t="s">
        <v>399</v>
      </c>
      <c r="I1574" s="3" t="s">
        <v>4063</v>
      </c>
    </row>
    <row r="1575" spans="2:9" hidden="1" x14ac:dyDescent="0.4">
      <c r="B1575" s="8" t="s">
        <v>517</v>
      </c>
      <c r="C1575" s="3" t="s">
        <v>6077</v>
      </c>
      <c r="D1575" s="3" t="s">
        <v>5402</v>
      </c>
      <c r="F1575" s="3" t="s">
        <v>402</v>
      </c>
      <c r="I1575" s="3" t="s">
        <v>4063</v>
      </c>
    </row>
    <row r="1576" spans="2:9" hidden="1" x14ac:dyDescent="0.4">
      <c r="B1576" s="8" t="s">
        <v>517</v>
      </c>
      <c r="C1576" s="3" t="s">
        <v>4387</v>
      </c>
      <c r="D1576" s="3" t="s">
        <v>4731</v>
      </c>
      <c r="F1576" s="3" t="s">
        <v>399</v>
      </c>
      <c r="I1576" s="3" t="s">
        <v>4064</v>
      </c>
    </row>
    <row r="1577" spans="2:9" hidden="1" x14ac:dyDescent="0.4">
      <c r="B1577" s="8" t="s">
        <v>517</v>
      </c>
      <c r="C1577" s="3" t="s">
        <v>5073</v>
      </c>
      <c r="D1577" s="3" t="s">
        <v>5402</v>
      </c>
      <c r="F1577" s="3" t="s">
        <v>402</v>
      </c>
      <c r="I1577" s="3" t="s">
        <v>4064</v>
      </c>
    </row>
    <row r="1578" spans="2:9" hidden="1" x14ac:dyDescent="0.4">
      <c r="B1578" s="8" t="s">
        <v>517</v>
      </c>
      <c r="C1578" s="3" t="s">
        <v>4113</v>
      </c>
      <c r="D1578" s="3" t="s">
        <v>3712</v>
      </c>
      <c r="F1578" s="3" t="s">
        <v>399</v>
      </c>
      <c r="G1578" s="3" t="s">
        <v>402</v>
      </c>
      <c r="I1578" s="3" t="s">
        <v>4064</v>
      </c>
    </row>
    <row r="1579" spans="2:9" hidden="1" x14ac:dyDescent="0.4">
      <c r="B1579" s="8" t="s">
        <v>517</v>
      </c>
      <c r="C1579" s="3" t="s">
        <v>4386</v>
      </c>
      <c r="D1579" s="3" t="s">
        <v>4731</v>
      </c>
      <c r="F1579" s="3" t="s">
        <v>399</v>
      </c>
      <c r="I1579" s="3" t="s">
        <v>4064</v>
      </c>
    </row>
    <row r="1580" spans="2:9" hidden="1" x14ac:dyDescent="0.4">
      <c r="B1580" s="8" t="s">
        <v>517</v>
      </c>
      <c r="C1580" s="3" t="s">
        <v>5072</v>
      </c>
      <c r="D1580" s="3" t="s">
        <v>5402</v>
      </c>
      <c r="F1580" s="3" t="s">
        <v>402</v>
      </c>
      <c r="I1580" s="3" t="s">
        <v>4064</v>
      </c>
    </row>
    <row r="1581" spans="2:9" hidden="1" x14ac:dyDescent="0.4">
      <c r="B1581" s="8" t="s">
        <v>520</v>
      </c>
      <c r="C1581" s="3" t="s">
        <v>3558</v>
      </c>
      <c r="D1581" s="3" t="s">
        <v>3865</v>
      </c>
      <c r="F1581" s="3" t="s">
        <v>399</v>
      </c>
      <c r="G1581" s="3" t="s">
        <v>402</v>
      </c>
      <c r="I1581" s="3" t="s">
        <v>4063</v>
      </c>
    </row>
    <row r="1582" spans="2:9" hidden="1" x14ac:dyDescent="0.4">
      <c r="B1582" s="8" t="s">
        <v>520</v>
      </c>
      <c r="C1582" s="3" t="s">
        <v>4249</v>
      </c>
      <c r="D1582" s="3" t="s">
        <v>3865</v>
      </c>
      <c r="F1582" s="3" t="s">
        <v>399</v>
      </c>
      <c r="G1582" s="3" t="s">
        <v>402</v>
      </c>
      <c r="I1582" s="3" t="s">
        <v>4064</v>
      </c>
    </row>
    <row r="1583" spans="2:9" hidden="1" x14ac:dyDescent="0.4">
      <c r="B1583" s="8" t="s">
        <v>520</v>
      </c>
      <c r="C1583" s="3" t="s">
        <v>5868</v>
      </c>
      <c r="D1583" s="3" t="s">
        <v>4954</v>
      </c>
      <c r="F1583" s="3" t="s">
        <v>399</v>
      </c>
      <c r="I1583" s="3" t="s">
        <v>4063</v>
      </c>
    </row>
    <row r="1584" spans="2:9" hidden="1" x14ac:dyDescent="0.4">
      <c r="B1584" s="8" t="s">
        <v>520</v>
      </c>
      <c r="C1584" s="3" t="s">
        <v>6213</v>
      </c>
      <c r="D1584" s="3" t="s">
        <v>5554</v>
      </c>
      <c r="F1584" s="3" t="s">
        <v>402</v>
      </c>
      <c r="I1584" s="3" t="s">
        <v>4063</v>
      </c>
    </row>
    <row r="1585" spans="2:9" hidden="1" x14ac:dyDescent="0.4">
      <c r="B1585" s="8" t="s">
        <v>520</v>
      </c>
      <c r="C1585" s="3" t="s">
        <v>4671</v>
      </c>
      <c r="D1585" s="3" t="s">
        <v>4954</v>
      </c>
      <c r="F1585" s="3" t="s">
        <v>399</v>
      </c>
      <c r="I1585" s="3" t="s">
        <v>4064</v>
      </c>
    </row>
    <row r="1586" spans="2:9" hidden="1" x14ac:dyDescent="0.4">
      <c r="B1586" s="8" t="s">
        <v>520</v>
      </c>
      <c r="C1586" s="3" t="s">
        <v>5232</v>
      </c>
      <c r="D1586" s="3" t="s">
        <v>5554</v>
      </c>
      <c r="F1586" s="3" t="s">
        <v>402</v>
      </c>
      <c r="I1586" s="3" t="s">
        <v>4064</v>
      </c>
    </row>
    <row r="1587" spans="2:9" hidden="1" x14ac:dyDescent="0.4">
      <c r="B1587" s="8" t="s">
        <v>1005</v>
      </c>
      <c r="C1587" s="3" t="s">
        <v>970</v>
      </c>
      <c r="D1587" s="3" t="s">
        <v>982</v>
      </c>
      <c r="F1587" s="3" t="s">
        <v>399</v>
      </c>
      <c r="I1587" s="3" t="s">
        <v>510</v>
      </c>
    </row>
    <row r="1588" spans="2:9" hidden="1" x14ac:dyDescent="0.4">
      <c r="B1588" s="8" t="s">
        <v>518</v>
      </c>
      <c r="C1588" s="3" t="s">
        <v>1131</v>
      </c>
      <c r="D1588" s="3" t="s">
        <v>1138</v>
      </c>
      <c r="F1588" s="3" t="s">
        <v>402</v>
      </c>
      <c r="I1588" s="3" t="s">
        <v>510</v>
      </c>
    </row>
    <row r="1589" spans="2:9" hidden="1" x14ac:dyDescent="0.4">
      <c r="B1589" s="8" t="s">
        <v>526</v>
      </c>
      <c r="C1589" s="3" t="s">
        <v>1190</v>
      </c>
      <c r="D1589" s="3" t="s">
        <v>1192</v>
      </c>
      <c r="F1589" s="3" t="s">
        <v>399</v>
      </c>
      <c r="I1589" s="3" t="s">
        <v>781</v>
      </c>
    </row>
    <row r="1590" spans="2:9" hidden="1" x14ac:dyDescent="0.4">
      <c r="B1590" s="8" t="s">
        <v>526</v>
      </c>
      <c r="C1590" s="3" t="s">
        <v>1202</v>
      </c>
      <c r="D1590" s="3" t="s">
        <v>1204</v>
      </c>
      <c r="F1590" s="3" t="s">
        <v>402</v>
      </c>
      <c r="I1590" s="3" t="s">
        <v>781</v>
      </c>
    </row>
    <row r="1591" spans="2:9" hidden="1" x14ac:dyDescent="0.4">
      <c r="B1591" s="8" t="s">
        <v>526</v>
      </c>
      <c r="C1591" s="3" t="s">
        <v>1197</v>
      </c>
      <c r="D1591" s="3" t="s">
        <v>1192</v>
      </c>
      <c r="F1591" s="3" t="s">
        <v>402</v>
      </c>
      <c r="I1591" s="3" t="s">
        <v>781</v>
      </c>
    </row>
    <row r="1592" spans="2:9" hidden="1" x14ac:dyDescent="0.4">
      <c r="B1592" s="8" t="s">
        <v>526</v>
      </c>
      <c r="C1592" s="3" t="s">
        <v>1214</v>
      </c>
      <c r="D1592" s="3" t="s">
        <v>1221</v>
      </c>
      <c r="F1592" s="3" t="s">
        <v>402</v>
      </c>
      <c r="G1592" s="3" t="s">
        <v>399</v>
      </c>
      <c r="H1592" s="3" t="s">
        <v>988</v>
      </c>
      <c r="I1592" s="3" t="s">
        <v>781</v>
      </c>
    </row>
    <row r="1593" spans="2:9" hidden="1" x14ac:dyDescent="0.4">
      <c r="B1593" s="8" t="s">
        <v>526</v>
      </c>
      <c r="C1593" s="3" t="s">
        <v>1219</v>
      </c>
      <c r="D1593" s="3" t="s">
        <v>1221</v>
      </c>
      <c r="F1593" s="3" t="s">
        <v>399</v>
      </c>
      <c r="I1593" s="3" t="s">
        <v>781</v>
      </c>
    </row>
    <row r="1594" spans="2:9" hidden="1" x14ac:dyDescent="0.4">
      <c r="B1594" s="8" t="s">
        <v>518</v>
      </c>
      <c r="C1594" s="3" t="s">
        <v>1084</v>
      </c>
      <c r="D1594" s="3" t="s">
        <v>1010</v>
      </c>
      <c r="F1594" s="3" t="s">
        <v>402</v>
      </c>
      <c r="G1594" s="3" t="s">
        <v>399</v>
      </c>
      <c r="H1594" s="3" t="s">
        <v>988</v>
      </c>
      <c r="I1594" s="3" t="s">
        <v>510</v>
      </c>
    </row>
    <row r="1595" spans="2:9" hidden="1" x14ac:dyDescent="0.4">
      <c r="B1595" s="8" t="s">
        <v>518</v>
      </c>
      <c r="C1595" s="3" t="s">
        <v>1096</v>
      </c>
      <c r="D1595" s="3" t="s">
        <v>1010</v>
      </c>
      <c r="F1595" s="3" t="s">
        <v>402</v>
      </c>
      <c r="I1595" s="3" t="s">
        <v>510</v>
      </c>
    </row>
    <row r="1596" spans="2:9" hidden="1" x14ac:dyDescent="0.4">
      <c r="B1596" s="8" t="s">
        <v>518</v>
      </c>
      <c r="C1596" s="3" t="s">
        <v>1105</v>
      </c>
      <c r="D1596" s="3" t="s">
        <v>1010</v>
      </c>
      <c r="F1596" s="3" t="s">
        <v>399</v>
      </c>
      <c r="I1596" s="3" t="s">
        <v>510</v>
      </c>
    </row>
    <row r="1597" spans="2:9" hidden="1" x14ac:dyDescent="0.4">
      <c r="B1597" s="8" t="s">
        <v>536</v>
      </c>
      <c r="C1597" s="3" t="s">
        <v>471</v>
      </c>
      <c r="D1597" s="3" t="s">
        <v>753</v>
      </c>
      <c r="E1597" s="3" t="s">
        <v>432</v>
      </c>
      <c r="F1597" s="3" t="s">
        <v>12779</v>
      </c>
      <c r="G1597" s="3" t="s">
        <v>430</v>
      </c>
      <c r="I1597" s="3" t="s">
        <v>472</v>
      </c>
    </row>
    <row r="1598" spans="2:9" hidden="1" x14ac:dyDescent="0.4">
      <c r="B1598" s="8" t="s">
        <v>823</v>
      </c>
      <c r="C1598" s="3" t="s">
        <v>1677</v>
      </c>
      <c r="D1598" s="3" t="s">
        <v>1695</v>
      </c>
      <c r="F1598" s="3" t="s">
        <v>1124</v>
      </c>
      <c r="I1598" s="3" t="s">
        <v>1489</v>
      </c>
    </row>
    <row r="1599" spans="2:9" hidden="1" x14ac:dyDescent="0.4">
      <c r="B1599" s="8">
        <v>1</v>
      </c>
      <c r="C1599" s="3" t="s">
        <v>171</v>
      </c>
      <c r="D1599" s="3" t="s">
        <v>641</v>
      </c>
      <c r="F1599" s="3" t="s">
        <v>399</v>
      </c>
      <c r="I1599" s="3" t="s">
        <v>267</v>
      </c>
    </row>
    <row r="1600" spans="2:9" hidden="1" x14ac:dyDescent="0.4">
      <c r="B1600" s="8" t="s">
        <v>517</v>
      </c>
      <c r="C1600" s="3" t="s">
        <v>4097</v>
      </c>
      <c r="D1600" s="3" t="s">
        <v>3696</v>
      </c>
      <c r="F1600" s="3" t="s">
        <v>399</v>
      </c>
      <c r="G1600" s="3" t="s">
        <v>402</v>
      </c>
      <c r="I1600" s="3" t="s">
        <v>4064</v>
      </c>
    </row>
    <row r="1601" spans="2:9" hidden="1" x14ac:dyDescent="0.4">
      <c r="B1601" s="8" t="s">
        <v>516</v>
      </c>
      <c r="C1601" s="3" t="s">
        <v>3534</v>
      </c>
      <c r="D1601" s="3" t="s">
        <v>3838</v>
      </c>
      <c r="F1601" s="3" t="s">
        <v>399</v>
      </c>
      <c r="G1601" s="3" t="s">
        <v>402</v>
      </c>
      <c r="I1601" s="3" t="s">
        <v>4063</v>
      </c>
    </row>
    <row r="1602" spans="2:9" hidden="1" x14ac:dyDescent="0.4">
      <c r="B1602" s="8" t="s">
        <v>516</v>
      </c>
      <c r="C1602" s="3" t="s">
        <v>5846</v>
      </c>
      <c r="D1602" s="3" t="s">
        <v>4806</v>
      </c>
      <c r="F1602" s="3" t="s">
        <v>399</v>
      </c>
      <c r="I1602" s="3" t="s">
        <v>4063</v>
      </c>
    </row>
    <row r="1603" spans="2:9" ht="29.25" hidden="1" x14ac:dyDescent="0.4">
      <c r="B1603" s="8" t="s">
        <v>516</v>
      </c>
      <c r="C1603" s="3" t="s">
        <v>6189</v>
      </c>
      <c r="D1603" s="3" t="s">
        <v>5528</v>
      </c>
      <c r="F1603" s="3" t="s">
        <v>402</v>
      </c>
      <c r="I1603" s="3" t="s">
        <v>4063</v>
      </c>
    </row>
    <row r="1604" spans="2:9" hidden="1" x14ac:dyDescent="0.4">
      <c r="B1604" s="8" t="s">
        <v>516</v>
      </c>
      <c r="C1604" s="3" t="s">
        <v>4229</v>
      </c>
      <c r="D1604" s="3" t="s">
        <v>3838</v>
      </c>
      <c r="F1604" s="3" t="s">
        <v>399</v>
      </c>
      <c r="G1604" s="3" t="s">
        <v>402</v>
      </c>
      <c r="I1604" s="3" t="s">
        <v>4064</v>
      </c>
    </row>
    <row r="1605" spans="2:9" hidden="1" x14ac:dyDescent="0.4">
      <c r="B1605" s="8" t="s">
        <v>516</v>
      </c>
      <c r="C1605" s="3" t="s">
        <v>4456</v>
      </c>
      <c r="D1605" s="3" t="s">
        <v>4806</v>
      </c>
      <c r="F1605" s="3" t="s">
        <v>399</v>
      </c>
      <c r="I1605" s="3" t="s">
        <v>4064</v>
      </c>
    </row>
    <row r="1606" spans="2:9" hidden="1" x14ac:dyDescent="0.4">
      <c r="B1606" s="8" t="s">
        <v>516</v>
      </c>
      <c r="C1606" s="3" t="s">
        <v>5207</v>
      </c>
      <c r="D1606" s="3" t="s">
        <v>5528</v>
      </c>
      <c r="F1606" s="3" t="s">
        <v>402</v>
      </c>
      <c r="I1606" s="3" t="s">
        <v>4064</v>
      </c>
    </row>
    <row r="1607" spans="2:9" hidden="1" x14ac:dyDescent="0.4">
      <c r="B1607" s="8" t="s">
        <v>517</v>
      </c>
      <c r="C1607" s="3" t="s">
        <v>3388</v>
      </c>
      <c r="D1607" s="3" t="s">
        <v>3696</v>
      </c>
      <c r="F1607" s="3" t="s">
        <v>399</v>
      </c>
      <c r="G1607" s="3" t="s">
        <v>402</v>
      </c>
      <c r="I1607" s="3" t="s">
        <v>4063</v>
      </c>
    </row>
    <row r="1608" spans="2:9" hidden="1" x14ac:dyDescent="0.4">
      <c r="B1608" s="8" t="s">
        <v>517</v>
      </c>
      <c r="C1608" s="3" t="s">
        <v>5722</v>
      </c>
      <c r="D1608" s="3" t="s">
        <v>4719</v>
      </c>
      <c r="F1608" s="3" t="s">
        <v>399</v>
      </c>
      <c r="I1608" s="3" t="s">
        <v>4063</v>
      </c>
    </row>
    <row r="1609" spans="2:9" hidden="1" x14ac:dyDescent="0.4">
      <c r="B1609" s="8" t="s">
        <v>517</v>
      </c>
      <c r="C1609" s="3" t="s">
        <v>6063</v>
      </c>
      <c r="D1609" s="3" t="s">
        <v>5387</v>
      </c>
      <c r="F1609" s="3" t="s">
        <v>402</v>
      </c>
      <c r="I1609" s="3" t="s">
        <v>4063</v>
      </c>
    </row>
    <row r="1610" spans="2:9" hidden="1" x14ac:dyDescent="0.4">
      <c r="B1610" s="8" t="s">
        <v>517</v>
      </c>
      <c r="C1610" s="3" t="s">
        <v>4550</v>
      </c>
      <c r="D1610" s="3" t="s">
        <v>4719</v>
      </c>
      <c r="F1610" s="3" t="s">
        <v>399</v>
      </c>
      <c r="I1610" s="3" t="s">
        <v>4064</v>
      </c>
    </row>
    <row r="1611" spans="2:9" hidden="1" x14ac:dyDescent="0.4">
      <c r="B1611" s="8" t="s">
        <v>517</v>
      </c>
      <c r="C1611" s="3" t="s">
        <v>5056</v>
      </c>
      <c r="D1611" s="3" t="s">
        <v>5387</v>
      </c>
      <c r="F1611" s="3" t="s">
        <v>402</v>
      </c>
      <c r="I1611" s="3" t="s">
        <v>4064</v>
      </c>
    </row>
    <row r="1612" spans="2:9" hidden="1" x14ac:dyDescent="0.4">
      <c r="B1612" s="8" t="s">
        <v>517</v>
      </c>
      <c r="C1612" s="3" t="s">
        <v>4096</v>
      </c>
      <c r="D1612" s="3" t="s">
        <v>3696</v>
      </c>
      <c r="F1612" s="3" t="s">
        <v>399</v>
      </c>
      <c r="G1612" s="3" t="s">
        <v>402</v>
      </c>
      <c r="I1612" s="3" t="s">
        <v>4064</v>
      </c>
    </row>
    <row r="1613" spans="2:9" hidden="1" x14ac:dyDescent="0.4">
      <c r="B1613" s="8" t="s">
        <v>517</v>
      </c>
      <c r="C1613" s="3" t="s">
        <v>3387</v>
      </c>
      <c r="D1613" s="3" t="s">
        <v>3696</v>
      </c>
      <c r="F1613" s="3" t="s">
        <v>399</v>
      </c>
      <c r="G1613" s="3" t="s">
        <v>402</v>
      </c>
      <c r="I1613" s="3" t="s">
        <v>4063</v>
      </c>
    </row>
    <row r="1614" spans="2:9" hidden="1" x14ac:dyDescent="0.4">
      <c r="B1614" s="8" t="s">
        <v>517</v>
      </c>
      <c r="C1614" s="3" t="s">
        <v>5721</v>
      </c>
      <c r="D1614" s="3" t="s">
        <v>4719</v>
      </c>
      <c r="F1614" s="3" t="s">
        <v>399</v>
      </c>
      <c r="I1614" s="3" t="s">
        <v>4063</v>
      </c>
    </row>
    <row r="1615" spans="2:9" hidden="1" x14ac:dyDescent="0.4">
      <c r="B1615" s="8" t="s">
        <v>517</v>
      </c>
      <c r="C1615" s="3" t="s">
        <v>6062</v>
      </c>
      <c r="D1615" s="3" t="s">
        <v>5387</v>
      </c>
      <c r="F1615" s="3" t="s">
        <v>402</v>
      </c>
      <c r="I1615" s="3" t="s">
        <v>4063</v>
      </c>
    </row>
    <row r="1616" spans="2:9" hidden="1" x14ac:dyDescent="0.4">
      <c r="B1616" s="8" t="s">
        <v>517</v>
      </c>
      <c r="C1616" s="3" t="s">
        <v>4549</v>
      </c>
      <c r="D1616" s="3" t="s">
        <v>4719</v>
      </c>
      <c r="F1616" s="3" t="s">
        <v>399</v>
      </c>
      <c r="I1616" s="3" t="s">
        <v>4064</v>
      </c>
    </row>
    <row r="1617" spans="2:9" hidden="1" x14ac:dyDescent="0.4">
      <c r="B1617" s="8" t="s">
        <v>517</v>
      </c>
      <c r="C1617" s="3" t="s">
        <v>5055</v>
      </c>
      <c r="D1617" s="3" t="s">
        <v>5387</v>
      </c>
      <c r="F1617" s="3" t="s">
        <v>402</v>
      </c>
      <c r="I1617" s="3" t="s">
        <v>4064</v>
      </c>
    </row>
    <row r="1618" spans="2:9" hidden="1" x14ac:dyDescent="0.4">
      <c r="B1618" s="8" t="s">
        <v>518</v>
      </c>
      <c r="C1618" s="3" t="s">
        <v>2280</v>
      </c>
      <c r="D1618" s="3" t="s">
        <v>2438</v>
      </c>
      <c r="E1618" s="3" t="s">
        <v>1272</v>
      </c>
      <c r="F1618" s="3" t="s">
        <v>399</v>
      </c>
      <c r="I1618" s="3" t="s">
        <v>1833</v>
      </c>
    </row>
    <row r="1619" spans="2:9" hidden="1" x14ac:dyDescent="0.4">
      <c r="B1619" s="8" t="s">
        <v>518</v>
      </c>
      <c r="C1619" s="3" t="s">
        <v>2586</v>
      </c>
      <c r="D1619" s="3" t="s">
        <v>2438</v>
      </c>
      <c r="E1619" s="3" t="s">
        <v>1272</v>
      </c>
      <c r="F1619" s="3" t="s">
        <v>402</v>
      </c>
      <c r="I1619" s="3" t="s">
        <v>1833</v>
      </c>
    </row>
    <row r="1620" spans="2:9" hidden="1" x14ac:dyDescent="0.4">
      <c r="B1620" s="8" t="s">
        <v>518</v>
      </c>
      <c r="C1620" s="3" t="s">
        <v>4664</v>
      </c>
      <c r="D1620" s="3" t="s">
        <v>4802</v>
      </c>
      <c r="F1620" s="3" t="s">
        <v>399</v>
      </c>
      <c r="I1620" s="3" t="s">
        <v>4064</v>
      </c>
    </row>
    <row r="1621" spans="2:9" hidden="1" x14ac:dyDescent="0.4">
      <c r="B1621" s="8" t="s">
        <v>518</v>
      </c>
      <c r="C1621" s="3" t="s">
        <v>5203</v>
      </c>
      <c r="D1621" s="3" t="s">
        <v>5524</v>
      </c>
      <c r="F1621" s="3" t="s">
        <v>402</v>
      </c>
      <c r="I1621" s="3" t="s">
        <v>4064</v>
      </c>
    </row>
    <row r="1622" spans="2:9" hidden="1" x14ac:dyDescent="0.4">
      <c r="B1622" s="8" t="s">
        <v>518</v>
      </c>
      <c r="C1622" s="3" t="s">
        <v>3530</v>
      </c>
      <c r="D1622" s="3" t="s">
        <v>3834</v>
      </c>
      <c r="F1622" s="3" t="s">
        <v>399</v>
      </c>
      <c r="G1622" s="3" t="s">
        <v>402</v>
      </c>
      <c r="I1622" s="3" t="s">
        <v>4063</v>
      </c>
    </row>
    <row r="1623" spans="2:9" hidden="1" x14ac:dyDescent="0.4">
      <c r="B1623" s="8" t="s">
        <v>518</v>
      </c>
      <c r="C1623" s="3" t="s">
        <v>5842</v>
      </c>
      <c r="D1623" s="3" t="s">
        <v>4802</v>
      </c>
      <c r="F1623" s="3" t="s">
        <v>399</v>
      </c>
      <c r="I1623" s="3" t="s">
        <v>4063</v>
      </c>
    </row>
    <row r="1624" spans="2:9" hidden="1" x14ac:dyDescent="0.4">
      <c r="B1624" s="8" t="s">
        <v>518</v>
      </c>
      <c r="C1624" s="3" t="s">
        <v>6185</v>
      </c>
      <c r="D1624" s="3" t="s">
        <v>5524</v>
      </c>
      <c r="F1624" s="3" t="s">
        <v>402</v>
      </c>
      <c r="I1624" s="3" t="s">
        <v>4063</v>
      </c>
    </row>
    <row r="1625" spans="2:9" hidden="1" x14ac:dyDescent="0.4">
      <c r="B1625" s="8" t="s">
        <v>518</v>
      </c>
      <c r="C1625" s="3" t="s">
        <v>4225</v>
      </c>
      <c r="D1625" s="3" t="s">
        <v>3834</v>
      </c>
      <c r="F1625" s="3" t="s">
        <v>399</v>
      </c>
      <c r="G1625" s="3" t="s">
        <v>402</v>
      </c>
      <c r="I1625" s="3" t="s">
        <v>4064</v>
      </c>
    </row>
    <row r="1626" spans="2:9" hidden="1" x14ac:dyDescent="0.4">
      <c r="B1626" s="8" t="s">
        <v>518</v>
      </c>
      <c r="C1626" s="3" t="s">
        <v>4139</v>
      </c>
      <c r="D1626" s="3" t="s">
        <v>3737</v>
      </c>
      <c r="F1626" s="3" t="s">
        <v>399</v>
      </c>
      <c r="G1626" s="3" t="s">
        <v>402</v>
      </c>
      <c r="I1626" s="3" t="s">
        <v>4064</v>
      </c>
    </row>
    <row r="1627" spans="2:9" hidden="1" x14ac:dyDescent="0.4">
      <c r="B1627" s="8" t="s">
        <v>518</v>
      </c>
      <c r="C1627" s="3" t="s">
        <v>4402</v>
      </c>
      <c r="D1627" s="3" t="s">
        <v>4752</v>
      </c>
      <c r="F1627" s="3" t="s">
        <v>399</v>
      </c>
      <c r="I1627" s="3" t="s">
        <v>4064</v>
      </c>
    </row>
    <row r="1628" spans="2:9" hidden="1" x14ac:dyDescent="0.4">
      <c r="B1628" s="8" t="s">
        <v>518</v>
      </c>
      <c r="C1628" s="3" t="s">
        <v>5106</v>
      </c>
      <c r="D1628" s="3" t="s">
        <v>5429</v>
      </c>
      <c r="F1628" s="3" t="s">
        <v>402</v>
      </c>
      <c r="I1628" s="3" t="s">
        <v>4064</v>
      </c>
    </row>
    <row r="1629" spans="2:9" hidden="1" x14ac:dyDescent="0.4">
      <c r="B1629" s="8" t="s">
        <v>518</v>
      </c>
      <c r="C1629" s="3" t="s">
        <v>3431</v>
      </c>
      <c r="D1629" s="3" t="s">
        <v>3737</v>
      </c>
      <c r="F1629" s="3" t="s">
        <v>399</v>
      </c>
      <c r="G1629" s="3" t="s">
        <v>402</v>
      </c>
      <c r="I1629" s="3" t="s">
        <v>4063</v>
      </c>
    </row>
    <row r="1630" spans="2:9" hidden="1" x14ac:dyDescent="0.4">
      <c r="B1630" s="8" t="s">
        <v>518</v>
      </c>
      <c r="C1630" s="3" t="s">
        <v>5763</v>
      </c>
      <c r="D1630" s="3" t="s">
        <v>4752</v>
      </c>
      <c r="F1630" s="3" t="s">
        <v>399</v>
      </c>
      <c r="I1630" s="3" t="s">
        <v>4063</v>
      </c>
    </row>
    <row r="1631" spans="2:9" hidden="1" x14ac:dyDescent="0.4">
      <c r="B1631" s="8" t="s">
        <v>518</v>
      </c>
      <c r="C1631" s="3" t="s">
        <v>6105</v>
      </c>
      <c r="D1631" s="3" t="s">
        <v>5429</v>
      </c>
      <c r="F1631" s="3" t="s">
        <v>402</v>
      </c>
      <c r="I1631" s="3" t="s">
        <v>4063</v>
      </c>
    </row>
    <row r="1632" spans="2:9" hidden="1" x14ac:dyDescent="0.4">
      <c r="B1632" s="8" t="s">
        <v>518</v>
      </c>
      <c r="C1632" s="3" t="s">
        <v>434</v>
      </c>
      <c r="D1632" s="3" t="s">
        <v>473</v>
      </c>
      <c r="F1632" s="3" t="s">
        <v>430</v>
      </c>
      <c r="G1632" s="3" t="s">
        <v>1279</v>
      </c>
      <c r="I1632" s="3" t="s">
        <v>431</v>
      </c>
    </row>
    <row r="1633" spans="2:9" hidden="1" x14ac:dyDescent="0.4">
      <c r="B1633" s="8" t="s">
        <v>517</v>
      </c>
      <c r="C1633" s="3" t="s">
        <v>1452</v>
      </c>
      <c r="D1633" s="3" t="s">
        <v>1494</v>
      </c>
      <c r="F1633" s="3" t="s">
        <v>399</v>
      </c>
      <c r="G1633" s="3" t="s">
        <v>402</v>
      </c>
      <c r="I1633" s="3" t="s">
        <v>1489</v>
      </c>
    </row>
    <row r="1634" spans="2:9" hidden="1" x14ac:dyDescent="0.4">
      <c r="B1634" s="8" t="s">
        <v>517</v>
      </c>
      <c r="C1634" s="3" t="s">
        <v>1562</v>
      </c>
      <c r="D1634" s="3" t="s">
        <v>1494</v>
      </c>
      <c r="F1634" s="3" t="s">
        <v>402</v>
      </c>
      <c r="I1634" s="3" t="s">
        <v>1489</v>
      </c>
    </row>
    <row r="1635" spans="2:9" hidden="1" x14ac:dyDescent="0.4">
      <c r="B1635" s="8" t="s">
        <v>517</v>
      </c>
      <c r="C1635" s="3" t="s">
        <v>1408</v>
      </c>
      <c r="D1635" s="3" t="s">
        <v>1442</v>
      </c>
      <c r="F1635" s="3" t="s">
        <v>399</v>
      </c>
      <c r="G1635" s="3" t="s">
        <v>402</v>
      </c>
      <c r="H1635" s="3" t="s">
        <v>1279</v>
      </c>
      <c r="I1635" s="3" t="s">
        <v>1414</v>
      </c>
    </row>
    <row r="1636" spans="2:9" hidden="1" x14ac:dyDescent="0.4">
      <c r="B1636" s="8" t="s">
        <v>517</v>
      </c>
      <c r="C1636" s="3" t="s">
        <v>1552</v>
      </c>
      <c r="D1636" s="3" t="s">
        <v>1442</v>
      </c>
      <c r="F1636" s="3" t="s">
        <v>402</v>
      </c>
      <c r="I1636" s="3" t="s">
        <v>1414</v>
      </c>
    </row>
    <row r="1637" spans="2:9" hidden="1" x14ac:dyDescent="0.4">
      <c r="B1637" s="8" t="s">
        <v>517</v>
      </c>
      <c r="C1637" s="3" t="s">
        <v>2932</v>
      </c>
      <c r="D1637" s="3" t="s">
        <v>3170</v>
      </c>
      <c r="E1637" s="3">
        <v>1</v>
      </c>
      <c r="F1637" s="3" t="s">
        <v>3349</v>
      </c>
      <c r="G1637" s="3" t="s">
        <v>402</v>
      </c>
      <c r="H1637" s="3" t="s">
        <v>988</v>
      </c>
      <c r="I1637" s="3" t="s">
        <v>1335</v>
      </c>
    </row>
    <row r="1638" spans="2:9" hidden="1" x14ac:dyDescent="0.4">
      <c r="B1638" s="8" t="s">
        <v>536</v>
      </c>
      <c r="C1638" s="3" t="s">
        <v>2215</v>
      </c>
      <c r="D1638" s="3" t="s">
        <v>2372</v>
      </c>
      <c r="E1638" s="3" t="s">
        <v>1272</v>
      </c>
      <c r="F1638" s="3" t="s">
        <v>399</v>
      </c>
      <c r="I1638" s="3" t="s">
        <v>1833</v>
      </c>
    </row>
    <row r="1639" spans="2:9" hidden="1" x14ac:dyDescent="0.4">
      <c r="B1639" s="8" t="s">
        <v>517</v>
      </c>
      <c r="C1639" s="3" t="s">
        <v>2645</v>
      </c>
      <c r="D1639" s="3" t="s">
        <v>2656</v>
      </c>
      <c r="E1639" s="3" t="s">
        <v>1272</v>
      </c>
      <c r="F1639" s="3" t="s">
        <v>399</v>
      </c>
      <c r="I1639" s="3" t="s">
        <v>2370</v>
      </c>
    </row>
    <row r="1640" spans="2:9" hidden="1" x14ac:dyDescent="0.4">
      <c r="B1640" s="8" t="s">
        <v>518</v>
      </c>
      <c r="C1640" s="3" t="s">
        <v>2833</v>
      </c>
      <c r="D1640" s="3" t="s">
        <v>2836</v>
      </c>
      <c r="E1640" s="3" t="s">
        <v>1272</v>
      </c>
      <c r="F1640" s="3" t="s">
        <v>399</v>
      </c>
      <c r="I1640" s="3" t="s">
        <v>2370</v>
      </c>
    </row>
    <row r="1641" spans="2:9" hidden="1" x14ac:dyDescent="0.4">
      <c r="B1641" s="8" t="s">
        <v>529</v>
      </c>
      <c r="C1641" s="3" t="s">
        <v>2851</v>
      </c>
      <c r="D1641" s="3" t="s">
        <v>2852</v>
      </c>
      <c r="E1641" s="3" t="s">
        <v>1272</v>
      </c>
      <c r="F1641" s="3" t="s">
        <v>399</v>
      </c>
      <c r="I1641" s="3" t="s">
        <v>2370</v>
      </c>
    </row>
    <row r="1642" spans="2:9" hidden="1" x14ac:dyDescent="0.4">
      <c r="B1642" s="8" t="s">
        <v>517</v>
      </c>
      <c r="C1642" s="3" t="s">
        <v>2214</v>
      </c>
      <c r="D1642" s="3" t="s">
        <v>2373</v>
      </c>
      <c r="E1642" s="3" t="s">
        <v>1272</v>
      </c>
      <c r="F1642" s="3" t="s">
        <v>399</v>
      </c>
      <c r="I1642" s="3" t="s">
        <v>1833</v>
      </c>
    </row>
    <row r="1643" spans="2:9" hidden="1" x14ac:dyDescent="0.4">
      <c r="B1643" s="8" t="s">
        <v>517</v>
      </c>
      <c r="C1643" s="3" t="s">
        <v>2547</v>
      </c>
      <c r="D1643" s="3" t="s">
        <v>2373</v>
      </c>
      <c r="E1643" s="3" t="s">
        <v>1272</v>
      </c>
      <c r="F1643" s="3" t="s">
        <v>402</v>
      </c>
      <c r="I1643" s="3" t="s">
        <v>1833</v>
      </c>
    </row>
    <row r="1644" spans="2:9" hidden="1" x14ac:dyDescent="0.4">
      <c r="B1644" s="8" t="s">
        <v>518</v>
      </c>
      <c r="C1644" s="3" t="s">
        <v>2863</v>
      </c>
      <c r="D1644" s="3" t="s">
        <v>2865</v>
      </c>
      <c r="E1644" s="3" t="s">
        <v>1272</v>
      </c>
      <c r="F1644" s="3" t="s">
        <v>399</v>
      </c>
      <c r="I1644" s="3" t="s">
        <v>2370</v>
      </c>
    </row>
    <row r="1645" spans="2:9" hidden="1" x14ac:dyDescent="0.4">
      <c r="B1645" s="8" t="s">
        <v>517</v>
      </c>
      <c r="C1645" s="3" t="s">
        <v>2224</v>
      </c>
      <c r="D1645" s="3" t="s">
        <v>2364</v>
      </c>
      <c r="E1645" s="3" t="s">
        <v>1272</v>
      </c>
      <c r="F1645" s="3" t="s">
        <v>399</v>
      </c>
      <c r="I1645" s="3" t="s">
        <v>2370</v>
      </c>
    </row>
    <row r="1646" spans="2:9" hidden="1" x14ac:dyDescent="0.4">
      <c r="B1646" s="8" t="s">
        <v>756</v>
      </c>
      <c r="C1646" s="3" t="s">
        <v>764</v>
      </c>
      <c r="D1646" s="3" t="s">
        <v>777</v>
      </c>
      <c r="F1646" s="3" t="s">
        <v>399</v>
      </c>
      <c r="G1646" s="3" t="s">
        <v>402</v>
      </c>
      <c r="I1646" s="3" t="s">
        <v>781</v>
      </c>
    </row>
    <row r="1647" spans="2:9" hidden="1" x14ac:dyDescent="0.4">
      <c r="B1647" s="8" t="s">
        <v>756</v>
      </c>
      <c r="C1647" s="3" t="s">
        <v>789</v>
      </c>
      <c r="D1647" s="3" t="s">
        <v>777</v>
      </c>
      <c r="F1647" s="3" t="s">
        <v>402</v>
      </c>
      <c r="I1647" s="3" t="s">
        <v>781</v>
      </c>
    </row>
    <row r="1648" spans="2:9" hidden="1" x14ac:dyDescent="0.4">
      <c r="B1648" s="8" t="s">
        <v>531</v>
      </c>
      <c r="C1648" s="3" t="s">
        <v>1453</v>
      </c>
      <c r="D1648" s="3" t="s">
        <v>1495</v>
      </c>
      <c r="F1648" s="3" t="s">
        <v>399</v>
      </c>
      <c r="G1648" s="3" t="s">
        <v>402</v>
      </c>
      <c r="I1648" s="3" t="s">
        <v>1489</v>
      </c>
    </row>
    <row r="1649" spans="2:9" hidden="1" x14ac:dyDescent="0.4">
      <c r="B1649" s="8" t="s">
        <v>531</v>
      </c>
      <c r="C1649" s="3" t="s">
        <v>1563</v>
      </c>
      <c r="D1649" s="3" t="s">
        <v>1495</v>
      </c>
      <c r="F1649" s="3" t="s">
        <v>402</v>
      </c>
      <c r="I1649" s="3" t="s">
        <v>1489</v>
      </c>
    </row>
    <row r="1650" spans="2:9" hidden="1" x14ac:dyDescent="0.4">
      <c r="B1650" s="8">
        <v>1</v>
      </c>
      <c r="C1650" s="3" t="s">
        <v>177</v>
      </c>
      <c r="D1650" s="3" t="s">
        <v>642</v>
      </c>
      <c r="F1650" s="3" t="s">
        <v>399</v>
      </c>
      <c r="I1650" s="3" t="s">
        <v>267</v>
      </c>
    </row>
    <row r="1651" spans="2:9" hidden="1" x14ac:dyDescent="0.4">
      <c r="B1651" s="8" t="s">
        <v>1990</v>
      </c>
      <c r="C1651" s="3" t="s">
        <v>4343</v>
      </c>
      <c r="D1651" s="3" t="s">
        <v>3989</v>
      </c>
      <c r="F1651" s="3" t="s">
        <v>399</v>
      </c>
      <c r="G1651" s="3" t="s">
        <v>402</v>
      </c>
      <c r="I1651" s="3" t="s">
        <v>4064</v>
      </c>
    </row>
    <row r="1652" spans="2:9" hidden="1" x14ac:dyDescent="0.4">
      <c r="B1652" s="8" t="s">
        <v>1990</v>
      </c>
      <c r="C1652" s="3" t="s">
        <v>6367</v>
      </c>
      <c r="D1652" s="3" t="s">
        <v>5660</v>
      </c>
      <c r="F1652" s="3" t="s">
        <v>402</v>
      </c>
      <c r="I1652" s="3" t="s">
        <v>4063</v>
      </c>
    </row>
    <row r="1653" spans="2:9" hidden="1" x14ac:dyDescent="0.4">
      <c r="B1653" s="8" t="s">
        <v>1990</v>
      </c>
      <c r="C1653" s="3" t="s">
        <v>6018</v>
      </c>
      <c r="D1653" s="3" t="s">
        <v>5011</v>
      </c>
      <c r="F1653" s="3" t="s">
        <v>399</v>
      </c>
      <c r="I1653" s="3" t="s">
        <v>4063</v>
      </c>
    </row>
    <row r="1654" spans="2:9" hidden="1" x14ac:dyDescent="0.4">
      <c r="B1654" s="8" t="s">
        <v>1990</v>
      </c>
      <c r="C1654" s="3" t="s">
        <v>3988</v>
      </c>
      <c r="D1654" s="3" t="s">
        <v>3989</v>
      </c>
      <c r="F1654" s="3" t="s">
        <v>399</v>
      </c>
      <c r="G1654" s="3" t="s">
        <v>402</v>
      </c>
      <c r="I1654" s="3" t="s">
        <v>4063</v>
      </c>
    </row>
    <row r="1655" spans="2:9" hidden="1" x14ac:dyDescent="0.4">
      <c r="B1655" s="8" t="s">
        <v>536</v>
      </c>
      <c r="C1655" s="3" t="s">
        <v>2697</v>
      </c>
      <c r="D1655" s="3">
        <v>21</v>
      </c>
      <c r="F1655" s="3" t="s">
        <v>1124</v>
      </c>
      <c r="I1655" s="3" t="s">
        <v>252</v>
      </c>
    </row>
    <row r="1656" spans="2:9" hidden="1" x14ac:dyDescent="0.4">
      <c r="B1656" s="8" t="s">
        <v>536</v>
      </c>
      <c r="C1656" s="3" t="s">
        <v>2687</v>
      </c>
      <c r="D1656" s="3">
        <v>11</v>
      </c>
      <c r="F1656" s="3" t="s">
        <v>1124</v>
      </c>
      <c r="I1656" s="3" t="s">
        <v>252</v>
      </c>
    </row>
    <row r="1657" spans="2:9" hidden="1" x14ac:dyDescent="0.4">
      <c r="B1657" s="8" t="s">
        <v>518</v>
      </c>
      <c r="C1657" s="3" t="s">
        <v>3374</v>
      </c>
      <c r="D1657" s="3" t="s">
        <v>3682</v>
      </c>
      <c r="F1657" s="3" t="s">
        <v>399</v>
      </c>
      <c r="G1657" s="3" t="s">
        <v>402</v>
      </c>
      <c r="I1657" s="3" t="s">
        <v>4063</v>
      </c>
    </row>
    <row r="1658" spans="2:9" hidden="1" x14ac:dyDescent="0.4">
      <c r="B1658" s="8" t="s">
        <v>518</v>
      </c>
      <c r="C1658" s="3" t="s">
        <v>5709</v>
      </c>
      <c r="D1658" s="3" t="s">
        <v>4708</v>
      </c>
      <c r="F1658" s="3" t="s">
        <v>399</v>
      </c>
      <c r="I1658" s="3" t="s">
        <v>4063</v>
      </c>
    </row>
    <row r="1659" spans="2:9" hidden="1" x14ac:dyDescent="0.4">
      <c r="B1659" s="8" t="s">
        <v>518</v>
      </c>
      <c r="C1659" s="3" t="s">
        <v>6050</v>
      </c>
      <c r="D1659" s="3" t="s">
        <v>5376</v>
      </c>
      <c r="F1659" s="3" t="s">
        <v>402</v>
      </c>
      <c r="I1659" s="3" t="s">
        <v>4063</v>
      </c>
    </row>
    <row r="1660" spans="2:9" hidden="1" x14ac:dyDescent="0.4">
      <c r="B1660" s="8" t="s">
        <v>517</v>
      </c>
      <c r="C1660" s="3" t="s">
        <v>870</v>
      </c>
      <c r="D1660" s="3" t="s">
        <v>882</v>
      </c>
      <c r="E1660" s="3" t="s">
        <v>425</v>
      </c>
      <c r="F1660" s="3" t="s">
        <v>399</v>
      </c>
      <c r="I1660" s="3" t="s">
        <v>824</v>
      </c>
    </row>
    <row r="1661" spans="2:9" hidden="1" x14ac:dyDescent="0.4">
      <c r="B1661" s="8" t="s">
        <v>517</v>
      </c>
      <c r="C1661" s="3" t="s">
        <v>870</v>
      </c>
      <c r="D1661" s="3" t="s">
        <v>907</v>
      </c>
      <c r="E1661" s="3" t="s">
        <v>425</v>
      </c>
      <c r="F1661" s="3" t="s">
        <v>399</v>
      </c>
      <c r="I1661" s="3" t="s">
        <v>523</v>
      </c>
    </row>
    <row r="1662" spans="2:9" hidden="1" x14ac:dyDescent="0.4">
      <c r="B1662" s="8" t="s">
        <v>517</v>
      </c>
      <c r="C1662" s="3" t="s">
        <v>870</v>
      </c>
      <c r="D1662" s="3" t="s">
        <v>894</v>
      </c>
      <c r="E1662" s="3" t="s">
        <v>425</v>
      </c>
      <c r="F1662" s="3" t="s">
        <v>399</v>
      </c>
      <c r="I1662" s="3" t="s">
        <v>898</v>
      </c>
    </row>
    <row r="1663" spans="2:9" hidden="1" x14ac:dyDescent="0.4">
      <c r="B1663" s="8" t="s">
        <v>517</v>
      </c>
      <c r="C1663" s="3" t="s">
        <v>960</v>
      </c>
      <c r="D1663" s="3" t="s">
        <v>882</v>
      </c>
      <c r="E1663" s="3" t="s">
        <v>425</v>
      </c>
      <c r="F1663" s="3" t="s">
        <v>402</v>
      </c>
      <c r="I1663" s="3" t="s">
        <v>824</v>
      </c>
    </row>
    <row r="1664" spans="2:9" hidden="1" x14ac:dyDescent="0.4">
      <c r="B1664" s="8" t="s">
        <v>517</v>
      </c>
      <c r="C1664" s="3" t="s">
        <v>960</v>
      </c>
      <c r="D1664" s="3" t="s">
        <v>907</v>
      </c>
      <c r="E1664" s="3" t="s">
        <v>425</v>
      </c>
      <c r="F1664" s="3" t="s">
        <v>402</v>
      </c>
      <c r="I1664" s="3" t="s">
        <v>523</v>
      </c>
    </row>
    <row r="1665" spans="2:9" hidden="1" x14ac:dyDescent="0.4">
      <c r="B1665" s="8" t="s">
        <v>517</v>
      </c>
      <c r="C1665" s="3" t="s">
        <v>960</v>
      </c>
      <c r="D1665" s="3" t="s">
        <v>894</v>
      </c>
      <c r="E1665" s="3" t="s">
        <v>425</v>
      </c>
      <c r="F1665" s="3" t="s">
        <v>402</v>
      </c>
      <c r="I1665" s="3" t="s">
        <v>898</v>
      </c>
    </row>
    <row r="1666" spans="2:9" hidden="1" x14ac:dyDescent="0.4">
      <c r="B1666" s="8" t="s">
        <v>536</v>
      </c>
      <c r="C1666" s="3" t="s">
        <v>2707</v>
      </c>
      <c r="D1666" s="3">
        <v>31</v>
      </c>
      <c r="F1666" s="3" t="s">
        <v>1124</v>
      </c>
      <c r="I1666" s="3" t="s">
        <v>252</v>
      </c>
    </row>
    <row r="1667" spans="2:9" hidden="1" x14ac:dyDescent="0.4">
      <c r="B1667" s="8" t="s">
        <v>518</v>
      </c>
      <c r="C1667" s="3" t="s">
        <v>4076</v>
      </c>
      <c r="D1667" s="3" t="s">
        <v>3682</v>
      </c>
      <c r="F1667" s="3" t="s">
        <v>399</v>
      </c>
      <c r="G1667" s="3" t="s">
        <v>402</v>
      </c>
      <c r="I1667" s="3" t="s">
        <v>4064</v>
      </c>
    </row>
    <row r="1668" spans="2:9" hidden="1" x14ac:dyDescent="0.4">
      <c r="B1668" s="8" t="s">
        <v>518</v>
      </c>
      <c r="C1668" s="3" t="s">
        <v>4371</v>
      </c>
      <c r="D1668" s="3" t="s">
        <v>4708</v>
      </c>
      <c r="F1668" s="3" t="s">
        <v>399</v>
      </c>
      <c r="I1668" s="3" t="s">
        <v>4064</v>
      </c>
    </row>
    <row r="1669" spans="2:9" hidden="1" x14ac:dyDescent="0.4">
      <c r="B1669" s="8" t="s">
        <v>518</v>
      </c>
      <c r="C1669" s="3" t="s">
        <v>5041</v>
      </c>
      <c r="D1669" s="3" t="s">
        <v>5376</v>
      </c>
      <c r="F1669" s="3" t="s">
        <v>402</v>
      </c>
      <c r="I1669" s="3" t="s">
        <v>4064</v>
      </c>
    </row>
    <row r="1670" spans="2:9" hidden="1" x14ac:dyDescent="0.4">
      <c r="B1670" s="8" t="s">
        <v>823</v>
      </c>
      <c r="C1670" s="3" t="s">
        <v>1678</v>
      </c>
      <c r="D1670" s="3" t="s">
        <v>1696</v>
      </c>
      <c r="F1670" s="3" t="s">
        <v>1124</v>
      </c>
      <c r="I1670" s="3" t="s">
        <v>1489</v>
      </c>
    </row>
    <row r="1671" spans="2:9" hidden="1" x14ac:dyDescent="0.4">
      <c r="B1671" s="8" t="s">
        <v>520</v>
      </c>
      <c r="C1671" s="3" t="s">
        <v>975</v>
      </c>
      <c r="D1671" s="3" t="s">
        <v>1001</v>
      </c>
      <c r="F1671" s="3" t="s">
        <v>399</v>
      </c>
      <c r="I1671" s="3" t="s">
        <v>510</v>
      </c>
    </row>
    <row r="1672" spans="2:9" ht="29.25" hidden="1" x14ac:dyDescent="0.4">
      <c r="B1672" s="8" t="s">
        <v>520</v>
      </c>
      <c r="C1672" s="3" t="s">
        <v>1129</v>
      </c>
      <c r="D1672" s="3" t="s">
        <v>1142</v>
      </c>
      <c r="F1672" s="3" t="s">
        <v>402</v>
      </c>
      <c r="I1672" s="3" t="s">
        <v>510</v>
      </c>
    </row>
    <row r="1673" spans="2:9" ht="29.25" hidden="1" x14ac:dyDescent="0.4">
      <c r="B1673" s="8" t="s">
        <v>520</v>
      </c>
      <c r="C1673" s="3" t="s">
        <v>1130</v>
      </c>
      <c r="D1673" s="3" t="s">
        <v>1142</v>
      </c>
      <c r="F1673" s="3" t="s">
        <v>402</v>
      </c>
      <c r="I1673" s="3" t="s">
        <v>510</v>
      </c>
    </row>
    <row r="1674" spans="2:9" hidden="1" x14ac:dyDescent="0.4">
      <c r="B1674" s="8" t="s">
        <v>520</v>
      </c>
      <c r="C1674" s="3" t="s">
        <v>1086</v>
      </c>
      <c r="D1674" s="3" t="s">
        <v>1092</v>
      </c>
      <c r="F1674" s="3" t="s">
        <v>402</v>
      </c>
      <c r="G1674" s="3" t="s">
        <v>399</v>
      </c>
      <c r="H1674" s="3" t="s">
        <v>988</v>
      </c>
      <c r="I1674" s="3" t="s">
        <v>510</v>
      </c>
    </row>
    <row r="1675" spans="2:9" hidden="1" x14ac:dyDescent="0.4">
      <c r="B1675" s="8" t="s">
        <v>520</v>
      </c>
      <c r="C1675" s="3" t="s">
        <v>1098</v>
      </c>
      <c r="D1675" s="3" t="s">
        <v>1092</v>
      </c>
      <c r="F1675" s="3" t="s">
        <v>402</v>
      </c>
      <c r="I1675" s="3" t="s">
        <v>510</v>
      </c>
    </row>
    <row r="1676" spans="2:9" hidden="1" x14ac:dyDescent="0.4">
      <c r="B1676" s="8" t="s">
        <v>520</v>
      </c>
      <c r="C1676" s="3" t="s">
        <v>1107</v>
      </c>
      <c r="D1676" s="3" t="s">
        <v>1092</v>
      </c>
      <c r="F1676" s="3" t="s">
        <v>399</v>
      </c>
      <c r="I1676" s="3" t="s">
        <v>510</v>
      </c>
    </row>
    <row r="1677" spans="2:9" hidden="1" x14ac:dyDescent="0.4">
      <c r="B1677" s="8" t="s">
        <v>517</v>
      </c>
      <c r="C1677" s="3" t="s">
        <v>4115</v>
      </c>
      <c r="D1677" s="3" t="s">
        <v>3715</v>
      </c>
      <c r="F1677" s="3" t="s">
        <v>399</v>
      </c>
      <c r="G1677" s="3" t="s">
        <v>402</v>
      </c>
      <c r="I1677" s="3" t="s">
        <v>4064</v>
      </c>
    </row>
    <row r="1678" spans="2:9" hidden="1" x14ac:dyDescent="0.4">
      <c r="B1678" s="8" t="s">
        <v>517</v>
      </c>
      <c r="C1678" s="3" t="s">
        <v>4389</v>
      </c>
      <c r="D1678" s="3" t="s">
        <v>4872</v>
      </c>
      <c r="F1678" s="3" t="s">
        <v>399</v>
      </c>
      <c r="I1678" s="3" t="s">
        <v>4064</v>
      </c>
    </row>
    <row r="1679" spans="2:9" hidden="1" x14ac:dyDescent="0.4">
      <c r="B1679" s="8" t="s">
        <v>517</v>
      </c>
      <c r="C1679" s="3" t="s">
        <v>5076</v>
      </c>
      <c r="D1679" s="3" t="s">
        <v>5405</v>
      </c>
      <c r="F1679" s="3" t="s">
        <v>402</v>
      </c>
      <c r="I1679" s="3" t="s">
        <v>4064</v>
      </c>
    </row>
    <row r="1680" spans="2:9" hidden="1" x14ac:dyDescent="0.4">
      <c r="B1680" s="8" t="s">
        <v>517</v>
      </c>
      <c r="C1680" s="3" t="s">
        <v>3405</v>
      </c>
      <c r="D1680" s="3" t="s">
        <v>3715</v>
      </c>
      <c r="F1680" s="3" t="s">
        <v>399</v>
      </c>
      <c r="G1680" s="3" t="s">
        <v>402</v>
      </c>
      <c r="I1680" s="3" t="s">
        <v>4063</v>
      </c>
    </row>
    <row r="1681" spans="2:9" hidden="1" x14ac:dyDescent="0.4">
      <c r="B1681" s="8" t="s">
        <v>517</v>
      </c>
      <c r="C1681" s="3" t="s">
        <v>5738</v>
      </c>
      <c r="D1681" s="3" t="s">
        <v>4872</v>
      </c>
      <c r="F1681" s="3" t="s">
        <v>399</v>
      </c>
      <c r="I1681" s="3" t="s">
        <v>4063</v>
      </c>
    </row>
    <row r="1682" spans="2:9" hidden="1" x14ac:dyDescent="0.4">
      <c r="B1682" s="8" t="s">
        <v>517</v>
      </c>
      <c r="C1682" s="3" t="s">
        <v>6080</v>
      </c>
      <c r="D1682" s="3" t="s">
        <v>5405</v>
      </c>
      <c r="F1682" s="3" t="s">
        <v>402</v>
      </c>
      <c r="I1682" s="3" t="s">
        <v>4063</v>
      </c>
    </row>
    <row r="1683" spans="2:9" hidden="1" x14ac:dyDescent="0.4">
      <c r="B1683" s="8" t="s">
        <v>4118</v>
      </c>
      <c r="C1683" s="3" t="s">
        <v>4116</v>
      </c>
      <c r="D1683" s="3" t="s">
        <v>3715</v>
      </c>
      <c r="F1683" s="3" t="s">
        <v>399</v>
      </c>
      <c r="G1683" s="3" t="s">
        <v>402</v>
      </c>
      <c r="I1683" s="3" t="s">
        <v>4064</v>
      </c>
    </row>
    <row r="1684" spans="2:9" hidden="1" x14ac:dyDescent="0.4">
      <c r="B1684" s="8" t="s">
        <v>4118</v>
      </c>
      <c r="C1684" s="3" t="s">
        <v>4617</v>
      </c>
      <c r="D1684" s="3" t="s">
        <v>4872</v>
      </c>
      <c r="F1684" s="3" t="s">
        <v>399</v>
      </c>
      <c r="I1684" s="3" t="s">
        <v>4064</v>
      </c>
    </row>
    <row r="1685" spans="2:9" hidden="1" x14ac:dyDescent="0.4">
      <c r="B1685" s="8" t="s">
        <v>4118</v>
      </c>
      <c r="C1685" s="3" t="s">
        <v>5077</v>
      </c>
      <c r="D1685" s="3" t="s">
        <v>5405</v>
      </c>
      <c r="F1685" s="3" t="s">
        <v>402</v>
      </c>
      <c r="I1685" s="3" t="s">
        <v>4064</v>
      </c>
    </row>
    <row r="1686" spans="2:9" hidden="1" x14ac:dyDescent="0.4">
      <c r="B1686" s="8" t="s">
        <v>529</v>
      </c>
      <c r="C1686" s="3" t="s">
        <v>442</v>
      </c>
      <c r="D1686" s="3" t="s">
        <v>754</v>
      </c>
      <c r="E1686" s="3" t="s">
        <v>432</v>
      </c>
      <c r="F1686" s="3" t="s">
        <v>12779</v>
      </c>
      <c r="G1686" s="3" t="s">
        <v>430</v>
      </c>
      <c r="I1686" s="3" t="s">
        <v>472</v>
      </c>
    </row>
    <row r="1687" spans="2:9" hidden="1" x14ac:dyDescent="0.4">
      <c r="B1687" s="8" t="s">
        <v>536</v>
      </c>
      <c r="C1687" s="3" t="s">
        <v>442</v>
      </c>
      <c r="D1687" s="3" t="s">
        <v>478</v>
      </c>
      <c r="E1687" s="3" t="s">
        <v>7805</v>
      </c>
      <c r="F1687" s="3" t="s">
        <v>430</v>
      </c>
      <c r="I1687" s="3" t="s">
        <v>431</v>
      </c>
    </row>
    <row r="1688" spans="2:9" hidden="1" x14ac:dyDescent="0.4">
      <c r="B1688" s="8" t="s">
        <v>529</v>
      </c>
      <c r="C1688" s="3" t="s">
        <v>291</v>
      </c>
      <c r="D1688" s="3" t="s">
        <v>580</v>
      </c>
      <c r="F1688" s="3" t="s">
        <v>399</v>
      </c>
      <c r="I1688" s="3" t="s">
        <v>267</v>
      </c>
    </row>
    <row r="1689" spans="2:9" hidden="1" x14ac:dyDescent="0.4">
      <c r="B1689" s="8" t="s">
        <v>517</v>
      </c>
      <c r="C1689" s="3" t="s">
        <v>2989</v>
      </c>
      <c r="D1689" s="3" t="s">
        <v>3226</v>
      </c>
      <c r="E1689" s="3">
        <v>1</v>
      </c>
      <c r="F1689" s="3" t="s">
        <v>402</v>
      </c>
      <c r="G1689" s="3" t="s">
        <v>399</v>
      </c>
      <c r="H1689" s="3" t="s">
        <v>1279</v>
      </c>
      <c r="I1689" s="3" t="s">
        <v>245</v>
      </c>
    </row>
    <row r="1690" spans="2:9" hidden="1" x14ac:dyDescent="0.4">
      <c r="B1690" s="8" t="s">
        <v>536</v>
      </c>
      <c r="C1690" s="3" t="s">
        <v>441</v>
      </c>
      <c r="D1690" s="3" t="s">
        <v>479</v>
      </c>
      <c r="E1690" s="3" t="s">
        <v>7805</v>
      </c>
      <c r="F1690" s="3" t="s">
        <v>430</v>
      </c>
      <c r="I1690" s="3" t="s">
        <v>431</v>
      </c>
    </row>
    <row r="1691" spans="2:9" hidden="1" x14ac:dyDescent="0.4">
      <c r="B1691" s="8" t="s">
        <v>518</v>
      </c>
      <c r="C1691" s="3" t="s">
        <v>293</v>
      </c>
      <c r="D1691" s="3" t="s">
        <v>581</v>
      </c>
      <c r="F1691" s="3" t="s">
        <v>399</v>
      </c>
      <c r="I1691" s="3" t="s">
        <v>267</v>
      </c>
    </row>
    <row r="1692" spans="2:9" hidden="1" x14ac:dyDescent="0.4">
      <c r="B1692" s="8" t="s">
        <v>517</v>
      </c>
      <c r="C1692" s="3" t="s">
        <v>3076</v>
      </c>
      <c r="D1692" s="3" t="s">
        <v>3309</v>
      </c>
      <c r="E1692" s="3">
        <v>1</v>
      </c>
      <c r="F1692" s="3" t="s">
        <v>402</v>
      </c>
      <c r="G1692" s="3" t="s">
        <v>988</v>
      </c>
      <c r="I1692" s="3" t="s">
        <v>245</v>
      </c>
    </row>
    <row r="1693" spans="2:9" hidden="1" x14ac:dyDescent="0.4">
      <c r="B1693" s="8" t="s">
        <v>517</v>
      </c>
      <c r="C1693" s="3" t="s">
        <v>3077</v>
      </c>
      <c r="D1693" s="3" t="s">
        <v>3309</v>
      </c>
      <c r="E1693" s="3">
        <v>1</v>
      </c>
      <c r="F1693" s="3" t="s">
        <v>402</v>
      </c>
      <c r="G1693" s="3" t="s">
        <v>988</v>
      </c>
      <c r="I1693" s="3" t="s">
        <v>245</v>
      </c>
    </row>
    <row r="1694" spans="2:9" hidden="1" x14ac:dyDescent="0.4">
      <c r="B1694" s="8" t="s">
        <v>519</v>
      </c>
      <c r="C1694" s="3" t="s">
        <v>3968</v>
      </c>
      <c r="D1694" s="3" t="s">
        <v>3969</v>
      </c>
      <c r="F1694" s="3" t="s">
        <v>399</v>
      </c>
      <c r="G1694" s="3" t="s">
        <v>402</v>
      </c>
      <c r="I1694" s="3" t="s">
        <v>4063</v>
      </c>
    </row>
    <row r="1695" spans="2:9" hidden="1" x14ac:dyDescent="0.4">
      <c r="B1695" s="8" t="s">
        <v>516</v>
      </c>
      <c r="C1695" s="3" t="s">
        <v>3986</v>
      </c>
      <c r="D1695" s="3" t="s">
        <v>3987</v>
      </c>
      <c r="F1695" s="3" t="s">
        <v>399</v>
      </c>
      <c r="G1695" s="3" t="s">
        <v>402</v>
      </c>
      <c r="I1695" s="3" t="s">
        <v>4063</v>
      </c>
    </row>
    <row r="1696" spans="2:9" hidden="1" x14ac:dyDescent="0.4">
      <c r="B1696" s="8" t="s">
        <v>519</v>
      </c>
      <c r="C1696" s="3" t="s">
        <v>4333</v>
      </c>
      <c r="D1696" s="3" t="s">
        <v>3969</v>
      </c>
      <c r="F1696" s="3" t="s">
        <v>399</v>
      </c>
      <c r="G1696" s="3" t="s">
        <v>402</v>
      </c>
      <c r="I1696" s="3" t="s">
        <v>4064</v>
      </c>
    </row>
    <row r="1697" spans="2:9" hidden="1" x14ac:dyDescent="0.4">
      <c r="B1697" s="8" t="s">
        <v>519</v>
      </c>
      <c r="C1697" s="3" t="s">
        <v>6304</v>
      </c>
      <c r="D1697" s="3" t="s">
        <v>6372</v>
      </c>
      <c r="F1697" s="3" t="s">
        <v>402</v>
      </c>
      <c r="I1697" s="3" t="s">
        <v>4063</v>
      </c>
    </row>
    <row r="1698" spans="2:9" hidden="1" x14ac:dyDescent="0.4">
      <c r="B1698" s="8" t="s">
        <v>516</v>
      </c>
      <c r="C1698" s="3" t="s">
        <v>6309</v>
      </c>
      <c r="D1698" s="3" t="s">
        <v>5660</v>
      </c>
      <c r="F1698" s="3" t="s">
        <v>402</v>
      </c>
      <c r="I1698" s="3" t="s">
        <v>4063</v>
      </c>
    </row>
    <row r="1699" spans="2:9" hidden="1" x14ac:dyDescent="0.4">
      <c r="B1699" s="8" t="s">
        <v>519</v>
      </c>
      <c r="C1699" s="3" t="s">
        <v>6025</v>
      </c>
      <c r="D1699" s="3" t="s">
        <v>6034</v>
      </c>
      <c r="F1699" s="3" t="s">
        <v>399</v>
      </c>
      <c r="I1699" s="3" t="s">
        <v>4063</v>
      </c>
    </row>
    <row r="1700" spans="2:9" hidden="1" x14ac:dyDescent="0.4">
      <c r="B1700" s="8" t="s">
        <v>516</v>
      </c>
      <c r="C1700" s="3" t="s">
        <v>5961</v>
      </c>
      <c r="D1700" s="3" t="s">
        <v>5011</v>
      </c>
      <c r="F1700" s="3" t="s">
        <v>399</v>
      </c>
      <c r="I1700" s="3" t="s">
        <v>4063</v>
      </c>
    </row>
    <row r="1701" spans="2:9" hidden="1" x14ac:dyDescent="0.4">
      <c r="B1701" s="8" t="s">
        <v>516</v>
      </c>
      <c r="C1701" s="3" t="s">
        <v>4693</v>
      </c>
      <c r="D1701" s="3" t="s">
        <v>5011</v>
      </c>
      <c r="F1701" s="3" t="s">
        <v>399</v>
      </c>
      <c r="I1701" s="3" t="s">
        <v>4064</v>
      </c>
    </row>
    <row r="1702" spans="2:9" hidden="1" x14ac:dyDescent="0.4">
      <c r="B1702" s="8" t="s">
        <v>516</v>
      </c>
      <c r="C1702" s="3" t="s">
        <v>5341</v>
      </c>
      <c r="D1702" s="3" t="s">
        <v>5660</v>
      </c>
      <c r="F1702" s="3" t="s">
        <v>402</v>
      </c>
      <c r="I1702" s="3" t="s">
        <v>4064</v>
      </c>
    </row>
    <row r="1703" spans="2:9" hidden="1" x14ac:dyDescent="0.4">
      <c r="B1703" s="8" t="s">
        <v>516</v>
      </c>
      <c r="C1703" s="3" t="s">
        <v>4342</v>
      </c>
      <c r="D1703" s="3" t="s">
        <v>3987</v>
      </c>
      <c r="F1703" s="3" t="s">
        <v>399</v>
      </c>
      <c r="G1703" s="3" t="s">
        <v>402</v>
      </c>
      <c r="I1703" s="3" t="s">
        <v>4064</v>
      </c>
    </row>
    <row r="1704" spans="2:9" hidden="1" x14ac:dyDescent="0.4">
      <c r="B1704" s="8" t="s">
        <v>517</v>
      </c>
      <c r="C1704" s="3" t="s">
        <v>3009</v>
      </c>
      <c r="D1704" s="3" t="s">
        <v>3245</v>
      </c>
      <c r="E1704" s="3">
        <v>1</v>
      </c>
      <c r="F1704" s="3" t="s">
        <v>402</v>
      </c>
      <c r="G1704" s="3" t="s">
        <v>399</v>
      </c>
      <c r="I1704" s="3" t="s">
        <v>245</v>
      </c>
    </row>
    <row r="1705" spans="2:9" hidden="1" x14ac:dyDescent="0.4">
      <c r="B1705" s="8" t="s">
        <v>529</v>
      </c>
      <c r="C1705" s="3" t="s">
        <v>2846</v>
      </c>
      <c r="D1705" s="3" t="s">
        <v>2850</v>
      </c>
      <c r="E1705" s="3" t="s">
        <v>1272</v>
      </c>
      <c r="F1705" s="3" t="s">
        <v>399</v>
      </c>
      <c r="I1705" s="3" t="s">
        <v>2370</v>
      </c>
    </row>
    <row r="1706" spans="2:9" hidden="1" x14ac:dyDescent="0.4">
      <c r="B1706" s="8" t="s">
        <v>517</v>
      </c>
      <c r="C1706" s="3" t="s">
        <v>4304</v>
      </c>
      <c r="D1706" s="3" t="s">
        <v>3917</v>
      </c>
      <c r="F1706" s="3" t="s">
        <v>399</v>
      </c>
      <c r="G1706" s="3" t="s">
        <v>402</v>
      </c>
      <c r="I1706" s="3" t="s">
        <v>4064</v>
      </c>
    </row>
    <row r="1707" spans="2:9" hidden="1" x14ac:dyDescent="0.4">
      <c r="B1707" s="8" t="s">
        <v>517</v>
      </c>
      <c r="C1707" s="3" t="s">
        <v>4507</v>
      </c>
      <c r="D1707" s="3" t="s">
        <v>4961</v>
      </c>
      <c r="F1707" s="3" t="s">
        <v>399</v>
      </c>
      <c r="I1707" s="3" t="s">
        <v>4064</v>
      </c>
    </row>
    <row r="1708" spans="2:9" hidden="1" x14ac:dyDescent="0.4">
      <c r="B1708" s="8" t="s">
        <v>517</v>
      </c>
      <c r="C1708" s="3" t="s">
        <v>5302</v>
      </c>
      <c r="D1708" s="3" t="s">
        <v>5622</v>
      </c>
      <c r="F1708" s="3" t="s">
        <v>402</v>
      </c>
      <c r="I1708" s="3" t="s">
        <v>4064</v>
      </c>
    </row>
    <row r="1709" spans="2:9" hidden="1" x14ac:dyDescent="0.4">
      <c r="B1709" s="8" t="s">
        <v>517</v>
      </c>
      <c r="C1709" s="3" t="s">
        <v>3623</v>
      </c>
      <c r="D1709" s="3" t="s">
        <v>3917</v>
      </c>
      <c r="F1709" s="3" t="s">
        <v>399</v>
      </c>
      <c r="G1709" s="3" t="s">
        <v>402</v>
      </c>
      <c r="I1709" s="3" t="s">
        <v>4063</v>
      </c>
    </row>
    <row r="1710" spans="2:9" hidden="1" x14ac:dyDescent="0.4">
      <c r="B1710" s="8" t="s">
        <v>517</v>
      </c>
      <c r="C1710" s="3" t="s">
        <v>5929</v>
      </c>
      <c r="D1710" s="3" t="s">
        <v>4961</v>
      </c>
      <c r="F1710" s="3" t="s">
        <v>399</v>
      </c>
      <c r="I1710" s="3" t="s">
        <v>4063</v>
      </c>
    </row>
    <row r="1711" spans="2:9" hidden="1" x14ac:dyDescent="0.4">
      <c r="B1711" s="8" t="s">
        <v>517</v>
      </c>
      <c r="C1711" s="3" t="s">
        <v>6275</v>
      </c>
      <c r="D1711" s="3" t="s">
        <v>5622</v>
      </c>
      <c r="F1711" s="3" t="s">
        <v>402</v>
      </c>
      <c r="I1711" s="3" t="s">
        <v>4063</v>
      </c>
    </row>
    <row r="1712" spans="2:9" hidden="1" x14ac:dyDescent="0.4">
      <c r="B1712" s="8" t="s">
        <v>517</v>
      </c>
      <c r="C1712" s="3" t="s">
        <v>3402</v>
      </c>
      <c r="D1712" s="3" t="s">
        <v>3712</v>
      </c>
      <c r="F1712" s="3" t="s">
        <v>399</v>
      </c>
      <c r="G1712" s="3" t="s">
        <v>402</v>
      </c>
      <c r="I1712" s="3" t="s">
        <v>4063</v>
      </c>
    </row>
    <row r="1713" spans="2:9" hidden="1" x14ac:dyDescent="0.4">
      <c r="B1713" s="8" t="s">
        <v>517</v>
      </c>
      <c r="C1713" s="3" t="s">
        <v>5734</v>
      </c>
      <c r="D1713" s="3" t="s">
        <v>4731</v>
      </c>
      <c r="F1713" s="3" t="s">
        <v>399</v>
      </c>
      <c r="I1713" s="3" t="s">
        <v>4063</v>
      </c>
    </row>
    <row r="1714" spans="2:9" hidden="1" x14ac:dyDescent="0.4">
      <c r="B1714" s="8" t="s">
        <v>517</v>
      </c>
      <c r="C1714" s="3" t="s">
        <v>6076</v>
      </c>
      <c r="D1714" s="3" t="s">
        <v>5402</v>
      </c>
      <c r="F1714" s="3" t="s">
        <v>402</v>
      </c>
      <c r="I1714" s="3" t="s">
        <v>4063</v>
      </c>
    </row>
    <row r="1715" spans="2:9" hidden="1" x14ac:dyDescent="0.4">
      <c r="B1715" s="8" t="s">
        <v>518</v>
      </c>
      <c r="C1715" s="3" t="s">
        <v>1458</v>
      </c>
      <c r="D1715" s="3" t="s">
        <v>1500</v>
      </c>
      <c r="F1715" s="3" t="s">
        <v>399</v>
      </c>
      <c r="G1715" s="3" t="s">
        <v>402</v>
      </c>
      <c r="I1715" s="3" t="s">
        <v>1489</v>
      </c>
    </row>
    <row r="1716" spans="2:9" hidden="1" x14ac:dyDescent="0.4">
      <c r="B1716" s="8" t="s">
        <v>823</v>
      </c>
      <c r="C1716" s="3" t="s">
        <v>1683</v>
      </c>
      <c r="D1716" s="3" t="s">
        <v>1500</v>
      </c>
      <c r="F1716" s="3" t="s">
        <v>1124</v>
      </c>
      <c r="I1716" s="3" t="s">
        <v>1489</v>
      </c>
    </row>
    <row r="1717" spans="2:9" hidden="1" x14ac:dyDescent="0.4">
      <c r="B1717" s="8" t="s">
        <v>518</v>
      </c>
      <c r="C1717" s="3" t="s">
        <v>1568</v>
      </c>
      <c r="D1717" s="3" t="s">
        <v>1500</v>
      </c>
      <c r="F1717" s="3" t="s">
        <v>402</v>
      </c>
      <c r="I1717" s="3" t="s">
        <v>1489</v>
      </c>
    </row>
    <row r="1718" spans="2:9" hidden="1" x14ac:dyDescent="0.4">
      <c r="B1718" s="8" t="s">
        <v>517</v>
      </c>
      <c r="C1718" s="3" t="s">
        <v>3404</v>
      </c>
      <c r="D1718" s="3" t="s">
        <v>3714</v>
      </c>
      <c r="F1718" s="3" t="s">
        <v>399</v>
      </c>
      <c r="G1718" s="3" t="s">
        <v>402</v>
      </c>
      <c r="I1718" s="3" t="s">
        <v>4063</v>
      </c>
    </row>
    <row r="1719" spans="2:9" hidden="1" x14ac:dyDescent="0.4">
      <c r="B1719" s="8" t="s">
        <v>517</v>
      </c>
      <c r="C1719" s="3" t="s">
        <v>3404</v>
      </c>
      <c r="D1719" s="3" t="s">
        <v>3714</v>
      </c>
      <c r="F1719" s="3" t="s">
        <v>399</v>
      </c>
      <c r="G1719" s="3" t="s">
        <v>402</v>
      </c>
      <c r="I1719" s="3" t="s">
        <v>4064</v>
      </c>
    </row>
    <row r="1720" spans="2:9" hidden="1" x14ac:dyDescent="0.4">
      <c r="B1720" s="8" t="s">
        <v>517</v>
      </c>
      <c r="C1720" s="3" t="s">
        <v>5737</v>
      </c>
      <c r="D1720" s="3" t="s">
        <v>4733</v>
      </c>
      <c r="F1720" s="3" t="s">
        <v>399</v>
      </c>
      <c r="I1720" s="3" t="s">
        <v>4063</v>
      </c>
    </row>
    <row r="1721" spans="2:9" hidden="1" x14ac:dyDescent="0.4">
      <c r="B1721" s="8" t="s">
        <v>517</v>
      </c>
      <c r="C1721" s="3" t="s">
        <v>6079</v>
      </c>
      <c r="D1721" s="3" t="s">
        <v>5404</v>
      </c>
      <c r="F1721" s="3" t="s">
        <v>402</v>
      </c>
      <c r="I1721" s="3" t="s">
        <v>4063</v>
      </c>
    </row>
    <row r="1722" spans="2:9" hidden="1" x14ac:dyDescent="0.4">
      <c r="B1722" s="8" t="s">
        <v>517</v>
      </c>
      <c r="C1722" s="3" t="s">
        <v>4564</v>
      </c>
      <c r="D1722" s="3" t="s">
        <v>4733</v>
      </c>
      <c r="F1722" s="3" t="s">
        <v>399</v>
      </c>
      <c r="I1722" s="3" t="s">
        <v>4064</v>
      </c>
    </row>
    <row r="1723" spans="2:9" hidden="1" x14ac:dyDescent="0.4">
      <c r="B1723" s="8" t="s">
        <v>517</v>
      </c>
      <c r="C1723" s="3" t="s">
        <v>5075</v>
      </c>
      <c r="D1723" s="3" t="s">
        <v>5404</v>
      </c>
      <c r="F1723" s="3" t="s">
        <v>402</v>
      </c>
      <c r="I1723" s="3" t="s">
        <v>4064</v>
      </c>
    </row>
    <row r="1724" spans="2:9" hidden="1" x14ac:dyDescent="0.4">
      <c r="B1724" s="8" t="s">
        <v>517</v>
      </c>
      <c r="C1724" s="3" t="s">
        <v>3664</v>
      </c>
      <c r="D1724" s="3" t="s">
        <v>3957</v>
      </c>
      <c r="E1724" s="3" t="s">
        <v>1272</v>
      </c>
      <c r="F1724" s="3" t="s">
        <v>399</v>
      </c>
      <c r="G1724" s="3" t="s">
        <v>402</v>
      </c>
      <c r="I1724" s="3" t="s">
        <v>4362</v>
      </c>
    </row>
    <row r="1725" spans="2:9" hidden="1" x14ac:dyDescent="0.4">
      <c r="B1725" s="8" t="s">
        <v>517</v>
      </c>
      <c r="C1725" s="3" t="s">
        <v>3664</v>
      </c>
      <c r="D1725" s="3" t="s">
        <v>3712</v>
      </c>
      <c r="F1725" s="3" t="s">
        <v>399</v>
      </c>
      <c r="G1725" s="3" t="s">
        <v>402</v>
      </c>
      <c r="I1725" s="3" t="s">
        <v>4064</v>
      </c>
    </row>
    <row r="1726" spans="2:9" hidden="1" x14ac:dyDescent="0.4">
      <c r="B1726" s="8" t="s">
        <v>517</v>
      </c>
      <c r="C1726" s="3" t="s">
        <v>4385</v>
      </c>
      <c r="D1726" s="3" t="s">
        <v>4731</v>
      </c>
      <c r="F1726" s="3" t="s">
        <v>399</v>
      </c>
      <c r="I1726" s="3" t="s">
        <v>4064</v>
      </c>
    </row>
    <row r="1727" spans="2:9" hidden="1" x14ac:dyDescent="0.4">
      <c r="B1727" s="8" t="s">
        <v>517</v>
      </c>
      <c r="C1727" s="3" t="s">
        <v>5071</v>
      </c>
      <c r="D1727" s="3" t="s">
        <v>5402</v>
      </c>
      <c r="F1727" s="3" t="s">
        <v>402</v>
      </c>
      <c r="I1727" s="3" t="s">
        <v>4064</v>
      </c>
    </row>
    <row r="1728" spans="2:9" hidden="1" x14ac:dyDescent="0.4">
      <c r="B1728" s="8" t="s">
        <v>517</v>
      </c>
      <c r="C1728" s="3" t="s">
        <v>2265</v>
      </c>
      <c r="D1728" s="3" t="s">
        <v>2422</v>
      </c>
      <c r="E1728" s="3" t="s">
        <v>1272</v>
      </c>
      <c r="F1728" s="3" t="s">
        <v>399</v>
      </c>
      <c r="I1728" s="3" t="s">
        <v>1833</v>
      </c>
    </row>
    <row r="1729" spans="2:9" hidden="1" x14ac:dyDescent="0.4">
      <c r="B1729" s="8" t="s">
        <v>517</v>
      </c>
      <c r="C1729" s="3" t="s">
        <v>2573</v>
      </c>
      <c r="D1729" s="3" t="s">
        <v>2422</v>
      </c>
      <c r="E1729" s="3" t="s">
        <v>1272</v>
      </c>
      <c r="F1729" s="3" t="s">
        <v>402</v>
      </c>
      <c r="I1729" s="3" t="s">
        <v>1833</v>
      </c>
    </row>
    <row r="1730" spans="2:9" hidden="1" x14ac:dyDescent="0.4">
      <c r="B1730" s="8" t="s">
        <v>517</v>
      </c>
      <c r="C1730" s="3" t="s">
        <v>4065</v>
      </c>
      <c r="D1730" s="3" t="s">
        <v>3671</v>
      </c>
      <c r="F1730" s="3" t="s">
        <v>399</v>
      </c>
      <c r="G1730" s="3" t="s">
        <v>402</v>
      </c>
      <c r="I1730" s="3" t="s">
        <v>4064</v>
      </c>
    </row>
    <row r="1731" spans="2:9" hidden="1" x14ac:dyDescent="0.4">
      <c r="B1731" s="8" t="s">
        <v>517</v>
      </c>
      <c r="C1731" s="3" t="s">
        <v>4546</v>
      </c>
      <c r="D1731" s="3" t="s">
        <v>4702</v>
      </c>
      <c r="F1731" s="3" t="s">
        <v>399</v>
      </c>
      <c r="I1731" s="3" t="s">
        <v>4064</v>
      </c>
    </row>
    <row r="1732" spans="2:9" hidden="1" x14ac:dyDescent="0.4">
      <c r="B1732" s="8" t="s">
        <v>517</v>
      </c>
      <c r="C1732" s="3" t="s">
        <v>5029</v>
      </c>
      <c r="D1732" s="3" t="s">
        <v>5366</v>
      </c>
      <c r="F1732" s="3" t="s">
        <v>402</v>
      </c>
      <c r="I1732" s="3" t="s">
        <v>4064</v>
      </c>
    </row>
    <row r="1733" spans="2:9" hidden="1" x14ac:dyDescent="0.4">
      <c r="B1733" s="8" t="s">
        <v>517</v>
      </c>
      <c r="C1733" s="3" t="s">
        <v>3362</v>
      </c>
      <c r="D1733" s="3" t="s">
        <v>3671</v>
      </c>
      <c r="F1733" s="3" t="s">
        <v>399</v>
      </c>
      <c r="G1733" s="3" t="s">
        <v>402</v>
      </c>
      <c r="I1733" s="3" t="s">
        <v>4063</v>
      </c>
    </row>
    <row r="1734" spans="2:9" hidden="1" x14ac:dyDescent="0.4">
      <c r="B1734" s="8" t="s">
        <v>517</v>
      </c>
      <c r="C1734" s="3" t="s">
        <v>5697</v>
      </c>
      <c r="D1734" s="3" t="s">
        <v>4702</v>
      </c>
      <c r="F1734" s="3" t="s">
        <v>399</v>
      </c>
      <c r="I1734" s="3" t="s">
        <v>4063</v>
      </c>
    </row>
    <row r="1735" spans="2:9" hidden="1" x14ac:dyDescent="0.4">
      <c r="B1735" s="8" t="s">
        <v>517</v>
      </c>
      <c r="C1735" s="3" t="s">
        <v>6038</v>
      </c>
      <c r="D1735" s="3" t="s">
        <v>5366</v>
      </c>
      <c r="F1735" s="3" t="s">
        <v>402</v>
      </c>
      <c r="I1735" s="3" t="s">
        <v>4063</v>
      </c>
    </row>
    <row r="1736" spans="2:9" hidden="1" x14ac:dyDescent="0.4">
      <c r="B1736" s="8" t="s">
        <v>517</v>
      </c>
      <c r="C1736" s="3" t="s">
        <v>2994</v>
      </c>
      <c r="D1736" s="3" t="s">
        <v>3232</v>
      </c>
      <c r="E1736" s="3">
        <v>1</v>
      </c>
      <c r="F1736" s="3" t="s">
        <v>402</v>
      </c>
      <c r="I1736" s="3" t="s">
        <v>245</v>
      </c>
    </row>
    <row r="1737" spans="2:9" hidden="1" x14ac:dyDescent="0.4">
      <c r="B1737" s="8" t="s">
        <v>517</v>
      </c>
      <c r="C1737" s="3" t="s">
        <v>2938</v>
      </c>
      <c r="D1737" s="3" t="s">
        <v>3176</v>
      </c>
      <c r="E1737" s="3">
        <v>1</v>
      </c>
      <c r="F1737" s="3" t="s">
        <v>402</v>
      </c>
      <c r="G1737" s="3" t="s">
        <v>988</v>
      </c>
      <c r="H1737" s="3" t="s">
        <v>399</v>
      </c>
      <c r="I1737" s="3" t="s">
        <v>245</v>
      </c>
    </row>
    <row r="1738" spans="2:9" hidden="1" x14ac:dyDescent="0.4">
      <c r="B1738" s="8" t="s">
        <v>517</v>
      </c>
      <c r="C1738" s="3" t="s">
        <v>3400</v>
      </c>
      <c r="D1738" s="3" t="s">
        <v>3710</v>
      </c>
      <c r="F1738" s="3" t="s">
        <v>399</v>
      </c>
      <c r="G1738" s="3" t="s">
        <v>402</v>
      </c>
      <c r="I1738" s="3" t="s">
        <v>4063</v>
      </c>
    </row>
    <row r="1739" spans="2:9" hidden="1" x14ac:dyDescent="0.4">
      <c r="B1739" s="8" t="s">
        <v>517</v>
      </c>
      <c r="C1739" s="3" t="s">
        <v>5732</v>
      </c>
      <c r="D1739" s="3" t="s">
        <v>4730</v>
      </c>
      <c r="F1739" s="3" t="s">
        <v>399</v>
      </c>
      <c r="I1739" s="3" t="s">
        <v>4063</v>
      </c>
    </row>
    <row r="1740" spans="2:9" hidden="1" x14ac:dyDescent="0.4">
      <c r="B1740" s="8" t="s">
        <v>517</v>
      </c>
      <c r="C1740" s="3" t="s">
        <v>6074</v>
      </c>
      <c r="D1740" s="3" t="s">
        <v>5400</v>
      </c>
      <c r="F1740" s="3" t="s">
        <v>402</v>
      </c>
      <c r="I1740" s="3" t="s">
        <v>4063</v>
      </c>
    </row>
    <row r="1741" spans="2:9" hidden="1" x14ac:dyDescent="0.4">
      <c r="B1741" s="8" t="s">
        <v>536</v>
      </c>
      <c r="C1741" s="3" t="s">
        <v>1123</v>
      </c>
      <c r="D1741" s="3" t="s">
        <v>1126</v>
      </c>
      <c r="F1741" s="3" t="s">
        <v>1124</v>
      </c>
      <c r="I1741" s="3" t="s">
        <v>1335</v>
      </c>
    </row>
    <row r="1742" spans="2:9" hidden="1" x14ac:dyDescent="0.4">
      <c r="B1742" s="8" t="s">
        <v>530</v>
      </c>
      <c r="C1742" s="3" t="s">
        <v>1156</v>
      </c>
      <c r="D1742" s="3" t="s">
        <v>1149</v>
      </c>
      <c r="F1742" s="3" t="s">
        <v>399</v>
      </c>
      <c r="I1742" s="3" t="s">
        <v>510</v>
      </c>
    </row>
    <row r="1743" spans="2:9" hidden="1" x14ac:dyDescent="0.4">
      <c r="B1743" s="8" t="s">
        <v>530</v>
      </c>
      <c r="C1743" s="3" t="s">
        <v>1144</v>
      </c>
      <c r="D1743" s="3" t="s">
        <v>1149</v>
      </c>
      <c r="F1743" s="3" t="s">
        <v>402</v>
      </c>
      <c r="I1743" s="3" t="s">
        <v>510</v>
      </c>
    </row>
    <row r="1744" spans="2:9" hidden="1" x14ac:dyDescent="0.4">
      <c r="B1744" s="8" t="s">
        <v>518</v>
      </c>
      <c r="C1744" s="3" t="s">
        <v>1157</v>
      </c>
      <c r="D1744" s="3" t="s">
        <v>1150</v>
      </c>
      <c r="F1744" s="3" t="s">
        <v>399</v>
      </c>
      <c r="I1744" s="3" t="s">
        <v>510</v>
      </c>
    </row>
    <row r="1745" spans="2:9" hidden="1" x14ac:dyDescent="0.4">
      <c r="B1745" s="8" t="s">
        <v>518</v>
      </c>
      <c r="C1745" s="3" t="s">
        <v>1143</v>
      </c>
      <c r="D1745" s="3" t="s">
        <v>1150</v>
      </c>
      <c r="F1745" s="3" t="s">
        <v>402</v>
      </c>
      <c r="I1745" s="3" t="s">
        <v>510</v>
      </c>
    </row>
    <row r="1746" spans="2:9" hidden="1" x14ac:dyDescent="0.4">
      <c r="B1746" s="8" t="s">
        <v>517</v>
      </c>
      <c r="C1746" s="3" t="s">
        <v>1158</v>
      </c>
      <c r="D1746" s="3" t="s">
        <v>1152</v>
      </c>
      <c r="F1746" s="3" t="s">
        <v>399</v>
      </c>
      <c r="I1746" s="3" t="s">
        <v>510</v>
      </c>
    </row>
    <row r="1747" spans="2:9" hidden="1" x14ac:dyDescent="0.4">
      <c r="B1747" s="8" t="s">
        <v>517</v>
      </c>
      <c r="C1747" s="3" t="s">
        <v>1145</v>
      </c>
      <c r="D1747" s="3" t="s">
        <v>1152</v>
      </c>
      <c r="F1747" s="3" t="s">
        <v>402</v>
      </c>
      <c r="I1747" s="3" t="s">
        <v>510</v>
      </c>
    </row>
    <row r="1748" spans="2:9" hidden="1" x14ac:dyDescent="0.4">
      <c r="B1748" s="8" t="s">
        <v>517</v>
      </c>
      <c r="C1748" s="3" t="s">
        <v>1159</v>
      </c>
      <c r="D1748" s="3" t="s">
        <v>1151</v>
      </c>
      <c r="F1748" s="3" t="s">
        <v>399</v>
      </c>
      <c r="I1748" s="3" t="s">
        <v>510</v>
      </c>
    </row>
    <row r="1749" spans="2:9" hidden="1" x14ac:dyDescent="0.4">
      <c r="B1749" s="8" t="s">
        <v>517</v>
      </c>
      <c r="C1749" s="3" t="s">
        <v>1146</v>
      </c>
      <c r="D1749" s="3" t="s">
        <v>1151</v>
      </c>
      <c r="F1749" s="3" t="s">
        <v>402</v>
      </c>
      <c r="I1749" s="3" t="s">
        <v>510</v>
      </c>
    </row>
    <row r="1750" spans="2:9" hidden="1" x14ac:dyDescent="0.4">
      <c r="B1750" s="8" t="s">
        <v>518</v>
      </c>
      <c r="C1750" s="3" t="s">
        <v>1160</v>
      </c>
      <c r="D1750" s="3" t="s">
        <v>1151</v>
      </c>
      <c r="F1750" s="3" t="s">
        <v>399</v>
      </c>
      <c r="I1750" s="3" t="s">
        <v>510</v>
      </c>
    </row>
    <row r="1751" spans="2:9" hidden="1" x14ac:dyDescent="0.4">
      <c r="B1751" s="8" t="s">
        <v>518</v>
      </c>
      <c r="C1751" s="3" t="s">
        <v>1147</v>
      </c>
      <c r="D1751" s="3" t="s">
        <v>1151</v>
      </c>
      <c r="F1751" s="3" t="s">
        <v>402</v>
      </c>
      <c r="I1751" s="3" t="s">
        <v>510</v>
      </c>
    </row>
    <row r="1752" spans="2:9" ht="29.25" hidden="1" x14ac:dyDescent="0.4">
      <c r="B1752" s="8" t="s">
        <v>520</v>
      </c>
      <c r="C1752" s="3" t="s">
        <v>1161</v>
      </c>
      <c r="D1752" s="3" t="s">
        <v>1177</v>
      </c>
      <c r="F1752" s="3" t="s">
        <v>399</v>
      </c>
      <c r="I1752" s="3" t="s">
        <v>510</v>
      </c>
    </row>
    <row r="1753" spans="2:9" hidden="1" x14ac:dyDescent="0.4">
      <c r="B1753" s="8" t="s">
        <v>520</v>
      </c>
      <c r="C1753" s="3" t="s">
        <v>1148</v>
      </c>
      <c r="D1753" s="3" t="s">
        <v>1153</v>
      </c>
      <c r="F1753" s="3" t="s">
        <v>402</v>
      </c>
      <c r="I1753" s="3" t="s">
        <v>510</v>
      </c>
    </row>
    <row r="1754" spans="2:9" hidden="1" x14ac:dyDescent="0.4">
      <c r="B1754" s="8" t="s">
        <v>517</v>
      </c>
      <c r="C1754" s="3" t="s">
        <v>215</v>
      </c>
      <c r="D1754" s="3" t="s">
        <v>251</v>
      </c>
      <c r="F1754" s="3" t="s">
        <v>399</v>
      </c>
      <c r="I1754" s="3" t="s">
        <v>268</v>
      </c>
    </row>
    <row r="1755" spans="2:9" hidden="1" x14ac:dyDescent="0.4">
      <c r="B1755" s="8" t="s">
        <v>1122</v>
      </c>
      <c r="C1755" s="3" t="s">
        <v>1162</v>
      </c>
      <c r="D1755" s="3" t="s">
        <v>1121</v>
      </c>
      <c r="F1755" s="3" t="s">
        <v>399</v>
      </c>
      <c r="I1755" s="3" t="s">
        <v>510</v>
      </c>
    </row>
    <row r="1756" spans="2:9" hidden="1" x14ac:dyDescent="0.4">
      <c r="B1756" s="8" t="s">
        <v>1122</v>
      </c>
      <c r="C1756" s="3" t="s">
        <v>1117</v>
      </c>
      <c r="D1756" s="3" t="s">
        <v>1121</v>
      </c>
      <c r="F1756" s="3" t="s">
        <v>402</v>
      </c>
      <c r="I1756" s="3" t="s">
        <v>510</v>
      </c>
    </row>
    <row r="1757" spans="2:9" hidden="1" x14ac:dyDescent="0.4">
      <c r="B1757" s="8" t="s">
        <v>518</v>
      </c>
      <c r="C1757" s="3" t="s">
        <v>1155</v>
      </c>
      <c r="D1757" s="3" t="s">
        <v>1154</v>
      </c>
      <c r="F1757" s="3" t="s">
        <v>402</v>
      </c>
      <c r="I1757" s="3" t="s">
        <v>510</v>
      </c>
    </row>
    <row r="1758" spans="2:9" hidden="1" x14ac:dyDescent="0.4">
      <c r="B1758" s="8" t="s">
        <v>518</v>
      </c>
      <c r="C1758" s="3" t="s">
        <v>1155</v>
      </c>
      <c r="D1758" s="3" t="s">
        <v>1154</v>
      </c>
      <c r="F1758" s="3" t="s">
        <v>399</v>
      </c>
      <c r="I1758" s="3" t="s">
        <v>510</v>
      </c>
    </row>
    <row r="1759" spans="2:9" hidden="1" x14ac:dyDescent="0.4">
      <c r="B1759" s="8" t="s">
        <v>823</v>
      </c>
      <c r="C1759" s="3" t="s">
        <v>2072</v>
      </c>
      <c r="D1759" s="3" t="s">
        <v>2081</v>
      </c>
      <c r="F1759" s="3" t="s">
        <v>2065</v>
      </c>
      <c r="I1759" s="3" t="s">
        <v>248</v>
      </c>
    </row>
    <row r="1760" spans="2:9" hidden="1" x14ac:dyDescent="0.4">
      <c r="B1760" s="8" t="s">
        <v>517</v>
      </c>
      <c r="C1760" s="3" t="s">
        <v>2072</v>
      </c>
      <c r="D1760" s="3" t="s">
        <v>2081</v>
      </c>
      <c r="F1760" s="3" t="s">
        <v>402</v>
      </c>
      <c r="I1760" s="3" t="s">
        <v>1728</v>
      </c>
    </row>
    <row r="1761" spans="2:9" hidden="1" x14ac:dyDescent="0.4">
      <c r="B1761" s="8" t="s">
        <v>517</v>
      </c>
      <c r="C1761" s="3" t="s">
        <v>352</v>
      </c>
      <c r="D1761" s="3" t="s">
        <v>376</v>
      </c>
      <c r="F1761" s="3" t="s">
        <v>399</v>
      </c>
      <c r="I1761" s="3" t="s">
        <v>267</v>
      </c>
    </row>
    <row r="1762" spans="2:9" hidden="1" x14ac:dyDescent="0.4">
      <c r="B1762" s="8" t="s">
        <v>532</v>
      </c>
      <c r="C1762" s="3" t="s">
        <v>4157</v>
      </c>
      <c r="D1762" s="3" t="s">
        <v>3762</v>
      </c>
      <c r="F1762" s="3" t="s">
        <v>399</v>
      </c>
      <c r="G1762" s="3" t="s">
        <v>402</v>
      </c>
      <c r="I1762" s="3" t="s">
        <v>4064</v>
      </c>
    </row>
    <row r="1763" spans="2:9" hidden="1" x14ac:dyDescent="0.4">
      <c r="B1763" s="8" t="s">
        <v>532</v>
      </c>
      <c r="C1763" s="3" t="s">
        <v>3454</v>
      </c>
      <c r="D1763" s="3" t="s">
        <v>3762</v>
      </c>
      <c r="F1763" s="3" t="s">
        <v>399</v>
      </c>
      <c r="G1763" s="3" t="s">
        <v>402</v>
      </c>
      <c r="I1763" s="3" t="s">
        <v>4063</v>
      </c>
    </row>
    <row r="1764" spans="2:9" hidden="1" x14ac:dyDescent="0.4">
      <c r="B1764" s="8" t="s">
        <v>532</v>
      </c>
      <c r="C1764" s="3" t="s">
        <v>5781</v>
      </c>
      <c r="D1764" s="3" t="s">
        <v>4767</v>
      </c>
      <c r="F1764" s="3" t="s">
        <v>399</v>
      </c>
      <c r="I1764" s="3" t="s">
        <v>4063</v>
      </c>
    </row>
    <row r="1765" spans="2:9" hidden="1" x14ac:dyDescent="0.4">
      <c r="B1765" s="8" t="s">
        <v>532</v>
      </c>
      <c r="C1765" s="3" t="s">
        <v>6124</v>
      </c>
      <c r="D1765" s="3" t="s">
        <v>5451</v>
      </c>
      <c r="F1765" s="3" t="s">
        <v>402</v>
      </c>
      <c r="I1765" s="3" t="s">
        <v>4063</v>
      </c>
    </row>
    <row r="1766" spans="2:9" hidden="1" x14ac:dyDescent="0.4">
      <c r="B1766" s="8" t="s">
        <v>532</v>
      </c>
      <c r="C1766" s="3" t="s">
        <v>4411</v>
      </c>
      <c r="D1766" s="3" t="s">
        <v>4767</v>
      </c>
      <c r="F1766" s="3" t="s">
        <v>399</v>
      </c>
      <c r="I1766" s="3" t="s">
        <v>4064</v>
      </c>
    </row>
    <row r="1767" spans="2:9" hidden="1" x14ac:dyDescent="0.4">
      <c r="B1767" s="8" t="s">
        <v>532</v>
      </c>
      <c r="C1767" s="3" t="s">
        <v>5128</v>
      </c>
      <c r="D1767" s="3" t="s">
        <v>5451</v>
      </c>
      <c r="F1767" s="3" t="s">
        <v>402</v>
      </c>
      <c r="I1767" s="3" t="s">
        <v>4064</v>
      </c>
    </row>
    <row r="1768" spans="2:9" hidden="1" x14ac:dyDescent="0.4">
      <c r="B1768" s="8" t="s">
        <v>517</v>
      </c>
      <c r="C1768" s="3" t="s">
        <v>4106</v>
      </c>
      <c r="D1768" s="3" t="s">
        <v>3707</v>
      </c>
      <c r="F1768" s="3" t="s">
        <v>399</v>
      </c>
      <c r="G1768" s="3" t="s">
        <v>402</v>
      </c>
      <c r="I1768" s="3" t="s">
        <v>4064</v>
      </c>
    </row>
    <row r="1769" spans="2:9" hidden="1" x14ac:dyDescent="0.4">
      <c r="B1769" s="8" t="s">
        <v>517</v>
      </c>
      <c r="C1769" s="3" t="s">
        <v>4613</v>
      </c>
      <c r="D1769" s="3" t="s">
        <v>4727</v>
      </c>
      <c r="F1769" s="3" t="s">
        <v>399</v>
      </c>
      <c r="I1769" s="3" t="s">
        <v>4064</v>
      </c>
    </row>
    <row r="1770" spans="2:9" hidden="1" x14ac:dyDescent="0.4">
      <c r="B1770" s="8" t="s">
        <v>517</v>
      </c>
      <c r="C1770" s="3" t="s">
        <v>5066</v>
      </c>
      <c r="D1770" s="3" t="s">
        <v>5397</v>
      </c>
      <c r="F1770" s="3" t="s">
        <v>402</v>
      </c>
      <c r="I1770" s="3" t="s">
        <v>4064</v>
      </c>
    </row>
    <row r="1771" spans="2:9" hidden="1" x14ac:dyDescent="0.4">
      <c r="B1771" s="8" t="s">
        <v>517</v>
      </c>
      <c r="C1771" s="3" t="s">
        <v>3397</v>
      </c>
      <c r="D1771" s="3" t="s">
        <v>3707</v>
      </c>
      <c r="F1771" s="3" t="s">
        <v>399</v>
      </c>
      <c r="G1771" s="3" t="s">
        <v>402</v>
      </c>
      <c r="I1771" s="3" t="s">
        <v>4063</v>
      </c>
    </row>
    <row r="1772" spans="2:9" hidden="1" x14ac:dyDescent="0.4">
      <c r="B1772" s="8" t="s">
        <v>517</v>
      </c>
      <c r="C1772" s="3" t="s">
        <v>5729</v>
      </c>
      <c r="D1772" s="3" t="s">
        <v>4727</v>
      </c>
      <c r="F1772" s="3" t="s">
        <v>399</v>
      </c>
      <c r="I1772" s="3" t="s">
        <v>4063</v>
      </c>
    </row>
    <row r="1773" spans="2:9" hidden="1" x14ac:dyDescent="0.4">
      <c r="B1773" s="8" t="s">
        <v>517</v>
      </c>
      <c r="C1773" s="3" t="s">
        <v>6071</v>
      </c>
      <c r="D1773" s="3" t="s">
        <v>5397</v>
      </c>
      <c r="F1773" s="3" t="s">
        <v>402</v>
      </c>
      <c r="I1773" s="3" t="s">
        <v>4063</v>
      </c>
    </row>
    <row r="1774" spans="2:9" hidden="1" x14ac:dyDescent="0.4">
      <c r="B1774" s="8" t="s">
        <v>518</v>
      </c>
      <c r="C1774" s="3" t="s">
        <v>2937</v>
      </c>
      <c r="D1774" s="3" t="s">
        <v>3175</v>
      </c>
      <c r="E1774" s="3">
        <v>1</v>
      </c>
      <c r="F1774" s="3" t="s">
        <v>402</v>
      </c>
      <c r="G1774" s="3" t="s">
        <v>988</v>
      </c>
      <c r="H1774" s="3" t="s">
        <v>399</v>
      </c>
      <c r="I1774" s="3" t="s">
        <v>245</v>
      </c>
    </row>
    <row r="1775" spans="2:9" hidden="1" x14ac:dyDescent="0.4">
      <c r="B1775" s="8" t="s">
        <v>518</v>
      </c>
      <c r="C1775" s="3" t="s">
        <v>2290</v>
      </c>
      <c r="D1775" s="3" t="s">
        <v>2448</v>
      </c>
      <c r="E1775" s="3" t="s">
        <v>1272</v>
      </c>
      <c r="F1775" s="3" t="s">
        <v>399</v>
      </c>
      <c r="I1775" s="3" t="s">
        <v>1833</v>
      </c>
    </row>
    <row r="1776" spans="2:9" hidden="1" x14ac:dyDescent="0.4">
      <c r="B1776" s="8" t="s">
        <v>518</v>
      </c>
      <c r="C1776" s="3" t="s">
        <v>2595</v>
      </c>
      <c r="D1776" s="3" t="s">
        <v>2448</v>
      </c>
      <c r="E1776" s="3" t="s">
        <v>1272</v>
      </c>
      <c r="F1776" s="3" t="s">
        <v>402</v>
      </c>
      <c r="I1776" s="3" t="s">
        <v>1833</v>
      </c>
    </row>
    <row r="1777" spans="2:9" hidden="1" x14ac:dyDescent="0.4">
      <c r="B1777" s="8" t="s">
        <v>517</v>
      </c>
      <c r="C1777" s="3" t="s">
        <v>4142</v>
      </c>
      <c r="D1777" s="3" t="s">
        <v>3743</v>
      </c>
      <c r="F1777" s="3" t="s">
        <v>399</v>
      </c>
      <c r="G1777" s="3" t="s">
        <v>402</v>
      </c>
      <c r="I1777" s="3" t="s">
        <v>4064</v>
      </c>
    </row>
    <row r="1778" spans="2:9" hidden="1" x14ac:dyDescent="0.4">
      <c r="B1778" s="8" t="s">
        <v>517</v>
      </c>
      <c r="C1778" s="3" t="s">
        <v>3436</v>
      </c>
      <c r="D1778" s="3" t="s">
        <v>3743</v>
      </c>
      <c r="F1778" s="3" t="s">
        <v>399</v>
      </c>
      <c r="G1778" s="3" t="s">
        <v>402</v>
      </c>
      <c r="I1778" s="3" t="s">
        <v>4063</v>
      </c>
    </row>
    <row r="1779" spans="2:9" hidden="1" x14ac:dyDescent="0.4">
      <c r="B1779" s="8" t="s">
        <v>517</v>
      </c>
      <c r="C1779" s="3" t="s">
        <v>5767</v>
      </c>
      <c r="D1779" s="3" t="s">
        <v>4756</v>
      </c>
      <c r="F1779" s="3" t="s">
        <v>399</v>
      </c>
      <c r="I1779" s="3" t="s">
        <v>4063</v>
      </c>
    </row>
    <row r="1780" spans="2:9" hidden="1" x14ac:dyDescent="0.4">
      <c r="B1780" s="8" t="s">
        <v>517</v>
      </c>
      <c r="C1780" s="3" t="s">
        <v>6109</v>
      </c>
      <c r="D1780" s="3" t="s">
        <v>5433</v>
      </c>
      <c r="F1780" s="3" t="s">
        <v>402</v>
      </c>
      <c r="I1780" s="3" t="s">
        <v>4063</v>
      </c>
    </row>
    <row r="1781" spans="2:9" hidden="1" x14ac:dyDescent="0.4">
      <c r="B1781" s="8" t="s">
        <v>517</v>
      </c>
      <c r="C1781" s="3" t="s">
        <v>4553</v>
      </c>
      <c r="D1781" s="3" t="s">
        <v>4756</v>
      </c>
      <c r="F1781" s="3" t="s">
        <v>399</v>
      </c>
      <c r="I1781" s="3" t="s">
        <v>4064</v>
      </c>
    </row>
    <row r="1782" spans="2:9" hidden="1" x14ac:dyDescent="0.4">
      <c r="B1782" s="8" t="s">
        <v>517</v>
      </c>
      <c r="C1782" s="3" t="s">
        <v>5110</v>
      </c>
      <c r="D1782" s="3" t="s">
        <v>5433</v>
      </c>
      <c r="F1782" s="3" t="s">
        <v>402</v>
      </c>
      <c r="I1782" s="3" t="s">
        <v>4064</v>
      </c>
    </row>
    <row r="1783" spans="2:9" hidden="1" x14ac:dyDescent="0.4">
      <c r="B1783" s="8" t="s">
        <v>517</v>
      </c>
      <c r="C1783" s="3" t="s">
        <v>2256</v>
      </c>
      <c r="D1783" s="3" t="s">
        <v>2413</v>
      </c>
      <c r="E1783" s="3" t="s">
        <v>1272</v>
      </c>
      <c r="F1783" s="3" t="s">
        <v>399</v>
      </c>
      <c r="I1783" s="3" t="s">
        <v>1833</v>
      </c>
    </row>
    <row r="1784" spans="2:9" hidden="1" x14ac:dyDescent="0.4">
      <c r="B1784" s="8" t="s">
        <v>517</v>
      </c>
      <c r="C1784" s="3" t="s">
        <v>2565</v>
      </c>
      <c r="D1784" s="3" t="s">
        <v>2413</v>
      </c>
      <c r="E1784" s="3" t="s">
        <v>1272</v>
      </c>
      <c r="F1784" s="3" t="s">
        <v>402</v>
      </c>
      <c r="I1784" s="3" t="s">
        <v>1833</v>
      </c>
    </row>
    <row r="1785" spans="2:9" hidden="1" x14ac:dyDescent="0.4">
      <c r="B1785" s="8" t="s">
        <v>517</v>
      </c>
      <c r="C1785" s="3" t="s">
        <v>4131</v>
      </c>
      <c r="D1785" s="3" t="s">
        <v>3731</v>
      </c>
      <c r="F1785" s="3" t="s">
        <v>399</v>
      </c>
      <c r="G1785" s="3" t="s">
        <v>402</v>
      </c>
      <c r="I1785" s="3" t="s">
        <v>4064</v>
      </c>
    </row>
    <row r="1786" spans="2:9" hidden="1" x14ac:dyDescent="0.4">
      <c r="B1786" s="8" t="s">
        <v>517</v>
      </c>
      <c r="C1786" s="3" t="s">
        <v>3423</v>
      </c>
      <c r="D1786" s="3" t="s">
        <v>3731</v>
      </c>
      <c r="F1786" s="3" t="s">
        <v>399</v>
      </c>
      <c r="G1786" s="3" t="s">
        <v>402</v>
      </c>
      <c r="I1786" s="3" t="s">
        <v>4063</v>
      </c>
    </row>
    <row r="1787" spans="2:9" hidden="1" x14ac:dyDescent="0.4">
      <c r="B1787" s="8" t="s">
        <v>517</v>
      </c>
      <c r="C1787" s="3" t="s">
        <v>5755</v>
      </c>
      <c r="D1787" s="3" t="s">
        <v>4746</v>
      </c>
      <c r="F1787" s="3" t="s">
        <v>399</v>
      </c>
      <c r="I1787" s="3" t="s">
        <v>4063</v>
      </c>
    </row>
    <row r="1788" spans="2:9" hidden="1" x14ac:dyDescent="0.4">
      <c r="B1788" s="8" t="s">
        <v>517</v>
      </c>
      <c r="C1788" s="3" t="s">
        <v>6097</v>
      </c>
      <c r="D1788" s="3" t="s">
        <v>5421</v>
      </c>
      <c r="F1788" s="3" t="s">
        <v>402</v>
      </c>
      <c r="I1788" s="3" t="s">
        <v>4063</v>
      </c>
    </row>
    <row r="1789" spans="2:9" hidden="1" x14ac:dyDescent="0.4">
      <c r="B1789" s="8" t="s">
        <v>517</v>
      </c>
      <c r="C1789" s="3" t="s">
        <v>4552</v>
      </c>
      <c r="D1789" s="3" t="s">
        <v>4746</v>
      </c>
      <c r="F1789" s="3" t="s">
        <v>399</v>
      </c>
      <c r="I1789" s="3" t="s">
        <v>4064</v>
      </c>
    </row>
    <row r="1790" spans="2:9" hidden="1" x14ac:dyDescent="0.4">
      <c r="B1790" s="8" t="s">
        <v>517</v>
      </c>
      <c r="C1790" s="3" t="s">
        <v>5098</v>
      </c>
      <c r="D1790" s="3" t="s">
        <v>5421</v>
      </c>
      <c r="F1790" s="3" t="s">
        <v>402</v>
      </c>
      <c r="I1790" s="3" t="s">
        <v>4064</v>
      </c>
    </row>
    <row r="1791" spans="2:9" hidden="1" x14ac:dyDescent="0.4">
      <c r="B1791" s="8" t="s">
        <v>532</v>
      </c>
      <c r="C1791" s="3" t="s">
        <v>4148</v>
      </c>
      <c r="D1791" s="3" t="s">
        <v>3755</v>
      </c>
      <c r="F1791" s="3" t="s">
        <v>399</v>
      </c>
      <c r="G1791" s="3" t="s">
        <v>402</v>
      </c>
      <c r="I1791" s="3" t="s">
        <v>4064</v>
      </c>
    </row>
    <row r="1792" spans="2:9" hidden="1" x14ac:dyDescent="0.4">
      <c r="B1792" s="8" t="s">
        <v>532</v>
      </c>
      <c r="C1792" s="3" t="s">
        <v>4629</v>
      </c>
      <c r="D1792" s="3" t="s">
        <v>4762</v>
      </c>
      <c r="F1792" s="3" t="s">
        <v>399</v>
      </c>
      <c r="I1792" s="3" t="s">
        <v>4064</v>
      </c>
    </row>
    <row r="1793" spans="2:9" hidden="1" x14ac:dyDescent="0.4">
      <c r="B1793" s="8" t="s">
        <v>532</v>
      </c>
      <c r="C1793" s="3" t="s">
        <v>5119</v>
      </c>
      <c r="D1793" s="3" t="s">
        <v>5442</v>
      </c>
      <c r="F1793" s="3" t="s">
        <v>402</v>
      </c>
      <c r="I1793" s="3" t="s">
        <v>4064</v>
      </c>
    </row>
    <row r="1794" spans="2:9" hidden="1" x14ac:dyDescent="0.4">
      <c r="B1794" s="8" t="s">
        <v>532</v>
      </c>
      <c r="C1794" s="3" t="s">
        <v>3445</v>
      </c>
      <c r="D1794" s="3" t="s">
        <v>3755</v>
      </c>
      <c r="F1794" s="3" t="s">
        <v>399</v>
      </c>
      <c r="G1794" s="3" t="s">
        <v>402</v>
      </c>
      <c r="I1794" s="3" t="s">
        <v>4063</v>
      </c>
    </row>
    <row r="1795" spans="2:9" hidden="1" x14ac:dyDescent="0.4">
      <c r="B1795" s="8" t="s">
        <v>532</v>
      </c>
      <c r="C1795" s="3" t="s">
        <v>5987</v>
      </c>
      <c r="D1795" s="3" t="s">
        <v>4762</v>
      </c>
      <c r="F1795" s="3" t="s">
        <v>399</v>
      </c>
      <c r="I1795" s="3" t="s">
        <v>4063</v>
      </c>
    </row>
    <row r="1796" spans="2:9" hidden="1" x14ac:dyDescent="0.4">
      <c r="B1796" s="8" t="s">
        <v>532</v>
      </c>
      <c r="C1796" s="3" t="s">
        <v>6335</v>
      </c>
      <c r="D1796" s="3" t="s">
        <v>5442</v>
      </c>
      <c r="F1796" s="3" t="s">
        <v>402</v>
      </c>
      <c r="I1796" s="3" t="s">
        <v>4063</v>
      </c>
    </row>
    <row r="1797" spans="2:9" hidden="1" x14ac:dyDescent="0.4">
      <c r="B1797" s="8" t="s">
        <v>517</v>
      </c>
      <c r="C1797" s="3" t="s">
        <v>3363</v>
      </c>
      <c r="D1797" s="3" t="s">
        <v>3748</v>
      </c>
      <c r="F1797" s="3" t="s">
        <v>399</v>
      </c>
      <c r="G1797" s="3" t="s">
        <v>402</v>
      </c>
      <c r="I1797" s="3" t="s">
        <v>4063</v>
      </c>
    </row>
    <row r="1798" spans="2:9" hidden="1" x14ac:dyDescent="0.4">
      <c r="B1798" s="8" t="s">
        <v>517</v>
      </c>
      <c r="C1798" s="3" t="s">
        <v>3363</v>
      </c>
      <c r="D1798" s="3" t="s">
        <v>3748</v>
      </c>
      <c r="F1798" s="3" t="s">
        <v>399</v>
      </c>
      <c r="G1798" s="3" t="s">
        <v>402</v>
      </c>
      <c r="I1798" s="3" t="s">
        <v>4064</v>
      </c>
    </row>
    <row r="1799" spans="2:9" hidden="1" x14ac:dyDescent="0.4">
      <c r="B1799" s="8" t="s">
        <v>517</v>
      </c>
      <c r="C1799" s="3" t="s">
        <v>5698</v>
      </c>
      <c r="D1799" s="3" t="s">
        <v>4861</v>
      </c>
      <c r="F1799" s="3" t="s">
        <v>399</v>
      </c>
      <c r="I1799" s="3" t="s">
        <v>4063</v>
      </c>
    </row>
    <row r="1800" spans="2:9" hidden="1" x14ac:dyDescent="0.4">
      <c r="B1800" s="8" t="s">
        <v>517</v>
      </c>
      <c r="C1800" s="3" t="s">
        <v>6039</v>
      </c>
      <c r="D1800" s="3" t="s">
        <v>5367</v>
      </c>
      <c r="F1800" s="3" t="s">
        <v>402</v>
      </c>
      <c r="I1800" s="3" t="s">
        <v>4063</v>
      </c>
    </row>
    <row r="1801" spans="2:9" hidden="1" x14ac:dyDescent="0.4">
      <c r="B1801" s="8" t="s">
        <v>517</v>
      </c>
      <c r="C1801" s="3" t="s">
        <v>4560</v>
      </c>
      <c r="D1801" s="3" t="s">
        <v>4861</v>
      </c>
      <c r="F1801" s="3" t="s">
        <v>399</v>
      </c>
      <c r="I1801" s="3" t="s">
        <v>4064</v>
      </c>
    </row>
    <row r="1802" spans="2:9" hidden="1" x14ac:dyDescent="0.4">
      <c r="B1802" s="8" t="s">
        <v>517</v>
      </c>
      <c r="C1802" s="3" t="s">
        <v>5030</v>
      </c>
      <c r="D1802" s="3" t="s">
        <v>5367</v>
      </c>
      <c r="F1802" s="3" t="s">
        <v>402</v>
      </c>
      <c r="I1802" s="3" t="s">
        <v>4064</v>
      </c>
    </row>
    <row r="1803" spans="2:9" hidden="1" x14ac:dyDescent="0.4">
      <c r="B1803" s="8" t="s">
        <v>517</v>
      </c>
      <c r="C1803" s="3" t="s">
        <v>313</v>
      </c>
      <c r="D1803" s="3" t="s">
        <v>582</v>
      </c>
      <c r="F1803" s="3" t="s">
        <v>399</v>
      </c>
      <c r="I1803" s="3" t="s">
        <v>267</v>
      </c>
    </row>
    <row r="1804" spans="2:9" hidden="1" x14ac:dyDescent="0.4">
      <c r="B1804" s="8" t="s">
        <v>517</v>
      </c>
      <c r="C1804" s="3" t="s">
        <v>2882</v>
      </c>
      <c r="D1804" s="3" t="s">
        <v>3124</v>
      </c>
      <c r="E1804" s="3">
        <v>1</v>
      </c>
      <c r="F1804" s="3" t="s">
        <v>402</v>
      </c>
      <c r="I1804" s="3" t="s">
        <v>245</v>
      </c>
    </row>
    <row r="1805" spans="2:9" hidden="1" x14ac:dyDescent="0.4">
      <c r="B1805" s="8" t="s">
        <v>517</v>
      </c>
      <c r="C1805" s="3" t="s">
        <v>290</v>
      </c>
      <c r="D1805" s="3" t="s">
        <v>583</v>
      </c>
      <c r="F1805" s="3" t="s">
        <v>399</v>
      </c>
      <c r="I1805" s="3" t="s">
        <v>267</v>
      </c>
    </row>
    <row r="1806" spans="2:9" hidden="1" x14ac:dyDescent="0.4">
      <c r="B1806" s="8" t="s">
        <v>536</v>
      </c>
      <c r="C1806" s="3" t="s">
        <v>461</v>
      </c>
      <c r="D1806" s="3" t="s">
        <v>738</v>
      </c>
      <c r="E1806" s="3" t="s">
        <v>432</v>
      </c>
      <c r="F1806" s="3" t="s">
        <v>12779</v>
      </c>
      <c r="G1806" s="3" t="s">
        <v>430</v>
      </c>
      <c r="I1806" s="3" t="s">
        <v>472</v>
      </c>
    </row>
    <row r="1807" spans="2:9" hidden="1" x14ac:dyDescent="0.4">
      <c r="B1807" s="8" t="s">
        <v>2063</v>
      </c>
      <c r="C1807" s="3" t="s">
        <v>2061</v>
      </c>
      <c r="D1807" s="3" t="s">
        <v>2002</v>
      </c>
      <c r="F1807" s="3" t="s">
        <v>399</v>
      </c>
      <c r="I1807" s="3" t="s">
        <v>1865</v>
      </c>
    </row>
    <row r="1808" spans="2:9" hidden="1" x14ac:dyDescent="0.4">
      <c r="B1808" s="8" t="s">
        <v>2064</v>
      </c>
      <c r="C1808" s="3" t="s">
        <v>2062</v>
      </c>
      <c r="D1808" s="3" t="s">
        <v>2048</v>
      </c>
      <c r="F1808" s="3" t="s">
        <v>399</v>
      </c>
      <c r="I1808" s="3" t="s">
        <v>1865</v>
      </c>
    </row>
    <row r="1809" spans="2:9" hidden="1" x14ac:dyDescent="0.4">
      <c r="B1809" s="8" t="s">
        <v>534</v>
      </c>
      <c r="C1809" s="3" t="s">
        <v>460</v>
      </c>
      <c r="D1809" s="3" t="s">
        <v>737</v>
      </c>
      <c r="E1809" s="3" t="s">
        <v>432</v>
      </c>
      <c r="F1809" s="3" t="s">
        <v>12779</v>
      </c>
      <c r="G1809" s="3" t="s">
        <v>430</v>
      </c>
      <c r="I1809" s="3" t="s">
        <v>472</v>
      </c>
    </row>
    <row r="1810" spans="2:9" hidden="1" x14ac:dyDescent="0.4">
      <c r="B1810" s="8" t="s">
        <v>517</v>
      </c>
      <c r="C1810" s="3" t="s">
        <v>3375</v>
      </c>
      <c r="D1810" s="3" t="s">
        <v>3683</v>
      </c>
      <c r="F1810" s="3" t="s">
        <v>399</v>
      </c>
      <c r="G1810" s="3" t="s">
        <v>402</v>
      </c>
      <c r="I1810" s="3" t="s">
        <v>4063</v>
      </c>
    </row>
    <row r="1811" spans="2:9" hidden="1" x14ac:dyDescent="0.4">
      <c r="B1811" s="8" t="s">
        <v>517</v>
      </c>
      <c r="C1811" s="3" t="s">
        <v>5710</v>
      </c>
      <c r="D1811" s="3" t="s">
        <v>4709</v>
      </c>
      <c r="F1811" s="3" t="s">
        <v>399</v>
      </c>
      <c r="I1811" s="3" t="s">
        <v>4063</v>
      </c>
    </row>
    <row r="1812" spans="2:9" hidden="1" x14ac:dyDescent="0.4">
      <c r="B1812" s="8" t="s">
        <v>517</v>
      </c>
      <c r="C1812" s="3" t="s">
        <v>6051</v>
      </c>
      <c r="D1812" s="3" t="s">
        <v>5377</v>
      </c>
      <c r="F1812" s="3" t="s">
        <v>402</v>
      </c>
      <c r="I1812" s="3" t="s">
        <v>4063</v>
      </c>
    </row>
    <row r="1813" spans="2:9" hidden="1" x14ac:dyDescent="0.4">
      <c r="B1813" s="8" t="s">
        <v>517</v>
      </c>
      <c r="C1813" s="3" t="s">
        <v>4077</v>
      </c>
      <c r="D1813" s="3" t="s">
        <v>3683</v>
      </c>
      <c r="F1813" s="3" t="s">
        <v>399</v>
      </c>
      <c r="G1813" s="3" t="s">
        <v>402</v>
      </c>
      <c r="I1813" s="3" t="s">
        <v>4064</v>
      </c>
    </row>
    <row r="1814" spans="2:9" hidden="1" x14ac:dyDescent="0.4">
      <c r="B1814" s="8" t="s">
        <v>517</v>
      </c>
      <c r="C1814" s="3" t="s">
        <v>4372</v>
      </c>
      <c r="D1814" s="3" t="s">
        <v>4709</v>
      </c>
      <c r="F1814" s="3" t="s">
        <v>399</v>
      </c>
      <c r="I1814" s="3" t="s">
        <v>4064</v>
      </c>
    </row>
    <row r="1815" spans="2:9" hidden="1" x14ac:dyDescent="0.4">
      <c r="B1815" s="8" t="s">
        <v>517</v>
      </c>
      <c r="C1815" s="3" t="s">
        <v>5042</v>
      </c>
      <c r="D1815" s="3" t="s">
        <v>5377</v>
      </c>
      <c r="F1815" s="3" t="s">
        <v>402</v>
      </c>
      <c r="I1815" s="3" t="s">
        <v>4064</v>
      </c>
    </row>
    <row r="1816" spans="2:9" hidden="1" x14ac:dyDescent="0.4">
      <c r="B1816" s="8" t="s">
        <v>518</v>
      </c>
      <c r="C1816" s="3" t="s">
        <v>2208</v>
      </c>
      <c r="D1816" s="3" t="s">
        <v>2356</v>
      </c>
      <c r="E1816" s="3" t="s">
        <v>432</v>
      </c>
      <c r="F1816" s="3" t="s">
        <v>399</v>
      </c>
      <c r="I1816" s="3" t="s">
        <v>1833</v>
      </c>
    </row>
    <row r="1817" spans="2:9" hidden="1" x14ac:dyDescent="0.4">
      <c r="B1817" s="8" t="s">
        <v>518</v>
      </c>
      <c r="C1817" s="3" t="s">
        <v>2208</v>
      </c>
      <c r="D1817" s="3" t="s">
        <v>3223</v>
      </c>
      <c r="E1817" s="3">
        <v>1</v>
      </c>
      <c r="F1817" s="3" t="s">
        <v>402</v>
      </c>
      <c r="G1817" s="3" t="s">
        <v>399</v>
      </c>
      <c r="I1817" s="3" t="s">
        <v>245</v>
      </c>
    </row>
    <row r="1818" spans="2:9" hidden="1" x14ac:dyDescent="0.4">
      <c r="B1818" s="8" t="s">
        <v>518</v>
      </c>
      <c r="C1818" s="3" t="s">
        <v>2507</v>
      </c>
      <c r="D1818" s="3" t="s">
        <v>2356</v>
      </c>
      <c r="E1818" s="3" t="s">
        <v>432</v>
      </c>
      <c r="F1818" s="3" t="s">
        <v>402</v>
      </c>
      <c r="I1818" s="3" t="s">
        <v>1833</v>
      </c>
    </row>
    <row r="1819" spans="2:9" hidden="1" x14ac:dyDescent="0.4">
      <c r="B1819" s="8" t="s">
        <v>531</v>
      </c>
      <c r="C1819" s="3" t="s">
        <v>4220</v>
      </c>
      <c r="D1819" s="3" t="s">
        <v>3829</v>
      </c>
      <c r="F1819" s="3" t="s">
        <v>399</v>
      </c>
      <c r="G1819" s="3" t="s">
        <v>402</v>
      </c>
      <c r="I1819" s="3" t="s">
        <v>4064</v>
      </c>
    </row>
    <row r="1820" spans="2:9" hidden="1" x14ac:dyDescent="0.4">
      <c r="B1820" s="8" t="s">
        <v>531</v>
      </c>
      <c r="C1820" s="3" t="s">
        <v>4448</v>
      </c>
      <c r="D1820" s="3" t="s">
        <v>4797</v>
      </c>
      <c r="F1820" s="3" t="s">
        <v>399</v>
      </c>
      <c r="I1820" s="3" t="s">
        <v>4064</v>
      </c>
    </row>
    <row r="1821" spans="2:9" hidden="1" x14ac:dyDescent="0.4">
      <c r="B1821" s="8" t="s">
        <v>531</v>
      </c>
      <c r="C1821" s="3" t="s">
        <v>5198</v>
      </c>
      <c r="D1821" s="3" t="s">
        <v>5519</v>
      </c>
      <c r="F1821" s="3" t="s">
        <v>402</v>
      </c>
      <c r="I1821" s="3" t="s">
        <v>4064</v>
      </c>
    </row>
    <row r="1822" spans="2:9" hidden="1" x14ac:dyDescent="0.4">
      <c r="B1822" s="8" t="s">
        <v>517</v>
      </c>
      <c r="C1822" s="3" t="s">
        <v>3525</v>
      </c>
      <c r="D1822" s="3" t="s">
        <v>3829</v>
      </c>
      <c r="F1822" s="3" t="s">
        <v>399</v>
      </c>
      <c r="G1822" s="3" t="s">
        <v>402</v>
      </c>
      <c r="I1822" s="3" t="s">
        <v>4063</v>
      </c>
    </row>
    <row r="1823" spans="2:9" hidden="1" x14ac:dyDescent="0.4">
      <c r="B1823" s="8" t="s">
        <v>517</v>
      </c>
      <c r="C1823" s="3" t="s">
        <v>5837</v>
      </c>
      <c r="D1823" s="3" t="s">
        <v>4797</v>
      </c>
      <c r="F1823" s="3" t="s">
        <v>399</v>
      </c>
      <c r="I1823" s="3" t="s">
        <v>4063</v>
      </c>
    </row>
    <row r="1824" spans="2:9" hidden="1" x14ac:dyDescent="0.4">
      <c r="B1824" s="8" t="s">
        <v>517</v>
      </c>
      <c r="C1824" s="3" t="s">
        <v>6180</v>
      </c>
      <c r="D1824" s="3" t="s">
        <v>5519</v>
      </c>
      <c r="F1824" s="3" t="s">
        <v>402</v>
      </c>
      <c r="I1824" s="3" t="s">
        <v>4063</v>
      </c>
    </row>
    <row r="1825" spans="2:9" hidden="1" x14ac:dyDescent="0.4">
      <c r="B1825" s="8" t="s">
        <v>517</v>
      </c>
      <c r="C1825" s="3" t="s">
        <v>1476</v>
      </c>
      <c r="D1825" s="3" t="s">
        <v>1519</v>
      </c>
      <c r="F1825" s="3" t="s">
        <v>399</v>
      </c>
      <c r="G1825" s="3" t="s">
        <v>402</v>
      </c>
      <c r="I1825" s="3" t="s">
        <v>1489</v>
      </c>
    </row>
    <row r="1826" spans="2:9" hidden="1" x14ac:dyDescent="0.4">
      <c r="B1826" s="8" t="s">
        <v>517</v>
      </c>
      <c r="C1826" s="3" t="s">
        <v>1594</v>
      </c>
      <c r="D1826" s="3" t="s">
        <v>1519</v>
      </c>
      <c r="F1826" s="3" t="s">
        <v>402</v>
      </c>
      <c r="I1826" s="3" t="s">
        <v>1489</v>
      </c>
    </row>
    <row r="1827" spans="2:9" hidden="1" x14ac:dyDescent="0.4">
      <c r="B1827" s="8" t="s">
        <v>517</v>
      </c>
      <c r="C1827" s="8" t="s">
        <v>826</v>
      </c>
      <c r="D1827" s="3" t="s">
        <v>810</v>
      </c>
      <c r="F1827" s="3" t="s">
        <v>399</v>
      </c>
      <c r="I1827" s="3" t="s">
        <v>824</v>
      </c>
    </row>
    <row r="1828" spans="2:9" hidden="1" x14ac:dyDescent="0.4">
      <c r="B1828" s="8" t="s">
        <v>517</v>
      </c>
      <c r="C1828" s="8" t="s">
        <v>923</v>
      </c>
      <c r="D1828" s="3" t="s">
        <v>810</v>
      </c>
      <c r="F1828" s="3" t="s">
        <v>402</v>
      </c>
      <c r="I1828" s="3" t="s">
        <v>824</v>
      </c>
    </row>
    <row r="1829" spans="2:9" hidden="1" x14ac:dyDescent="0.4">
      <c r="B1829" s="8" t="s">
        <v>517</v>
      </c>
      <c r="C1829" s="3" t="s">
        <v>4185</v>
      </c>
      <c r="D1829" s="3" t="s">
        <v>3791</v>
      </c>
      <c r="F1829" s="3" t="s">
        <v>399</v>
      </c>
      <c r="G1829" s="3" t="s">
        <v>402</v>
      </c>
      <c r="I1829" s="3" t="s">
        <v>4064</v>
      </c>
    </row>
    <row r="1830" spans="2:9" hidden="1" x14ac:dyDescent="0.4">
      <c r="B1830" s="8" t="s">
        <v>517</v>
      </c>
      <c r="C1830" s="3" t="s">
        <v>4425</v>
      </c>
      <c r="D1830" s="3" t="s">
        <v>4775</v>
      </c>
      <c r="F1830" s="3" t="s">
        <v>399</v>
      </c>
      <c r="I1830" s="3" t="s">
        <v>4064</v>
      </c>
    </row>
    <row r="1831" spans="2:9" hidden="1" x14ac:dyDescent="0.4">
      <c r="B1831" s="8" t="s">
        <v>517</v>
      </c>
      <c r="C1831" s="3" t="s">
        <v>5160</v>
      </c>
      <c r="D1831" s="3" t="s">
        <v>5481</v>
      </c>
      <c r="F1831" s="3" t="s">
        <v>402</v>
      </c>
      <c r="I1831" s="3" t="s">
        <v>4064</v>
      </c>
    </row>
    <row r="1832" spans="2:9" hidden="1" x14ac:dyDescent="0.4">
      <c r="B1832" s="8" t="s">
        <v>517</v>
      </c>
      <c r="C1832" s="3" t="s">
        <v>3486</v>
      </c>
      <c r="D1832" s="3" t="s">
        <v>3791</v>
      </c>
      <c r="F1832" s="3" t="s">
        <v>399</v>
      </c>
      <c r="G1832" s="3" t="s">
        <v>402</v>
      </c>
      <c r="I1832" s="3" t="s">
        <v>4063</v>
      </c>
    </row>
    <row r="1833" spans="2:9" hidden="1" x14ac:dyDescent="0.4">
      <c r="B1833" s="8" t="s">
        <v>517</v>
      </c>
      <c r="C1833" s="3" t="s">
        <v>5809</v>
      </c>
      <c r="D1833" s="3" t="s">
        <v>4775</v>
      </c>
      <c r="F1833" s="3" t="s">
        <v>399</v>
      </c>
      <c r="I1833" s="3" t="s">
        <v>4063</v>
      </c>
    </row>
    <row r="1834" spans="2:9" hidden="1" x14ac:dyDescent="0.4">
      <c r="B1834" s="8" t="s">
        <v>517</v>
      </c>
      <c r="C1834" s="3" t="s">
        <v>6152</v>
      </c>
      <c r="D1834" s="3" t="s">
        <v>5481</v>
      </c>
      <c r="F1834" s="3" t="s">
        <v>402</v>
      </c>
      <c r="I1834" s="3" t="s">
        <v>4063</v>
      </c>
    </row>
    <row r="1835" spans="2:9" hidden="1" x14ac:dyDescent="0.4">
      <c r="B1835" s="8" t="s">
        <v>536</v>
      </c>
      <c r="C1835" s="3" t="s">
        <v>454</v>
      </c>
      <c r="D1835" s="3" t="s">
        <v>729</v>
      </c>
      <c r="E1835" s="3" t="s">
        <v>432</v>
      </c>
      <c r="F1835" s="3" t="s">
        <v>12779</v>
      </c>
      <c r="G1835" s="3" t="s">
        <v>430</v>
      </c>
      <c r="I1835" s="3" t="s">
        <v>472</v>
      </c>
    </row>
    <row r="1836" spans="2:9" hidden="1" x14ac:dyDescent="0.4">
      <c r="B1836" s="8" t="s">
        <v>517</v>
      </c>
      <c r="C1836" s="3" t="s">
        <v>0</v>
      </c>
      <c r="D1836" s="3" t="s">
        <v>75</v>
      </c>
      <c r="F1836" s="3" t="s">
        <v>401</v>
      </c>
      <c r="I1836" s="3" t="s">
        <v>421</v>
      </c>
    </row>
    <row r="1837" spans="2:9" hidden="1" x14ac:dyDescent="0.4">
      <c r="B1837" s="8" t="s">
        <v>517</v>
      </c>
      <c r="C1837" s="3" t="s">
        <v>2950</v>
      </c>
      <c r="D1837" s="3" t="s">
        <v>3189</v>
      </c>
      <c r="E1837" s="3">
        <v>1</v>
      </c>
      <c r="F1837" s="3" t="s">
        <v>402</v>
      </c>
      <c r="G1837" s="3" t="s">
        <v>399</v>
      </c>
      <c r="H1837" s="3" t="s">
        <v>1279</v>
      </c>
      <c r="I1837" s="3" t="s">
        <v>245</v>
      </c>
    </row>
    <row r="1838" spans="2:9" hidden="1" x14ac:dyDescent="0.4">
      <c r="B1838" s="8" t="s">
        <v>517</v>
      </c>
      <c r="C1838" s="3" t="s">
        <v>1</v>
      </c>
      <c r="D1838" s="3" t="s">
        <v>74</v>
      </c>
      <c r="F1838" s="3" t="s">
        <v>401</v>
      </c>
      <c r="I1838" s="3" t="s">
        <v>421</v>
      </c>
    </row>
    <row r="1839" spans="2:9" hidden="1" x14ac:dyDescent="0.4">
      <c r="B1839" s="8" t="s">
        <v>517</v>
      </c>
      <c r="C1839" s="3" t="s">
        <v>17</v>
      </c>
      <c r="D1839" s="3" t="s">
        <v>84</v>
      </c>
      <c r="F1839" s="3" t="s">
        <v>401</v>
      </c>
      <c r="I1839" s="3" t="s">
        <v>421</v>
      </c>
    </row>
    <row r="1840" spans="2:9" hidden="1" x14ac:dyDescent="0.4">
      <c r="B1840" s="8" t="s">
        <v>518</v>
      </c>
      <c r="C1840" s="3" t="s">
        <v>2979</v>
      </c>
      <c r="D1840" s="3" t="s">
        <v>3217</v>
      </c>
      <c r="E1840" s="3">
        <v>1</v>
      </c>
      <c r="F1840" s="3" t="s">
        <v>402</v>
      </c>
      <c r="G1840" s="3" t="s">
        <v>988</v>
      </c>
      <c r="H1840" s="3" t="s">
        <v>399</v>
      </c>
      <c r="I1840" s="3" t="s">
        <v>245</v>
      </c>
    </row>
    <row r="1841" spans="2:9" hidden="1" x14ac:dyDescent="0.4">
      <c r="B1841" s="8" t="s">
        <v>517</v>
      </c>
      <c r="C1841" s="3" t="s">
        <v>16</v>
      </c>
      <c r="D1841" s="3" t="s">
        <v>83</v>
      </c>
      <c r="F1841" s="3" t="s">
        <v>401</v>
      </c>
      <c r="I1841" s="3" t="s">
        <v>421</v>
      </c>
    </row>
    <row r="1842" spans="2:9" hidden="1" x14ac:dyDescent="0.4">
      <c r="B1842" s="8" t="s">
        <v>517</v>
      </c>
      <c r="C1842" s="3" t="s">
        <v>188</v>
      </c>
      <c r="D1842" s="3" t="s">
        <v>550</v>
      </c>
      <c r="F1842" s="3" t="s">
        <v>399</v>
      </c>
      <c r="I1842" s="3" t="s">
        <v>267</v>
      </c>
    </row>
    <row r="1843" spans="2:9" hidden="1" x14ac:dyDescent="0.4">
      <c r="B1843" s="8" t="s">
        <v>517</v>
      </c>
      <c r="C1843" s="3" t="s">
        <v>1910</v>
      </c>
      <c r="D1843" s="3" t="s">
        <v>2005</v>
      </c>
      <c r="F1843" s="3" t="s">
        <v>399</v>
      </c>
      <c r="I1843" s="3" t="s">
        <v>1865</v>
      </c>
    </row>
    <row r="1844" spans="2:9" hidden="1" x14ac:dyDescent="0.4">
      <c r="B1844" s="8" t="s">
        <v>517</v>
      </c>
      <c r="C1844" s="3" t="s">
        <v>1911</v>
      </c>
      <c r="D1844" s="3" t="s">
        <v>1943</v>
      </c>
      <c r="F1844" s="3" t="s">
        <v>399</v>
      </c>
      <c r="I1844" s="3" t="s">
        <v>1865</v>
      </c>
    </row>
    <row r="1845" spans="2:9" hidden="1" x14ac:dyDescent="0.4">
      <c r="B1845" s="8" t="s">
        <v>2053</v>
      </c>
      <c r="C1845" s="3" t="s">
        <v>2051</v>
      </c>
      <c r="D1845" s="3" t="s">
        <v>2054</v>
      </c>
      <c r="F1845" s="3" t="s">
        <v>399</v>
      </c>
      <c r="I1845" s="3" t="s">
        <v>1865</v>
      </c>
    </row>
    <row r="1846" spans="2:9" hidden="1" x14ac:dyDescent="0.4">
      <c r="B1846" s="8" t="s">
        <v>2053</v>
      </c>
      <c r="C1846" s="3" t="s">
        <v>2052</v>
      </c>
      <c r="D1846" s="3" t="s">
        <v>1943</v>
      </c>
      <c r="F1846" s="3" t="s">
        <v>399</v>
      </c>
      <c r="I1846" s="3" t="s">
        <v>1865</v>
      </c>
    </row>
    <row r="1847" spans="2:9" hidden="1" x14ac:dyDescent="0.4">
      <c r="B1847" s="8" t="s">
        <v>2045</v>
      </c>
      <c r="C1847" s="3" t="s">
        <v>2035</v>
      </c>
      <c r="D1847" s="3" t="s">
        <v>2002</v>
      </c>
      <c r="F1847" s="3" t="s">
        <v>399</v>
      </c>
      <c r="I1847" s="3" t="s">
        <v>1865</v>
      </c>
    </row>
    <row r="1848" spans="2:9" hidden="1" x14ac:dyDescent="0.4">
      <c r="B1848" s="8" t="s">
        <v>516</v>
      </c>
      <c r="C1848" s="3" t="s">
        <v>2001</v>
      </c>
      <c r="D1848" s="3" t="s">
        <v>2002</v>
      </c>
      <c r="F1848" s="3" t="s">
        <v>399</v>
      </c>
      <c r="I1848" s="3" t="s">
        <v>1865</v>
      </c>
    </row>
    <row r="1849" spans="2:9" hidden="1" x14ac:dyDescent="0.4">
      <c r="B1849" s="8" t="s">
        <v>516</v>
      </c>
      <c r="C1849" s="3" t="s">
        <v>2055</v>
      </c>
      <c r="D1849" s="3" t="s">
        <v>2057</v>
      </c>
      <c r="F1849" s="3" t="s">
        <v>399</v>
      </c>
      <c r="I1849" s="3" t="s">
        <v>1865</v>
      </c>
    </row>
    <row r="1850" spans="2:9" ht="29.25" hidden="1" x14ac:dyDescent="0.4">
      <c r="B1850" s="8" t="s">
        <v>2046</v>
      </c>
      <c r="C1850" s="3" t="s">
        <v>2036</v>
      </c>
      <c r="D1850" s="3" t="s">
        <v>2048</v>
      </c>
      <c r="F1850" s="3" t="s">
        <v>399</v>
      </c>
      <c r="I1850" s="3" t="s">
        <v>1865</v>
      </c>
    </row>
    <row r="1851" spans="2:9" hidden="1" x14ac:dyDescent="0.4">
      <c r="B1851" s="8" t="s">
        <v>516</v>
      </c>
      <c r="C1851" s="3" t="s">
        <v>2056</v>
      </c>
      <c r="D1851" s="3" t="s">
        <v>2058</v>
      </c>
      <c r="F1851" s="3" t="s">
        <v>399</v>
      </c>
      <c r="I1851" s="3" t="s">
        <v>1865</v>
      </c>
    </row>
    <row r="1852" spans="2:9" hidden="1" x14ac:dyDescent="0.4">
      <c r="B1852" s="8" t="s">
        <v>516</v>
      </c>
      <c r="C1852" s="3" t="s">
        <v>1979</v>
      </c>
      <c r="D1852" s="3" t="s">
        <v>2003</v>
      </c>
      <c r="F1852" s="3" t="s">
        <v>399</v>
      </c>
      <c r="I1852" s="3" t="s">
        <v>1865</v>
      </c>
    </row>
    <row r="1853" spans="2:9" hidden="1" x14ac:dyDescent="0.4">
      <c r="B1853" s="8" t="s">
        <v>516</v>
      </c>
      <c r="C1853" s="3" t="s">
        <v>1980</v>
      </c>
      <c r="D1853" s="3" t="s">
        <v>2004</v>
      </c>
      <c r="F1853" s="3" t="s">
        <v>399</v>
      </c>
      <c r="I1853" s="3" t="s">
        <v>1865</v>
      </c>
    </row>
    <row r="1854" spans="2:9" hidden="1" x14ac:dyDescent="0.4">
      <c r="B1854" s="8" t="s">
        <v>516</v>
      </c>
      <c r="C1854" s="3" t="s">
        <v>233</v>
      </c>
      <c r="D1854" s="3" t="s">
        <v>270</v>
      </c>
      <c r="F1854" s="3" t="s">
        <v>399</v>
      </c>
      <c r="G1854" s="3" t="s">
        <v>402</v>
      </c>
      <c r="I1854" s="3" t="s">
        <v>420</v>
      </c>
    </row>
    <row r="1855" spans="2:9" hidden="1" x14ac:dyDescent="0.4">
      <c r="B1855" s="8" t="s">
        <v>517</v>
      </c>
      <c r="C1855" s="3" t="s">
        <v>296</v>
      </c>
      <c r="D1855" s="3" t="s">
        <v>584</v>
      </c>
      <c r="F1855" s="3" t="s">
        <v>399</v>
      </c>
      <c r="I1855" s="3" t="s">
        <v>267</v>
      </c>
    </row>
    <row r="1856" spans="2:9" hidden="1" x14ac:dyDescent="0.4">
      <c r="B1856" s="8" t="s">
        <v>1488</v>
      </c>
      <c r="C1856" s="3" t="s">
        <v>1479</v>
      </c>
      <c r="D1856" s="3" t="s">
        <v>1521</v>
      </c>
      <c r="F1856" s="3" t="s">
        <v>399</v>
      </c>
      <c r="G1856" s="3" t="s">
        <v>402</v>
      </c>
      <c r="I1856" s="3" t="s">
        <v>1489</v>
      </c>
    </row>
    <row r="1857" spans="2:9" hidden="1" x14ac:dyDescent="0.4">
      <c r="B1857" s="8" t="s">
        <v>1488</v>
      </c>
      <c r="C1857" s="3" t="s">
        <v>1595</v>
      </c>
      <c r="D1857" s="3" t="s">
        <v>1521</v>
      </c>
      <c r="F1857" s="3" t="s">
        <v>402</v>
      </c>
      <c r="I1857" s="3" t="s">
        <v>1489</v>
      </c>
    </row>
    <row r="1858" spans="2:9" hidden="1" x14ac:dyDescent="0.4">
      <c r="B1858" s="8" t="s">
        <v>4055</v>
      </c>
      <c r="C1858" s="3" t="s">
        <v>3984</v>
      </c>
      <c r="D1858" s="3" t="s">
        <v>3985</v>
      </c>
      <c r="F1858" s="3" t="s">
        <v>399</v>
      </c>
      <c r="G1858" s="3" t="s">
        <v>402</v>
      </c>
      <c r="I1858" s="3" t="s">
        <v>4063</v>
      </c>
    </row>
    <row r="1859" spans="2:9" hidden="1" x14ac:dyDescent="0.4">
      <c r="B1859" s="8" t="s">
        <v>4055</v>
      </c>
      <c r="C1859" s="3" t="s">
        <v>6308</v>
      </c>
      <c r="D1859" s="3" t="s">
        <v>6374</v>
      </c>
      <c r="F1859" s="3" t="s">
        <v>402</v>
      </c>
      <c r="I1859" s="3" t="s">
        <v>4063</v>
      </c>
    </row>
    <row r="1860" spans="2:9" hidden="1" x14ac:dyDescent="0.4">
      <c r="B1860" s="8" t="s">
        <v>4055</v>
      </c>
      <c r="C1860" s="3" t="s">
        <v>5960</v>
      </c>
      <c r="D1860" s="3" t="s">
        <v>6036</v>
      </c>
      <c r="F1860" s="3" t="s">
        <v>399</v>
      </c>
      <c r="I1860" s="3" t="s">
        <v>4063</v>
      </c>
    </row>
    <row r="1861" spans="2:9" hidden="1" x14ac:dyDescent="0.4">
      <c r="B1861" s="8" t="s">
        <v>4055</v>
      </c>
      <c r="C1861" s="3" t="s">
        <v>4341</v>
      </c>
      <c r="D1861" s="3" t="s">
        <v>3985</v>
      </c>
      <c r="F1861" s="3" t="s">
        <v>399</v>
      </c>
      <c r="G1861" s="3" t="s">
        <v>402</v>
      </c>
      <c r="I1861" s="3" t="s">
        <v>4064</v>
      </c>
    </row>
    <row r="1862" spans="2:9" hidden="1" x14ac:dyDescent="0.4">
      <c r="B1862" s="8" t="s">
        <v>517</v>
      </c>
      <c r="C1862" s="3" t="s">
        <v>3490</v>
      </c>
      <c r="D1862" s="3" t="s">
        <v>3795</v>
      </c>
      <c r="F1862" s="3" t="s">
        <v>399</v>
      </c>
      <c r="G1862" s="3" t="s">
        <v>402</v>
      </c>
      <c r="I1862" s="3" t="s">
        <v>4063</v>
      </c>
    </row>
    <row r="1863" spans="2:9" hidden="1" x14ac:dyDescent="0.4">
      <c r="B1863" s="8" t="s">
        <v>517</v>
      </c>
      <c r="C1863" s="3" t="s">
        <v>5811</v>
      </c>
      <c r="D1863" s="3" t="s">
        <v>4942</v>
      </c>
      <c r="F1863" s="3" t="s">
        <v>399</v>
      </c>
      <c r="I1863" s="3" t="s">
        <v>4063</v>
      </c>
    </row>
    <row r="1864" spans="2:9" hidden="1" x14ac:dyDescent="0.4">
      <c r="B1864" s="8" t="s">
        <v>517</v>
      </c>
      <c r="C1864" s="3" t="s">
        <v>6154</v>
      </c>
      <c r="D1864" s="3" t="s">
        <v>5484</v>
      </c>
      <c r="F1864" s="3" t="s">
        <v>402</v>
      </c>
      <c r="I1864" s="3" t="s">
        <v>4063</v>
      </c>
    </row>
    <row r="1865" spans="2:9" hidden="1" x14ac:dyDescent="0.4">
      <c r="B1865" s="8" t="s">
        <v>517</v>
      </c>
      <c r="C1865" s="3" t="s">
        <v>4191</v>
      </c>
      <c r="D1865" s="3" t="s">
        <v>3795</v>
      </c>
      <c r="F1865" s="3" t="s">
        <v>399</v>
      </c>
      <c r="G1865" s="3" t="s">
        <v>402</v>
      </c>
      <c r="I1865" s="3" t="s">
        <v>4064</v>
      </c>
    </row>
    <row r="1866" spans="2:9" hidden="1" x14ac:dyDescent="0.4">
      <c r="B1866" s="8" t="s">
        <v>517</v>
      </c>
      <c r="C1866" s="3" t="s">
        <v>4427</v>
      </c>
      <c r="D1866" s="3" t="s">
        <v>4942</v>
      </c>
      <c r="F1866" s="3" t="s">
        <v>399</v>
      </c>
      <c r="I1866" s="3" t="s">
        <v>4064</v>
      </c>
    </row>
    <row r="1867" spans="2:9" hidden="1" x14ac:dyDescent="0.4">
      <c r="B1867" s="8" t="s">
        <v>517</v>
      </c>
      <c r="C1867" s="3" t="s">
        <v>5163</v>
      </c>
      <c r="D1867" s="3" t="s">
        <v>5484</v>
      </c>
      <c r="F1867" s="3" t="s">
        <v>402</v>
      </c>
      <c r="I1867" s="3" t="s">
        <v>4064</v>
      </c>
    </row>
    <row r="1868" spans="2:9" hidden="1" x14ac:dyDescent="0.4">
      <c r="B1868" s="8" t="s">
        <v>517</v>
      </c>
      <c r="C1868" s="3" t="s">
        <v>2997</v>
      </c>
      <c r="D1868" s="3" t="s">
        <v>3235</v>
      </c>
      <c r="E1868" s="3">
        <v>1</v>
      </c>
      <c r="F1868" s="3" t="s">
        <v>402</v>
      </c>
      <c r="G1868" s="3" t="s">
        <v>988</v>
      </c>
      <c r="I1868" s="3" t="s">
        <v>245</v>
      </c>
    </row>
    <row r="1869" spans="2:9" hidden="1" x14ac:dyDescent="0.4">
      <c r="B1869" s="8" t="s">
        <v>517</v>
      </c>
      <c r="C1869" s="3" t="s">
        <v>4073</v>
      </c>
      <c r="D1869" s="3" t="s">
        <v>3679</v>
      </c>
      <c r="F1869" s="3" t="s">
        <v>399</v>
      </c>
      <c r="G1869" s="3" t="s">
        <v>402</v>
      </c>
      <c r="I1869" s="3" t="s">
        <v>4064</v>
      </c>
    </row>
    <row r="1870" spans="2:9" hidden="1" x14ac:dyDescent="0.4">
      <c r="B1870" s="8" t="s">
        <v>517</v>
      </c>
      <c r="C1870" s="3" t="s">
        <v>4368</v>
      </c>
      <c r="D1870" s="3" t="s">
        <v>4705</v>
      </c>
      <c r="F1870" s="3" t="s">
        <v>399</v>
      </c>
      <c r="I1870" s="3" t="s">
        <v>4064</v>
      </c>
    </row>
    <row r="1871" spans="2:9" hidden="1" x14ac:dyDescent="0.4">
      <c r="B1871" s="8" t="s">
        <v>517</v>
      </c>
      <c r="C1871" s="3" t="s">
        <v>5038</v>
      </c>
      <c r="D1871" s="3" t="s">
        <v>5373</v>
      </c>
      <c r="F1871" s="3" t="s">
        <v>402</v>
      </c>
      <c r="I1871" s="3" t="s">
        <v>4064</v>
      </c>
    </row>
    <row r="1872" spans="2:9" hidden="1" x14ac:dyDescent="0.4">
      <c r="B1872" s="8" t="s">
        <v>517</v>
      </c>
      <c r="C1872" s="3" t="s">
        <v>3481</v>
      </c>
      <c r="D1872" s="3" t="s">
        <v>3787</v>
      </c>
      <c r="F1872" s="3" t="s">
        <v>399</v>
      </c>
      <c r="G1872" s="3" t="s">
        <v>402</v>
      </c>
      <c r="I1872" s="3" t="s">
        <v>4063</v>
      </c>
    </row>
    <row r="1873" spans="2:9" hidden="1" x14ac:dyDescent="0.4">
      <c r="B1873" s="8" t="s">
        <v>517</v>
      </c>
      <c r="C1873" s="3" t="s">
        <v>5803</v>
      </c>
      <c r="D1873" s="3" t="s">
        <v>4903</v>
      </c>
      <c r="F1873" s="3" t="s">
        <v>399</v>
      </c>
      <c r="I1873" s="3" t="s">
        <v>4063</v>
      </c>
    </row>
    <row r="1874" spans="2:9" hidden="1" x14ac:dyDescent="0.4">
      <c r="B1874" s="8" t="s">
        <v>517</v>
      </c>
      <c r="C1874" s="3" t="s">
        <v>6146</v>
      </c>
      <c r="D1874" s="3" t="s">
        <v>5475</v>
      </c>
      <c r="F1874" s="3" t="s">
        <v>402</v>
      </c>
      <c r="I1874" s="3" t="s">
        <v>4063</v>
      </c>
    </row>
    <row r="1875" spans="2:9" hidden="1" x14ac:dyDescent="0.4">
      <c r="B1875" s="8" t="s">
        <v>517</v>
      </c>
      <c r="C1875" s="3" t="s">
        <v>4179</v>
      </c>
      <c r="D1875" s="3" t="s">
        <v>3787</v>
      </c>
      <c r="F1875" s="3" t="s">
        <v>399</v>
      </c>
      <c r="G1875" s="3" t="s">
        <v>402</v>
      </c>
      <c r="I1875" s="3" t="s">
        <v>4064</v>
      </c>
    </row>
    <row r="1876" spans="2:9" hidden="1" x14ac:dyDescent="0.4">
      <c r="B1876" s="8" t="s">
        <v>517</v>
      </c>
      <c r="C1876" s="3" t="s">
        <v>4648</v>
      </c>
      <c r="D1876" s="3" t="s">
        <v>4903</v>
      </c>
      <c r="F1876" s="3" t="s">
        <v>399</v>
      </c>
      <c r="I1876" s="3" t="s">
        <v>4064</v>
      </c>
    </row>
    <row r="1877" spans="2:9" hidden="1" x14ac:dyDescent="0.4">
      <c r="B1877" s="8" t="s">
        <v>517</v>
      </c>
      <c r="C1877" s="3" t="s">
        <v>5154</v>
      </c>
      <c r="D1877" s="3" t="s">
        <v>5475</v>
      </c>
      <c r="F1877" s="3" t="s">
        <v>402</v>
      </c>
      <c r="I1877" s="3" t="s">
        <v>4064</v>
      </c>
    </row>
    <row r="1878" spans="2:9" hidden="1" x14ac:dyDescent="0.4">
      <c r="B1878" s="8" t="s">
        <v>517</v>
      </c>
      <c r="C1878" s="3" t="s">
        <v>3371</v>
      </c>
      <c r="D1878" s="3" t="s">
        <v>3679</v>
      </c>
      <c r="F1878" s="3" t="s">
        <v>399</v>
      </c>
      <c r="G1878" s="3" t="s">
        <v>402</v>
      </c>
      <c r="I1878" s="3" t="s">
        <v>4063</v>
      </c>
    </row>
    <row r="1879" spans="2:9" hidden="1" x14ac:dyDescent="0.4">
      <c r="B1879" s="8" t="s">
        <v>517</v>
      </c>
      <c r="C1879" s="3" t="s">
        <v>5706</v>
      </c>
      <c r="D1879" s="3" t="s">
        <v>4705</v>
      </c>
      <c r="F1879" s="3" t="s">
        <v>399</v>
      </c>
      <c r="I1879" s="3" t="s">
        <v>4063</v>
      </c>
    </row>
    <row r="1880" spans="2:9" hidden="1" x14ac:dyDescent="0.4">
      <c r="B1880" s="8" t="s">
        <v>517</v>
      </c>
      <c r="C1880" s="3" t="s">
        <v>6047</v>
      </c>
      <c r="D1880" s="3" t="s">
        <v>5373</v>
      </c>
      <c r="F1880" s="3" t="s">
        <v>402</v>
      </c>
      <c r="I1880" s="3" t="s">
        <v>4063</v>
      </c>
    </row>
    <row r="1881" spans="2:9" hidden="1" x14ac:dyDescent="0.4">
      <c r="B1881" s="8" t="s">
        <v>756</v>
      </c>
      <c r="C1881" s="3" t="s">
        <v>765</v>
      </c>
      <c r="D1881" s="3" t="s">
        <v>777</v>
      </c>
      <c r="E1881" s="3" t="s">
        <v>425</v>
      </c>
      <c r="F1881" s="3" t="s">
        <v>399</v>
      </c>
      <c r="G1881" s="3" t="s">
        <v>402</v>
      </c>
      <c r="I1881" s="3" t="s">
        <v>781</v>
      </c>
    </row>
    <row r="1882" spans="2:9" hidden="1" x14ac:dyDescent="0.4">
      <c r="B1882" s="8" t="s">
        <v>756</v>
      </c>
      <c r="C1882" s="3" t="s">
        <v>790</v>
      </c>
      <c r="D1882" s="3" t="s">
        <v>777</v>
      </c>
      <c r="E1882" s="3" t="s">
        <v>425</v>
      </c>
      <c r="F1882" s="3" t="s">
        <v>402</v>
      </c>
      <c r="I1882" s="3" t="s">
        <v>781</v>
      </c>
    </row>
    <row r="1883" spans="2:9" hidden="1" x14ac:dyDescent="0.4">
      <c r="B1883" s="8" t="s">
        <v>517</v>
      </c>
      <c r="C1883" s="3" t="s">
        <v>3433</v>
      </c>
      <c r="D1883" s="3" t="s">
        <v>3741</v>
      </c>
      <c r="F1883" s="3" t="s">
        <v>399</v>
      </c>
      <c r="G1883" s="3" t="s">
        <v>402</v>
      </c>
      <c r="I1883" s="3" t="s">
        <v>4063</v>
      </c>
    </row>
    <row r="1884" spans="2:9" hidden="1" x14ac:dyDescent="0.4">
      <c r="B1884" s="8" t="s">
        <v>517</v>
      </c>
      <c r="C1884" s="3" t="s">
        <v>4141</v>
      </c>
      <c r="D1884" s="3" t="s">
        <v>3741</v>
      </c>
      <c r="F1884" s="3" t="s">
        <v>399</v>
      </c>
      <c r="G1884" s="3" t="s">
        <v>402</v>
      </c>
      <c r="I1884" s="3" t="s">
        <v>4064</v>
      </c>
    </row>
    <row r="1885" spans="2:9" hidden="1" x14ac:dyDescent="0.4">
      <c r="B1885" s="8" t="s">
        <v>517</v>
      </c>
      <c r="C1885" s="3" t="s">
        <v>5765</v>
      </c>
      <c r="D1885" s="3" t="s">
        <v>4754</v>
      </c>
      <c r="F1885" s="3" t="s">
        <v>399</v>
      </c>
      <c r="I1885" s="3" t="s">
        <v>4063</v>
      </c>
    </row>
    <row r="1886" spans="2:9" hidden="1" x14ac:dyDescent="0.4">
      <c r="B1886" s="8" t="s">
        <v>517</v>
      </c>
      <c r="C1886" s="3" t="s">
        <v>6107</v>
      </c>
      <c r="D1886" s="3" t="s">
        <v>5431</v>
      </c>
      <c r="F1886" s="3" t="s">
        <v>402</v>
      </c>
      <c r="I1886" s="3" t="s">
        <v>4063</v>
      </c>
    </row>
    <row r="1887" spans="2:9" hidden="1" x14ac:dyDescent="0.4">
      <c r="B1887" s="8" t="s">
        <v>517</v>
      </c>
      <c r="C1887" s="3" t="s">
        <v>4626</v>
      </c>
      <c r="D1887" s="3" t="s">
        <v>4754</v>
      </c>
      <c r="F1887" s="3" t="s">
        <v>399</v>
      </c>
      <c r="I1887" s="3" t="s">
        <v>4064</v>
      </c>
    </row>
    <row r="1888" spans="2:9" hidden="1" x14ac:dyDescent="0.4">
      <c r="B1888" s="8" t="s">
        <v>517</v>
      </c>
      <c r="C1888" s="3" t="s">
        <v>5108</v>
      </c>
      <c r="D1888" s="3" t="s">
        <v>5431</v>
      </c>
      <c r="F1888" s="3" t="s">
        <v>402</v>
      </c>
      <c r="I1888" s="3" t="s">
        <v>4064</v>
      </c>
    </row>
    <row r="1889" spans="2:9" hidden="1" x14ac:dyDescent="0.4">
      <c r="B1889" s="8" t="s">
        <v>517</v>
      </c>
      <c r="C1889" s="8" t="s">
        <v>831</v>
      </c>
      <c r="D1889" s="3" t="s">
        <v>815</v>
      </c>
      <c r="F1889" s="3" t="s">
        <v>399</v>
      </c>
      <c r="I1889" s="3" t="s">
        <v>824</v>
      </c>
    </row>
    <row r="1890" spans="2:9" hidden="1" x14ac:dyDescent="0.4">
      <c r="B1890" s="8" t="s">
        <v>517</v>
      </c>
      <c r="C1890" s="8" t="s">
        <v>928</v>
      </c>
      <c r="D1890" s="3" t="s">
        <v>815</v>
      </c>
      <c r="F1890" s="3" t="s">
        <v>402</v>
      </c>
      <c r="I1890" s="3" t="s">
        <v>824</v>
      </c>
    </row>
    <row r="1891" spans="2:9" hidden="1" x14ac:dyDescent="0.4">
      <c r="B1891" s="8" t="s">
        <v>517</v>
      </c>
      <c r="C1891" s="8" t="s">
        <v>832</v>
      </c>
      <c r="D1891" s="3" t="s">
        <v>816</v>
      </c>
      <c r="F1891" s="3" t="s">
        <v>399</v>
      </c>
      <c r="I1891" s="3" t="s">
        <v>824</v>
      </c>
    </row>
    <row r="1892" spans="2:9" hidden="1" x14ac:dyDescent="0.4">
      <c r="B1892" s="8" t="s">
        <v>517</v>
      </c>
      <c r="C1892" s="8" t="s">
        <v>929</v>
      </c>
      <c r="D1892" s="3" t="s">
        <v>816</v>
      </c>
      <c r="F1892" s="3" t="s">
        <v>402</v>
      </c>
      <c r="I1892" s="3" t="s">
        <v>824</v>
      </c>
    </row>
    <row r="1893" spans="2:9" hidden="1" x14ac:dyDescent="0.4">
      <c r="B1893" s="8" t="s">
        <v>517</v>
      </c>
      <c r="C1893" s="3" t="s">
        <v>1327</v>
      </c>
      <c r="D1893" s="3" t="s">
        <v>1341</v>
      </c>
      <c r="E1893" s="3" t="s">
        <v>1272</v>
      </c>
      <c r="F1893" s="3" t="s">
        <v>399</v>
      </c>
      <c r="I1893" s="3" t="s">
        <v>1317</v>
      </c>
    </row>
    <row r="1894" spans="2:9" hidden="1" x14ac:dyDescent="0.4">
      <c r="B1894" s="8" t="s">
        <v>517</v>
      </c>
      <c r="C1894" s="3" t="s">
        <v>1359</v>
      </c>
      <c r="D1894" s="3" t="s">
        <v>1341</v>
      </c>
      <c r="E1894" s="3" t="s">
        <v>1272</v>
      </c>
      <c r="F1894" s="3" t="s">
        <v>402</v>
      </c>
      <c r="I1894" s="3" t="s">
        <v>1317</v>
      </c>
    </row>
    <row r="1895" spans="2:9" hidden="1" x14ac:dyDescent="0.4">
      <c r="B1895" s="8" t="s">
        <v>517</v>
      </c>
      <c r="C1895" s="3" t="s">
        <v>3044</v>
      </c>
      <c r="D1895" s="3" t="s">
        <v>3351</v>
      </c>
      <c r="E1895" s="3">
        <v>1</v>
      </c>
      <c r="F1895" s="3" t="s">
        <v>3349</v>
      </c>
      <c r="G1895" s="3" t="s">
        <v>402</v>
      </c>
      <c r="H1895" s="3" t="s">
        <v>988</v>
      </c>
      <c r="I1895" s="3" t="s">
        <v>1335</v>
      </c>
    </row>
    <row r="1896" spans="2:9" hidden="1" x14ac:dyDescent="0.4">
      <c r="B1896" s="8">
        <v>1</v>
      </c>
      <c r="C1896" s="3" t="s">
        <v>167</v>
      </c>
      <c r="D1896" s="3" t="s">
        <v>643</v>
      </c>
      <c r="F1896" s="3" t="s">
        <v>399</v>
      </c>
      <c r="I1896" s="3" t="s">
        <v>267</v>
      </c>
    </row>
    <row r="1897" spans="2:9" hidden="1" x14ac:dyDescent="0.4">
      <c r="B1897" s="8" t="s">
        <v>517</v>
      </c>
      <c r="C1897" s="3" t="s">
        <v>353</v>
      </c>
      <c r="D1897" s="3" t="s">
        <v>377</v>
      </c>
      <c r="F1897" s="3" t="s">
        <v>399</v>
      </c>
      <c r="I1897" s="3" t="s">
        <v>267</v>
      </c>
    </row>
    <row r="1898" spans="2:9" hidden="1" x14ac:dyDescent="0.4">
      <c r="B1898" s="8" t="s">
        <v>1002</v>
      </c>
      <c r="C1898" s="3" t="s">
        <v>966</v>
      </c>
      <c r="D1898" s="3" t="s">
        <v>979</v>
      </c>
      <c r="E1898" s="3" t="s">
        <v>432</v>
      </c>
      <c r="F1898" s="3" t="s">
        <v>399</v>
      </c>
      <c r="I1898" s="3" t="s">
        <v>6427</v>
      </c>
    </row>
    <row r="1899" spans="2:9" hidden="1" x14ac:dyDescent="0.4">
      <c r="B1899" s="8">
        <v>4</v>
      </c>
      <c r="C1899" s="3" t="s">
        <v>168</v>
      </c>
      <c r="D1899" s="3" t="s">
        <v>644</v>
      </c>
      <c r="F1899" s="3" t="s">
        <v>399</v>
      </c>
      <c r="I1899" s="3" t="s">
        <v>267</v>
      </c>
    </row>
    <row r="1900" spans="2:9" hidden="1" x14ac:dyDescent="0.4">
      <c r="B1900" s="8" t="s">
        <v>516</v>
      </c>
      <c r="C1900" s="3" t="s">
        <v>392</v>
      </c>
      <c r="D1900" s="3" t="s">
        <v>395</v>
      </c>
      <c r="F1900" s="3" t="s">
        <v>399</v>
      </c>
      <c r="I1900" s="3" t="s">
        <v>420</v>
      </c>
    </row>
    <row r="1901" spans="2:9" hidden="1" x14ac:dyDescent="0.4">
      <c r="B1901" s="8" t="s">
        <v>536</v>
      </c>
      <c r="C1901" s="3" t="s">
        <v>462</v>
      </c>
      <c r="D1901" s="3" t="s">
        <v>739</v>
      </c>
      <c r="E1901" s="3" t="s">
        <v>432</v>
      </c>
      <c r="F1901" s="3" t="s">
        <v>12779</v>
      </c>
      <c r="G1901" s="3" t="s">
        <v>430</v>
      </c>
      <c r="I1901" s="3" t="s">
        <v>472</v>
      </c>
    </row>
    <row r="1902" spans="2:9" hidden="1" x14ac:dyDescent="0.4">
      <c r="B1902" s="8" t="s">
        <v>517</v>
      </c>
      <c r="C1902" s="3" t="s">
        <v>2901</v>
      </c>
      <c r="D1902" s="3" t="s">
        <v>3142</v>
      </c>
      <c r="E1902" s="3">
        <v>1</v>
      </c>
      <c r="F1902" s="3" t="s">
        <v>402</v>
      </c>
      <c r="G1902" s="3" t="s">
        <v>988</v>
      </c>
      <c r="I1902" s="3" t="s">
        <v>245</v>
      </c>
    </row>
    <row r="1903" spans="2:9" hidden="1" x14ac:dyDescent="0.4">
      <c r="B1903" s="8" t="s">
        <v>517</v>
      </c>
      <c r="C1903" s="3" t="s">
        <v>3409</v>
      </c>
      <c r="D1903" s="3" t="s">
        <v>3718</v>
      </c>
      <c r="F1903" s="3" t="s">
        <v>399</v>
      </c>
      <c r="G1903" s="3" t="s">
        <v>402</v>
      </c>
      <c r="I1903" s="3" t="s">
        <v>4063</v>
      </c>
    </row>
    <row r="1904" spans="2:9" hidden="1" x14ac:dyDescent="0.4">
      <c r="B1904" s="8" t="s">
        <v>517</v>
      </c>
      <c r="C1904" s="3" t="s">
        <v>3409</v>
      </c>
      <c r="D1904" s="3" t="s">
        <v>3718</v>
      </c>
      <c r="F1904" s="3" t="s">
        <v>399</v>
      </c>
      <c r="G1904" s="3" t="s">
        <v>402</v>
      </c>
      <c r="I1904" s="3" t="s">
        <v>4064</v>
      </c>
    </row>
    <row r="1905" spans="2:9" hidden="1" x14ac:dyDescent="0.4">
      <c r="B1905" s="8" t="s">
        <v>517</v>
      </c>
      <c r="C1905" s="3" t="s">
        <v>5742</v>
      </c>
      <c r="D1905" s="3" t="s">
        <v>4735</v>
      </c>
      <c r="F1905" s="3" t="s">
        <v>399</v>
      </c>
      <c r="I1905" s="3" t="s">
        <v>4063</v>
      </c>
    </row>
    <row r="1906" spans="2:9" hidden="1" x14ac:dyDescent="0.4">
      <c r="B1906" s="8" t="s">
        <v>517</v>
      </c>
      <c r="C1906" s="3" t="s">
        <v>6084</v>
      </c>
      <c r="D1906" s="3" t="s">
        <v>5407</v>
      </c>
      <c r="F1906" s="3" t="s">
        <v>402</v>
      </c>
      <c r="I1906" s="3" t="s">
        <v>4063</v>
      </c>
    </row>
    <row r="1907" spans="2:9" hidden="1" x14ac:dyDescent="0.4">
      <c r="B1907" s="8" t="s">
        <v>517</v>
      </c>
      <c r="C1907" s="3" t="s">
        <v>4566</v>
      </c>
      <c r="D1907" s="3" t="s">
        <v>4735</v>
      </c>
      <c r="F1907" s="3" t="s">
        <v>399</v>
      </c>
      <c r="I1907" s="3" t="s">
        <v>4064</v>
      </c>
    </row>
    <row r="1908" spans="2:9" hidden="1" x14ac:dyDescent="0.4">
      <c r="B1908" s="8" t="s">
        <v>517</v>
      </c>
      <c r="C1908" s="3" t="s">
        <v>5084</v>
      </c>
      <c r="D1908" s="3" t="s">
        <v>5407</v>
      </c>
      <c r="F1908" s="3" t="s">
        <v>402</v>
      </c>
      <c r="I1908" s="3" t="s">
        <v>4064</v>
      </c>
    </row>
    <row r="1909" spans="2:9" hidden="1" x14ac:dyDescent="0.4">
      <c r="B1909" s="8" t="s">
        <v>517</v>
      </c>
      <c r="C1909" s="3" t="s">
        <v>354</v>
      </c>
      <c r="D1909" s="3" t="s">
        <v>378</v>
      </c>
      <c r="F1909" s="3" t="s">
        <v>399</v>
      </c>
      <c r="I1909" s="3" t="s">
        <v>267</v>
      </c>
    </row>
    <row r="1910" spans="2:9" hidden="1" x14ac:dyDescent="0.4">
      <c r="B1910" s="8" t="s">
        <v>517</v>
      </c>
      <c r="C1910" s="3" t="s">
        <v>297</v>
      </c>
      <c r="D1910" s="3" t="s">
        <v>585</v>
      </c>
      <c r="F1910" s="3" t="s">
        <v>399</v>
      </c>
      <c r="I1910" s="3" t="s">
        <v>267</v>
      </c>
    </row>
    <row r="1911" spans="2:9" hidden="1" x14ac:dyDescent="0.4">
      <c r="B1911" s="8" t="s">
        <v>520</v>
      </c>
      <c r="C1911" s="3" t="s">
        <v>2271</v>
      </c>
      <c r="D1911" s="3" t="s">
        <v>2429</v>
      </c>
      <c r="E1911" s="3" t="s">
        <v>1272</v>
      </c>
      <c r="F1911" s="3" t="s">
        <v>399</v>
      </c>
      <c r="I1911" s="3" t="s">
        <v>1833</v>
      </c>
    </row>
    <row r="1912" spans="2:9" hidden="1" x14ac:dyDescent="0.4">
      <c r="B1912" s="8" t="s">
        <v>520</v>
      </c>
      <c r="C1912" s="3" t="s">
        <v>2529</v>
      </c>
      <c r="D1912" s="3" t="s">
        <v>2429</v>
      </c>
      <c r="E1912" s="3" t="s">
        <v>1272</v>
      </c>
      <c r="F1912" s="3" t="s">
        <v>402</v>
      </c>
      <c r="I1912" s="3" t="s">
        <v>1833</v>
      </c>
    </row>
    <row r="1913" spans="2:9" hidden="1" x14ac:dyDescent="0.4">
      <c r="B1913" s="8" t="s">
        <v>517</v>
      </c>
      <c r="C1913" s="3" t="s">
        <v>4181</v>
      </c>
      <c r="D1913" s="3" t="s">
        <v>4023</v>
      </c>
      <c r="F1913" s="3" t="s">
        <v>399</v>
      </c>
      <c r="G1913" s="3" t="s">
        <v>402</v>
      </c>
      <c r="I1913" s="3" t="s">
        <v>4064</v>
      </c>
    </row>
    <row r="1914" spans="2:9" hidden="1" x14ac:dyDescent="0.4">
      <c r="B1914" s="8" t="s">
        <v>517</v>
      </c>
      <c r="C1914" s="3" t="s">
        <v>3483</v>
      </c>
      <c r="D1914" s="3" t="s">
        <v>4023</v>
      </c>
      <c r="F1914" s="3" t="s">
        <v>399</v>
      </c>
      <c r="G1914" s="3" t="s">
        <v>402</v>
      </c>
      <c r="I1914" s="3" t="s">
        <v>4063</v>
      </c>
    </row>
    <row r="1915" spans="2:9" hidden="1" x14ac:dyDescent="0.4">
      <c r="B1915" s="8" t="s">
        <v>517</v>
      </c>
      <c r="C1915" s="3" t="s">
        <v>5805</v>
      </c>
      <c r="D1915" s="3" t="s">
        <v>4914</v>
      </c>
      <c r="F1915" s="3" t="s">
        <v>399</v>
      </c>
      <c r="I1915" s="3" t="s">
        <v>4063</v>
      </c>
    </row>
    <row r="1916" spans="2:9" hidden="1" x14ac:dyDescent="0.4">
      <c r="B1916" s="8" t="s">
        <v>517</v>
      </c>
      <c r="C1916" s="3" t="s">
        <v>6148</v>
      </c>
      <c r="D1916" s="3" t="s">
        <v>5477</v>
      </c>
      <c r="F1916" s="3" t="s">
        <v>402</v>
      </c>
      <c r="I1916" s="3" t="s">
        <v>4063</v>
      </c>
    </row>
    <row r="1917" spans="2:9" hidden="1" x14ac:dyDescent="0.4">
      <c r="B1917" s="8" t="s">
        <v>517</v>
      </c>
      <c r="C1917" s="3" t="s">
        <v>4424</v>
      </c>
      <c r="D1917" s="3" t="s">
        <v>4914</v>
      </c>
      <c r="F1917" s="3" t="s">
        <v>399</v>
      </c>
      <c r="I1917" s="3" t="s">
        <v>4064</v>
      </c>
    </row>
    <row r="1918" spans="2:9" hidden="1" x14ac:dyDescent="0.4">
      <c r="B1918" s="8" t="s">
        <v>517</v>
      </c>
      <c r="C1918" s="3" t="s">
        <v>5156</v>
      </c>
      <c r="D1918" s="3" t="s">
        <v>5477</v>
      </c>
      <c r="F1918" s="3" t="s">
        <v>402</v>
      </c>
      <c r="I1918" s="3" t="s">
        <v>4064</v>
      </c>
    </row>
    <row r="1919" spans="2:9" hidden="1" x14ac:dyDescent="0.4">
      <c r="B1919" s="8" t="s">
        <v>517</v>
      </c>
      <c r="C1919" s="3" t="s">
        <v>1467</v>
      </c>
      <c r="D1919" s="3" t="s">
        <v>1508</v>
      </c>
      <c r="F1919" s="3" t="s">
        <v>399</v>
      </c>
      <c r="G1919" s="3" t="s">
        <v>402</v>
      </c>
      <c r="I1919" s="3" t="s">
        <v>1489</v>
      </c>
    </row>
    <row r="1920" spans="2:9" hidden="1" x14ac:dyDescent="0.4">
      <c r="B1920" s="8" t="s">
        <v>517</v>
      </c>
      <c r="C1920" s="3" t="s">
        <v>1577</v>
      </c>
      <c r="D1920" s="3" t="s">
        <v>1508</v>
      </c>
      <c r="F1920" s="3" t="s">
        <v>402</v>
      </c>
      <c r="I1920" s="3" t="s">
        <v>1489</v>
      </c>
    </row>
    <row r="1921" spans="2:9" hidden="1" x14ac:dyDescent="0.4">
      <c r="B1921" s="8" t="s">
        <v>517</v>
      </c>
      <c r="C1921" s="3" t="s">
        <v>3069</v>
      </c>
      <c r="D1921" s="3" t="s">
        <v>3301</v>
      </c>
      <c r="E1921" s="3">
        <v>1</v>
      </c>
      <c r="F1921" s="3" t="s">
        <v>402</v>
      </c>
      <c r="G1921" s="3" t="s">
        <v>399</v>
      </c>
      <c r="H1921" s="3" t="s">
        <v>988</v>
      </c>
      <c r="I1921" s="3" t="s">
        <v>245</v>
      </c>
    </row>
    <row r="1922" spans="2:9" hidden="1" x14ac:dyDescent="0.4">
      <c r="B1922" s="8" t="s">
        <v>517</v>
      </c>
      <c r="C1922" s="3" t="s">
        <v>3996</v>
      </c>
      <c r="D1922" s="3" t="s">
        <v>3997</v>
      </c>
      <c r="F1922" s="3" t="s">
        <v>399</v>
      </c>
      <c r="G1922" s="3" t="s">
        <v>402</v>
      </c>
      <c r="I1922" s="3" t="s">
        <v>4063</v>
      </c>
    </row>
    <row r="1923" spans="2:9" hidden="1" x14ac:dyDescent="0.4">
      <c r="B1923" s="8" t="s">
        <v>517</v>
      </c>
      <c r="C1923" s="3" t="s">
        <v>5965</v>
      </c>
      <c r="D1923" s="3" t="s">
        <v>4966</v>
      </c>
      <c r="F1923" s="3" t="s">
        <v>399</v>
      </c>
      <c r="I1923" s="3" t="s">
        <v>4063</v>
      </c>
    </row>
    <row r="1924" spans="2:9" hidden="1" x14ac:dyDescent="0.4">
      <c r="B1924" s="8" t="s">
        <v>517</v>
      </c>
      <c r="C1924" s="3" t="s">
        <v>6313</v>
      </c>
      <c r="D1924" s="3" t="s">
        <v>5664</v>
      </c>
      <c r="F1924" s="3" t="s">
        <v>402</v>
      </c>
      <c r="I1924" s="3" t="s">
        <v>4063</v>
      </c>
    </row>
    <row r="1925" spans="2:9" hidden="1" x14ac:dyDescent="0.4">
      <c r="B1925" s="8" t="s">
        <v>517</v>
      </c>
      <c r="C1925" s="3" t="s">
        <v>4347</v>
      </c>
      <c r="D1925" s="3" t="s">
        <v>3997</v>
      </c>
      <c r="F1925" s="3" t="s">
        <v>399</v>
      </c>
      <c r="G1925" s="3" t="s">
        <v>402</v>
      </c>
      <c r="I1925" s="3" t="s">
        <v>4064</v>
      </c>
    </row>
    <row r="1926" spans="2:9" hidden="1" x14ac:dyDescent="0.4">
      <c r="B1926" s="8" t="s">
        <v>516</v>
      </c>
      <c r="C1926" s="3" t="s">
        <v>394</v>
      </c>
      <c r="D1926" s="3" t="s">
        <v>395</v>
      </c>
      <c r="F1926" s="3" t="s">
        <v>399</v>
      </c>
      <c r="I1926" s="3" t="s">
        <v>420</v>
      </c>
    </row>
    <row r="1927" spans="2:9" hidden="1" x14ac:dyDescent="0.4">
      <c r="B1927" s="8" t="s">
        <v>519</v>
      </c>
      <c r="C1927" s="3" t="s">
        <v>3658</v>
      </c>
      <c r="D1927" s="3" t="s">
        <v>3951</v>
      </c>
      <c r="E1927" s="3" t="s">
        <v>1272</v>
      </c>
      <c r="F1927" s="3" t="s">
        <v>399</v>
      </c>
      <c r="G1927" s="3" t="s">
        <v>402</v>
      </c>
      <c r="I1927" s="3" t="s">
        <v>4362</v>
      </c>
    </row>
    <row r="1928" spans="2:9" hidden="1" x14ac:dyDescent="0.4">
      <c r="B1928" s="8" t="s">
        <v>517</v>
      </c>
      <c r="C1928" s="3" t="s">
        <v>4696</v>
      </c>
      <c r="D1928" s="3" t="s">
        <v>4966</v>
      </c>
      <c r="F1928" s="3" t="s">
        <v>399</v>
      </c>
      <c r="I1928" s="3" t="s">
        <v>4064</v>
      </c>
    </row>
    <row r="1929" spans="2:9" hidden="1" x14ac:dyDescent="0.4">
      <c r="B1929" s="8" t="s">
        <v>517</v>
      </c>
      <c r="C1929" s="3" t="s">
        <v>5345</v>
      </c>
      <c r="D1929" s="3" t="s">
        <v>5664</v>
      </c>
      <c r="F1929" s="3" t="s">
        <v>402</v>
      </c>
      <c r="I1929" s="3" t="s">
        <v>4064</v>
      </c>
    </row>
    <row r="1930" spans="2:9" hidden="1" x14ac:dyDescent="0.4">
      <c r="B1930" s="8" t="s">
        <v>517</v>
      </c>
      <c r="C1930" s="3" t="s">
        <v>397</v>
      </c>
      <c r="D1930" s="3" t="s">
        <v>398</v>
      </c>
      <c r="F1930" s="3" t="s">
        <v>399</v>
      </c>
      <c r="I1930" s="3" t="s">
        <v>420</v>
      </c>
    </row>
    <row r="1931" spans="2:9" hidden="1" x14ac:dyDescent="0.4">
      <c r="B1931" s="8" t="s">
        <v>517</v>
      </c>
      <c r="C1931" s="3" t="s">
        <v>2317</v>
      </c>
      <c r="D1931" s="3" t="s">
        <v>2473</v>
      </c>
      <c r="E1931" s="3" t="s">
        <v>1272</v>
      </c>
      <c r="F1931" s="3" t="s">
        <v>399</v>
      </c>
      <c r="I1931" s="3" t="s">
        <v>1833</v>
      </c>
    </row>
    <row r="1932" spans="2:9" hidden="1" x14ac:dyDescent="0.4">
      <c r="B1932" s="8" t="s">
        <v>517</v>
      </c>
      <c r="C1932" s="3" t="s">
        <v>2617</v>
      </c>
      <c r="D1932" s="3" t="s">
        <v>2473</v>
      </c>
      <c r="E1932" s="3" t="s">
        <v>1272</v>
      </c>
      <c r="F1932" s="3" t="s">
        <v>402</v>
      </c>
      <c r="I1932" s="3" t="s">
        <v>1833</v>
      </c>
    </row>
    <row r="1933" spans="2:9" hidden="1" x14ac:dyDescent="0.4">
      <c r="B1933" s="8" t="s">
        <v>1278</v>
      </c>
      <c r="C1933" s="3" t="s">
        <v>1300</v>
      </c>
      <c r="D1933" s="3" t="s">
        <v>1308</v>
      </c>
      <c r="E1933" s="3" t="s">
        <v>1272</v>
      </c>
      <c r="F1933" s="3" t="s">
        <v>402</v>
      </c>
      <c r="G1933" s="3" t="s">
        <v>399</v>
      </c>
      <c r="H1933" s="3" t="s">
        <v>988</v>
      </c>
      <c r="I1933" s="3" t="s">
        <v>510</v>
      </c>
    </row>
    <row r="1934" spans="2:9" hidden="1" x14ac:dyDescent="0.4">
      <c r="B1934" s="8" t="s">
        <v>1278</v>
      </c>
      <c r="C1934" s="3" t="s">
        <v>1305</v>
      </c>
      <c r="D1934" s="3" t="s">
        <v>1308</v>
      </c>
      <c r="E1934" s="3" t="s">
        <v>1272</v>
      </c>
      <c r="F1934" s="3" t="s">
        <v>399</v>
      </c>
      <c r="I1934" s="3" t="s">
        <v>510</v>
      </c>
    </row>
    <row r="1935" spans="2:9" ht="29.25" hidden="1" x14ac:dyDescent="0.4">
      <c r="B1935" s="8" t="s">
        <v>1278</v>
      </c>
      <c r="C1935" s="3" t="s">
        <v>1234</v>
      </c>
      <c r="D1935" s="3" t="s">
        <v>1271</v>
      </c>
      <c r="E1935" s="3" t="s">
        <v>1272</v>
      </c>
      <c r="F1935" s="3" t="s">
        <v>399</v>
      </c>
      <c r="G1935" s="3" t="s">
        <v>1277</v>
      </c>
      <c r="I1935" s="3" t="s">
        <v>510</v>
      </c>
    </row>
    <row r="1936" spans="2:9" hidden="1" x14ac:dyDescent="0.4">
      <c r="B1936" s="8" t="s">
        <v>1278</v>
      </c>
      <c r="C1936" s="3" t="s">
        <v>1286</v>
      </c>
      <c r="D1936" s="3" t="s">
        <v>1290</v>
      </c>
      <c r="E1936" s="3" t="s">
        <v>1272</v>
      </c>
      <c r="F1936" s="3" t="s">
        <v>402</v>
      </c>
      <c r="I1936" s="3" t="s">
        <v>510</v>
      </c>
    </row>
    <row r="1937" spans="2:9" hidden="1" x14ac:dyDescent="0.4">
      <c r="B1937" s="8" t="s">
        <v>1278</v>
      </c>
      <c r="C1937" s="3" t="s">
        <v>1282</v>
      </c>
      <c r="D1937" s="3" t="s">
        <v>1271</v>
      </c>
      <c r="E1937" s="3" t="s">
        <v>1272</v>
      </c>
      <c r="F1937" s="3" t="s">
        <v>402</v>
      </c>
      <c r="I1937" s="3" t="s">
        <v>510</v>
      </c>
    </row>
    <row r="1938" spans="2:9" hidden="1" x14ac:dyDescent="0.4">
      <c r="B1938" s="8" t="s">
        <v>1278</v>
      </c>
      <c r="C1938" s="3" t="s">
        <v>1298</v>
      </c>
      <c r="D1938" s="3" t="s">
        <v>1308</v>
      </c>
      <c r="E1938" s="3" t="s">
        <v>1272</v>
      </c>
      <c r="F1938" s="3" t="s">
        <v>402</v>
      </c>
      <c r="G1938" s="3" t="s">
        <v>399</v>
      </c>
      <c r="H1938" s="3" t="s">
        <v>988</v>
      </c>
      <c r="I1938" s="3" t="s">
        <v>510</v>
      </c>
    </row>
    <row r="1939" spans="2:9" hidden="1" x14ac:dyDescent="0.4">
      <c r="B1939" s="8" t="s">
        <v>1278</v>
      </c>
      <c r="C1939" s="3" t="s">
        <v>1303</v>
      </c>
      <c r="D1939" s="3" t="s">
        <v>1308</v>
      </c>
      <c r="E1939" s="3" t="s">
        <v>1272</v>
      </c>
      <c r="F1939" s="3" t="s">
        <v>399</v>
      </c>
      <c r="I1939" s="3" t="s">
        <v>510</v>
      </c>
    </row>
    <row r="1940" spans="2:9" hidden="1" x14ac:dyDescent="0.4">
      <c r="B1940" s="8" t="s">
        <v>1278</v>
      </c>
      <c r="C1940" s="3" t="s">
        <v>1294</v>
      </c>
      <c r="D1940" s="3" t="s">
        <v>1271</v>
      </c>
      <c r="E1940" s="3" t="s">
        <v>1272</v>
      </c>
      <c r="F1940" s="3" t="s">
        <v>399</v>
      </c>
      <c r="I1940" s="3" t="s">
        <v>510</v>
      </c>
    </row>
    <row r="1941" spans="2:9" hidden="1" x14ac:dyDescent="0.4">
      <c r="B1941" s="8" t="s">
        <v>517</v>
      </c>
      <c r="C1941" s="3" t="s">
        <v>4356</v>
      </c>
      <c r="D1941" s="3" t="s">
        <v>4017</v>
      </c>
      <c r="F1941" s="3" t="s">
        <v>399</v>
      </c>
      <c r="G1941" s="3" t="s">
        <v>402</v>
      </c>
      <c r="I1941" s="3" t="s">
        <v>4064</v>
      </c>
    </row>
    <row r="1942" spans="2:9" hidden="1" x14ac:dyDescent="0.4">
      <c r="B1942" s="8" t="s">
        <v>517</v>
      </c>
      <c r="C1942" s="3" t="s">
        <v>4699</v>
      </c>
      <c r="D1942" s="3" t="s">
        <v>5021</v>
      </c>
      <c r="F1942" s="3" t="s">
        <v>399</v>
      </c>
      <c r="I1942" s="3" t="s">
        <v>4064</v>
      </c>
    </row>
    <row r="1943" spans="2:9" hidden="1" x14ac:dyDescent="0.4">
      <c r="B1943" s="8" t="s">
        <v>517</v>
      </c>
      <c r="C1943" s="3" t="s">
        <v>5355</v>
      </c>
      <c r="D1943" s="3" t="s">
        <v>5674</v>
      </c>
      <c r="F1943" s="3" t="s">
        <v>402</v>
      </c>
      <c r="I1943" s="3" t="s">
        <v>4064</v>
      </c>
    </row>
    <row r="1944" spans="2:9" hidden="1" x14ac:dyDescent="0.4">
      <c r="B1944" s="8" t="s">
        <v>517</v>
      </c>
      <c r="C1944" s="3" t="s">
        <v>4016</v>
      </c>
      <c r="D1944" s="3" t="s">
        <v>4017</v>
      </c>
      <c r="F1944" s="3" t="s">
        <v>399</v>
      </c>
      <c r="G1944" s="3" t="s">
        <v>402</v>
      </c>
      <c r="I1944" s="3" t="s">
        <v>4063</v>
      </c>
    </row>
    <row r="1945" spans="2:9" hidden="1" x14ac:dyDescent="0.4">
      <c r="B1945" s="8" t="s">
        <v>517</v>
      </c>
      <c r="C1945" s="3" t="s">
        <v>5975</v>
      </c>
      <c r="D1945" s="3" t="s">
        <v>5021</v>
      </c>
      <c r="F1945" s="3" t="s">
        <v>399</v>
      </c>
      <c r="I1945" s="3" t="s">
        <v>4063</v>
      </c>
    </row>
    <row r="1946" spans="2:9" hidden="1" x14ac:dyDescent="0.4">
      <c r="B1946" s="8" t="s">
        <v>517</v>
      </c>
      <c r="C1946" s="3" t="s">
        <v>6323</v>
      </c>
      <c r="D1946" s="3" t="s">
        <v>5674</v>
      </c>
      <c r="F1946" s="3" t="s">
        <v>402</v>
      </c>
      <c r="I1946" s="3" t="s">
        <v>4063</v>
      </c>
    </row>
    <row r="1947" spans="2:9" hidden="1" x14ac:dyDescent="0.4">
      <c r="B1947" s="8" t="s">
        <v>517</v>
      </c>
      <c r="C1947" s="3" t="s">
        <v>334</v>
      </c>
      <c r="D1947" s="3" t="s">
        <v>586</v>
      </c>
      <c r="F1947" s="3" t="s">
        <v>399</v>
      </c>
      <c r="I1947" s="3" t="s">
        <v>267</v>
      </c>
    </row>
    <row r="1948" spans="2:9" hidden="1" x14ac:dyDescent="0.4">
      <c r="B1948" s="8" t="s">
        <v>517</v>
      </c>
      <c r="C1948" s="3" t="s">
        <v>4684</v>
      </c>
      <c r="D1948" s="3" t="s">
        <v>4997</v>
      </c>
      <c r="F1948" s="3" t="s">
        <v>399</v>
      </c>
      <c r="I1948" s="3" t="s">
        <v>4064</v>
      </c>
    </row>
    <row r="1949" spans="2:9" hidden="1" x14ac:dyDescent="0.4">
      <c r="B1949" s="8" t="s">
        <v>517</v>
      </c>
      <c r="C1949" s="3" t="s">
        <v>5288</v>
      </c>
      <c r="D1949" s="3" t="s">
        <v>5608</v>
      </c>
      <c r="F1949" s="3" t="s">
        <v>402</v>
      </c>
      <c r="I1949" s="3" t="s">
        <v>4064</v>
      </c>
    </row>
    <row r="1950" spans="2:9" hidden="1" x14ac:dyDescent="0.4">
      <c r="B1950" s="8" t="s">
        <v>517</v>
      </c>
      <c r="C1950" s="3" t="s">
        <v>3609</v>
      </c>
      <c r="D1950" s="3" t="s">
        <v>4030</v>
      </c>
      <c r="F1950" s="3" t="s">
        <v>399</v>
      </c>
      <c r="G1950" s="3" t="s">
        <v>402</v>
      </c>
      <c r="I1950" s="3" t="s">
        <v>4063</v>
      </c>
    </row>
    <row r="1951" spans="2:9" hidden="1" x14ac:dyDescent="0.4">
      <c r="B1951" s="8" t="s">
        <v>517</v>
      </c>
      <c r="C1951" s="3" t="s">
        <v>5915</v>
      </c>
      <c r="D1951" s="3" t="s">
        <v>4997</v>
      </c>
      <c r="F1951" s="3" t="s">
        <v>399</v>
      </c>
      <c r="I1951" s="3" t="s">
        <v>4063</v>
      </c>
    </row>
    <row r="1952" spans="2:9" hidden="1" x14ac:dyDescent="0.4">
      <c r="B1952" s="8" t="s">
        <v>517</v>
      </c>
      <c r="C1952" s="3" t="s">
        <v>6261</v>
      </c>
      <c r="D1952" s="3" t="s">
        <v>5608</v>
      </c>
      <c r="F1952" s="3" t="s">
        <v>402</v>
      </c>
      <c r="I1952" s="3" t="s">
        <v>4063</v>
      </c>
    </row>
    <row r="1953" spans="2:9" hidden="1" x14ac:dyDescent="0.4">
      <c r="B1953" s="8" t="s">
        <v>517</v>
      </c>
      <c r="C1953" s="3" t="s">
        <v>4293</v>
      </c>
      <c r="D1953" s="3" t="s">
        <v>4030</v>
      </c>
      <c r="F1953" s="3" t="s">
        <v>399</v>
      </c>
      <c r="G1953" s="3" t="s">
        <v>402</v>
      </c>
      <c r="I1953" s="3" t="s">
        <v>4064</v>
      </c>
    </row>
    <row r="1954" spans="2:9" hidden="1" x14ac:dyDescent="0.4">
      <c r="B1954" s="8" t="s">
        <v>517</v>
      </c>
      <c r="C1954" s="3" t="s">
        <v>2941</v>
      </c>
      <c r="D1954" s="3" t="s">
        <v>3179</v>
      </c>
      <c r="E1954" s="3">
        <v>1</v>
      </c>
      <c r="F1954" s="3" t="s">
        <v>402</v>
      </c>
      <c r="G1954" s="3" t="s">
        <v>988</v>
      </c>
      <c r="I1954" s="3" t="s">
        <v>245</v>
      </c>
    </row>
    <row r="1955" spans="2:9" hidden="1" x14ac:dyDescent="0.4">
      <c r="B1955" s="8" t="s">
        <v>536</v>
      </c>
      <c r="C1955" s="3" t="str">
        <f>"-levt"</f>
        <v>-levt</v>
      </c>
      <c r="D1955" s="3" t="s">
        <v>1113</v>
      </c>
      <c r="F1955" s="3" t="s">
        <v>1114</v>
      </c>
      <c r="I1955" s="3" t="s">
        <v>1115</v>
      </c>
    </row>
    <row r="1956" spans="2:9" hidden="1" x14ac:dyDescent="0.4">
      <c r="B1956" s="8" t="s">
        <v>517</v>
      </c>
      <c r="C1956" s="3" t="s">
        <v>3571</v>
      </c>
      <c r="D1956" s="3" t="s">
        <v>3877</v>
      </c>
      <c r="F1956" s="3" t="s">
        <v>399</v>
      </c>
      <c r="G1956" s="3" t="s">
        <v>402</v>
      </c>
      <c r="I1956" s="3" t="s">
        <v>4063</v>
      </c>
    </row>
    <row r="1957" spans="2:9" hidden="1" x14ac:dyDescent="0.4">
      <c r="B1957" s="8" t="s">
        <v>517</v>
      </c>
      <c r="C1957" s="3" t="s">
        <v>3571</v>
      </c>
      <c r="D1957" s="3" t="s">
        <v>3877</v>
      </c>
      <c r="F1957" s="3" t="s">
        <v>399</v>
      </c>
      <c r="G1957" s="3" t="s">
        <v>402</v>
      </c>
      <c r="I1957" s="3" t="s">
        <v>4064</v>
      </c>
    </row>
    <row r="1958" spans="2:9" hidden="1" x14ac:dyDescent="0.4">
      <c r="B1958" s="8" t="s">
        <v>517</v>
      </c>
      <c r="C1958" s="3" t="s">
        <v>5880</v>
      </c>
      <c r="D1958" s="3" t="s">
        <v>4834</v>
      </c>
      <c r="F1958" s="3" t="s">
        <v>399</v>
      </c>
      <c r="I1958" s="3" t="s">
        <v>4063</v>
      </c>
    </row>
    <row r="1959" spans="2:9" hidden="1" x14ac:dyDescent="0.4">
      <c r="B1959" s="8" t="s">
        <v>517</v>
      </c>
      <c r="C1959" s="3" t="s">
        <v>6226</v>
      </c>
      <c r="D1959" s="3" t="s">
        <v>5567</v>
      </c>
      <c r="F1959" s="3" t="s">
        <v>402</v>
      </c>
      <c r="I1959" s="3" t="s">
        <v>4063</v>
      </c>
    </row>
    <row r="1960" spans="2:9" hidden="1" x14ac:dyDescent="0.4">
      <c r="B1960" s="8" t="s">
        <v>517</v>
      </c>
      <c r="C1960" s="3" t="s">
        <v>4583</v>
      </c>
      <c r="D1960" s="3" t="s">
        <v>4834</v>
      </c>
      <c r="F1960" s="3" t="s">
        <v>399</v>
      </c>
      <c r="I1960" s="3" t="s">
        <v>4064</v>
      </c>
    </row>
    <row r="1961" spans="2:9" hidden="1" x14ac:dyDescent="0.4">
      <c r="B1961" s="8" t="s">
        <v>517</v>
      </c>
      <c r="C1961" s="3" t="s">
        <v>5245</v>
      </c>
      <c r="D1961" s="3" t="s">
        <v>5567</v>
      </c>
      <c r="F1961" s="3" t="s">
        <v>402</v>
      </c>
      <c r="I1961" s="3" t="s">
        <v>4064</v>
      </c>
    </row>
    <row r="1962" spans="2:9" hidden="1" x14ac:dyDescent="0.4">
      <c r="B1962" s="8" t="s">
        <v>517</v>
      </c>
      <c r="C1962" s="3" t="s">
        <v>3635</v>
      </c>
      <c r="D1962" s="3" t="s">
        <v>3876</v>
      </c>
      <c r="F1962" s="3" t="s">
        <v>399</v>
      </c>
      <c r="G1962" s="3" t="s">
        <v>402</v>
      </c>
      <c r="I1962" s="3" t="s">
        <v>4063</v>
      </c>
    </row>
    <row r="1963" spans="2:9" hidden="1" x14ac:dyDescent="0.4">
      <c r="B1963" s="8" t="s">
        <v>517</v>
      </c>
      <c r="C1963" s="3" t="s">
        <v>3635</v>
      </c>
      <c r="D1963" s="3" t="s">
        <v>3876</v>
      </c>
      <c r="F1963" s="3" t="s">
        <v>399</v>
      </c>
      <c r="G1963" s="3" t="s">
        <v>402</v>
      </c>
      <c r="I1963" s="3" t="s">
        <v>4064</v>
      </c>
    </row>
    <row r="1964" spans="2:9" hidden="1" x14ac:dyDescent="0.4">
      <c r="B1964" s="8" t="s">
        <v>517</v>
      </c>
      <c r="C1964" s="3" t="s">
        <v>5938</v>
      </c>
      <c r="D1964" s="3" t="s">
        <v>4855</v>
      </c>
      <c r="F1964" s="3" t="s">
        <v>399</v>
      </c>
      <c r="I1964" s="3" t="s">
        <v>4063</v>
      </c>
    </row>
    <row r="1965" spans="2:9" hidden="1" x14ac:dyDescent="0.4">
      <c r="B1965" s="8" t="s">
        <v>517</v>
      </c>
      <c r="C1965" s="3" t="s">
        <v>6284</v>
      </c>
      <c r="D1965" s="3" t="s">
        <v>5634</v>
      </c>
      <c r="F1965" s="3" t="s">
        <v>402</v>
      </c>
      <c r="I1965" s="3" t="s">
        <v>4063</v>
      </c>
    </row>
    <row r="1966" spans="2:9" hidden="1" x14ac:dyDescent="0.4">
      <c r="B1966" s="8" t="s">
        <v>517</v>
      </c>
      <c r="C1966" s="3" t="s">
        <v>4597</v>
      </c>
      <c r="D1966" s="3" t="s">
        <v>4855</v>
      </c>
      <c r="F1966" s="3" t="s">
        <v>399</v>
      </c>
      <c r="I1966" s="3" t="s">
        <v>4064</v>
      </c>
    </row>
    <row r="1967" spans="2:9" hidden="1" x14ac:dyDescent="0.4">
      <c r="B1967" s="8" t="s">
        <v>517</v>
      </c>
      <c r="C1967" s="3" t="s">
        <v>5314</v>
      </c>
      <c r="D1967" s="3" t="s">
        <v>5634</v>
      </c>
      <c r="F1967" s="3" t="s">
        <v>402</v>
      </c>
      <c r="I1967" s="3" t="s">
        <v>4064</v>
      </c>
    </row>
    <row r="1968" spans="2:9" hidden="1" x14ac:dyDescent="0.4">
      <c r="B1968" s="8" t="s">
        <v>517</v>
      </c>
      <c r="C1968" s="3" t="s">
        <v>1904</v>
      </c>
      <c r="D1968" s="3" t="s">
        <v>1937</v>
      </c>
      <c r="F1968" s="3" t="s">
        <v>399</v>
      </c>
      <c r="I1968" s="3" t="s">
        <v>1865</v>
      </c>
    </row>
    <row r="1969" spans="2:9" hidden="1" x14ac:dyDescent="0.4">
      <c r="B1969" s="8" t="s">
        <v>518</v>
      </c>
      <c r="C1969" s="3" t="s">
        <v>4138</v>
      </c>
      <c r="D1969" s="3" t="s">
        <v>3749</v>
      </c>
      <c r="F1969" s="3" t="s">
        <v>399</v>
      </c>
      <c r="G1969" s="3" t="s">
        <v>402</v>
      </c>
      <c r="I1969" s="3" t="s">
        <v>4064</v>
      </c>
    </row>
    <row r="1970" spans="2:9" hidden="1" x14ac:dyDescent="0.4">
      <c r="B1970" s="8" t="s">
        <v>518</v>
      </c>
      <c r="C1970" s="3" t="s">
        <v>3430</v>
      </c>
      <c r="D1970" s="3" t="s">
        <v>3749</v>
      </c>
      <c r="F1970" s="3" t="s">
        <v>399</v>
      </c>
      <c r="G1970" s="3" t="s">
        <v>402</v>
      </c>
      <c r="I1970" s="3" t="s">
        <v>4063</v>
      </c>
    </row>
    <row r="1971" spans="2:9" hidden="1" x14ac:dyDescent="0.4">
      <c r="B1971" s="8" t="s">
        <v>518</v>
      </c>
      <c r="C1971" s="3" t="s">
        <v>5762</v>
      </c>
      <c r="D1971" s="3" t="s">
        <v>4878</v>
      </c>
      <c r="F1971" s="3" t="s">
        <v>399</v>
      </c>
      <c r="I1971" s="3" t="s">
        <v>4063</v>
      </c>
    </row>
    <row r="1972" spans="2:9" ht="29.25" hidden="1" x14ac:dyDescent="0.4">
      <c r="B1972" s="8" t="s">
        <v>518</v>
      </c>
      <c r="C1972" s="3" t="s">
        <v>6104</v>
      </c>
      <c r="D1972" s="3" t="s">
        <v>5428</v>
      </c>
      <c r="F1972" s="3" t="s">
        <v>402</v>
      </c>
      <c r="I1972" s="3" t="s">
        <v>4063</v>
      </c>
    </row>
    <row r="1973" spans="2:9" hidden="1" x14ac:dyDescent="0.4">
      <c r="B1973" s="8" t="s">
        <v>518</v>
      </c>
      <c r="C1973" s="3" t="s">
        <v>4401</v>
      </c>
      <c r="D1973" s="3" t="s">
        <v>4878</v>
      </c>
      <c r="F1973" s="3" t="s">
        <v>399</v>
      </c>
      <c r="I1973" s="3" t="s">
        <v>4064</v>
      </c>
    </row>
    <row r="1974" spans="2:9" hidden="1" x14ac:dyDescent="0.4">
      <c r="B1974" s="8" t="s">
        <v>518</v>
      </c>
      <c r="C1974" s="3" t="s">
        <v>5105</v>
      </c>
      <c r="D1974" s="3" t="s">
        <v>5428</v>
      </c>
      <c r="F1974" s="3" t="s">
        <v>402</v>
      </c>
      <c r="I1974" s="3" t="s">
        <v>4064</v>
      </c>
    </row>
    <row r="1975" spans="2:9" hidden="1" x14ac:dyDescent="0.4">
      <c r="B1975" s="8" t="s">
        <v>517</v>
      </c>
      <c r="C1975" s="3" t="s">
        <v>4123</v>
      </c>
      <c r="D1975" s="3" t="s">
        <v>3719</v>
      </c>
      <c r="F1975" s="3" t="s">
        <v>399</v>
      </c>
      <c r="G1975" s="3" t="s">
        <v>402</v>
      </c>
      <c r="I1975" s="3" t="s">
        <v>4064</v>
      </c>
    </row>
    <row r="1976" spans="2:9" hidden="1" x14ac:dyDescent="0.4">
      <c r="B1976" s="8" t="s">
        <v>517</v>
      </c>
      <c r="C1976" s="3" t="s">
        <v>4393</v>
      </c>
      <c r="D1976" s="3" t="s">
        <v>4736</v>
      </c>
      <c r="F1976" s="3" t="s">
        <v>399</v>
      </c>
      <c r="I1976" s="3" t="s">
        <v>4064</v>
      </c>
    </row>
    <row r="1977" spans="2:9" hidden="1" x14ac:dyDescent="0.4">
      <c r="B1977" s="8" t="s">
        <v>517</v>
      </c>
      <c r="C1977" s="3" t="s">
        <v>5085</v>
      </c>
      <c r="D1977" s="3" t="s">
        <v>5408</v>
      </c>
      <c r="F1977" s="3" t="s">
        <v>402</v>
      </c>
      <c r="I1977" s="3" t="s">
        <v>4064</v>
      </c>
    </row>
    <row r="1978" spans="2:9" hidden="1" x14ac:dyDescent="0.4">
      <c r="B1978" s="8" t="s">
        <v>518</v>
      </c>
      <c r="C1978" s="3" t="s">
        <v>2217</v>
      </c>
      <c r="D1978" s="3" t="s">
        <v>2375</v>
      </c>
      <c r="E1978" s="3" t="s">
        <v>1272</v>
      </c>
      <c r="F1978" s="3" t="s">
        <v>399</v>
      </c>
      <c r="I1978" s="3" t="s">
        <v>1833</v>
      </c>
    </row>
    <row r="1979" spans="2:9" hidden="1" x14ac:dyDescent="0.4">
      <c r="B1979" s="8" t="s">
        <v>518</v>
      </c>
      <c r="C1979" s="3" t="s">
        <v>2511</v>
      </c>
      <c r="D1979" s="3" t="s">
        <v>2375</v>
      </c>
      <c r="E1979" s="3" t="s">
        <v>1272</v>
      </c>
      <c r="F1979" s="3" t="s">
        <v>402</v>
      </c>
      <c r="I1979" s="3" t="s">
        <v>1833</v>
      </c>
    </row>
    <row r="1980" spans="2:9" hidden="1" x14ac:dyDescent="0.4">
      <c r="B1980" s="8" t="s">
        <v>518</v>
      </c>
      <c r="C1980" s="3" t="s">
        <v>2654</v>
      </c>
      <c r="D1980" s="3" t="s">
        <v>2664</v>
      </c>
      <c r="E1980" s="3" t="s">
        <v>1272</v>
      </c>
      <c r="F1980" s="3" t="s">
        <v>399</v>
      </c>
      <c r="I1980" s="3" t="s">
        <v>2370</v>
      </c>
    </row>
    <row r="1981" spans="2:9" hidden="1" x14ac:dyDescent="0.4">
      <c r="B1981" s="8" t="s">
        <v>517</v>
      </c>
      <c r="C1981" s="3" t="s">
        <v>3410</v>
      </c>
      <c r="D1981" s="3" t="s">
        <v>3719</v>
      </c>
      <c r="F1981" s="3" t="s">
        <v>399</v>
      </c>
      <c r="G1981" s="3" t="s">
        <v>402</v>
      </c>
      <c r="I1981" s="3" t="s">
        <v>4063</v>
      </c>
    </row>
    <row r="1982" spans="2:9" hidden="1" x14ac:dyDescent="0.4">
      <c r="B1982" s="8" t="s">
        <v>517</v>
      </c>
      <c r="C1982" s="3" t="s">
        <v>5743</v>
      </c>
      <c r="D1982" s="3" t="s">
        <v>4736</v>
      </c>
      <c r="F1982" s="3" t="s">
        <v>399</v>
      </c>
      <c r="I1982" s="3" t="s">
        <v>4063</v>
      </c>
    </row>
    <row r="1983" spans="2:9" hidden="1" x14ac:dyDescent="0.4">
      <c r="B1983" s="8" t="s">
        <v>517</v>
      </c>
      <c r="C1983" s="3" t="s">
        <v>6085</v>
      </c>
      <c r="D1983" s="3" t="s">
        <v>5408</v>
      </c>
      <c r="F1983" s="3" t="s">
        <v>402</v>
      </c>
      <c r="I1983" s="3" t="s">
        <v>4063</v>
      </c>
    </row>
    <row r="1984" spans="2:9" hidden="1" x14ac:dyDescent="0.4">
      <c r="B1984" s="8" t="s">
        <v>517</v>
      </c>
      <c r="C1984" s="3" t="s">
        <v>2334</v>
      </c>
      <c r="D1984" s="3" t="s">
        <v>2490</v>
      </c>
      <c r="E1984" s="3" t="s">
        <v>1272</v>
      </c>
      <c r="F1984" s="3" t="s">
        <v>399</v>
      </c>
      <c r="I1984" s="3" t="s">
        <v>1833</v>
      </c>
    </row>
    <row r="1985" spans="2:9" hidden="1" x14ac:dyDescent="0.4">
      <c r="B1985" s="8" t="s">
        <v>517</v>
      </c>
      <c r="C1985" s="3" t="s">
        <v>2634</v>
      </c>
      <c r="D1985" s="3" t="s">
        <v>2490</v>
      </c>
      <c r="E1985" s="3" t="s">
        <v>1272</v>
      </c>
      <c r="F1985" s="3" t="s">
        <v>402</v>
      </c>
      <c r="I1985" s="3" t="s">
        <v>1833</v>
      </c>
    </row>
    <row r="1986" spans="2:9" hidden="1" x14ac:dyDescent="0.4">
      <c r="B1986" s="8" t="s">
        <v>532</v>
      </c>
      <c r="C1986" s="3" t="s">
        <v>4147</v>
      </c>
      <c r="D1986" s="3" t="s">
        <v>3753</v>
      </c>
      <c r="F1986" s="3" t="s">
        <v>399</v>
      </c>
      <c r="G1986" s="3" t="s">
        <v>402</v>
      </c>
      <c r="I1986" s="3" t="s">
        <v>4064</v>
      </c>
    </row>
    <row r="1987" spans="2:9" hidden="1" x14ac:dyDescent="0.4">
      <c r="B1987" s="8" t="s">
        <v>532</v>
      </c>
      <c r="C1987" s="3" t="s">
        <v>4406</v>
      </c>
      <c r="D1987" s="3" t="s">
        <v>4760</v>
      </c>
      <c r="F1987" s="3" t="s">
        <v>399</v>
      </c>
      <c r="I1987" s="3" t="s">
        <v>4064</v>
      </c>
    </row>
    <row r="1988" spans="2:9" hidden="1" x14ac:dyDescent="0.4">
      <c r="B1988" s="8" t="s">
        <v>532</v>
      </c>
      <c r="C1988" s="3" t="s">
        <v>5117</v>
      </c>
      <c r="D1988" s="3" t="s">
        <v>5440</v>
      </c>
      <c r="F1988" s="3" t="s">
        <v>402</v>
      </c>
      <c r="I1988" s="3" t="s">
        <v>4064</v>
      </c>
    </row>
    <row r="1989" spans="2:9" hidden="1" x14ac:dyDescent="0.4">
      <c r="B1989" s="8" t="s">
        <v>532</v>
      </c>
      <c r="C1989" s="3" t="s">
        <v>3443</v>
      </c>
      <c r="D1989" s="3" t="s">
        <v>3753</v>
      </c>
      <c r="F1989" s="3" t="s">
        <v>399</v>
      </c>
      <c r="G1989" s="3" t="s">
        <v>402</v>
      </c>
      <c r="I1989" s="3" t="s">
        <v>4063</v>
      </c>
    </row>
    <row r="1990" spans="2:9" hidden="1" x14ac:dyDescent="0.4">
      <c r="B1990" s="8" t="s">
        <v>532</v>
      </c>
      <c r="C1990" s="3" t="s">
        <v>5986</v>
      </c>
      <c r="D1990" s="3" t="s">
        <v>4760</v>
      </c>
      <c r="F1990" s="3" t="s">
        <v>399</v>
      </c>
      <c r="I1990" s="3" t="s">
        <v>4063</v>
      </c>
    </row>
    <row r="1991" spans="2:9" hidden="1" x14ac:dyDescent="0.4">
      <c r="B1991" s="8" t="s">
        <v>532</v>
      </c>
      <c r="C1991" s="3" t="s">
        <v>6334</v>
      </c>
      <c r="D1991" s="3" t="s">
        <v>5440</v>
      </c>
      <c r="F1991" s="3" t="s">
        <v>402</v>
      </c>
      <c r="I1991" s="3" t="s">
        <v>4063</v>
      </c>
    </row>
    <row r="1992" spans="2:9" hidden="1" x14ac:dyDescent="0.4">
      <c r="B1992" s="8" t="s">
        <v>518</v>
      </c>
      <c r="C1992" s="3" t="s">
        <v>2876</v>
      </c>
      <c r="D1992" s="3" t="s">
        <v>3118</v>
      </c>
      <c r="E1992" s="3">
        <v>1</v>
      </c>
      <c r="F1992" s="3" t="s">
        <v>402</v>
      </c>
      <c r="I1992" s="3" t="s">
        <v>245</v>
      </c>
    </row>
    <row r="1993" spans="2:9" hidden="1" x14ac:dyDescent="0.4">
      <c r="B1993" s="8" t="s">
        <v>517</v>
      </c>
      <c r="C1993" s="3" t="s">
        <v>757</v>
      </c>
      <c r="D1993" s="3" t="s">
        <v>774</v>
      </c>
      <c r="F1993" s="3" t="s">
        <v>399</v>
      </c>
      <c r="G1993" s="3" t="s">
        <v>402</v>
      </c>
      <c r="I1993" s="3" t="s">
        <v>781</v>
      </c>
    </row>
    <row r="1994" spans="2:9" hidden="1" x14ac:dyDescent="0.4">
      <c r="B1994" s="8" t="s">
        <v>517</v>
      </c>
      <c r="C1994" s="3" t="s">
        <v>782</v>
      </c>
      <c r="D1994" s="3" t="s">
        <v>774</v>
      </c>
      <c r="F1994" s="3" t="s">
        <v>402</v>
      </c>
      <c r="I1994" s="3" t="s">
        <v>781</v>
      </c>
    </row>
    <row r="1995" spans="2:9" hidden="1" x14ac:dyDescent="0.4">
      <c r="B1995" s="8" t="s">
        <v>520</v>
      </c>
      <c r="C1995" s="3" t="s">
        <v>1322</v>
      </c>
      <c r="D1995" s="3" t="s">
        <v>1336</v>
      </c>
      <c r="E1995" s="3" t="s">
        <v>1272</v>
      </c>
      <c r="F1995" s="3" t="s">
        <v>399</v>
      </c>
      <c r="I1995" s="3" t="s">
        <v>1317</v>
      </c>
    </row>
    <row r="1996" spans="2:9" hidden="1" x14ac:dyDescent="0.4">
      <c r="B1996" s="8" t="s">
        <v>520</v>
      </c>
      <c r="C1996" s="3" t="s">
        <v>1354</v>
      </c>
      <c r="D1996" s="3" t="s">
        <v>1336</v>
      </c>
      <c r="E1996" s="3" t="s">
        <v>1272</v>
      </c>
      <c r="F1996" s="3" t="s">
        <v>402</v>
      </c>
      <c r="I1996" s="3" t="s">
        <v>1317</v>
      </c>
    </row>
    <row r="1997" spans="2:9" ht="29.25" hidden="1" x14ac:dyDescent="0.4">
      <c r="B1997" s="8" t="s">
        <v>520</v>
      </c>
      <c r="C1997" s="3" t="s">
        <v>1378</v>
      </c>
      <c r="D1997" s="3" t="s">
        <v>1336</v>
      </c>
      <c r="E1997" s="3" t="s">
        <v>433</v>
      </c>
      <c r="F1997" s="3" t="s">
        <v>399</v>
      </c>
      <c r="I1997" s="3" t="s">
        <v>1317</v>
      </c>
    </row>
    <row r="1998" spans="2:9" ht="29.25" hidden="1" x14ac:dyDescent="0.4">
      <c r="B1998" s="8" t="s">
        <v>520</v>
      </c>
      <c r="C1998" s="3" t="s">
        <v>1380</v>
      </c>
      <c r="D1998" s="3" t="s">
        <v>1336</v>
      </c>
      <c r="E1998" s="3" t="s">
        <v>433</v>
      </c>
      <c r="F1998" s="3" t="s">
        <v>402</v>
      </c>
      <c r="I1998" s="3" t="s">
        <v>1317</v>
      </c>
    </row>
    <row r="1999" spans="2:9" hidden="1" x14ac:dyDescent="0.4">
      <c r="B1999" s="8" t="s">
        <v>517</v>
      </c>
      <c r="C1999" s="3" t="s">
        <v>2899</v>
      </c>
      <c r="D1999" s="3" t="s">
        <v>3140</v>
      </c>
      <c r="E1999" s="3">
        <v>1</v>
      </c>
      <c r="F1999" s="3" t="s">
        <v>402</v>
      </c>
      <c r="G1999" s="3" t="s">
        <v>988</v>
      </c>
      <c r="I1999" s="3" t="s">
        <v>245</v>
      </c>
    </row>
    <row r="2000" spans="2:9" hidden="1" x14ac:dyDescent="0.4">
      <c r="B2000" s="8" t="s">
        <v>520</v>
      </c>
      <c r="C2000" s="3" t="s">
        <v>2284</v>
      </c>
      <c r="D2000" s="3" t="s">
        <v>2442</v>
      </c>
      <c r="E2000" s="3" t="s">
        <v>1272</v>
      </c>
      <c r="F2000" s="3" t="s">
        <v>399</v>
      </c>
      <c r="I2000" s="3" t="s">
        <v>1833</v>
      </c>
    </row>
    <row r="2001" spans="2:9" hidden="1" x14ac:dyDescent="0.4">
      <c r="B2001" s="8" t="s">
        <v>520</v>
      </c>
      <c r="C2001" s="3" t="s">
        <v>2590</v>
      </c>
      <c r="D2001" s="3" t="s">
        <v>2442</v>
      </c>
      <c r="E2001" s="3" t="s">
        <v>1272</v>
      </c>
      <c r="F2001" s="3" t="s">
        <v>402</v>
      </c>
      <c r="I2001" s="3" t="s">
        <v>1833</v>
      </c>
    </row>
    <row r="2002" spans="2:9" hidden="1" x14ac:dyDescent="0.4">
      <c r="B2002" s="8" t="s">
        <v>517</v>
      </c>
      <c r="C2002" s="3" t="s">
        <v>3399</v>
      </c>
      <c r="D2002" s="3" t="s">
        <v>3709</v>
      </c>
      <c r="F2002" s="3" t="s">
        <v>399</v>
      </c>
      <c r="G2002" s="3" t="s">
        <v>402</v>
      </c>
      <c r="I2002" s="3" t="s">
        <v>4063</v>
      </c>
    </row>
    <row r="2003" spans="2:9" hidden="1" x14ac:dyDescent="0.4">
      <c r="B2003" s="8" t="s">
        <v>517</v>
      </c>
      <c r="C2003" s="3" t="s">
        <v>5731</v>
      </c>
      <c r="D2003" s="3" t="s">
        <v>4729</v>
      </c>
      <c r="F2003" s="3" t="s">
        <v>399</v>
      </c>
      <c r="I2003" s="3" t="s">
        <v>4063</v>
      </c>
    </row>
    <row r="2004" spans="2:9" hidden="1" x14ac:dyDescent="0.4">
      <c r="B2004" s="8" t="s">
        <v>517</v>
      </c>
      <c r="C2004" s="3" t="s">
        <v>6073</v>
      </c>
      <c r="D2004" s="3" t="s">
        <v>5399</v>
      </c>
      <c r="F2004" s="3" t="s">
        <v>402</v>
      </c>
      <c r="I2004" s="3" t="s">
        <v>4063</v>
      </c>
    </row>
    <row r="2005" spans="2:9" hidden="1" x14ac:dyDescent="0.4">
      <c r="B2005" s="8" t="s">
        <v>517</v>
      </c>
      <c r="C2005" s="3" t="s">
        <v>4108</v>
      </c>
      <c r="D2005" s="3" t="s">
        <v>3709</v>
      </c>
      <c r="F2005" s="3" t="s">
        <v>399</v>
      </c>
      <c r="G2005" s="3" t="s">
        <v>402</v>
      </c>
      <c r="I2005" s="3" t="s">
        <v>4064</v>
      </c>
    </row>
    <row r="2006" spans="2:9" hidden="1" x14ac:dyDescent="0.4">
      <c r="B2006" s="8" t="s">
        <v>517</v>
      </c>
      <c r="C2006" s="3" t="s">
        <v>4614</v>
      </c>
      <c r="D2006" s="3" t="s">
        <v>4729</v>
      </c>
      <c r="F2006" s="3" t="s">
        <v>399</v>
      </c>
      <c r="I2006" s="3" t="s">
        <v>4064</v>
      </c>
    </row>
    <row r="2007" spans="2:9" hidden="1" x14ac:dyDescent="0.4">
      <c r="B2007" s="8" t="s">
        <v>517</v>
      </c>
      <c r="C2007" s="3" t="s">
        <v>5068</v>
      </c>
      <c r="D2007" s="3" t="s">
        <v>5399</v>
      </c>
      <c r="F2007" s="3" t="s">
        <v>402</v>
      </c>
      <c r="I2007" s="3" t="s">
        <v>4064</v>
      </c>
    </row>
    <row r="2008" spans="2:9" hidden="1" x14ac:dyDescent="0.4">
      <c r="B2008" s="8" t="s">
        <v>517</v>
      </c>
      <c r="C2008" s="3" t="s">
        <v>4193</v>
      </c>
      <c r="D2008" s="3" t="s">
        <v>3797</v>
      </c>
      <c r="F2008" s="3" t="s">
        <v>399</v>
      </c>
      <c r="G2008" s="3" t="s">
        <v>402</v>
      </c>
      <c r="I2008" s="3" t="s">
        <v>4064</v>
      </c>
    </row>
    <row r="2009" spans="2:9" hidden="1" x14ac:dyDescent="0.4">
      <c r="B2009" s="8" t="s">
        <v>517</v>
      </c>
      <c r="C2009" s="3" t="s">
        <v>3492</v>
      </c>
      <c r="D2009" s="3" t="s">
        <v>3797</v>
      </c>
      <c r="F2009" s="3" t="s">
        <v>399</v>
      </c>
      <c r="G2009" s="3" t="s">
        <v>402</v>
      </c>
      <c r="I2009" s="3" t="s">
        <v>4063</v>
      </c>
    </row>
    <row r="2010" spans="2:9" hidden="1" x14ac:dyDescent="0.4">
      <c r="B2010" s="8" t="s">
        <v>517</v>
      </c>
      <c r="C2010" s="3" t="s">
        <v>5813</v>
      </c>
      <c r="D2010" s="3" t="s">
        <v>4916</v>
      </c>
      <c r="F2010" s="3" t="s">
        <v>399</v>
      </c>
      <c r="I2010" s="3" t="s">
        <v>4063</v>
      </c>
    </row>
    <row r="2011" spans="2:9" hidden="1" x14ac:dyDescent="0.4">
      <c r="B2011" s="8" t="s">
        <v>517</v>
      </c>
      <c r="C2011" s="3" t="s">
        <v>6156</v>
      </c>
      <c r="D2011" s="3" t="s">
        <v>5486</v>
      </c>
      <c r="F2011" s="3" t="s">
        <v>402</v>
      </c>
      <c r="I2011" s="3" t="s">
        <v>4063</v>
      </c>
    </row>
    <row r="2012" spans="2:9" hidden="1" x14ac:dyDescent="0.4">
      <c r="B2012" s="8" t="s">
        <v>517</v>
      </c>
      <c r="C2012" s="3" t="s">
        <v>4428</v>
      </c>
      <c r="D2012" s="3" t="s">
        <v>4916</v>
      </c>
      <c r="F2012" s="3" t="s">
        <v>399</v>
      </c>
      <c r="I2012" s="3" t="s">
        <v>4064</v>
      </c>
    </row>
    <row r="2013" spans="2:9" hidden="1" x14ac:dyDescent="0.4">
      <c r="B2013" s="8" t="s">
        <v>517</v>
      </c>
      <c r="C2013" s="3" t="s">
        <v>5165</v>
      </c>
      <c r="D2013" s="3" t="s">
        <v>5486</v>
      </c>
      <c r="F2013" s="3" t="s">
        <v>402</v>
      </c>
      <c r="I2013" s="3" t="s">
        <v>4064</v>
      </c>
    </row>
    <row r="2014" spans="2:9" hidden="1" x14ac:dyDescent="0.4">
      <c r="B2014" s="8" t="s">
        <v>536</v>
      </c>
      <c r="C2014" s="3" t="s">
        <v>451</v>
      </c>
      <c r="D2014" s="3" t="s">
        <v>727</v>
      </c>
      <c r="E2014" s="3" t="s">
        <v>432</v>
      </c>
      <c r="F2014" s="3" t="s">
        <v>12779</v>
      </c>
      <c r="G2014" s="3" t="s">
        <v>430</v>
      </c>
      <c r="I2014" s="3" t="s">
        <v>472</v>
      </c>
    </row>
    <row r="2015" spans="2:9" hidden="1" x14ac:dyDescent="0.4">
      <c r="B2015" s="8" t="s">
        <v>536</v>
      </c>
      <c r="C2015" s="3" t="s">
        <v>469</v>
      </c>
      <c r="D2015" s="3" t="s">
        <v>746</v>
      </c>
      <c r="E2015" s="3" t="s">
        <v>432</v>
      </c>
      <c r="F2015" s="3" t="s">
        <v>12779</v>
      </c>
      <c r="G2015" s="3" t="s">
        <v>430</v>
      </c>
      <c r="I2015" s="3" t="s">
        <v>472</v>
      </c>
    </row>
    <row r="2016" spans="2:9" hidden="1" x14ac:dyDescent="0.4">
      <c r="B2016" s="8" t="s">
        <v>517</v>
      </c>
      <c r="C2016" s="3" t="s">
        <v>3094</v>
      </c>
      <c r="D2016" s="3" t="s">
        <v>3326</v>
      </c>
      <c r="E2016" s="3">
        <v>1</v>
      </c>
      <c r="F2016" s="3" t="s">
        <v>402</v>
      </c>
      <c r="G2016" s="3" t="s">
        <v>988</v>
      </c>
      <c r="I2016" s="3" t="s">
        <v>245</v>
      </c>
    </row>
    <row r="2017" spans="2:9" hidden="1" x14ac:dyDescent="0.4">
      <c r="B2017" s="8" t="s">
        <v>531</v>
      </c>
      <c r="C2017" s="3" t="s">
        <v>4285</v>
      </c>
      <c r="D2017" s="3" t="s">
        <v>3901</v>
      </c>
      <c r="F2017" s="3" t="s">
        <v>399</v>
      </c>
      <c r="G2017" s="3" t="s">
        <v>402</v>
      </c>
      <c r="I2017" s="3" t="s">
        <v>4064</v>
      </c>
    </row>
    <row r="2018" spans="2:9" hidden="1" x14ac:dyDescent="0.4">
      <c r="B2018" s="8" t="s">
        <v>531</v>
      </c>
      <c r="C2018" s="3" t="s">
        <v>4682</v>
      </c>
      <c r="D2018" s="3" t="s">
        <v>4844</v>
      </c>
      <c r="F2018" s="3" t="s">
        <v>399</v>
      </c>
      <c r="I2018" s="3" t="s">
        <v>4064</v>
      </c>
    </row>
    <row r="2019" spans="2:9" hidden="1" x14ac:dyDescent="0.4">
      <c r="B2019" s="8" t="s">
        <v>531</v>
      </c>
      <c r="C2019" s="3" t="s">
        <v>5279</v>
      </c>
      <c r="D2019" s="3" t="s">
        <v>5599</v>
      </c>
      <c r="F2019" s="3" t="s">
        <v>402</v>
      </c>
      <c r="I2019" s="3" t="s">
        <v>4064</v>
      </c>
    </row>
    <row r="2020" spans="2:9" hidden="1" x14ac:dyDescent="0.4">
      <c r="B2020" s="8" t="s">
        <v>531</v>
      </c>
      <c r="C2020" s="3" t="s">
        <v>3896</v>
      </c>
      <c r="D2020" s="3" t="s">
        <v>3901</v>
      </c>
      <c r="F2020" s="3" t="s">
        <v>399</v>
      </c>
      <c r="G2020" s="3" t="s">
        <v>402</v>
      </c>
      <c r="I2020" s="3" t="s">
        <v>4063</v>
      </c>
    </row>
    <row r="2021" spans="2:9" hidden="1" x14ac:dyDescent="0.4">
      <c r="B2021" s="8" t="s">
        <v>531</v>
      </c>
      <c r="C2021" s="3" t="s">
        <v>5906</v>
      </c>
      <c r="D2021" s="3" t="s">
        <v>4844</v>
      </c>
      <c r="F2021" s="3" t="s">
        <v>399</v>
      </c>
      <c r="I2021" s="3" t="s">
        <v>4063</v>
      </c>
    </row>
    <row r="2022" spans="2:9" hidden="1" x14ac:dyDescent="0.4">
      <c r="B2022" s="8" t="s">
        <v>531</v>
      </c>
      <c r="C2022" s="3" t="s">
        <v>6252</v>
      </c>
      <c r="D2022" s="3" t="s">
        <v>5599</v>
      </c>
      <c r="F2022" s="3" t="s">
        <v>402</v>
      </c>
      <c r="I2022" s="3" t="s">
        <v>4063</v>
      </c>
    </row>
    <row r="2023" spans="2:9" hidden="1" x14ac:dyDescent="0.4">
      <c r="B2023" s="8" t="s">
        <v>517</v>
      </c>
      <c r="C2023" s="3" t="s">
        <v>4321</v>
      </c>
      <c r="D2023" s="3" t="s">
        <v>3933</v>
      </c>
      <c r="F2023" s="3" t="s">
        <v>399</v>
      </c>
      <c r="G2023" s="3" t="s">
        <v>402</v>
      </c>
      <c r="I2023" s="3" t="s">
        <v>4064</v>
      </c>
    </row>
    <row r="2024" spans="2:9" hidden="1" x14ac:dyDescent="0.4">
      <c r="B2024" s="8" t="s">
        <v>517</v>
      </c>
      <c r="C2024" s="3" t="s">
        <v>4516</v>
      </c>
      <c r="D2024" s="3" t="s">
        <v>4933</v>
      </c>
      <c r="F2024" s="3" t="s">
        <v>399</v>
      </c>
      <c r="I2024" s="3" t="s">
        <v>4064</v>
      </c>
    </row>
    <row r="2025" spans="2:9" hidden="1" x14ac:dyDescent="0.4">
      <c r="B2025" s="8" t="s">
        <v>517</v>
      </c>
      <c r="C2025" s="3" t="s">
        <v>5322</v>
      </c>
      <c r="D2025" s="3" t="s">
        <v>5642</v>
      </c>
      <c r="F2025" s="3" t="s">
        <v>402</v>
      </c>
      <c r="I2025" s="3" t="s">
        <v>4064</v>
      </c>
    </row>
    <row r="2026" spans="2:9" hidden="1" x14ac:dyDescent="0.4">
      <c r="B2026" s="8" t="s">
        <v>517</v>
      </c>
      <c r="C2026" s="3" t="s">
        <v>3643</v>
      </c>
      <c r="D2026" s="3" t="s">
        <v>3933</v>
      </c>
      <c r="F2026" s="3" t="s">
        <v>399</v>
      </c>
      <c r="G2026" s="3" t="s">
        <v>402</v>
      </c>
      <c r="I2026" s="3" t="s">
        <v>4063</v>
      </c>
    </row>
    <row r="2027" spans="2:9" hidden="1" x14ac:dyDescent="0.4">
      <c r="B2027" s="8" t="s">
        <v>517</v>
      </c>
      <c r="C2027" s="3" t="s">
        <v>5946</v>
      </c>
      <c r="D2027" s="3" t="s">
        <v>4933</v>
      </c>
      <c r="F2027" s="3" t="s">
        <v>399</v>
      </c>
      <c r="I2027" s="3" t="s">
        <v>4063</v>
      </c>
    </row>
    <row r="2028" spans="2:9" hidden="1" x14ac:dyDescent="0.4">
      <c r="B2028" s="8" t="s">
        <v>517</v>
      </c>
      <c r="C2028" s="3" t="s">
        <v>6293</v>
      </c>
      <c r="D2028" s="3" t="s">
        <v>5642</v>
      </c>
      <c r="F2028" s="3" t="s">
        <v>402</v>
      </c>
      <c r="I2028" s="3" t="s">
        <v>4063</v>
      </c>
    </row>
    <row r="2029" spans="2:9" hidden="1" x14ac:dyDescent="0.4">
      <c r="B2029" s="8" t="s">
        <v>518</v>
      </c>
      <c r="C2029" s="3" t="s">
        <v>2245</v>
      </c>
      <c r="D2029" s="3" t="s">
        <v>2402</v>
      </c>
      <c r="E2029" s="3" t="s">
        <v>1272</v>
      </c>
      <c r="F2029" s="3" t="s">
        <v>399</v>
      </c>
      <c r="I2029" s="3" t="s">
        <v>1833</v>
      </c>
    </row>
    <row r="2030" spans="2:9" hidden="1" x14ac:dyDescent="0.4">
      <c r="B2030" s="8" t="s">
        <v>518</v>
      </c>
      <c r="C2030" s="3" t="s">
        <v>2557</v>
      </c>
      <c r="D2030" s="3" t="s">
        <v>2402</v>
      </c>
      <c r="E2030" s="3" t="s">
        <v>1272</v>
      </c>
      <c r="F2030" s="3" t="s">
        <v>402</v>
      </c>
      <c r="I2030" s="3" t="s">
        <v>1833</v>
      </c>
    </row>
    <row r="2031" spans="2:9" hidden="1" x14ac:dyDescent="0.4">
      <c r="B2031" s="8" t="s">
        <v>517</v>
      </c>
      <c r="C2031" s="3" t="s">
        <v>2936</v>
      </c>
      <c r="D2031" s="3" t="s">
        <v>3174</v>
      </c>
      <c r="E2031" s="3">
        <v>1</v>
      </c>
      <c r="F2031" s="3" t="s">
        <v>402</v>
      </c>
      <c r="G2031" s="3" t="s">
        <v>988</v>
      </c>
      <c r="H2031" s="3" t="s">
        <v>399</v>
      </c>
      <c r="I2031" s="3" t="s">
        <v>245</v>
      </c>
    </row>
    <row r="2032" spans="2:9" hidden="1" x14ac:dyDescent="0.4">
      <c r="B2032" s="8" t="s">
        <v>518</v>
      </c>
      <c r="C2032" s="3" t="s">
        <v>2912</v>
      </c>
      <c r="D2032" s="3" t="s">
        <v>3153</v>
      </c>
      <c r="E2032" s="3">
        <v>1</v>
      </c>
      <c r="F2032" s="3" t="s">
        <v>402</v>
      </c>
      <c r="G2032" s="3" t="s">
        <v>988</v>
      </c>
      <c r="I2032" s="3" t="s">
        <v>245</v>
      </c>
    </row>
    <row r="2033" spans="2:9" hidden="1" x14ac:dyDescent="0.4">
      <c r="B2033" s="8" t="s">
        <v>517</v>
      </c>
      <c r="C2033" s="3" t="s">
        <v>4196</v>
      </c>
      <c r="D2033" s="3" t="s">
        <v>4081</v>
      </c>
      <c r="F2033" s="3" t="s">
        <v>399</v>
      </c>
      <c r="G2033" s="3" t="s">
        <v>402</v>
      </c>
      <c r="I2033" s="3" t="s">
        <v>4064</v>
      </c>
    </row>
    <row r="2034" spans="2:9" hidden="1" x14ac:dyDescent="0.4">
      <c r="B2034" s="8" t="s">
        <v>517</v>
      </c>
      <c r="C2034" s="3" t="s">
        <v>4431</v>
      </c>
      <c r="D2034" s="3" t="s">
        <v>4943</v>
      </c>
      <c r="F2034" s="3" t="s">
        <v>399</v>
      </c>
      <c r="I2034" s="3" t="s">
        <v>4064</v>
      </c>
    </row>
    <row r="2035" spans="2:9" hidden="1" x14ac:dyDescent="0.4">
      <c r="B2035" s="8" t="s">
        <v>517</v>
      </c>
      <c r="C2035" s="3" t="s">
        <v>5168</v>
      </c>
      <c r="D2035" s="3" t="s">
        <v>5489</v>
      </c>
      <c r="F2035" s="3" t="s">
        <v>402</v>
      </c>
      <c r="I2035" s="3" t="s">
        <v>4064</v>
      </c>
    </row>
    <row r="2036" spans="2:9" hidden="1" x14ac:dyDescent="0.4">
      <c r="B2036" s="8" t="s">
        <v>517</v>
      </c>
      <c r="C2036" s="3" t="s">
        <v>3495</v>
      </c>
      <c r="D2036" s="3" t="s">
        <v>4081</v>
      </c>
      <c r="F2036" s="3" t="s">
        <v>399</v>
      </c>
      <c r="G2036" s="3" t="s">
        <v>402</v>
      </c>
      <c r="I2036" s="3" t="s">
        <v>4063</v>
      </c>
    </row>
    <row r="2037" spans="2:9" hidden="1" x14ac:dyDescent="0.4">
      <c r="B2037" s="8" t="s">
        <v>517</v>
      </c>
      <c r="C2037" s="3" t="s">
        <v>5994</v>
      </c>
      <c r="D2037" s="3" t="s">
        <v>4943</v>
      </c>
      <c r="F2037" s="3" t="s">
        <v>399</v>
      </c>
      <c r="I2037" s="3" t="s">
        <v>4063</v>
      </c>
    </row>
    <row r="2038" spans="2:9" hidden="1" x14ac:dyDescent="0.4">
      <c r="B2038" s="8" t="s">
        <v>517</v>
      </c>
      <c r="C2038" s="3" t="s">
        <v>6343</v>
      </c>
      <c r="D2038" s="3" t="s">
        <v>5489</v>
      </c>
      <c r="F2038" s="3" t="s">
        <v>402</v>
      </c>
      <c r="I2038" s="3" t="s">
        <v>4063</v>
      </c>
    </row>
    <row r="2039" spans="2:9" hidden="1" x14ac:dyDescent="0.4">
      <c r="B2039" s="8" t="s">
        <v>529</v>
      </c>
      <c r="C2039" s="3" t="s">
        <v>4287</v>
      </c>
      <c r="D2039" s="3" t="s">
        <v>4032</v>
      </c>
      <c r="F2039" s="3" t="s">
        <v>399</v>
      </c>
      <c r="G2039" s="3" t="s">
        <v>402</v>
      </c>
      <c r="I2039" s="3" t="s">
        <v>4064</v>
      </c>
    </row>
    <row r="2040" spans="2:9" hidden="1" x14ac:dyDescent="0.4">
      <c r="B2040" s="8" t="s">
        <v>529</v>
      </c>
      <c r="C2040" s="3" t="s">
        <v>4288</v>
      </c>
      <c r="D2040" s="3" t="s">
        <v>4032</v>
      </c>
      <c r="F2040" s="3" t="s">
        <v>399</v>
      </c>
      <c r="G2040" s="3" t="s">
        <v>402</v>
      </c>
      <c r="I2040" s="3" t="s">
        <v>4064</v>
      </c>
    </row>
    <row r="2041" spans="2:9" hidden="1" x14ac:dyDescent="0.4">
      <c r="B2041" s="8" t="s">
        <v>529</v>
      </c>
      <c r="C2041" s="3" t="s">
        <v>4592</v>
      </c>
      <c r="D2041" s="3" t="s">
        <v>4993</v>
      </c>
      <c r="F2041" s="3" t="s">
        <v>399</v>
      </c>
      <c r="I2041" s="3" t="s">
        <v>4064</v>
      </c>
    </row>
    <row r="2042" spans="2:9" hidden="1" x14ac:dyDescent="0.4">
      <c r="B2042" s="8" t="s">
        <v>529</v>
      </c>
      <c r="C2042" s="3" t="s">
        <v>4683</v>
      </c>
      <c r="D2042" s="3" t="s">
        <v>4993</v>
      </c>
      <c r="F2042" s="3" t="s">
        <v>399</v>
      </c>
      <c r="I2042" s="3" t="s">
        <v>4064</v>
      </c>
    </row>
    <row r="2043" spans="2:9" hidden="1" x14ac:dyDescent="0.4">
      <c r="B2043" s="8" t="s">
        <v>529</v>
      </c>
      <c r="C2043" s="3" t="s">
        <v>5282</v>
      </c>
      <c r="D2043" s="3" t="s">
        <v>5602</v>
      </c>
      <c r="F2043" s="3" t="s">
        <v>402</v>
      </c>
      <c r="I2043" s="3" t="s">
        <v>4064</v>
      </c>
    </row>
    <row r="2044" spans="2:9" hidden="1" x14ac:dyDescent="0.4">
      <c r="B2044" s="8" t="s">
        <v>529</v>
      </c>
      <c r="C2044" s="3" t="s">
        <v>5282</v>
      </c>
      <c r="D2044" s="3" t="s">
        <v>5602</v>
      </c>
      <c r="F2044" s="3" t="s">
        <v>402</v>
      </c>
      <c r="I2044" s="3" t="s">
        <v>4064</v>
      </c>
    </row>
    <row r="2045" spans="2:9" hidden="1" x14ac:dyDescent="0.4">
      <c r="B2045" s="8" t="s">
        <v>529</v>
      </c>
      <c r="C2045" s="3" t="s">
        <v>3899</v>
      </c>
      <c r="D2045" s="3" t="s">
        <v>4032</v>
      </c>
      <c r="F2045" s="3" t="s">
        <v>399</v>
      </c>
      <c r="G2045" s="3" t="s">
        <v>402</v>
      </c>
      <c r="I2045" s="3" t="s">
        <v>4063</v>
      </c>
    </row>
    <row r="2046" spans="2:9" hidden="1" x14ac:dyDescent="0.4">
      <c r="B2046" s="8" t="s">
        <v>529</v>
      </c>
      <c r="C2046" s="3" t="s">
        <v>5909</v>
      </c>
      <c r="D2046" s="3" t="s">
        <v>4993</v>
      </c>
      <c r="F2046" s="3" t="s">
        <v>399</v>
      </c>
      <c r="I2046" s="3" t="s">
        <v>4063</v>
      </c>
    </row>
    <row r="2047" spans="2:9" hidden="1" x14ac:dyDescent="0.4">
      <c r="B2047" s="8" t="s">
        <v>529</v>
      </c>
      <c r="C2047" s="3" t="s">
        <v>6255</v>
      </c>
      <c r="D2047" s="3" t="s">
        <v>5602</v>
      </c>
      <c r="F2047" s="3" t="s">
        <v>402</v>
      </c>
      <c r="I2047" s="3" t="s">
        <v>4063</v>
      </c>
    </row>
    <row r="2048" spans="2:9" hidden="1" x14ac:dyDescent="0.4">
      <c r="B2048" s="8" t="s">
        <v>529</v>
      </c>
      <c r="C2048" s="3" t="s">
        <v>3502</v>
      </c>
      <c r="D2048" s="3" t="s">
        <v>3805</v>
      </c>
      <c r="F2048" s="3" t="s">
        <v>399</v>
      </c>
      <c r="G2048" s="3" t="s">
        <v>402</v>
      </c>
      <c r="I2048" s="3" t="s">
        <v>4063</v>
      </c>
    </row>
    <row r="2049" spans="2:9" hidden="1" x14ac:dyDescent="0.4">
      <c r="B2049" s="8" t="s">
        <v>529</v>
      </c>
      <c r="C2049" s="3" t="s">
        <v>3502</v>
      </c>
      <c r="D2049" s="3" t="s">
        <v>3805</v>
      </c>
      <c r="F2049" s="3" t="s">
        <v>399</v>
      </c>
      <c r="G2049" s="3" t="s">
        <v>402</v>
      </c>
      <c r="I2049" s="3" t="s">
        <v>4064</v>
      </c>
    </row>
    <row r="2050" spans="2:9" hidden="1" x14ac:dyDescent="0.4">
      <c r="B2050" s="8" t="s">
        <v>529</v>
      </c>
      <c r="C2050" s="3" t="s">
        <v>5820</v>
      </c>
      <c r="D2050" s="3" t="s">
        <v>4947</v>
      </c>
      <c r="F2050" s="3" t="s">
        <v>399</v>
      </c>
      <c r="I2050" s="3" t="s">
        <v>4063</v>
      </c>
    </row>
    <row r="2051" spans="2:9" hidden="1" x14ac:dyDescent="0.4">
      <c r="B2051" s="8" t="s">
        <v>529</v>
      </c>
      <c r="C2051" s="3" t="s">
        <v>6163</v>
      </c>
      <c r="D2051" s="3" t="s">
        <v>5496</v>
      </c>
      <c r="F2051" s="3" t="s">
        <v>402</v>
      </c>
      <c r="I2051" s="3" t="s">
        <v>4063</v>
      </c>
    </row>
    <row r="2052" spans="2:9" hidden="1" x14ac:dyDescent="0.4">
      <c r="B2052" s="8" t="s">
        <v>529</v>
      </c>
      <c r="C2052" s="3" t="s">
        <v>4575</v>
      </c>
      <c r="D2052" s="3" t="s">
        <v>4947</v>
      </c>
      <c r="F2052" s="3" t="s">
        <v>399</v>
      </c>
      <c r="I2052" s="3" t="s">
        <v>4064</v>
      </c>
    </row>
    <row r="2053" spans="2:9" hidden="1" x14ac:dyDescent="0.4">
      <c r="B2053" s="8" t="s">
        <v>529</v>
      </c>
      <c r="C2053" s="3" t="s">
        <v>5175</v>
      </c>
      <c r="D2053" s="3" t="s">
        <v>5496</v>
      </c>
      <c r="F2053" s="3" t="s">
        <v>402</v>
      </c>
      <c r="I2053" s="3" t="s">
        <v>4064</v>
      </c>
    </row>
    <row r="2054" spans="2:9" hidden="1" x14ac:dyDescent="0.4">
      <c r="B2054" s="8" t="s">
        <v>518</v>
      </c>
      <c r="C2054" s="3" t="s">
        <v>4199</v>
      </c>
      <c r="D2054" s="3" t="s">
        <v>4027</v>
      </c>
      <c r="F2054" s="3" t="s">
        <v>399</v>
      </c>
      <c r="G2054" s="3" t="s">
        <v>402</v>
      </c>
      <c r="I2054" s="3" t="s">
        <v>4064</v>
      </c>
    </row>
    <row r="2055" spans="2:9" hidden="1" x14ac:dyDescent="0.4">
      <c r="B2055" s="8" t="s">
        <v>518</v>
      </c>
      <c r="C2055" s="3" t="s">
        <v>4655</v>
      </c>
      <c r="D2055" s="3" t="s">
        <v>4946</v>
      </c>
      <c r="F2055" s="3" t="s">
        <v>399</v>
      </c>
      <c r="I2055" s="3" t="s">
        <v>4064</v>
      </c>
    </row>
    <row r="2056" spans="2:9" hidden="1" x14ac:dyDescent="0.4">
      <c r="B2056" s="8" t="s">
        <v>518</v>
      </c>
      <c r="C2056" s="3" t="s">
        <v>5171</v>
      </c>
      <c r="D2056" s="3" t="s">
        <v>5492</v>
      </c>
      <c r="F2056" s="3" t="s">
        <v>402</v>
      </c>
      <c r="I2056" s="3" t="s">
        <v>4064</v>
      </c>
    </row>
    <row r="2057" spans="2:9" hidden="1" x14ac:dyDescent="0.4">
      <c r="B2057" s="8" t="s">
        <v>518</v>
      </c>
      <c r="C2057" s="3" t="s">
        <v>3498</v>
      </c>
      <c r="D2057" s="3" t="s">
        <v>4027</v>
      </c>
      <c r="F2057" s="3" t="s">
        <v>399</v>
      </c>
      <c r="G2057" s="3" t="s">
        <v>402</v>
      </c>
      <c r="I2057" s="3" t="s">
        <v>4063</v>
      </c>
    </row>
    <row r="2058" spans="2:9" hidden="1" x14ac:dyDescent="0.4">
      <c r="B2058" s="8" t="s">
        <v>518</v>
      </c>
      <c r="C2058" s="3" t="s">
        <v>5817</v>
      </c>
      <c r="D2058" s="3" t="s">
        <v>4946</v>
      </c>
      <c r="F2058" s="3" t="s">
        <v>399</v>
      </c>
      <c r="I2058" s="3" t="s">
        <v>4063</v>
      </c>
    </row>
    <row r="2059" spans="2:9" hidden="1" x14ac:dyDescent="0.4">
      <c r="B2059" s="8" t="s">
        <v>518</v>
      </c>
      <c r="C2059" s="3" t="s">
        <v>6160</v>
      </c>
      <c r="D2059" s="3" t="s">
        <v>5492</v>
      </c>
      <c r="F2059" s="3" t="s">
        <v>402</v>
      </c>
      <c r="I2059" s="3" t="s">
        <v>4063</v>
      </c>
    </row>
    <row r="2060" spans="2:9" hidden="1" x14ac:dyDescent="0.4">
      <c r="B2060" s="8" t="s">
        <v>518</v>
      </c>
      <c r="C2060" s="3" t="s">
        <v>4256</v>
      </c>
      <c r="D2060" s="3" t="s">
        <v>4048</v>
      </c>
      <c r="F2060" s="3" t="s">
        <v>399</v>
      </c>
      <c r="G2060" s="3" t="s">
        <v>402</v>
      </c>
      <c r="I2060" s="3" t="s">
        <v>4064</v>
      </c>
    </row>
    <row r="2061" spans="2:9" hidden="1" x14ac:dyDescent="0.4">
      <c r="B2061" s="8" t="s">
        <v>518</v>
      </c>
      <c r="C2061" s="3" t="s">
        <v>3562</v>
      </c>
      <c r="D2061" s="3" t="s">
        <v>4048</v>
      </c>
      <c r="F2061" s="3" t="s">
        <v>399</v>
      </c>
      <c r="G2061" s="3" t="s">
        <v>402</v>
      </c>
      <c r="I2061" s="3" t="s">
        <v>4063</v>
      </c>
    </row>
    <row r="2062" spans="2:9" hidden="1" x14ac:dyDescent="0.4">
      <c r="B2062" s="8" t="s">
        <v>518</v>
      </c>
      <c r="C2062" s="3" t="s">
        <v>5871</v>
      </c>
      <c r="D2062" s="3" t="s">
        <v>4968</v>
      </c>
      <c r="F2062" s="3" t="s">
        <v>399</v>
      </c>
      <c r="I2062" s="3" t="s">
        <v>4063</v>
      </c>
    </row>
    <row r="2063" spans="2:9" hidden="1" x14ac:dyDescent="0.4">
      <c r="B2063" s="8" t="s">
        <v>518</v>
      </c>
      <c r="C2063" s="3" t="s">
        <v>6217</v>
      </c>
      <c r="D2063" s="3" t="s">
        <v>5558</v>
      </c>
      <c r="F2063" s="3" t="s">
        <v>402</v>
      </c>
      <c r="I2063" s="3" t="s">
        <v>4063</v>
      </c>
    </row>
    <row r="2064" spans="2:9" hidden="1" x14ac:dyDescent="0.4">
      <c r="B2064" s="8" t="s">
        <v>518</v>
      </c>
      <c r="C2064" s="3" t="s">
        <v>4470</v>
      </c>
      <c r="D2064" s="3" t="s">
        <v>4968</v>
      </c>
      <c r="F2064" s="3" t="s">
        <v>399</v>
      </c>
      <c r="I2064" s="3" t="s">
        <v>4064</v>
      </c>
    </row>
    <row r="2065" spans="2:9" hidden="1" x14ac:dyDescent="0.4">
      <c r="B2065" s="8" t="s">
        <v>518</v>
      </c>
      <c r="C2065" s="3" t="s">
        <v>5236</v>
      </c>
      <c r="D2065" s="3" t="s">
        <v>5558</v>
      </c>
      <c r="F2065" s="3" t="s">
        <v>402</v>
      </c>
      <c r="I2065" s="3" t="s">
        <v>4064</v>
      </c>
    </row>
    <row r="2066" spans="2:9" hidden="1" x14ac:dyDescent="0.4">
      <c r="B2066" s="8" t="s">
        <v>518</v>
      </c>
      <c r="C2066" s="3" t="s">
        <v>3434</v>
      </c>
      <c r="D2066" s="3" t="s">
        <v>3742</v>
      </c>
      <c r="F2066" s="3" t="s">
        <v>399</v>
      </c>
      <c r="G2066" s="3" t="s">
        <v>402</v>
      </c>
      <c r="I2066" s="3" t="s">
        <v>4064</v>
      </c>
    </row>
    <row r="2067" spans="2:9" hidden="1" x14ac:dyDescent="0.4">
      <c r="B2067" s="8" t="s">
        <v>518</v>
      </c>
      <c r="C2067" s="3" t="s">
        <v>4627</v>
      </c>
      <c r="D2067" s="3" t="s">
        <v>4755</v>
      </c>
      <c r="F2067" s="3" t="s">
        <v>399</v>
      </c>
      <c r="I2067" s="3" t="s">
        <v>4064</v>
      </c>
    </row>
    <row r="2068" spans="2:9" hidden="1" x14ac:dyDescent="0.4">
      <c r="B2068" s="8" t="s">
        <v>518</v>
      </c>
      <c r="C2068" s="3" t="s">
        <v>5109</v>
      </c>
      <c r="D2068" s="3" t="s">
        <v>5432</v>
      </c>
      <c r="F2068" s="3" t="s">
        <v>402</v>
      </c>
      <c r="I2068" s="3" t="s">
        <v>4064</v>
      </c>
    </row>
    <row r="2069" spans="2:9" hidden="1" x14ac:dyDescent="0.4">
      <c r="B2069" s="8" t="s">
        <v>518</v>
      </c>
      <c r="C2069" s="3" t="s">
        <v>3435</v>
      </c>
      <c r="D2069" s="3" t="s">
        <v>3742</v>
      </c>
      <c r="F2069" s="3" t="s">
        <v>399</v>
      </c>
      <c r="G2069" s="3" t="s">
        <v>402</v>
      </c>
      <c r="I2069" s="3" t="s">
        <v>4063</v>
      </c>
    </row>
    <row r="2070" spans="2:9" hidden="1" x14ac:dyDescent="0.4">
      <c r="B2070" s="8" t="s">
        <v>518</v>
      </c>
      <c r="C2070" s="3" t="s">
        <v>5766</v>
      </c>
      <c r="D2070" s="3" t="s">
        <v>4755</v>
      </c>
      <c r="F2070" s="3" t="s">
        <v>399</v>
      </c>
      <c r="I2070" s="3" t="s">
        <v>4063</v>
      </c>
    </row>
    <row r="2071" spans="2:9" hidden="1" x14ac:dyDescent="0.4">
      <c r="B2071" s="8" t="s">
        <v>518</v>
      </c>
      <c r="C2071" s="3" t="s">
        <v>6108</v>
      </c>
      <c r="D2071" s="3" t="s">
        <v>5432</v>
      </c>
      <c r="F2071" s="3" t="s">
        <v>402</v>
      </c>
      <c r="I2071" s="3" t="s">
        <v>4063</v>
      </c>
    </row>
    <row r="2072" spans="2:9" hidden="1" x14ac:dyDescent="0.4">
      <c r="B2072" s="8" t="s">
        <v>517</v>
      </c>
      <c r="C2072" s="3" t="s">
        <v>1802</v>
      </c>
      <c r="D2072" s="3" t="s">
        <v>1871</v>
      </c>
      <c r="E2072" s="3" t="s">
        <v>432</v>
      </c>
      <c r="F2072" s="3" t="s">
        <v>399</v>
      </c>
      <c r="I2072" s="3" t="s">
        <v>1865</v>
      </c>
    </row>
    <row r="2073" spans="2:9" hidden="1" x14ac:dyDescent="0.4">
      <c r="B2073" s="8" t="s">
        <v>517</v>
      </c>
      <c r="C2073" s="3" t="s">
        <v>3738</v>
      </c>
      <c r="D2073" s="3" t="s">
        <v>3942</v>
      </c>
      <c r="F2073" s="3" t="s">
        <v>399</v>
      </c>
      <c r="G2073" s="3" t="s">
        <v>402</v>
      </c>
      <c r="I2073" s="3" t="s">
        <v>4063</v>
      </c>
    </row>
    <row r="2074" spans="2:9" hidden="1" x14ac:dyDescent="0.4">
      <c r="B2074" s="8" t="s">
        <v>517</v>
      </c>
      <c r="C2074" s="3" t="s">
        <v>3738</v>
      </c>
      <c r="D2074" s="3" t="s">
        <v>3942</v>
      </c>
      <c r="F2074" s="3" t="s">
        <v>399</v>
      </c>
      <c r="G2074" s="3" t="s">
        <v>402</v>
      </c>
      <c r="I2074" s="3" t="s">
        <v>4064</v>
      </c>
    </row>
    <row r="2075" spans="2:9" hidden="1" x14ac:dyDescent="0.4">
      <c r="B2075" s="8" t="s">
        <v>517</v>
      </c>
      <c r="C2075" s="3" t="s">
        <v>6012</v>
      </c>
      <c r="D2075" s="3" t="s">
        <v>4937</v>
      </c>
      <c r="F2075" s="3" t="s">
        <v>399</v>
      </c>
      <c r="I2075" s="3" t="s">
        <v>4063</v>
      </c>
    </row>
    <row r="2076" spans="2:9" hidden="1" x14ac:dyDescent="0.4">
      <c r="B2076" s="8" t="s">
        <v>517</v>
      </c>
      <c r="C2076" s="3" t="s">
        <v>6361</v>
      </c>
      <c r="D2076" s="3" t="s">
        <v>5650</v>
      </c>
      <c r="F2076" s="3" t="s">
        <v>402</v>
      </c>
      <c r="I2076" s="3" t="s">
        <v>4063</v>
      </c>
    </row>
    <row r="2077" spans="2:9" hidden="1" x14ac:dyDescent="0.4">
      <c r="B2077" s="8" t="s">
        <v>517</v>
      </c>
      <c r="C2077" s="3" t="s">
        <v>4525</v>
      </c>
      <c r="D2077" s="3" t="s">
        <v>4937</v>
      </c>
      <c r="F2077" s="3" t="s">
        <v>399</v>
      </c>
      <c r="I2077" s="3" t="s">
        <v>4064</v>
      </c>
    </row>
    <row r="2078" spans="2:9" hidden="1" x14ac:dyDescent="0.4">
      <c r="B2078" s="8" t="s">
        <v>517</v>
      </c>
      <c r="C2078" s="3" t="s">
        <v>5331</v>
      </c>
      <c r="D2078" s="3" t="s">
        <v>5650</v>
      </c>
      <c r="F2078" s="3" t="s">
        <v>402</v>
      </c>
      <c r="I2078" s="3" t="s">
        <v>4064</v>
      </c>
    </row>
    <row r="2079" spans="2:9" hidden="1" x14ac:dyDescent="0.4">
      <c r="B2079" s="8" t="s">
        <v>517</v>
      </c>
      <c r="C2079" s="3" t="s">
        <v>3552</v>
      </c>
      <c r="D2079" s="3" t="s">
        <v>3859</v>
      </c>
      <c r="F2079" s="3" t="s">
        <v>399</v>
      </c>
      <c r="G2079" s="3" t="s">
        <v>402</v>
      </c>
      <c r="I2079" s="3" t="s">
        <v>4063</v>
      </c>
    </row>
    <row r="2080" spans="2:9" hidden="1" x14ac:dyDescent="0.4">
      <c r="B2080" s="8" t="s">
        <v>517</v>
      </c>
      <c r="C2080" s="3" t="s">
        <v>5862</v>
      </c>
      <c r="D2080" s="3" t="s">
        <v>4823</v>
      </c>
      <c r="F2080" s="3" t="s">
        <v>399</v>
      </c>
      <c r="I2080" s="3" t="s">
        <v>4063</v>
      </c>
    </row>
    <row r="2081" spans="2:9" hidden="1" x14ac:dyDescent="0.4">
      <c r="B2081" s="8" t="s">
        <v>517</v>
      </c>
      <c r="C2081" s="3" t="s">
        <v>6207</v>
      </c>
      <c r="D2081" s="3" t="s">
        <v>5548</v>
      </c>
      <c r="F2081" s="3" t="s">
        <v>402</v>
      </c>
      <c r="I2081" s="3" t="s">
        <v>4063</v>
      </c>
    </row>
    <row r="2082" spans="2:9" hidden="1" x14ac:dyDescent="0.4">
      <c r="B2082" s="8" t="s">
        <v>517</v>
      </c>
      <c r="C2082" s="3" t="s">
        <v>4245</v>
      </c>
      <c r="D2082" s="3" t="s">
        <v>3859</v>
      </c>
      <c r="F2082" s="3" t="s">
        <v>399</v>
      </c>
      <c r="G2082" s="3" t="s">
        <v>402</v>
      </c>
      <c r="I2082" s="3" t="s">
        <v>4064</v>
      </c>
    </row>
    <row r="2083" spans="2:9" hidden="1" x14ac:dyDescent="0.4">
      <c r="B2083" s="8" t="s">
        <v>517</v>
      </c>
      <c r="C2083" s="3" t="s">
        <v>4468</v>
      </c>
      <c r="D2083" s="3" t="s">
        <v>4823</v>
      </c>
      <c r="F2083" s="3" t="s">
        <v>399</v>
      </c>
      <c r="I2083" s="3" t="s">
        <v>4064</v>
      </c>
    </row>
    <row r="2084" spans="2:9" hidden="1" x14ac:dyDescent="0.4">
      <c r="B2084" s="8" t="s">
        <v>517</v>
      </c>
      <c r="C2084" s="3" t="s">
        <v>5226</v>
      </c>
      <c r="D2084" s="3" t="s">
        <v>5548</v>
      </c>
      <c r="F2084" s="3" t="s">
        <v>402</v>
      </c>
      <c r="I2084" s="3" t="s">
        <v>4064</v>
      </c>
    </row>
    <row r="2085" spans="2:9" hidden="1" x14ac:dyDescent="0.4">
      <c r="B2085" s="8" t="s">
        <v>517</v>
      </c>
      <c r="C2085" s="3" t="s">
        <v>1324</v>
      </c>
      <c r="D2085" s="3" t="s">
        <v>1338</v>
      </c>
      <c r="E2085" s="3" t="s">
        <v>1272</v>
      </c>
      <c r="F2085" s="3" t="s">
        <v>399</v>
      </c>
      <c r="I2085" s="3" t="s">
        <v>1317</v>
      </c>
    </row>
    <row r="2086" spans="2:9" hidden="1" x14ac:dyDescent="0.4">
      <c r="B2086" s="8" t="s">
        <v>517</v>
      </c>
      <c r="C2086" s="3" t="s">
        <v>1356</v>
      </c>
      <c r="D2086" s="3" t="s">
        <v>1338</v>
      </c>
      <c r="E2086" s="3" t="s">
        <v>1272</v>
      </c>
      <c r="F2086" s="3" t="s">
        <v>402</v>
      </c>
      <c r="I2086" s="3" t="s">
        <v>1317</v>
      </c>
    </row>
    <row r="2087" spans="2:9" hidden="1" x14ac:dyDescent="0.4">
      <c r="B2087" s="8" t="s">
        <v>517</v>
      </c>
      <c r="C2087" s="3" t="s">
        <v>2871</v>
      </c>
      <c r="D2087" s="3" t="s">
        <v>3115</v>
      </c>
      <c r="E2087" s="3">
        <v>1</v>
      </c>
      <c r="F2087" s="3" t="s">
        <v>402</v>
      </c>
      <c r="G2087" s="3" t="s">
        <v>988</v>
      </c>
      <c r="H2087" s="3" t="s">
        <v>399</v>
      </c>
      <c r="I2087" s="3" t="s">
        <v>245</v>
      </c>
    </row>
    <row r="2088" spans="2:9" hidden="1" x14ac:dyDescent="0.4">
      <c r="B2088" s="8" t="s">
        <v>1003</v>
      </c>
      <c r="C2088" s="3" t="s">
        <v>1241</v>
      </c>
      <c r="D2088" s="3" t="s">
        <v>1254</v>
      </c>
      <c r="F2088" s="3" t="s">
        <v>399</v>
      </c>
      <c r="I2088" s="3" t="s">
        <v>987</v>
      </c>
    </row>
    <row r="2089" spans="2:9" hidden="1" x14ac:dyDescent="0.4">
      <c r="B2089" s="8" t="s">
        <v>1003</v>
      </c>
      <c r="C2089" s="3" t="s">
        <v>1242</v>
      </c>
      <c r="D2089" s="3" t="s">
        <v>1255</v>
      </c>
      <c r="F2089" s="3" t="s">
        <v>399</v>
      </c>
      <c r="I2089" s="3" t="s">
        <v>987</v>
      </c>
    </row>
    <row r="2090" spans="2:9" hidden="1" x14ac:dyDescent="0.4">
      <c r="B2090" s="8" t="s">
        <v>1003</v>
      </c>
      <c r="C2090" s="3" t="s">
        <v>1240</v>
      </c>
      <c r="D2090" s="3" t="s">
        <v>1253</v>
      </c>
      <c r="F2090" s="3" t="s">
        <v>399</v>
      </c>
      <c r="I2090" s="3" t="s">
        <v>987</v>
      </c>
    </row>
    <row r="2091" spans="2:9" hidden="1" x14ac:dyDescent="0.4">
      <c r="B2091" s="8" t="s">
        <v>1003</v>
      </c>
      <c r="C2091" s="3" t="s">
        <v>1243</v>
      </c>
      <c r="D2091" s="3" t="s">
        <v>1256</v>
      </c>
      <c r="F2091" s="3" t="s">
        <v>399</v>
      </c>
      <c r="I2091" s="3" t="s">
        <v>987</v>
      </c>
    </row>
    <row r="2092" spans="2:9" hidden="1" x14ac:dyDescent="0.4">
      <c r="B2092" s="8" t="s">
        <v>518</v>
      </c>
      <c r="C2092" s="3" t="s">
        <v>4663</v>
      </c>
      <c r="D2092" s="3" t="s">
        <v>4790</v>
      </c>
      <c r="F2092" s="3" t="s">
        <v>399</v>
      </c>
      <c r="I2092" s="3" t="s">
        <v>4064</v>
      </c>
    </row>
    <row r="2093" spans="2:9" hidden="1" x14ac:dyDescent="0.4">
      <c r="B2093" s="8" t="s">
        <v>518</v>
      </c>
      <c r="C2093" s="3" t="s">
        <v>5191</v>
      </c>
      <c r="D2093" s="3" t="s">
        <v>5512</v>
      </c>
      <c r="F2093" s="3" t="s">
        <v>402</v>
      </c>
      <c r="I2093" s="3" t="s">
        <v>4064</v>
      </c>
    </row>
    <row r="2094" spans="2:9" hidden="1" x14ac:dyDescent="0.4">
      <c r="B2094" s="8" t="s">
        <v>518</v>
      </c>
      <c r="C2094" s="3" t="s">
        <v>3519</v>
      </c>
      <c r="D2094" s="3" t="s">
        <v>3822</v>
      </c>
      <c r="F2094" s="3" t="s">
        <v>399</v>
      </c>
      <c r="G2094" s="3" t="s">
        <v>402</v>
      </c>
      <c r="I2094" s="3" t="s">
        <v>4063</v>
      </c>
    </row>
    <row r="2095" spans="2:9" hidden="1" x14ac:dyDescent="0.4">
      <c r="B2095" s="8" t="s">
        <v>518</v>
      </c>
      <c r="C2095" s="3" t="s">
        <v>3519</v>
      </c>
      <c r="D2095" s="3" t="s">
        <v>3822</v>
      </c>
      <c r="F2095" s="3" t="s">
        <v>399</v>
      </c>
      <c r="G2095" s="3" t="s">
        <v>402</v>
      </c>
      <c r="I2095" s="3" t="s">
        <v>4064</v>
      </c>
    </row>
    <row r="2096" spans="2:9" hidden="1" x14ac:dyDescent="0.4">
      <c r="B2096" s="8" t="s">
        <v>518</v>
      </c>
      <c r="C2096" s="3" t="s">
        <v>5999</v>
      </c>
      <c r="D2096" s="3" t="s">
        <v>4790</v>
      </c>
      <c r="F2096" s="3" t="s">
        <v>399</v>
      </c>
      <c r="I2096" s="3" t="s">
        <v>4063</v>
      </c>
    </row>
    <row r="2097" spans="2:9" hidden="1" x14ac:dyDescent="0.4">
      <c r="B2097" s="8" t="s">
        <v>518</v>
      </c>
      <c r="C2097" s="3" t="s">
        <v>6348</v>
      </c>
      <c r="D2097" s="3" t="s">
        <v>5512</v>
      </c>
      <c r="F2097" s="3" t="s">
        <v>402</v>
      </c>
      <c r="I2097" s="3" t="s">
        <v>4063</v>
      </c>
    </row>
    <row r="2098" spans="2:9" hidden="1" x14ac:dyDescent="0.4">
      <c r="B2098" s="8" t="s">
        <v>517</v>
      </c>
      <c r="C2098" s="3" t="s">
        <v>760</v>
      </c>
      <c r="D2098" s="3" t="s">
        <v>775</v>
      </c>
      <c r="E2098" s="3" t="s">
        <v>425</v>
      </c>
      <c r="F2098" s="3" t="s">
        <v>399</v>
      </c>
      <c r="G2098" s="3" t="s">
        <v>402</v>
      </c>
      <c r="I2098" s="3" t="s">
        <v>781</v>
      </c>
    </row>
    <row r="2099" spans="2:9" hidden="1" x14ac:dyDescent="0.4">
      <c r="B2099" s="8" t="s">
        <v>517</v>
      </c>
      <c r="C2099" s="3" t="s">
        <v>785</v>
      </c>
      <c r="D2099" s="3" t="s">
        <v>775</v>
      </c>
      <c r="E2099" s="3" t="s">
        <v>425</v>
      </c>
      <c r="F2099" s="3" t="s">
        <v>402</v>
      </c>
      <c r="I2099" s="3" t="s">
        <v>781</v>
      </c>
    </row>
    <row r="2100" spans="2:9" hidden="1" x14ac:dyDescent="0.4">
      <c r="B2100" s="8" t="s">
        <v>520</v>
      </c>
      <c r="C2100" s="8" t="s">
        <v>828</v>
      </c>
      <c r="D2100" s="3" t="s">
        <v>812</v>
      </c>
      <c r="F2100" s="3" t="s">
        <v>399</v>
      </c>
      <c r="I2100" s="3" t="s">
        <v>824</v>
      </c>
    </row>
    <row r="2101" spans="2:9" hidden="1" x14ac:dyDescent="0.4">
      <c r="B2101" s="8" t="s">
        <v>520</v>
      </c>
      <c r="C2101" s="8" t="s">
        <v>925</v>
      </c>
      <c r="D2101" s="3" t="s">
        <v>812</v>
      </c>
      <c r="F2101" s="3" t="s">
        <v>402</v>
      </c>
      <c r="I2101" s="3" t="s">
        <v>824</v>
      </c>
    </row>
    <row r="2102" spans="2:9" hidden="1" x14ac:dyDescent="0.4">
      <c r="B2102" s="8" t="s">
        <v>516</v>
      </c>
      <c r="C2102" s="3" t="s">
        <v>4127</v>
      </c>
      <c r="D2102" s="3" t="s">
        <v>3723</v>
      </c>
      <c r="F2102" s="3" t="s">
        <v>399</v>
      </c>
      <c r="G2102" s="3" t="s">
        <v>402</v>
      </c>
      <c r="I2102" s="3" t="s">
        <v>4064</v>
      </c>
    </row>
    <row r="2103" spans="2:9" hidden="1" x14ac:dyDescent="0.4">
      <c r="B2103" s="8" t="s">
        <v>516</v>
      </c>
      <c r="C2103" s="3" t="s">
        <v>4395</v>
      </c>
      <c r="D2103" s="3" t="s">
        <v>4876</v>
      </c>
      <c r="F2103" s="3" t="s">
        <v>399</v>
      </c>
      <c r="I2103" s="3" t="s">
        <v>4064</v>
      </c>
    </row>
    <row r="2104" spans="2:9" hidden="1" x14ac:dyDescent="0.4">
      <c r="B2104" s="8" t="s">
        <v>516</v>
      </c>
      <c r="C2104" s="3" t="s">
        <v>5089</v>
      </c>
      <c r="D2104" s="3" t="s">
        <v>5412</v>
      </c>
      <c r="F2104" s="3" t="s">
        <v>402</v>
      </c>
      <c r="I2104" s="3" t="s">
        <v>4064</v>
      </c>
    </row>
    <row r="2105" spans="2:9" hidden="1" x14ac:dyDescent="0.4">
      <c r="B2105" s="8" t="s">
        <v>517</v>
      </c>
      <c r="C2105" s="3" t="s">
        <v>4297</v>
      </c>
      <c r="D2105" s="3" t="s">
        <v>3910</v>
      </c>
      <c r="F2105" s="3" t="s">
        <v>399</v>
      </c>
      <c r="G2105" s="3" t="s">
        <v>402</v>
      </c>
      <c r="I2105" s="3" t="s">
        <v>4064</v>
      </c>
    </row>
    <row r="2106" spans="2:9" hidden="1" x14ac:dyDescent="0.4">
      <c r="B2106" s="8" t="s">
        <v>517</v>
      </c>
      <c r="C2106" s="3" t="s">
        <v>4502</v>
      </c>
      <c r="D2106" s="3" t="s">
        <v>4927</v>
      </c>
      <c r="F2106" s="3" t="s">
        <v>399</v>
      </c>
      <c r="I2106" s="3" t="s">
        <v>4064</v>
      </c>
    </row>
    <row r="2107" spans="2:9" hidden="1" x14ac:dyDescent="0.4">
      <c r="B2107" s="8" t="s">
        <v>517</v>
      </c>
      <c r="C2107" s="3" t="s">
        <v>5295</v>
      </c>
      <c r="D2107" s="3" t="s">
        <v>5615</v>
      </c>
      <c r="F2107" s="3" t="s">
        <v>402</v>
      </c>
      <c r="I2107" s="3" t="s">
        <v>4064</v>
      </c>
    </row>
    <row r="2108" spans="2:9" hidden="1" x14ac:dyDescent="0.4">
      <c r="B2108" s="8" t="s">
        <v>517</v>
      </c>
      <c r="C2108" s="3" t="s">
        <v>3616</v>
      </c>
      <c r="D2108" s="3" t="s">
        <v>3910</v>
      </c>
      <c r="F2108" s="3" t="s">
        <v>399</v>
      </c>
      <c r="G2108" s="3" t="s">
        <v>402</v>
      </c>
      <c r="I2108" s="3" t="s">
        <v>4063</v>
      </c>
    </row>
    <row r="2109" spans="2:9" hidden="1" x14ac:dyDescent="0.4">
      <c r="B2109" s="8" t="s">
        <v>517</v>
      </c>
      <c r="C2109" s="3" t="s">
        <v>5922</v>
      </c>
      <c r="D2109" s="3" t="s">
        <v>4927</v>
      </c>
      <c r="F2109" s="3" t="s">
        <v>399</v>
      </c>
      <c r="I2109" s="3" t="s">
        <v>4063</v>
      </c>
    </row>
    <row r="2110" spans="2:9" hidden="1" x14ac:dyDescent="0.4">
      <c r="B2110" s="8" t="s">
        <v>517</v>
      </c>
      <c r="C2110" s="3" t="s">
        <v>6268</v>
      </c>
      <c r="D2110" s="3" t="s">
        <v>5615</v>
      </c>
      <c r="F2110" s="3" t="s">
        <v>402</v>
      </c>
      <c r="I2110" s="3" t="s">
        <v>4063</v>
      </c>
    </row>
    <row r="2111" spans="2:9" hidden="1" x14ac:dyDescent="0.4">
      <c r="B2111" s="8" t="s">
        <v>529</v>
      </c>
      <c r="C2111" s="3" t="s">
        <v>2106</v>
      </c>
      <c r="D2111" s="3" t="s">
        <v>2107</v>
      </c>
      <c r="E2111" s="3" t="s">
        <v>1272</v>
      </c>
      <c r="F2111" s="3" t="s">
        <v>399</v>
      </c>
      <c r="G2111" s="3" t="s">
        <v>402</v>
      </c>
      <c r="I2111" s="3" t="s">
        <v>1700</v>
      </c>
    </row>
    <row r="2112" spans="2:9" hidden="1" x14ac:dyDescent="0.4">
      <c r="B2112" s="8" t="s">
        <v>529</v>
      </c>
      <c r="C2112" s="3" t="s">
        <v>2106</v>
      </c>
      <c r="D2112" s="3" t="s">
        <v>2109</v>
      </c>
      <c r="E2112" s="3" t="s">
        <v>1272</v>
      </c>
      <c r="F2112" s="3" t="s">
        <v>399</v>
      </c>
      <c r="G2112" s="3" t="s">
        <v>402</v>
      </c>
      <c r="I2112" s="3" t="s">
        <v>1700</v>
      </c>
    </row>
    <row r="2113" spans="2:9" hidden="1" x14ac:dyDescent="0.4">
      <c r="B2113" s="8" t="s">
        <v>529</v>
      </c>
      <c r="C2113" s="3" t="s">
        <v>2110</v>
      </c>
      <c r="D2113" s="3" t="s">
        <v>2107</v>
      </c>
      <c r="E2113" s="3" t="s">
        <v>1272</v>
      </c>
      <c r="F2113" s="3" t="s">
        <v>402</v>
      </c>
      <c r="I2113" s="3" t="s">
        <v>1700</v>
      </c>
    </row>
    <row r="2114" spans="2:9" hidden="1" x14ac:dyDescent="0.4">
      <c r="B2114" s="8" t="s">
        <v>529</v>
      </c>
      <c r="C2114" s="3" t="s">
        <v>2110</v>
      </c>
      <c r="D2114" s="3" t="s">
        <v>2109</v>
      </c>
      <c r="E2114" s="3" t="s">
        <v>1272</v>
      </c>
      <c r="F2114" s="3" t="s">
        <v>402</v>
      </c>
      <c r="I2114" s="3" t="s">
        <v>1700</v>
      </c>
    </row>
    <row r="2115" spans="2:9" hidden="1" x14ac:dyDescent="0.4">
      <c r="B2115" s="8" t="s">
        <v>529</v>
      </c>
      <c r="C2115" s="3" t="s">
        <v>1761</v>
      </c>
      <c r="D2115" s="3" t="s">
        <v>1834</v>
      </c>
      <c r="F2115" s="3" t="s">
        <v>399</v>
      </c>
      <c r="I2115" s="3" t="s">
        <v>1335</v>
      </c>
    </row>
    <row r="2116" spans="2:9" hidden="1" x14ac:dyDescent="0.4">
      <c r="B2116" s="8" t="s">
        <v>529</v>
      </c>
      <c r="C2116" s="3" t="s">
        <v>2112</v>
      </c>
      <c r="D2116" s="3" t="s">
        <v>2114</v>
      </c>
      <c r="E2116" s="3" t="s">
        <v>1272</v>
      </c>
      <c r="F2116" s="3" t="s">
        <v>399</v>
      </c>
      <c r="G2116" s="3" t="s">
        <v>402</v>
      </c>
      <c r="I2116" s="3" t="s">
        <v>1700</v>
      </c>
    </row>
    <row r="2117" spans="2:9" hidden="1" x14ac:dyDescent="0.4">
      <c r="B2117" s="8" t="s">
        <v>529</v>
      </c>
      <c r="C2117" s="3" t="s">
        <v>2112</v>
      </c>
      <c r="D2117" s="3" t="s">
        <v>2115</v>
      </c>
      <c r="E2117" s="3" t="s">
        <v>1272</v>
      </c>
      <c r="F2117" s="3" t="s">
        <v>399</v>
      </c>
      <c r="G2117" s="3" t="s">
        <v>402</v>
      </c>
      <c r="I2117" s="3" t="s">
        <v>1700</v>
      </c>
    </row>
    <row r="2118" spans="2:9" hidden="1" x14ac:dyDescent="0.4">
      <c r="B2118" s="8" t="s">
        <v>529</v>
      </c>
      <c r="C2118" s="3" t="s">
        <v>2116</v>
      </c>
      <c r="D2118" s="3" t="s">
        <v>2114</v>
      </c>
      <c r="E2118" s="3" t="s">
        <v>1272</v>
      </c>
      <c r="F2118" s="3" t="s">
        <v>402</v>
      </c>
      <c r="I2118" s="3" t="s">
        <v>1700</v>
      </c>
    </row>
    <row r="2119" spans="2:9" hidden="1" x14ac:dyDescent="0.4">
      <c r="B2119" s="8" t="s">
        <v>529</v>
      </c>
      <c r="C2119" s="3" t="s">
        <v>2116</v>
      </c>
      <c r="D2119" s="3" t="s">
        <v>2115</v>
      </c>
      <c r="E2119" s="3" t="s">
        <v>1272</v>
      </c>
      <c r="F2119" s="3" t="s">
        <v>402</v>
      </c>
      <c r="I2119" s="3" t="s">
        <v>1700</v>
      </c>
    </row>
    <row r="2120" spans="2:9" hidden="1" x14ac:dyDescent="0.4">
      <c r="B2120" s="8" t="s">
        <v>517</v>
      </c>
      <c r="C2120" s="3" t="s">
        <v>482</v>
      </c>
      <c r="D2120" s="3" t="s">
        <v>677</v>
      </c>
      <c r="F2120" s="3" t="s">
        <v>399</v>
      </c>
      <c r="I2120" s="3" t="s">
        <v>510</v>
      </c>
    </row>
    <row r="2121" spans="2:9" hidden="1" x14ac:dyDescent="0.4">
      <c r="B2121" s="8" t="s">
        <v>517</v>
      </c>
      <c r="C2121" s="3" t="s">
        <v>503</v>
      </c>
      <c r="D2121" s="3" t="s">
        <v>673</v>
      </c>
      <c r="F2121" s="3" t="s">
        <v>522</v>
      </c>
      <c r="I2121" s="3" t="s">
        <v>510</v>
      </c>
    </row>
    <row r="2122" spans="2:9" hidden="1" x14ac:dyDescent="0.4">
      <c r="B2122" s="8" t="s">
        <v>517</v>
      </c>
      <c r="C2122" s="3" t="s">
        <v>694</v>
      </c>
      <c r="D2122" s="3" t="s">
        <v>673</v>
      </c>
      <c r="F2122" s="3" t="s">
        <v>684</v>
      </c>
      <c r="I2122" s="3" t="s">
        <v>510</v>
      </c>
    </row>
    <row r="2123" spans="2:9" hidden="1" x14ac:dyDescent="0.4">
      <c r="B2123" s="8" t="s">
        <v>517</v>
      </c>
      <c r="C2123" s="3" t="s">
        <v>693</v>
      </c>
      <c r="D2123" s="3" t="s">
        <v>677</v>
      </c>
      <c r="F2123" s="3" t="s">
        <v>684</v>
      </c>
      <c r="I2123" s="3" t="s">
        <v>510</v>
      </c>
    </row>
    <row r="2124" spans="2:9" hidden="1" x14ac:dyDescent="0.4">
      <c r="B2124" s="8" t="s">
        <v>518</v>
      </c>
      <c r="C2124" s="3" t="s">
        <v>3603</v>
      </c>
      <c r="D2124" s="3" t="s">
        <v>4046</v>
      </c>
      <c r="F2124" s="3" t="s">
        <v>399</v>
      </c>
      <c r="G2124" s="3" t="s">
        <v>402</v>
      </c>
      <c r="I2124" s="3" t="s">
        <v>4063</v>
      </c>
    </row>
    <row r="2125" spans="2:9" hidden="1" x14ac:dyDescent="0.4">
      <c r="B2125" s="8" t="s">
        <v>518</v>
      </c>
      <c r="C2125" s="3" t="s">
        <v>3603</v>
      </c>
      <c r="D2125" s="3" t="s">
        <v>4046</v>
      </c>
      <c r="F2125" s="3" t="s">
        <v>399</v>
      </c>
      <c r="G2125" s="3" t="s">
        <v>402</v>
      </c>
      <c r="I2125" s="3" t="s">
        <v>4064</v>
      </c>
    </row>
    <row r="2126" spans="2:9" hidden="1" x14ac:dyDescent="0.4">
      <c r="B2126" s="8" t="s">
        <v>518</v>
      </c>
      <c r="C2126" s="3" t="s">
        <v>5904</v>
      </c>
      <c r="D2126" s="3" t="s">
        <v>4990</v>
      </c>
      <c r="F2126" s="3" t="s">
        <v>399</v>
      </c>
      <c r="I2126" s="3" t="s">
        <v>4063</v>
      </c>
    </row>
    <row r="2127" spans="2:9" hidden="1" x14ac:dyDescent="0.4">
      <c r="B2127" s="8" t="s">
        <v>518</v>
      </c>
      <c r="C2127" s="3" t="s">
        <v>6250</v>
      </c>
      <c r="D2127" s="3" t="s">
        <v>5597</v>
      </c>
      <c r="F2127" s="3" t="s">
        <v>402</v>
      </c>
      <c r="I2127" s="3" t="s">
        <v>4063</v>
      </c>
    </row>
    <row r="2128" spans="2:9" hidden="1" x14ac:dyDescent="0.4">
      <c r="B2128" s="8" t="s">
        <v>518</v>
      </c>
      <c r="C2128" s="3" t="s">
        <v>4589</v>
      </c>
      <c r="D2128" s="3" t="s">
        <v>4990</v>
      </c>
      <c r="F2128" s="3" t="s">
        <v>399</v>
      </c>
      <c r="I2128" s="3" t="s">
        <v>4064</v>
      </c>
    </row>
    <row r="2129" spans="2:9" hidden="1" x14ac:dyDescent="0.4">
      <c r="B2129" s="8" t="s">
        <v>518</v>
      </c>
      <c r="C2129" s="3" t="s">
        <v>5277</v>
      </c>
      <c r="D2129" s="3" t="s">
        <v>5597</v>
      </c>
      <c r="F2129" s="3" t="s">
        <v>402</v>
      </c>
      <c r="I2129" s="3" t="s">
        <v>4064</v>
      </c>
    </row>
    <row r="2130" spans="2:9" hidden="1" x14ac:dyDescent="0.4">
      <c r="B2130" s="8" t="s">
        <v>518</v>
      </c>
      <c r="C2130" s="3" t="s">
        <v>3561</v>
      </c>
      <c r="D2130" s="3" t="s">
        <v>3869</v>
      </c>
      <c r="F2130" s="3" t="s">
        <v>399</v>
      </c>
      <c r="G2130" s="3" t="s">
        <v>402</v>
      </c>
      <c r="I2130" s="3" t="s">
        <v>4063</v>
      </c>
    </row>
    <row r="2131" spans="2:9" hidden="1" x14ac:dyDescent="0.4">
      <c r="B2131" s="8" t="s">
        <v>518</v>
      </c>
      <c r="C2131" s="3" t="s">
        <v>3561</v>
      </c>
      <c r="D2131" s="3" t="s">
        <v>3869</v>
      </c>
      <c r="F2131" s="3" t="s">
        <v>399</v>
      </c>
      <c r="G2131" s="3" t="s">
        <v>402</v>
      </c>
      <c r="I2131" s="3" t="s">
        <v>4064</v>
      </c>
    </row>
    <row r="2132" spans="2:9" hidden="1" x14ac:dyDescent="0.4">
      <c r="B2132" s="8" t="s">
        <v>518</v>
      </c>
      <c r="C2132" s="3" t="s">
        <v>5870</v>
      </c>
      <c r="D2132" s="3" t="s">
        <v>4829</v>
      </c>
      <c r="F2132" s="3" t="s">
        <v>399</v>
      </c>
      <c r="I2132" s="3" t="s">
        <v>4063</v>
      </c>
    </row>
    <row r="2133" spans="2:9" hidden="1" x14ac:dyDescent="0.4">
      <c r="B2133" s="8" t="s">
        <v>518</v>
      </c>
      <c r="C2133" s="3" t="s">
        <v>6216</v>
      </c>
      <c r="D2133" s="3" t="s">
        <v>5557</v>
      </c>
      <c r="F2133" s="3" t="s">
        <v>402</v>
      </c>
      <c r="I2133" s="3" t="s">
        <v>4063</v>
      </c>
    </row>
    <row r="2134" spans="2:9" hidden="1" x14ac:dyDescent="0.4">
      <c r="B2134" s="8" t="s">
        <v>518</v>
      </c>
      <c r="C2134" s="3" t="s">
        <v>4581</v>
      </c>
      <c r="D2134" s="3" t="s">
        <v>4829</v>
      </c>
      <c r="F2134" s="3" t="s">
        <v>399</v>
      </c>
      <c r="I2134" s="3" t="s">
        <v>4064</v>
      </c>
    </row>
    <row r="2135" spans="2:9" hidden="1" x14ac:dyDescent="0.4">
      <c r="B2135" s="8" t="s">
        <v>518</v>
      </c>
      <c r="C2135" s="3" t="s">
        <v>5235</v>
      </c>
      <c r="D2135" s="3" t="s">
        <v>5557</v>
      </c>
      <c r="F2135" s="3" t="s">
        <v>402</v>
      </c>
      <c r="I2135" s="3" t="s">
        <v>4064</v>
      </c>
    </row>
    <row r="2136" spans="2:9" hidden="1" x14ac:dyDescent="0.4">
      <c r="B2136" s="8" t="s">
        <v>517</v>
      </c>
      <c r="C2136" s="3" t="s">
        <v>3644</v>
      </c>
      <c r="D2136" s="3" t="s">
        <v>3936</v>
      </c>
      <c r="F2136" s="3" t="s">
        <v>399</v>
      </c>
      <c r="G2136" s="3" t="s">
        <v>402</v>
      </c>
      <c r="I2136" s="3" t="s">
        <v>4063</v>
      </c>
    </row>
    <row r="2137" spans="2:9" hidden="1" x14ac:dyDescent="0.4">
      <c r="B2137" s="8" t="s">
        <v>517</v>
      </c>
      <c r="C2137" s="3" t="s">
        <v>3644</v>
      </c>
      <c r="D2137" s="3" t="s">
        <v>3936</v>
      </c>
      <c r="F2137" s="3" t="s">
        <v>399</v>
      </c>
      <c r="G2137" s="3" t="s">
        <v>402</v>
      </c>
      <c r="I2137" s="3" t="s">
        <v>4064</v>
      </c>
    </row>
    <row r="2138" spans="2:9" hidden="1" x14ac:dyDescent="0.4">
      <c r="B2138" s="8" t="s">
        <v>517</v>
      </c>
      <c r="C2138" s="3" t="s">
        <v>6011</v>
      </c>
      <c r="D2138" s="3" t="s">
        <v>4963</v>
      </c>
      <c r="F2138" s="3" t="s">
        <v>399</v>
      </c>
      <c r="I2138" s="3" t="s">
        <v>4063</v>
      </c>
    </row>
    <row r="2139" spans="2:9" hidden="1" x14ac:dyDescent="0.4">
      <c r="B2139" s="8" t="s">
        <v>517</v>
      </c>
      <c r="C2139" s="3" t="s">
        <v>6360</v>
      </c>
      <c r="D2139" s="3" t="s">
        <v>5643</v>
      </c>
      <c r="F2139" s="3" t="s">
        <v>402</v>
      </c>
      <c r="I2139" s="3" t="s">
        <v>4063</v>
      </c>
    </row>
    <row r="2140" spans="2:9" hidden="1" x14ac:dyDescent="0.4">
      <c r="B2140" s="8" t="s">
        <v>517</v>
      </c>
      <c r="C2140" s="3" t="s">
        <v>4517</v>
      </c>
      <c r="D2140" s="3" t="s">
        <v>4963</v>
      </c>
      <c r="F2140" s="3" t="s">
        <v>399</v>
      </c>
      <c r="I2140" s="3" t="s">
        <v>4064</v>
      </c>
    </row>
    <row r="2141" spans="2:9" hidden="1" x14ac:dyDescent="0.4">
      <c r="B2141" s="8" t="s">
        <v>517</v>
      </c>
      <c r="C2141" s="3" t="s">
        <v>5323</v>
      </c>
      <c r="D2141" s="3" t="s">
        <v>5643</v>
      </c>
      <c r="F2141" s="3" t="s">
        <v>402</v>
      </c>
      <c r="I2141" s="3" t="s">
        <v>4064</v>
      </c>
    </row>
    <row r="2142" spans="2:9" hidden="1" x14ac:dyDescent="0.4">
      <c r="B2142" s="8" t="s">
        <v>517</v>
      </c>
      <c r="C2142" s="3" t="s">
        <v>4251</v>
      </c>
      <c r="D2142" s="3" t="s">
        <v>4253</v>
      </c>
      <c r="F2142" s="3" t="s">
        <v>399</v>
      </c>
      <c r="G2142" s="3" t="s">
        <v>402</v>
      </c>
      <c r="I2142" s="3" t="s">
        <v>4063</v>
      </c>
    </row>
    <row r="2143" spans="2:9" hidden="1" x14ac:dyDescent="0.4">
      <c r="B2143" s="8" t="s">
        <v>517</v>
      </c>
      <c r="C2143" s="3" t="s">
        <v>4251</v>
      </c>
      <c r="D2143" s="3" t="s">
        <v>4253</v>
      </c>
      <c r="F2143" s="3" t="s">
        <v>399</v>
      </c>
      <c r="G2143" s="3" t="s">
        <v>402</v>
      </c>
      <c r="I2143" s="3" t="s">
        <v>4063</v>
      </c>
    </row>
    <row r="2144" spans="2:9" hidden="1" x14ac:dyDescent="0.4">
      <c r="B2144" s="8" t="s">
        <v>517</v>
      </c>
      <c r="C2144" s="3" t="s">
        <v>6020</v>
      </c>
      <c r="D2144" s="3" t="s">
        <v>6037</v>
      </c>
      <c r="F2144" s="3" t="s">
        <v>399</v>
      </c>
      <c r="I2144" s="3" t="s">
        <v>4063</v>
      </c>
    </row>
    <row r="2145" spans="2:9" hidden="1" x14ac:dyDescent="0.4">
      <c r="B2145" s="8" t="s">
        <v>517</v>
      </c>
      <c r="C2145" s="3" t="s">
        <v>6369</v>
      </c>
      <c r="D2145" s="3" t="s">
        <v>6377</v>
      </c>
      <c r="F2145" s="3" t="s">
        <v>402</v>
      </c>
      <c r="I2145" s="3" t="s">
        <v>4063</v>
      </c>
    </row>
    <row r="2146" spans="2:9" hidden="1" x14ac:dyDescent="0.4">
      <c r="B2146" s="8" t="s">
        <v>518</v>
      </c>
      <c r="C2146" s="3" t="s">
        <v>1930</v>
      </c>
      <c r="D2146" s="3" t="s">
        <v>1961</v>
      </c>
      <c r="F2146" s="3" t="s">
        <v>401</v>
      </c>
      <c r="I2146" s="3" t="s">
        <v>421</v>
      </c>
    </row>
    <row r="2147" spans="2:9" hidden="1" x14ac:dyDescent="0.4">
      <c r="B2147" s="8" t="s">
        <v>517</v>
      </c>
      <c r="C2147" s="3" t="s">
        <v>2872</v>
      </c>
      <c r="D2147" s="3" t="s">
        <v>3116</v>
      </c>
      <c r="E2147" s="3">
        <v>1</v>
      </c>
      <c r="F2147" s="3" t="s">
        <v>402</v>
      </c>
      <c r="I2147" s="3" t="s">
        <v>245</v>
      </c>
    </row>
    <row r="2148" spans="2:9" hidden="1" x14ac:dyDescent="0.4">
      <c r="B2148" s="8" t="s">
        <v>517</v>
      </c>
      <c r="C2148" s="3" t="s">
        <v>2232</v>
      </c>
      <c r="D2148" s="3" t="s">
        <v>2390</v>
      </c>
      <c r="E2148" s="3" t="s">
        <v>1272</v>
      </c>
      <c r="F2148" s="3" t="s">
        <v>399</v>
      </c>
      <c r="I2148" s="3" t="s">
        <v>1833</v>
      </c>
    </row>
    <row r="2149" spans="2:9" hidden="1" x14ac:dyDescent="0.4">
      <c r="B2149" s="8" t="s">
        <v>517</v>
      </c>
      <c r="C2149" s="3" t="s">
        <v>2516</v>
      </c>
      <c r="D2149" s="3" t="s">
        <v>2390</v>
      </c>
      <c r="E2149" s="3" t="s">
        <v>1272</v>
      </c>
      <c r="F2149" s="3" t="s">
        <v>402</v>
      </c>
      <c r="I2149" s="3" t="s">
        <v>1833</v>
      </c>
    </row>
    <row r="2150" spans="2:9" ht="43.9" hidden="1" x14ac:dyDescent="0.4">
      <c r="B2150" s="8" t="s">
        <v>517</v>
      </c>
      <c r="C2150" s="3" t="s">
        <v>2988</v>
      </c>
      <c r="D2150" s="3" t="s">
        <v>3227</v>
      </c>
      <c r="E2150" s="3">
        <v>1</v>
      </c>
      <c r="F2150" s="3" t="s">
        <v>402</v>
      </c>
      <c r="G2150" s="3" t="s">
        <v>988</v>
      </c>
      <c r="H2150" s="3" t="s">
        <v>1279</v>
      </c>
      <c r="I2150" s="3" t="s">
        <v>245</v>
      </c>
    </row>
    <row r="2151" spans="2:9" hidden="1" x14ac:dyDescent="0.4">
      <c r="B2151" s="8" t="s">
        <v>517</v>
      </c>
      <c r="C2151" s="3" t="s">
        <v>2323</v>
      </c>
      <c r="D2151" s="3" t="s">
        <v>2479</v>
      </c>
      <c r="E2151" s="3" t="s">
        <v>1272</v>
      </c>
      <c r="F2151" s="3" t="s">
        <v>399</v>
      </c>
      <c r="I2151" s="3" t="s">
        <v>1833</v>
      </c>
    </row>
    <row r="2152" spans="2:9" hidden="1" x14ac:dyDescent="0.4">
      <c r="B2152" s="8" t="s">
        <v>517</v>
      </c>
      <c r="C2152" s="3" t="s">
        <v>2623</v>
      </c>
      <c r="D2152" s="3" t="s">
        <v>2643</v>
      </c>
      <c r="E2152" s="3" t="s">
        <v>1272</v>
      </c>
      <c r="F2152" s="3" t="s">
        <v>402</v>
      </c>
      <c r="I2152" s="3" t="s">
        <v>1833</v>
      </c>
    </row>
    <row r="2153" spans="2:9" hidden="1" x14ac:dyDescent="0.4">
      <c r="B2153" s="8">
        <v>1</v>
      </c>
      <c r="C2153" s="3" t="s">
        <v>169</v>
      </c>
      <c r="D2153" s="3" t="s">
        <v>645</v>
      </c>
      <c r="F2153" s="3" t="s">
        <v>399</v>
      </c>
      <c r="I2153" s="3" t="s">
        <v>267</v>
      </c>
    </row>
    <row r="2154" spans="2:9" hidden="1" x14ac:dyDescent="0.4">
      <c r="B2154" s="8" t="s">
        <v>518</v>
      </c>
      <c r="C2154" s="3" t="s">
        <v>1936</v>
      </c>
      <c r="D2154" s="3" t="s">
        <v>1967</v>
      </c>
      <c r="E2154" s="3" t="s">
        <v>7805</v>
      </c>
      <c r="F2154" s="3" t="s">
        <v>402</v>
      </c>
      <c r="I2154" s="3" t="s">
        <v>1865</v>
      </c>
    </row>
    <row r="2155" spans="2:9" hidden="1" x14ac:dyDescent="0.4">
      <c r="B2155" s="8" t="s">
        <v>517</v>
      </c>
      <c r="C2155" s="3" t="s">
        <v>2009</v>
      </c>
      <c r="D2155" s="3" t="s">
        <v>2010</v>
      </c>
      <c r="F2155" s="3" t="s">
        <v>399</v>
      </c>
      <c r="I2155" s="3" t="s">
        <v>523</v>
      </c>
    </row>
    <row r="2156" spans="2:9" hidden="1" x14ac:dyDescent="0.4">
      <c r="B2156" s="8" t="s">
        <v>526</v>
      </c>
      <c r="C2156" s="3" t="s">
        <v>2132</v>
      </c>
      <c r="D2156" s="3" t="s">
        <v>2142</v>
      </c>
      <c r="E2156" s="3" t="s">
        <v>7805</v>
      </c>
      <c r="F2156" s="3" t="s">
        <v>399</v>
      </c>
      <c r="I2156" s="3" t="s">
        <v>1865</v>
      </c>
    </row>
    <row r="2157" spans="2:9" hidden="1" x14ac:dyDescent="0.4">
      <c r="B2157" s="8" t="s">
        <v>517</v>
      </c>
      <c r="C2157" s="3" t="s">
        <v>4608</v>
      </c>
      <c r="D2157" s="3" t="s">
        <v>4715</v>
      </c>
      <c r="F2157" s="3" t="s">
        <v>399</v>
      </c>
      <c r="I2157" s="3" t="s">
        <v>4064</v>
      </c>
    </row>
    <row r="2158" spans="2:9" hidden="1" x14ac:dyDescent="0.4">
      <c r="B2158" s="8" t="s">
        <v>517</v>
      </c>
      <c r="C2158" s="3" t="s">
        <v>5051</v>
      </c>
      <c r="D2158" s="3" t="s">
        <v>5383</v>
      </c>
      <c r="F2158" s="3" t="s">
        <v>402</v>
      </c>
      <c r="I2158" s="3" t="s">
        <v>4064</v>
      </c>
    </row>
    <row r="2159" spans="2:9" hidden="1" x14ac:dyDescent="0.4">
      <c r="B2159" s="8" t="s">
        <v>517</v>
      </c>
      <c r="C2159" s="3" t="s">
        <v>3383</v>
      </c>
      <c r="D2159" s="3" t="s">
        <v>3692</v>
      </c>
      <c r="F2159" s="3" t="s">
        <v>399</v>
      </c>
      <c r="G2159" s="3" t="s">
        <v>402</v>
      </c>
      <c r="I2159" s="3" t="s">
        <v>4063</v>
      </c>
    </row>
    <row r="2160" spans="2:9" hidden="1" x14ac:dyDescent="0.4">
      <c r="B2160" s="8" t="s">
        <v>517</v>
      </c>
      <c r="C2160" s="3" t="s">
        <v>5718</v>
      </c>
      <c r="D2160" s="3" t="s">
        <v>4715</v>
      </c>
      <c r="F2160" s="3" t="s">
        <v>399</v>
      </c>
      <c r="I2160" s="3" t="s">
        <v>4063</v>
      </c>
    </row>
    <row r="2161" spans="2:9" hidden="1" x14ac:dyDescent="0.4">
      <c r="B2161" s="8" t="s">
        <v>517</v>
      </c>
      <c r="C2161" s="3" t="s">
        <v>6059</v>
      </c>
      <c r="D2161" s="3" t="s">
        <v>5383</v>
      </c>
      <c r="F2161" s="3" t="s">
        <v>402</v>
      </c>
      <c r="I2161" s="3" t="s">
        <v>4063</v>
      </c>
    </row>
    <row r="2162" spans="2:9" hidden="1" x14ac:dyDescent="0.4">
      <c r="B2162" s="8" t="s">
        <v>526</v>
      </c>
      <c r="C2162" s="3" t="s">
        <v>2127</v>
      </c>
      <c r="D2162" s="3" t="s">
        <v>2137</v>
      </c>
      <c r="E2162" s="3" t="s">
        <v>7805</v>
      </c>
      <c r="F2162" s="3" t="s">
        <v>399</v>
      </c>
      <c r="I2162" s="3" t="s">
        <v>1865</v>
      </c>
    </row>
    <row r="2163" spans="2:9" hidden="1" x14ac:dyDescent="0.4">
      <c r="B2163" s="8" t="s">
        <v>517</v>
      </c>
      <c r="C2163" s="3" t="s">
        <v>3419</v>
      </c>
      <c r="D2163" s="3" t="s">
        <v>3727</v>
      </c>
      <c r="F2163" s="3" t="s">
        <v>399</v>
      </c>
      <c r="G2163" s="3" t="s">
        <v>402</v>
      </c>
      <c r="I2163" s="3" t="s">
        <v>4063</v>
      </c>
    </row>
    <row r="2164" spans="2:9" hidden="1" x14ac:dyDescent="0.4">
      <c r="B2164" s="8" t="s">
        <v>517</v>
      </c>
      <c r="C2164" s="3" t="s">
        <v>3419</v>
      </c>
      <c r="D2164" s="3" t="s">
        <v>3727</v>
      </c>
      <c r="F2164" s="3" t="s">
        <v>399</v>
      </c>
      <c r="G2164" s="3" t="s">
        <v>402</v>
      </c>
      <c r="I2164" s="3" t="s">
        <v>4064</v>
      </c>
    </row>
    <row r="2165" spans="2:9" hidden="1" x14ac:dyDescent="0.4">
      <c r="B2165" s="8" t="s">
        <v>517</v>
      </c>
      <c r="C2165" s="3" t="s">
        <v>5751</v>
      </c>
      <c r="D2165" s="3" t="s">
        <v>4742</v>
      </c>
      <c r="F2165" s="3" t="s">
        <v>399</v>
      </c>
      <c r="I2165" s="3" t="s">
        <v>4063</v>
      </c>
    </row>
    <row r="2166" spans="2:9" hidden="1" x14ac:dyDescent="0.4">
      <c r="B2166" s="8" t="s">
        <v>517</v>
      </c>
      <c r="C2166" s="3" t="s">
        <v>6093</v>
      </c>
      <c r="D2166" s="3" t="s">
        <v>5417</v>
      </c>
      <c r="F2166" s="3" t="s">
        <v>402</v>
      </c>
      <c r="I2166" s="3" t="s">
        <v>4063</v>
      </c>
    </row>
    <row r="2167" spans="2:9" hidden="1" x14ac:dyDescent="0.4">
      <c r="B2167" s="8" t="s">
        <v>517</v>
      </c>
      <c r="C2167" s="3" t="s">
        <v>4568</v>
      </c>
      <c r="D2167" s="3" t="s">
        <v>4742</v>
      </c>
      <c r="F2167" s="3" t="s">
        <v>399</v>
      </c>
      <c r="I2167" s="3" t="s">
        <v>4064</v>
      </c>
    </row>
    <row r="2168" spans="2:9" hidden="1" x14ac:dyDescent="0.4">
      <c r="B2168" s="8" t="s">
        <v>517</v>
      </c>
      <c r="C2168" s="3" t="s">
        <v>5094</v>
      </c>
      <c r="D2168" s="3" t="s">
        <v>5417</v>
      </c>
      <c r="F2168" s="3" t="s">
        <v>402</v>
      </c>
      <c r="I2168" s="3" t="s">
        <v>4064</v>
      </c>
    </row>
    <row r="2169" spans="2:9" hidden="1" x14ac:dyDescent="0.4">
      <c r="B2169" s="8" t="s">
        <v>517</v>
      </c>
      <c r="C2169" s="3" t="s">
        <v>2999</v>
      </c>
      <c r="D2169" s="3" t="s">
        <v>3237</v>
      </c>
      <c r="E2169" s="3">
        <v>1</v>
      </c>
      <c r="F2169" s="3" t="s">
        <v>402</v>
      </c>
      <c r="I2169" s="3" t="s">
        <v>245</v>
      </c>
    </row>
    <row r="2170" spans="2:9" hidden="1" x14ac:dyDescent="0.4">
      <c r="B2170" s="8" t="s">
        <v>517</v>
      </c>
      <c r="C2170" s="3" t="s">
        <v>1325</v>
      </c>
      <c r="D2170" s="3" t="s">
        <v>1339</v>
      </c>
      <c r="E2170" s="3" t="s">
        <v>1272</v>
      </c>
      <c r="F2170" s="3" t="s">
        <v>399</v>
      </c>
      <c r="I2170" s="3" t="s">
        <v>1317</v>
      </c>
    </row>
    <row r="2171" spans="2:9" hidden="1" x14ac:dyDescent="0.4">
      <c r="B2171" s="8" t="s">
        <v>517</v>
      </c>
      <c r="C2171" s="3" t="s">
        <v>1357</v>
      </c>
      <c r="D2171" s="3" t="s">
        <v>1339</v>
      </c>
      <c r="E2171" s="3" t="s">
        <v>1272</v>
      </c>
      <c r="F2171" s="3" t="s">
        <v>402</v>
      </c>
      <c r="I2171" s="3" t="s">
        <v>1317</v>
      </c>
    </row>
    <row r="2172" spans="2:9" hidden="1" x14ac:dyDescent="0.4">
      <c r="B2172" s="8" t="s">
        <v>517</v>
      </c>
      <c r="C2172" s="3" t="s">
        <v>762</v>
      </c>
      <c r="D2172" s="3" t="s">
        <v>776</v>
      </c>
      <c r="E2172" s="3" t="s">
        <v>425</v>
      </c>
      <c r="F2172" s="3" t="s">
        <v>399</v>
      </c>
      <c r="G2172" s="3" t="s">
        <v>402</v>
      </c>
      <c r="I2172" s="3" t="s">
        <v>781</v>
      </c>
    </row>
    <row r="2173" spans="2:9" hidden="1" x14ac:dyDescent="0.4">
      <c r="B2173" s="8" t="s">
        <v>517</v>
      </c>
      <c r="C2173" s="3" t="s">
        <v>787</v>
      </c>
      <c r="D2173" s="3" t="s">
        <v>776</v>
      </c>
      <c r="E2173" s="3" t="s">
        <v>425</v>
      </c>
      <c r="F2173" s="3" t="s">
        <v>402</v>
      </c>
      <c r="I2173" s="3" t="s">
        <v>781</v>
      </c>
    </row>
    <row r="2174" spans="2:9" hidden="1" x14ac:dyDescent="0.4">
      <c r="B2174" s="8" t="s">
        <v>517</v>
      </c>
      <c r="C2174" s="3" t="s">
        <v>2293</v>
      </c>
      <c r="D2174" s="3" t="s">
        <v>2451</v>
      </c>
      <c r="E2174" s="3" t="s">
        <v>1272</v>
      </c>
      <c r="F2174" s="3" t="s">
        <v>399</v>
      </c>
      <c r="I2174" s="3" t="s">
        <v>1833</v>
      </c>
    </row>
    <row r="2175" spans="2:9" hidden="1" x14ac:dyDescent="0.4">
      <c r="B2175" s="8" t="s">
        <v>517</v>
      </c>
      <c r="C2175" s="3" t="s">
        <v>2598</v>
      </c>
      <c r="D2175" s="3" t="s">
        <v>2451</v>
      </c>
      <c r="E2175" s="3" t="s">
        <v>1272</v>
      </c>
      <c r="F2175" s="3" t="s">
        <v>402</v>
      </c>
      <c r="I2175" s="3" t="s">
        <v>1833</v>
      </c>
    </row>
    <row r="2176" spans="2:9" hidden="1" x14ac:dyDescent="0.4">
      <c r="B2176" s="8" t="s">
        <v>517</v>
      </c>
      <c r="C2176" s="3" t="s">
        <v>2315</v>
      </c>
      <c r="D2176" s="3" t="s">
        <v>2471</v>
      </c>
      <c r="E2176" s="3" t="s">
        <v>1272</v>
      </c>
      <c r="F2176" s="3" t="s">
        <v>399</v>
      </c>
      <c r="I2176" s="3" t="s">
        <v>1833</v>
      </c>
    </row>
    <row r="2177" spans="2:9" hidden="1" x14ac:dyDescent="0.4">
      <c r="B2177" s="8" t="s">
        <v>517</v>
      </c>
      <c r="C2177" s="3" t="s">
        <v>2615</v>
      </c>
      <c r="D2177" s="3" t="s">
        <v>2471</v>
      </c>
      <c r="E2177" s="3" t="s">
        <v>1272</v>
      </c>
      <c r="F2177" s="3" t="s">
        <v>402</v>
      </c>
      <c r="I2177" s="3" t="s">
        <v>1833</v>
      </c>
    </row>
    <row r="2178" spans="2:9" hidden="1" x14ac:dyDescent="0.4">
      <c r="B2178" s="8" t="s">
        <v>529</v>
      </c>
      <c r="C2178" s="3" t="s">
        <v>1486</v>
      </c>
      <c r="D2178" s="3" t="s">
        <v>1530</v>
      </c>
      <c r="F2178" s="3" t="s">
        <v>399</v>
      </c>
      <c r="G2178" s="3" t="s">
        <v>402</v>
      </c>
      <c r="I2178" s="3" t="s">
        <v>1489</v>
      </c>
    </row>
    <row r="2179" spans="2:9" hidden="1" x14ac:dyDescent="0.4">
      <c r="B2179" s="8" t="s">
        <v>529</v>
      </c>
      <c r="C2179" s="3" t="s">
        <v>1596</v>
      </c>
      <c r="D2179" s="3" t="s">
        <v>1530</v>
      </c>
      <c r="F2179" s="3" t="s">
        <v>402</v>
      </c>
      <c r="I2179" s="3" t="s">
        <v>1489</v>
      </c>
    </row>
    <row r="2180" spans="2:9" hidden="1" x14ac:dyDescent="0.4">
      <c r="B2180" s="8" t="s">
        <v>518</v>
      </c>
      <c r="C2180" s="3" t="s">
        <v>1474</v>
      </c>
      <c r="D2180" s="3" t="s">
        <v>1517</v>
      </c>
      <c r="F2180" s="3" t="s">
        <v>399</v>
      </c>
      <c r="G2180" s="3" t="s">
        <v>402</v>
      </c>
      <c r="I2180" s="3" t="s">
        <v>1489</v>
      </c>
    </row>
    <row r="2181" spans="2:9" hidden="1" x14ac:dyDescent="0.4">
      <c r="B2181" s="8" t="s">
        <v>518</v>
      </c>
      <c r="C2181" s="3" t="s">
        <v>1584</v>
      </c>
      <c r="D2181" s="3" t="s">
        <v>1517</v>
      </c>
      <c r="F2181" s="3" t="s">
        <v>402</v>
      </c>
      <c r="I2181" s="3" t="s">
        <v>1489</v>
      </c>
    </row>
    <row r="2182" spans="2:9" hidden="1" x14ac:dyDescent="0.4">
      <c r="B2182" s="8" t="s">
        <v>536</v>
      </c>
      <c r="C2182" s="3" t="s">
        <v>3356</v>
      </c>
      <c r="D2182" s="3" t="s">
        <v>3361</v>
      </c>
      <c r="E2182" s="3">
        <v>1</v>
      </c>
      <c r="F2182" s="3" t="s">
        <v>1124</v>
      </c>
      <c r="I2182" s="3" t="s">
        <v>245</v>
      </c>
    </row>
    <row r="2183" spans="2:9" hidden="1" x14ac:dyDescent="0.4">
      <c r="B2183" s="8" t="s">
        <v>517</v>
      </c>
      <c r="C2183" s="3" t="s">
        <v>1012</v>
      </c>
      <c r="D2183" s="3" t="s">
        <v>1016</v>
      </c>
      <c r="F2183" s="3" t="s">
        <v>399</v>
      </c>
      <c r="I2183" s="3" t="s">
        <v>510</v>
      </c>
    </row>
    <row r="2184" spans="2:9" hidden="1" x14ac:dyDescent="0.4">
      <c r="B2184" s="8" t="s">
        <v>517</v>
      </c>
      <c r="C2184" s="3" t="s">
        <v>2250</v>
      </c>
      <c r="D2184" s="3" t="s">
        <v>2407</v>
      </c>
      <c r="E2184" s="3" t="s">
        <v>1272</v>
      </c>
      <c r="F2184" s="3" t="s">
        <v>399</v>
      </c>
      <c r="I2184" s="3" t="s">
        <v>1833</v>
      </c>
    </row>
    <row r="2185" spans="2:9" hidden="1" x14ac:dyDescent="0.4">
      <c r="B2185" s="8" t="s">
        <v>517</v>
      </c>
      <c r="C2185" s="3" t="s">
        <v>2560</v>
      </c>
      <c r="D2185" s="3" t="s">
        <v>2407</v>
      </c>
      <c r="E2185" s="3" t="s">
        <v>1272</v>
      </c>
      <c r="F2185" s="3" t="s">
        <v>402</v>
      </c>
      <c r="I2185" s="3" t="s">
        <v>1833</v>
      </c>
    </row>
    <row r="2186" spans="2:9" hidden="1" x14ac:dyDescent="0.4">
      <c r="B2186" s="8" t="s">
        <v>517</v>
      </c>
      <c r="C2186" s="3" t="s">
        <v>2787</v>
      </c>
      <c r="D2186" s="3" t="s">
        <v>2807</v>
      </c>
      <c r="E2186" s="3" t="s">
        <v>1272</v>
      </c>
      <c r="F2186" s="3" t="s">
        <v>399</v>
      </c>
      <c r="I2186" s="3" t="s">
        <v>2370</v>
      </c>
    </row>
    <row r="2187" spans="2:9" hidden="1" x14ac:dyDescent="0.4">
      <c r="B2187" s="8" t="s">
        <v>518</v>
      </c>
      <c r="C2187" s="3" t="s">
        <v>846</v>
      </c>
      <c r="D2187" s="3" t="s">
        <v>859</v>
      </c>
      <c r="E2187" s="3" t="s">
        <v>7805</v>
      </c>
      <c r="F2187" s="3" t="s">
        <v>399</v>
      </c>
      <c r="I2187" s="3" t="s">
        <v>824</v>
      </c>
    </row>
    <row r="2188" spans="2:9" hidden="1" x14ac:dyDescent="0.4">
      <c r="B2188" s="8" t="s">
        <v>518</v>
      </c>
      <c r="C2188" s="3" t="s">
        <v>945</v>
      </c>
      <c r="D2188" s="3" t="s">
        <v>859</v>
      </c>
      <c r="E2188" s="3" t="s">
        <v>7805</v>
      </c>
      <c r="F2188" s="3" t="s">
        <v>402</v>
      </c>
      <c r="I2188" s="3" t="s">
        <v>824</v>
      </c>
    </row>
    <row r="2189" spans="2:9" hidden="1" x14ac:dyDescent="0.4">
      <c r="B2189" s="8" t="s">
        <v>536</v>
      </c>
      <c r="C2189" s="3" t="s">
        <v>2016</v>
      </c>
      <c r="D2189" s="3" t="s">
        <v>2086</v>
      </c>
      <c r="F2189" s="3" t="s">
        <v>2065</v>
      </c>
      <c r="I2189" s="3" t="s">
        <v>248</v>
      </c>
    </row>
    <row r="2190" spans="2:9" hidden="1" x14ac:dyDescent="0.4">
      <c r="B2190" s="8" t="s">
        <v>518</v>
      </c>
      <c r="C2190" s="8" t="s">
        <v>830</v>
      </c>
      <c r="D2190" s="3" t="s">
        <v>814</v>
      </c>
      <c r="F2190" s="3" t="s">
        <v>399</v>
      </c>
      <c r="I2190" s="3" t="s">
        <v>824</v>
      </c>
    </row>
    <row r="2191" spans="2:9" hidden="1" x14ac:dyDescent="0.4">
      <c r="B2191" s="8" t="s">
        <v>518</v>
      </c>
      <c r="C2191" s="8" t="s">
        <v>927</v>
      </c>
      <c r="D2191" s="3" t="s">
        <v>814</v>
      </c>
      <c r="F2191" s="3" t="s">
        <v>402</v>
      </c>
      <c r="I2191" s="3" t="s">
        <v>824</v>
      </c>
    </row>
    <row r="2192" spans="2:9" hidden="1" x14ac:dyDescent="0.4">
      <c r="B2192" s="8" t="s">
        <v>517</v>
      </c>
      <c r="C2192" s="3" t="s">
        <v>3382</v>
      </c>
      <c r="D2192" s="3" t="s">
        <v>3691</v>
      </c>
      <c r="F2192" s="3" t="s">
        <v>399</v>
      </c>
      <c r="G2192" s="3" t="s">
        <v>402</v>
      </c>
      <c r="I2192" s="3" t="s">
        <v>4063</v>
      </c>
    </row>
    <row r="2193" spans="2:9" hidden="1" x14ac:dyDescent="0.4">
      <c r="B2193" s="8" t="s">
        <v>517</v>
      </c>
      <c r="C2193" s="3" t="s">
        <v>5981</v>
      </c>
      <c r="D2193" s="3" t="s">
        <v>4714</v>
      </c>
      <c r="F2193" s="3" t="s">
        <v>399</v>
      </c>
      <c r="I2193" s="3" t="s">
        <v>4063</v>
      </c>
    </row>
    <row r="2194" spans="2:9" hidden="1" x14ac:dyDescent="0.4">
      <c r="B2194" s="8" t="s">
        <v>517</v>
      </c>
      <c r="C2194" s="3" t="s">
        <v>6329</v>
      </c>
      <c r="D2194" s="3" t="s">
        <v>5382</v>
      </c>
      <c r="F2194" s="3" t="s">
        <v>402</v>
      </c>
      <c r="I2194" s="3" t="s">
        <v>4063</v>
      </c>
    </row>
    <row r="2195" spans="2:9" hidden="1" x14ac:dyDescent="0.4">
      <c r="B2195" s="8" t="s">
        <v>517</v>
      </c>
      <c r="C2195" s="3" t="s">
        <v>4091</v>
      </c>
      <c r="D2195" s="3" t="s">
        <v>3691</v>
      </c>
      <c r="F2195" s="3" t="s">
        <v>399</v>
      </c>
      <c r="G2195" s="3" t="s">
        <v>402</v>
      </c>
      <c r="I2195" s="3" t="s">
        <v>4064</v>
      </c>
    </row>
    <row r="2196" spans="2:9" hidden="1" x14ac:dyDescent="0.4">
      <c r="B2196" s="8" t="s">
        <v>517</v>
      </c>
      <c r="C2196" s="3" t="s">
        <v>4377</v>
      </c>
      <c r="D2196" s="3" t="s">
        <v>4714</v>
      </c>
      <c r="F2196" s="3" t="s">
        <v>399</v>
      </c>
      <c r="I2196" s="3" t="s">
        <v>4064</v>
      </c>
    </row>
    <row r="2197" spans="2:9" hidden="1" x14ac:dyDescent="0.4">
      <c r="B2197" s="8" t="s">
        <v>517</v>
      </c>
      <c r="C2197" s="3" t="s">
        <v>5050</v>
      </c>
      <c r="D2197" s="3" t="s">
        <v>5382</v>
      </c>
      <c r="F2197" s="3" t="s">
        <v>402</v>
      </c>
      <c r="I2197" s="3" t="s">
        <v>4064</v>
      </c>
    </row>
    <row r="2198" spans="2:9" hidden="1" x14ac:dyDescent="0.4">
      <c r="B2198" s="8" t="s">
        <v>536</v>
      </c>
      <c r="C2198" s="3" t="s">
        <v>3357</v>
      </c>
      <c r="D2198" s="3" t="s">
        <v>3116</v>
      </c>
      <c r="E2198" s="3">
        <v>1</v>
      </c>
      <c r="F2198" s="3" t="s">
        <v>1124</v>
      </c>
      <c r="I2198" s="3" t="s">
        <v>245</v>
      </c>
    </row>
    <row r="2199" spans="2:9" hidden="1" x14ac:dyDescent="0.4">
      <c r="B2199" s="8" t="s">
        <v>531</v>
      </c>
      <c r="C2199" s="3" t="s">
        <v>1704</v>
      </c>
      <c r="D2199" s="3" t="s">
        <v>1706</v>
      </c>
      <c r="F2199" s="3" t="s">
        <v>399</v>
      </c>
      <c r="I2199" s="3" t="s">
        <v>1489</v>
      </c>
    </row>
    <row r="2200" spans="2:9" hidden="1" x14ac:dyDescent="0.4">
      <c r="B2200" s="8" t="s">
        <v>531</v>
      </c>
      <c r="C2200" s="3" t="s">
        <v>1703</v>
      </c>
      <c r="D2200" s="3" t="s">
        <v>1705</v>
      </c>
      <c r="F2200" s="3" t="s">
        <v>402</v>
      </c>
      <c r="I2200" s="3" t="s">
        <v>1489</v>
      </c>
    </row>
    <row r="2201" spans="2:9" hidden="1" x14ac:dyDescent="0.4">
      <c r="B2201" s="8" t="s">
        <v>526</v>
      </c>
      <c r="C2201" s="3" t="s">
        <v>3510</v>
      </c>
      <c r="D2201" s="3" t="s">
        <v>3813</v>
      </c>
      <c r="F2201" s="3" t="s">
        <v>399</v>
      </c>
      <c r="G2201" s="3" t="s">
        <v>402</v>
      </c>
      <c r="I2201" s="3" t="s">
        <v>4063</v>
      </c>
    </row>
    <row r="2202" spans="2:9" hidden="1" x14ac:dyDescent="0.4">
      <c r="B2202" s="8" t="s">
        <v>526</v>
      </c>
      <c r="C2202" s="3" t="s">
        <v>3510</v>
      </c>
      <c r="D2202" s="3" t="s">
        <v>3813</v>
      </c>
      <c r="F2202" s="3" t="s">
        <v>399</v>
      </c>
      <c r="G2202" s="3" t="s">
        <v>402</v>
      </c>
      <c r="I2202" s="3" t="s">
        <v>4064</v>
      </c>
    </row>
    <row r="2203" spans="2:9" ht="29.25" hidden="1" x14ac:dyDescent="0.4">
      <c r="B2203" s="8" t="s">
        <v>526</v>
      </c>
      <c r="C2203" s="3" t="s">
        <v>6169</v>
      </c>
      <c r="D2203" s="3" t="s">
        <v>5504</v>
      </c>
      <c r="F2203" s="3" t="s">
        <v>402</v>
      </c>
      <c r="I2203" s="3" t="s">
        <v>4063</v>
      </c>
    </row>
    <row r="2204" spans="2:9" hidden="1" x14ac:dyDescent="0.4">
      <c r="B2204" s="8" t="s">
        <v>526</v>
      </c>
      <c r="C2204" s="3" t="s">
        <v>5826</v>
      </c>
      <c r="D2204" s="3" t="s">
        <v>4950</v>
      </c>
      <c r="F2204" s="3" t="s">
        <v>399</v>
      </c>
      <c r="I2204" s="3" t="s">
        <v>4063</v>
      </c>
    </row>
    <row r="2205" spans="2:9" hidden="1" x14ac:dyDescent="0.4">
      <c r="B2205" s="8" t="s">
        <v>526</v>
      </c>
      <c r="C2205" s="3" t="s">
        <v>4661</v>
      </c>
      <c r="D2205" s="3" t="s">
        <v>4950</v>
      </c>
      <c r="F2205" s="3" t="s">
        <v>399</v>
      </c>
      <c r="I2205" s="3" t="s">
        <v>4064</v>
      </c>
    </row>
    <row r="2206" spans="2:9" hidden="1" x14ac:dyDescent="0.4">
      <c r="B2206" s="8" t="s">
        <v>526</v>
      </c>
      <c r="C2206" s="3" t="s">
        <v>5183</v>
      </c>
      <c r="D2206" s="3" t="s">
        <v>5504</v>
      </c>
      <c r="F2206" s="3" t="s">
        <v>402</v>
      </c>
      <c r="I2206" s="3" t="s">
        <v>4064</v>
      </c>
    </row>
    <row r="2207" spans="2:9" hidden="1" x14ac:dyDescent="0.4">
      <c r="B2207" s="8" t="s">
        <v>532</v>
      </c>
      <c r="C2207" s="3" t="s">
        <v>1389</v>
      </c>
      <c r="D2207" s="3" t="s">
        <v>1423</v>
      </c>
      <c r="F2207" s="3" t="s">
        <v>399</v>
      </c>
      <c r="G2207" s="3" t="s">
        <v>402</v>
      </c>
      <c r="H2207" s="3" t="s">
        <v>1279</v>
      </c>
      <c r="I2207" s="3" t="s">
        <v>1414</v>
      </c>
    </row>
    <row r="2208" spans="2:9" hidden="1" x14ac:dyDescent="0.4">
      <c r="B2208" s="8" t="s">
        <v>532</v>
      </c>
      <c r="C2208" s="3" t="s">
        <v>1533</v>
      </c>
      <c r="D2208" s="3" t="s">
        <v>1423</v>
      </c>
      <c r="F2208" s="3" t="s">
        <v>402</v>
      </c>
      <c r="I2208" s="3" t="s">
        <v>1414</v>
      </c>
    </row>
    <row r="2209" spans="2:9" hidden="1" x14ac:dyDescent="0.4">
      <c r="B2209" s="8" t="s">
        <v>520</v>
      </c>
      <c r="C2209" s="3" t="s">
        <v>2983</v>
      </c>
      <c r="D2209" s="3" t="s">
        <v>3221</v>
      </c>
      <c r="E2209" s="3">
        <v>1</v>
      </c>
      <c r="F2209" s="3" t="s">
        <v>402</v>
      </c>
      <c r="G2209" s="3" t="s">
        <v>988</v>
      </c>
      <c r="I2209" s="3" t="s">
        <v>245</v>
      </c>
    </row>
    <row r="2210" spans="2:9" hidden="1" x14ac:dyDescent="0.4">
      <c r="B2210" s="8" t="s">
        <v>517</v>
      </c>
      <c r="C2210" s="3" t="s">
        <v>761</v>
      </c>
      <c r="D2210" s="3" t="s">
        <v>776</v>
      </c>
      <c r="F2210" s="3" t="s">
        <v>399</v>
      </c>
      <c r="G2210" s="3" t="s">
        <v>402</v>
      </c>
      <c r="I2210" s="3" t="s">
        <v>781</v>
      </c>
    </row>
    <row r="2211" spans="2:9" hidden="1" x14ac:dyDescent="0.4">
      <c r="B2211" s="8" t="s">
        <v>517</v>
      </c>
      <c r="C2211" s="3" t="s">
        <v>786</v>
      </c>
      <c r="D2211" s="3" t="s">
        <v>776</v>
      </c>
      <c r="F2211" s="3" t="s">
        <v>402</v>
      </c>
      <c r="I2211" s="3" t="s">
        <v>781</v>
      </c>
    </row>
    <row r="2212" spans="2:9" ht="29.25" hidden="1" x14ac:dyDescent="0.4">
      <c r="B2212" s="8" t="s">
        <v>517</v>
      </c>
      <c r="C2212" s="3" t="s">
        <v>1262</v>
      </c>
      <c r="D2212" s="3" t="s">
        <v>1269</v>
      </c>
      <c r="E2212" s="3" t="s">
        <v>1272</v>
      </c>
      <c r="F2212" s="3" t="s">
        <v>399</v>
      </c>
      <c r="G2212" s="3" t="s">
        <v>1277</v>
      </c>
      <c r="I2212" s="3" t="s">
        <v>510</v>
      </c>
    </row>
    <row r="2213" spans="2:9" hidden="1" x14ac:dyDescent="0.4">
      <c r="B2213" s="8" t="s">
        <v>517</v>
      </c>
      <c r="C2213" s="3" t="s">
        <v>1285</v>
      </c>
      <c r="D2213" s="3" t="s">
        <v>1289</v>
      </c>
      <c r="E2213" s="3" t="s">
        <v>1272</v>
      </c>
      <c r="F2213" s="3" t="s">
        <v>402</v>
      </c>
      <c r="I2213" s="3" t="s">
        <v>510</v>
      </c>
    </row>
    <row r="2214" spans="2:9" hidden="1" x14ac:dyDescent="0.4">
      <c r="B2214" s="8" t="s">
        <v>517</v>
      </c>
      <c r="C2214" s="3" t="s">
        <v>1281</v>
      </c>
      <c r="D2214" s="3" t="s">
        <v>1269</v>
      </c>
      <c r="E2214" s="3" t="s">
        <v>1272</v>
      </c>
      <c r="F2214" s="3" t="s">
        <v>402</v>
      </c>
      <c r="I2214" s="3" t="s">
        <v>510</v>
      </c>
    </row>
    <row r="2215" spans="2:9" hidden="1" x14ac:dyDescent="0.4">
      <c r="B2215" s="8" t="s">
        <v>517</v>
      </c>
      <c r="C2215" s="3" t="s">
        <v>1297</v>
      </c>
      <c r="D2215" s="3" t="s">
        <v>1307</v>
      </c>
      <c r="E2215" s="3" t="s">
        <v>1272</v>
      </c>
      <c r="F2215" s="3" t="s">
        <v>402</v>
      </c>
      <c r="G2215" s="3" t="s">
        <v>399</v>
      </c>
      <c r="H2215" s="3" t="s">
        <v>988</v>
      </c>
      <c r="I2215" s="3" t="s">
        <v>510</v>
      </c>
    </row>
    <row r="2216" spans="2:9" hidden="1" x14ac:dyDescent="0.4">
      <c r="B2216" s="8" t="s">
        <v>517</v>
      </c>
      <c r="C2216" s="3" t="s">
        <v>1302</v>
      </c>
      <c r="D2216" s="3" t="s">
        <v>1307</v>
      </c>
      <c r="E2216" s="3" t="s">
        <v>1272</v>
      </c>
      <c r="F2216" s="3" t="s">
        <v>399</v>
      </c>
      <c r="I2216" s="3" t="s">
        <v>510</v>
      </c>
    </row>
    <row r="2217" spans="2:9" hidden="1" x14ac:dyDescent="0.4">
      <c r="B2217" s="8" t="s">
        <v>517</v>
      </c>
      <c r="C2217" s="3" t="s">
        <v>1293</v>
      </c>
      <c r="D2217" s="3" t="s">
        <v>1269</v>
      </c>
      <c r="E2217" s="3" t="s">
        <v>1272</v>
      </c>
      <c r="F2217" s="3" t="s">
        <v>399</v>
      </c>
      <c r="I2217" s="3" t="s">
        <v>510</v>
      </c>
    </row>
    <row r="2218" spans="2:9" hidden="1" x14ac:dyDescent="0.4">
      <c r="B2218" s="8" t="s">
        <v>518</v>
      </c>
      <c r="C2218" s="3" t="s">
        <v>3098</v>
      </c>
      <c r="D2218" s="3" t="s">
        <v>3330</v>
      </c>
      <c r="E2218" s="3">
        <v>1</v>
      </c>
      <c r="F2218" s="3" t="s">
        <v>3349</v>
      </c>
      <c r="G2218" s="3" t="s">
        <v>402</v>
      </c>
      <c r="H2218" s="3" t="s">
        <v>988</v>
      </c>
      <c r="I2218" s="3" t="s">
        <v>1335</v>
      </c>
    </row>
    <row r="2219" spans="2:9" ht="29.25" hidden="1" x14ac:dyDescent="0.4">
      <c r="B2219" s="8" t="s">
        <v>536</v>
      </c>
      <c r="C2219" s="3" t="s">
        <v>2019</v>
      </c>
      <c r="D2219" s="3" t="s">
        <v>2089</v>
      </c>
      <c r="F2219" s="3" t="s">
        <v>2065</v>
      </c>
      <c r="I2219" s="3" t="s">
        <v>248</v>
      </c>
    </row>
    <row r="2220" spans="2:9" hidden="1" x14ac:dyDescent="0.4">
      <c r="B2220" s="8" t="s">
        <v>517</v>
      </c>
      <c r="C2220" s="3" t="s">
        <v>3621</v>
      </c>
      <c r="D2220" s="3" t="s">
        <v>3915</v>
      </c>
      <c r="F2220" s="3" t="s">
        <v>399</v>
      </c>
      <c r="G2220" s="3" t="s">
        <v>402</v>
      </c>
      <c r="I2220" s="3" t="s">
        <v>4063</v>
      </c>
    </row>
    <row r="2221" spans="2:9" hidden="1" x14ac:dyDescent="0.4">
      <c r="B2221" s="8" t="s">
        <v>517</v>
      </c>
      <c r="C2221" s="3" t="s">
        <v>5927</v>
      </c>
      <c r="D2221" s="3" t="s">
        <v>4999</v>
      </c>
      <c r="F2221" s="3" t="s">
        <v>399</v>
      </c>
      <c r="I2221" s="3" t="s">
        <v>4063</v>
      </c>
    </row>
    <row r="2222" spans="2:9" hidden="1" x14ac:dyDescent="0.4">
      <c r="B2222" s="8" t="s">
        <v>517</v>
      </c>
      <c r="C2222" s="3" t="s">
        <v>6273</v>
      </c>
      <c r="D2222" s="3" t="s">
        <v>5620</v>
      </c>
      <c r="F2222" s="3" t="s">
        <v>402</v>
      </c>
      <c r="I2222" s="3" t="s">
        <v>4063</v>
      </c>
    </row>
    <row r="2223" spans="2:9" hidden="1" x14ac:dyDescent="0.4">
      <c r="B2223" s="8" t="s">
        <v>517</v>
      </c>
      <c r="C2223" s="3" t="s">
        <v>4302</v>
      </c>
      <c r="D2223" s="3" t="s">
        <v>3915</v>
      </c>
      <c r="F2223" s="3" t="s">
        <v>399</v>
      </c>
      <c r="G2223" s="3" t="s">
        <v>402</v>
      </c>
      <c r="I2223" s="3" t="s">
        <v>4064</v>
      </c>
    </row>
    <row r="2224" spans="2:9" hidden="1" x14ac:dyDescent="0.4">
      <c r="B2224" s="8" t="s">
        <v>517</v>
      </c>
      <c r="C2224" s="3" t="s">
        <v>4505</v>
      </c>
      <c r="D2224" s="3" t="s">
        <v>4999</v>
      </c>
      <c r="F2224" s="3" t="s">
        <v>399</v>
      </c>
      <c r="I2224" s="3" t="s">
        <v>4064</v>
      </c>
    </row>
    <row r="2225" spans="2:9" hidden="1" x14ac:dyDescent="0.4">
      <c r="B2225" s="8" t="s">
        <v>517</v>
      </c>
      <c r="C2225" s="3" t="s">
        <v>5300</v>
      </c>
      <c r="D2225" s="3" t="s">
        <v>5620</v>
      </c>
      <c r="F2225" s="3" t="s">
        <v>402</v>
      </c>
      <c r="I2225" s="3" t="s">
        <v>4064</v>
      </c>
    </row>
    <row r="2226" spans="2:9" hidden="1" x14ac:dyDescent="0.4">
      <c r="B2226" s="8" t="s">
        <v>518</v>
      </c>
      <c r="C2226" s="3" t="s">
        <v>2193</v>
      </c>
      <c r="D2226" s="3" t="s">
        <v>2345</v>
      </c>
      <c r="F2226" s="3" t="s">
        <v>399</v>
      </c>
      <c r="I2226" s="3" t="s">
        <v>2369</v>
      </c>
    </row>
    <row r="2227" spans="2:9" hidden="1" x14ac:dyDescent="0.4">
      <c r="B2227" s="8" t="s">
        <v>512</v>
      </c>
      <c r="C2227" s="3" t="s">
        <v>2200</v>
      </c>
      <c r="D2227" s="3" t="s">
        <v>2350</v>
      </c>
      <c r="F2227" s="3" t="s">
        <v>399</v>
      </c>
      <c r="I2227" s="3" t="s">
        <v>1833</v>
      </c>
    </row>
    <row r="2228" spans="2:9" ht="29.25" hidden="1" x14ac:dyDescent="0.4">
      <c r="B2228" s="8" t="s">
        <v>518</v>
      </c>
      <c r="C2228" s="3" t="s">
        <v>1348</v>
      </c>
      <c r="D2228" s="3" t="s">
        <v>1340</v>
      </c>
      <c r="E2228" s="3" t="s">
        <v>433</v>
      </c>
      <c r="F2228" s="3" t="s">
        <v>399</v>
      </c>
      <c r="I2228" s="3" t="s">
        <v>1317</v>
      </c>
    </row>
    <row r="2229" spans="2:9" ht="29.25" hidden="1" x14ac:dyDescent="0.4">
      <c r="B2229" s="8" t="s">
        <v>518</v>
      </c>
      <c r="C2229" s="3" t="s">
        <v>1366</v>
      </c>
      <c r="D2229" s="3" t="s">
        <v>1340</v>
      </c>
      <c r="E2229" s="3" t="s">
        <v>433</v>
      </c>
      <c r="F2229" s="3" t="s">
        <v>402</v>
      </c>
      <c r="I2229" s="3" t="s">
        <v>1317</v>
      </c>
    </row>
    <row r="2230" spans="2:9" ht="29.25" hidden="1" x14ac:dyDescent="0.4">
      <c r="B2230" s="8" t="s">
        <v>518</v>
      </c>
      <c r="C2230" s="3" t="s">
        <v>1377</v>
      </c>
      <c r="D2230" s="3" t="s">
        <v>1340</v>
      </c>
      <c r="E2230" s="3" t="s">
        <v>433</v>
      </c>
      <c r="F2230" s="3" t="s">
        <v>399</v>
      </c>
      <c r="I2230" s="3" t="s">
        <v>1317</v>
      </c>
    </row>
    <row r="2231" spans="2:9" ht="29.25" hidden="1" x14ac:dyDescent="0.4">
      <c r="B2231" s="8" t="s">
        <v>518</v>
      </c>
      <c r="C2231" s="3" t="s">
        <v>1374</v>
      </c>
      <c r="D2231" s="3" t="s">
        <v>1340</v>
      </c>
      <c r="E2231" s="3" t="s">
        <v>433</v>
      </c>
      <c r="F2231" s="3" t="s">
        <v>402</v>
      </c>
      <c r="I2231" s="3" t="s">
        <v>1317</v>
      </c>
    </row>
    <row r="2232" spans="2:9" hidden="1" x14ac:dyDescent="0.4">
      <c r="B2232" s="8" t="s">
        <v>517</v>
      </c>
      <c r="C2232" s="3" t="s">
        <v>2958</v>
      </c>
      <c r="D2232" s="3" t="s">
        <v>3197</v>
      </c>
      <c r="E2232" s="3">
        <v>1</v>
      </c>
      <c r="F2232" s="3" t="s">
        <v>402</v>
      </c>
      <c r="I2232" s="3" t="s">
        <v>245</v>
      </c>
    </row>
    <row r="2233" spans="2:9" hidden="1" x14ac:dyDescent="0.4">
      <c r="B2233" s="8" t="s">
        <v>518</v>
      </c>
      <c r="C2233" s="3" t="s">
        <v>4125</v>
      </c>
      <c r="D2233" s="3" t="s">
        <v>3721</v>
      </c>
      <c r="F2233" s="3" t="s">
        <v>399</v>
      </c>
      <c r="G2233" s="3" t="s">
        <v>402</v>
      </c>
      <c r="I2233" s="3" t="s">
        <v>4064</v>
      </c>
    </row>
    <row r="2234" spans="2:9" hidden="1" x14ac:dyDescent="0.4">
      <c r="B2234" s="8" t="s">
        <v>518</v>
      </c>
      <c r="C2234" s="3" t="s">
        <v>4394</v>
      </c>
      <c r="D2234" s="3" t="s">
        <v>4875</v>
      </c>
      <c r="F2234" s="3" t="s">
        <v>399</v>
      </c>
      <c r="I2234" s="3" t="s">
        <v>4064</v>
      </c>
    </row>
    <row r="2235" spans="2:9" hidden="1" x14ac:dyDescent="0.4">
      <c r="B2235" s="8" t="s">
        <v>518</v>
      </c>
      <c r="C2235" s="3" t="s">
        <v>5087</v>
      </c>
      <c r="D2235" s="3" t="s">
        <v>5410</v>
      </c>
      <c r="F2235" s="3" t="s">
        <v>402</v>
      </c>
      <c r="I2235" s="3" t="s">
        <v>4064</v>
      </c>
    </row>
    <row r="2236" spans="2:9" hidden="1" x14ac:dyDescent="0.4">
      <c r="B2236" s="8" t="s">
        <v>518</v>
      </c>
      <c r="C2236" s="3" t="s">
        <v>3412</v>
      </c>
      <c r="D2236" s="3" t="s">
        <v>3721</v>
      </c>
      <c r="F2236" s="3" t="s">
        <v>399</v>
      </c>
      <c r="G2236" s="3" t="s">
        <v>402</v>
      </c>
      <c r="I2236" s="3" t="s">
        <v>4063</v>
      </c>
    </row>
    <row r="2237" spans="2:9" hidden="1" x14ac:dyDescent="0.4">
      <c r="B2237" s="8" t="s">
        <v>518</v>
      </c>
      <c r="C2237" s="3" t="s">
        <v>5745</v>
      </c>
      <c r="D2237" s="3" t="s">
        <v>4875</v>
      </c>
      <c r="F2237" s="3" t="s">
        <v>399</v>
      </c>
      <c r="I2237" s="3" t="s">
        <v>4063</v>
      </c>
    </row>
    <row r="2238" spans="2:9" hidden="1" x14ac:dyDescent="0.4">
      <c r="B2238" s="8" t="s">
        <v>518</v>
      </c>
      <c r="C2238" s="3" t="s">
        <v>6087</v>
      </c>
      <c r="D2238" s="3" t="s">
        <v>5410</v>
      </c>
      <c r="F2238" s="3" t="s">
        <v>402</v>
      </c>
      <c r="I2238" s="3" t="s">
        <v>4063</v>
      </c>
    </row>
    <row r="2239" spans="2:9" hidden="1" x14ac:dyDescent="0.4">
      <c r="B2239" s="8" t="s">
        <v>536</v>
      </c>
      <c r="C2239" s="3" t="s">
        <v>53</v>
      </c>
      <c r="D2239" s="3" t="s">
        <v>115</v>
      </c>
      <c r="F2239" s="3" t="s">
        <v>825</v>
      </c>
      <c r="I2239" s="3" t="s">
        <v>252</v>
      </c>
    </row>
    <row r="2240" spans="2:9" hidden="1" x14ac:dyDescent="0.4">
      <c r="B2240" s="8" t="s">
        <v>517</v>
      </c>
      <c r="C2240" s="3" t="s">
        <v>46</v>
      </c>
      <c r="D2240" s="3" t="s">
        <v>109</v>
      </c>
      <c r="F2240" s="3" t="s">
        <v>400</v>
      </c>
      <c r="I2240" s="3" t="s">
        <v>252</v>
      </c>
    </row>
    <row r="2241" spans="2:9" hidden="1" x14ac:dyDescent="0.4">
      <c r="B2241" s="8" t="s">
        <v>517</v>
      </c>
      <c r="C2241" s="3" t="s">
        <v>50</v>
      </c>
      <c r="D2241" s="3" t="s">
        <v>113</v>
      </c>
      <c r="F2241" s="3" t="s">
        <v>400</v>
      </c>
      <c r="I2241" s="3" t="s">
        <v>252</v>
      </c>
    </row>
    <row r="2242" spans="2:9" hidden="1" x14ac:dyDescent="0.4">
      <c r="B2242" s="8" t="s">
        <v>517</v>
      </c>
      <c r="C2242" s="3" t="s">
        <v>42</v>
      </c>
      <c r="D2242" s="3" t="s">
        <v>105</v>
      </c>
      <c r="F2242" s="3" t="s">
        <v>400</v>
      </c>
      <c r="I2242" s="3" t="s">
        <v>252</v>
      </c>
    </row>
    <row r="2243" spans="2:9" hidden="1" x14ac:dyDescent="0.4">
      <c r="B2243" s="8" t="s">
        <v>517</v>
      </c>
      <c r="C2243" s="3" t="s">
        <v>3059</v>
      </c>
      <c r="D2243" s="3" t="s">
        <v>3292</v>
      </c>
      <c r="E2243" s="3">
        <v>1</v>
      </c>
      <c r="F2243" s="3" t="s">
        <v>3350</v>
      </c>
      <c r="G2243" s="3" t="s">
        <v>399</v>
      </c>
      <c r="H2243" s="3" t="s">
        <v>988</v>
      </c>
      <c r="I2243" s="3" t="s">
        <v>245</v>
      </c>
    </row>
    <row r="2244" spans="2:9" hidden="1" x14ac:dyDescent="0.4">
      <c r="B2244" s="8" t="s">
        <v>517</v>
      </c>
      <c r="C2244" s="3" t="s">
        <v>38</v>
      </c>
      <c r="D2244" s="3" t="s">
        <v>101</v>
      </c>
      <c r="F2244" s="3" t="s">
        <v>400</v>
      </c>
      <c r="I2244" s="3" t="s">
        <v>252</v>
      </c>
    </row>
    <row r="2245" spans="2:9" hidden="1" x14ac:dyDescent="0.4">
      <c r="B2245" s="8" t="s">
        <v>517</v>
      </c>
      <c r="C2245" s="3" t="s">
        <v>2259</v>
      </c>
      <c r="D2245" s="3" t="s">
        <v>2416</v>
      </c>
      <c r="E2245" s="3" t="s">
        <v>1272</v>
      </c>
      <c r="F2245" s="3" t="s">
        <v>399</v>
      </c>
      <c r="I2245" s="3" t="s">
        <v>1833</v>
      </c>
    </row>
    <row r="2246" spans="2:9" hidden="1" x14ac:dyDescent="0.4">
      <c r="B2246" s="8" t="s">
        <v>517</v>
      </c>
      <c r="C2246" s="3" t="s">
        <v>2568</v>
      </c>
      <c r="D2246" s="3" t="s">
        <v>2416</v>
      </c>
      <c r="E2246" s="3" t="s">
        <v>1272</v>
      </c>
      <c r="F2246" s="3" t="s">
        <v>402</v>
      </c>
      <c r="I2246" s="3" t="s">
        <v>1833</v>
      </c>
    </row>
    <row r="2247" spans="2:9" hidden="1" x14ac:dyDescent="0.4">
      <c r="B2247" s="8" t="s">
        <v>517</v>
      </c>
      <c r="C2247" s="3" t="s">
        <v>4303</v>
      </c>
      <c r="D2247" s="3" t="s">
        <v>3916</v>
      </c>
      <c r="F2247" s="3" t="s">
        <v>399</v>
      </c>
      <c r="G2247" s="3" t="s">
        <v>402</v>
      </c>
      <c r="I2247" s="3" t="s">
        <v>4064</v>
      </c>
    </row>
    <row r="2248" spans="2:9" hidden="1" x14ac:dyDescent="0.4">
      <c r="B2248" s="8" t="s">
        <v>517</v>
      </c>
      <c r="C2248" s="3" t="s">
        <v>4506</v>
      </c>
      <c r="D2248" s="3" t="s">
        <v>5000</v>
      </c>
      <c r="F2248" s="3" t="s">
        <v>399</v>
      </c>
      <c r="I2248" s="3" t="s">
        <v>4064</v>
      </c>
    </row>
    <row r="2249" spans="2:9" hidden="1" x14ac:dyDescent="0.4">
      <c r="B2249" s="8" t="s">
        <v>517</v>
      </c>
      <c r="C2249" s="3" t="s">
        <v>5301</v>
      </c>
      <c r="D2249" s="3" t="s">
        <v>5621</v>
      </c>
      <c r="F2249" s="3" t="s">
        <v>402</v>
      </c>
      <c r="I2249" s="3" t="s">
        <v>4064</v>
      </c>
    </row>
    <row r="2250" spans="2:9" hidden="1" x14ac:dyDescent="0.4">
      <c r="B2250" s="8" t="s">
        <v>517</v>
      </c>
      <c r="C2250" s="3" t="s">
        <v>3622</v>
      </c>
      <c r="D2250" s="3" t="s">
        <v>3916</v>
      </c>
      <c r="F2250" s="3" t="s">
        <v>399</v>
      </c>
      <c r="G2250" s="3" t="s">
        <v>402</v>
      </c>
      <c r="I2250" s="3" t="s">
        <v>4063</v>
      </c>
    </row>
    <row r="2251" spans="2:9" hidden="1" x14ac:dyDescent="0.4">
      <c r="B2251" s="8" t="s">
        <v>517</v>
      </c>
      <c r="C2251" s="3" t="s">
        <v>5928</v>
      </c>
      <c r="D2251" s="3" t="s">
        <v>5000</v>
      </c>
      <c r="F2251" s="3" t="s">
        <v>399</v>
      </c>
      <c r="I2251" s="3" t="s">
        <v>4063</v>
      </c>
    </row>
    <row r="2252" spans="2:9" hidden="1" x14ac:dyDescent="0.4">
      <c r="B2252" s="8" t="s">
        <v>517</v>
      </c>
      <c r="C2252" s="3" t="s">
        <v>6274</v>
      </c>
      <c r="D2252" s="3" t="s">
        <v>5621</v>
      </c>
      <c r="F2252" s="3" t="s">
        <v>402</v>
      </c>
      <c r="I2252" s="3" t="s">
        <v>4063</v>
      </c>
    </row>
    <row r="2253" spans="2:9" hidden="1" x14ac:dyDescent="0.4">
      <c r="B2253" s="8" t="s">
        <v>517</v>
      </c>
      <c r="C2253" s="3" t="s">
        <v>3428</v>
      </c>
      <c r="D2253" s="3" t="s">
        <v>3735</v>
      </c>
      <c r="F2253" s="3" t="s">
        <v>399</v>
      </c>
      <c r="G2253" s="3" t="s">
        <v>402</v>
      </c>
      <c r="I2253" s="3" t="s">
        <v>4063</v>
      </c>
    </row>
    <row r="2254" spans="2:9" hidden="1" x14ac:dyDescent="0.4">
      <c r="B2254" s="8" t="s">
        <v>517</v>
      </c>
      <c r="C2254" s="3" t="s">
        <v>5760</v>
      </c>
      <c r="D2254" s="3" t="s">
        <v>4750</v>
      </c>
      <c r="F2254" s="3" t="s">
        <v>399</v>
      </c>
      <c r="I2254" s="3" t="s">
        <v>4063</v>
      </c>
    </row>
    <row r="2255" spans="2:9" hidden="1" x14ac:dyDescent="0.4">
      <c r="B2255" s="8" t="s">
        <v>517</v>
      </c>
      <c r="C2255" s="3" t="s">
        <v>6102</v>
      </c>
      <c r="D2255" s="3" t="s">
        <v>5426</v>
      </c>
      <c r="F2255" s="3" t="s">
        <v>402</v>
      </c>
      <c r="I2255" s="3" t="s">
        <v>4063</v>
      </c>
    </row>
    <row r="2256" spans="2:9" hidden="1" x14ac:dyDescent="0.4">
      <c r="B2256" s="8" t="s">
        <v>517</v>
      </c>
      <c r="C2256" s="3" t="s">
        <v>4136</v>
      </c>
      <c r="D2256" s="3" t="s">
        <v>3735</v>
      </c>
      <c r="F2256" s="3" t="s">
        <v>399</v>
      </c>
      <c r="G2256" s="3" t="s">
        <v>402</v>
      </c>
      <c r="I2256" s="3" t="s">
        <v>4064</v>
      </c>
    </row>
    <row r="2257" spans="2:9" hidden="1" x14ac:dyDescent="0.4">
      <c r="B2257" s="8" t="s">
        <v>517</v>
      </c>
      <c r="C2257" s="3" t="s">
        <v>4399</v>
      </c>
      <c r="D2257" s="3" t="s">
        <v>4750</v>
      </c>
      <c r="F2257" s="3" t="s">
        <v>399</v>
      </c>
      <c r="I2257" s="3" t="s">
        <v>4064</v>
      </c>
    </row>
    <row r="2258" spans="2:9" hidden="1" x14ac:dyDescent="0.4">
      <c r="B2258" s="8" t="s">
        <v>517</v>
      </c>
      <c r="C2258" s="3" t="s">
        <v>5103</v>
      </c>
      <c r="D2258" s="3" t="s">
        <v>5426</v>
      </c>
      <c r="F2258" s="3" t="s">
        <v>402</v>
      </c>
      <c r="I2258" s="3" t="s">
        <v>4064</v>
      </c>
    </row>
    <row r="2259" spans="2:9" hidden="1" x14ac:dyDescent="0.4">
      <c r="B2259" s="8" t="s">
        <v>517</v>
      </c>
      <c r="C2259" s="3" t="s">
        <v>2798</v>
      </c>
      <c r="D2259" s="3" t="s">
        <v>2816</v>
      </c>
      <c r="E2259" s="3" t="s">
        <v>1272</v>
      </c>
      <c r="F2259" s="3" t="s">
        <v>399</v>
      </c>
      <c r="I2259" s="3" t="s">
        <v>2370</v>
      </c>
    </row>
    <row r="2260" spans="2:9" hidden="1" x14ac:dyDescent="0.4">
      <c r="B2260" s="8" t="s">
        <v>518</v>
      </c>
      <c r="C2260" s="3" t="s">
        <v>2756</v>
      </c>
      <c r="D2260" s="3" t="s">
        <v>2773</v>
      </c>
      <c r="E2260" s="3" t="s">
        <v>1272</v>
      </c>
      <c r="F2260" s="3" t="s">
        <v>399</v>
      </c>
      <c r="I2260" s="3" t="s">
        <v>2370</v>
      </c>
    </row>
    <row r="2261" spans="2:9" hidden="1" x14ac:dyDescent="0.4">
      <c r="B2261" s="8" t="s">
        <v>517</v>
      </c>
      <c r="C2261" s="3" t="s">
        <v>4092</v>
      </c>
      <c r="D2261" s="3" t="s">
        <v>3692</v>
      </c>
      <c r="F2261" s="3" t="s">
        <v>399</v>
      </c>
      <c r="G2261" s="3" t="s">
        <v>402</v>
      </c>
      <c r="I2261" s="3" t="s">
        <v>4064</v>
      </c>
    </row>
    <row r="2262" spans="2:9" hidden="1" x14ac:dyDescent="0.4">
      <c r="B2262" s="8" t="s">
        <v>536</v>
      </c>
      <c r="C2262" s="3" t="s">
        <v>2671</v>
      </c>
      <c r="D2262" s="3">
        <v>1</v>
      </c>
      <c r="F2262" s="3" t="s">
        <v>1124</v>
      </c>
      <c r="I2262" s="3" t="s">
        <v>252</v>
      </c>
    </row>
    <row r="2263" spans="2:9" hidden="1" x14ac:dyDescent="0.4">
      <c r="B2263" s="8" t="s">
        <v>518</v>
      </c>
      <c r="C2263" s="3" t="s">
        <v>2832</v>
      </c>
      <c r="D2263" s="3" t="s">
        <v>2829</v>
      </c>
      <c r="E2263" s="3" t="s">
        <v>1272</v>
      </c>
      <c r="F2263" s="3" t="s">
        <v>399</v>
      </c>
      <c r="I2263" s="3" t="s">
        <v>2370</v>
      </c>
    </row>
    <row r="2264" spans="2:9" hidden="1" x14ac:dyDescent="0.4">
      <c r="B2264" s="8" t="s">
        <v>518</v>
      </c>
      <c r="C2264" s="3" t="s">
        <v>2830</v>
      </c>
      <c r="D2264" s="3" t="s">
        <v>2827</v>
      </c>
      <c r="E2264" s="3" t="s">
        <v>1272</v>
      </c>
      <c r="F2264" s="3" t="s">
        <v>399</v>
      </c>
      <c r="I2264" s="3" t="s">
        <v>2370</v>
      </c>
    </row>
    <row r="2265" spans="2:9" hidden="1" x14ac:dyDescent="0.4">
      <c r="B2265" s="8" t="s">
        <v>517</v>
      </c>
      <c r="C2265" s="3" t="s">
        <v>2667</v>
      </c>
      <c r="D2265" s="3" t="s">
        <v>2751</v>
      </c>
      <c r="E2265" s="3" t="s">
        <v>1272</v>
      </c>
      <c r="F2265" s="3" t="s">
        <v>399</v>
      </c>
      <c r="I2265" s="3" t="s">
        <v>2370</v>
      </c>
    </row>
    <row r="2266" spans="2:9" hidden="1" x14ac:dyDescent="0.4">
      <c r="B2266" s="8" t="s">
        <v>517</v>
      </c>
      <c r="C2266" s="3" t="s">
        <v>2753</v>
      </c>
      <c r="D2266" s="3" t="s">
        <v>2771</v>
      </c>
      <c r="E2266" s="3" t="s">
        <v>1272</v>
      </c>
      <c r="F2266" s="3" t="s">
        <v>399</v>
      </c>
      <c r="I2266" s="3" t="s">
        <v>2370</v>
      </c>
    </row>
    <row r="2267" spans="2:9" hidden="1" x14ac:dyDescent="0.4">
      <c r="B2267" s="8" t="s">
        <v>517</v>
      </c>
      <c r="C2267" s="3" t="s">
        <v>2769</v>
      </c>
      <c r="D2267" s="3" t="s">
        <v>2785</v>
      </c>
      <c r="E2267" s="3" t="s">
        <v>1272</v>
      </c>
      <c r="F2267" s="3" t="s">
        <v>399</v>
      </c>
      <c r="I2267" s="3" t="s">
        <v>2370</v>
      </c>
    </row>
    <row r="2268" spans="2:9" hidden="1" x14ac:dyDescent="0.4">
      <c r="B2268" s="8" t="s">
        <v>518</v>
      </c>
      <c r="C2268" s="3" t="s">
        <v>2759</v>
      </c>
      <c r="D2268" s="3" t="s">
        <v>2777</v>
      </c>
      <c r="E2268" s="3" t="s">
        <v>1272</v>
      </c>
      <c r="F2268" s="3" t="s">
        <v>399</v>
      </c>
      <c r="I2268" s="3" t="s">
        <v>2370</v>
      </c>
    </row>
    <row r="2269" spans="2:9" hidden="1" x14ac:dyDescent="0.4">
      <c r="B2269" s="8" t="s">
        <v>517</v>
      </c>
      <c r="C2269" s="3" t="s">
        <v>2765</v>
      </c>
      <c r="D2269" s="3" t="s">
        <v>2781</v>
      </c>
      <c r="E2269" s="3" t="s">
        <v>1272</v>
      </c>
      <c r="F2269" s="3" t="s">
        <v>399</v>
      </c>
      <c r="I2269" s="3" t="s">
        <v>2370</v>
      </c>
    </row>
    <row r="2270" spans="2:9" hidden="1" x14ac:dyDescent="0.4">
      <c r="B2270" s="8" t="s">
        <v>517</v>
      </c>
      <c r="C2270" s="3" t="s">
        <v>2792</v>
      </c>
      <c r="D2270" s="3" t="s">
        <v>2806</v>
      </c>
      <c r="E2270" s="3" t="s">
        <v>1272</v>
      </c>
      <c r="F2270" s="3" t="s">
        <v>399</v>
      </c>
      <c r="I2270" s="3" t="s">
        <v>2370</v>
      </c>
    </row>
    <row r="2271" spans="2:9" hidden="1" x14ac:dyDescent="0.4">
      <c r="B2271" s="8" t="s">
        <v>517</v>
      </c>
      <c r="C2271" s="3" t="s">
        <v>2666</v>
      </c>
      <c r="D2271" s="3" t="s">
        <v>2750</v>
      </c>
      <c r="E2271" s="3" t="s">
        <v>1272</v>
      </c>
      <c r="F2271" s="3" t="s">
        <v>399</v>
      </c>
      <c r="I2271" s="3" t="s">
        <v>2370</v>
      </c>
    </row>
    <row r="2272" spans="2:9" hidden="1" x14ac:dyDescent="0.4">
      <c r="B2272" s="8" t="s">
        <v>517</v>
      </c>
      <c r="C2272" s="3" t="s">
        <v>2793</v>
      </c>
      <c r="D2272" s="3" t="s">
        <v>2808</v>
      </c>
      <c r="E2272" s="3" t="s">
        <v>1272</v>
      </c>
      <c r="F2272" s="3" t="s">
        <v>399</v>
      </c>
      <c r="I2272" s="3" t="s">
        <v>2370</v>
      </c>
    </row>
    <row r="2273" spans="2:9" hidden="1" x14ac:dyDescent="0.4">
      <c r="B2273" s="8" t="s">
        <v>531</v>
      </c>
      <c r="C2273" s="3" t="s">
        <v>2831</v>
      </c>
      <c r="D2273" s="3" t="s">
        <v>2828</v>
      </c>
      <c r="E2273" s="3" t="s">
        <v>1272</v>
      </c>
      <c r="F2273" s="3" t="s">
        <v>399</v>
      </c>
      <c r="I2273" s="3" t="s">
        <v>2370</v>
      </c>
    </row>
    <row r="2274" spans="2:9" hidden="1" x14ac:dyDescent="0.4">
      <c r="B2274" s="8" t="s">
        <v>529</v>
      </c>
      <c r="C2274" s="3" t="s">
        <v>2761</v>
      </c>
      <c r="D2274" s="3" t="s">
        <v>2779</v>
      </c>
      <c r="E2274" s="3" t="s">
        <v>1272</v>
      </c>
      <c r="F2274" s="3" t="s">
        <v>399</v>
      </c>
      <c r="I2274" s="3" t="s">
        <v>2370</v>
      </c>
    </row>
    <row r="2275" spans="2:9" hidden="1" x14ac:dyDescent="0.4">
      <c r="B2275" s="8" t="s">
        <v>517</v>
      </c>
      <c r="C2275" s="3" t="s">
        <v>2766</v>
      </c>
      <c r="D2275" s="3" t="s">
        <v>2782</v>
      </c>
      <c r="E2275" s="3" t="s">
        <v>1272</v>
      </c>
      <c r="F2275" s="3" t="s">
        <v>399</v>
      </c>
      <c r="I2275" s="3" t="s">
        <v>2370</v>
      </c>
    </row>
    <row r="2276" spans="2:9" hidden="1" x14ac:dyDescent="0.4">
      <c r="B2276" s="8" t="s">
        <v>532</v>
      </c>
      <c r="C2276" s="3" t="s">
        <v>2800</v>
      </c>
      <c r="D2276" s="3" t="s">
        <v>2818</v>
      </c>
      <c r="E2276" s="3" t="s">
        <v>1272</v>
      </c>
      <c r="F2276" s="3" t="s">
        <v>399</v>
      </c>
      <c r="I2276" s="3" t="s">
        <v>2370</v>
      </c>
    </row>
    <row r="2277" spans="2:9" hidden="1" x14ac:dyDescent="0.4">
      <c r="B2277" s="8" t="s">
        <v>518</v>
      </c>
      <c r="C2277" s="3" t="s">
        <v>2755</v>
      </c>
      <c r="D2277" s="3" t="s">
        <v>2774</v>
      </c>
      <c r="E2277" s="3" t="s">
        <v>1272</v>
      </c>
      <c r="F2277" s="3" t="s">
        <v>399</v>
      </c>
      <c r="I2277" s="3" t="s">
        <v>2370</v>
      </c>
    </row>
    <row r="2278" spans="2:9" hidden="1" x14ac:dyDescent="0.4">
      <c r="B2278" s="8" t="s">
        <v>517</v>
      </c>
      <c r="C2278" s="3" t="s">
        <v>2802</v>
      </c>
      <c r="D2278" s="3" t="s">
        <v>2820</v>
      </c>
      <c r="E2278" s="3" t="s">
        <v>1272</v>
      </c>
      <c r="F2278" s="3" t="s">
        <v>399</v>
      </c>
      <c r="I2278" s="3" t="s">
        <v>2370</v>
      </c>
    </row>
    <row r="2279" spans="2:9" hidden="1" x14ac:dyDescent="0.4">
      <c r="B2279" s="8" t="s">
        <v>518</v>
      </c>
      <c r="C2279" s="3" t="s">
        <v>971</v>
      </c>
      <c r="D2279" s="3" t="s">
        <v>983</v>
      </c>
      <c r="F2279" s="3" t="s">
        <v>399</v>
      </c>
      <c r="I2279" s="3" t="s">
        <v>510</v>
      </c>
    </row>
    <row r="2280" spans="2:9" hidden="1" x14ac:dyDescent="0.4">
      <c r="B2280" s="8" t="s">
        <v>518</v>
      </c>
      <c r="C2280" s="3" t="s">
        <v>1118</v>
      </c>
      <c r="D2280" s="3" t="s">
        <v>1135</v>
      </c>
      <c r="F2280" s="3" t="s">
        <v>402</v>
      </c>
      <c r="I2280" s="3" t="s">
        <v>510</v>
      </c>
    </row>
    <row r="2281" spans="2:9" hidden="1" x14ac:dyDescent="0.4">
      <c r="B2281" s="8" t="s">
        <v>518</v>
      </c>
      <c r="C2281" s="3" t="s">
        <v>1085</v>
      </c>
      <c r="D2281" s="3" t="s">
        <v>996</v>
      </c>
      <c r="F2281" s="3" t="s">
        <v>402</v>
      </c>
      <c r="G2281" s="3" t="s">
        <v>399</v>
      </c>
      <c r="H2281" s="3" t="s">
        <v>988</v>
      </c>
      <c r="I2281" s="3" t="s">
        <v>510</v>
      </c>
    </row>
    <row r="2282" spans="2:9" hidden="1" x14ac:dyDescent="0.4">
      <c r="B2282" s="8" t="s">
        <v>518</v>
      </c>
      <c r="C2282" s="3" t="s">
        <v>1097</v>
      </c>
      <c r="D2282" s="3" t="s">
        <v>996</v>
      </c>
      <c r="F2282" s="3" t="s">
        <v>402</v>
      </c>
      <c r="I2282" s="3" t="s">
        <v>510</v>
      </c>
    </row>
    <row r="2283" spans="2:9" hidden="1" x14ac:dyDescent="0.4">
      <c r="B2283" s="8" t="s">
        <v>518</v>
      </c>
      <c r="C2283" s="3" t="s">
        <v>1106</v>
      </c>
      <c r="D2283" s="3" t="s">
        <v>996</v>
      </c>
      <c r="F2283" s="3" t="s">
        <v>399</v>
      </c>
      <c r="I2283" s="3" t="s">
        <v>510</v>
      </c>
    </row>
    <row r="2284" spans="2:9" hidden="1" x14ac:dyDescent="0.4">
      <c r="B2284" s="8" t="s">
        <v>517</v>
      </c>
      <c r="C2284" s="3" t="s">
        <v>3034</v>
      </c>
      <c r="D2284" s="3" t="s">
        <v>3270</v>
      </c>
      <c r="E2284" s="3">
        <v>1</v>
      </c>
      <c r="F2284" s="3" t="s">
        <v>402</v>
      </c>
      <c r="I2284" s="3" t="s">
        <v>245</v>
      </c>
    </row>
    <row r="2285" spans="2:9" hidden="1" x14ac:dyDescent="0.4">
      <c r="B2285" s="8" t="s">
        <v>518</v>
      </c>
      <c r="C2285" s="3" t="s">
        <v>4289</v>
      </c>
      <c r="D2285" s="3" t="s">
        <v>4031</v>
      </c>
      <c r="F2285" s="3" t="s">
        <v>399</v>
      </c>
      <c r="G2285" s="3" t="s">
        <v>402</v>
      </c>
      <c r="I2285" s="3" t="s">
        <v>4064</v>
      </c>
    </row>
    <row r="2286" spans="2:9" hidden="1" x14ac:dyDescent="0.4">
      <c r="B2286" s="8" t="s">
        <v>518</v>
      </c>
      <c r="C2286" s="3" t="s">
        <v>4496</v>
      </c>
      <c r="D2286" s="3" t="s">
        <v>4994</v>
      </c>
      <c r="F2286" s="3" t="s">
        <v>399</v>
      </c>
      <c r="I2286" s="3" t="s">
        <v>4064</v>
      </c>
    </row>
    <row r="2287" spans="2:9" hidden="1" x14ac:dyDescent="0.4">
      <c r="B2287" s="8" t="s">
        <v>518</v>
      </c>
      <c r="C2287" s="3" t="s">
        <v>5283</v>
      </c>
      <c r="D2287" s="3" t="s">
        <v>5603</v>
      </c>
      <c r="F2287" s="3" t="s">
        <v>402</v>
      </c>
      <c r="I2287" s="3" t="s">
        <v>4064</v>
      </c>
    </row>
    <row r="2288" spans="2:9" hidden="1" x14ac:dyDescent="0.4">
      <c r="B2288" s="8" t="s">
        <v>518</v>
      </c>
      <c r="C2288" s="3" t="s">
        <v>3604</v>
      </c>
      <c r="D2288" s="3" t="s">
        <v>4031</v>
      </c>
      <c r="F2288" s="3" t="s">
        <v>399</v>
      </c>
      <c r="G2288" s="3" t="s">
        <v>402</v>
      </c>
      <c r="I2288" s="3" t="s">
        <v>4063</v>
      </c>
    </row>
    <row r="2289" spans="2:9" hidden="1" x14ac:dyDescent="0.4">
      <c r="B2289" s="8" t="s">
        <v>518</v>
      </c>
      <c r="C2289" s="3" t="s">
        <v>5910</v>
      </c>
      <c r="D2289" s="3" t="s">
        <v>4994</v>
      </c>
      <c r="F2289" s="3" t="s">
        <v>399</v>
      </c>
      <c r="I2289" s="3" t="s">
        <v>4063</v>
      </c>
    </row>
    <row r="2290" spans="2:9" hidden="1" x14ac:dyDescent="0.4">
      <c r="B2290" s="8" t="s">
        <v>518</v>
      </c>
      <c r="C2290" s="3" t="s">
        <v>6256</v>
      </c>
      <c r="D2290" s="3" t="s">
        <v>5603</v>
      </c>
      <c r="F2290" s="3" t="s">
        <v>402</v>
      </c>
      <c r="I2290" s="3" t="s">
        <v>4063</v>
      </c>
    </row>
    <row r="2291" spans="2:9" hidden="1" x14ac:dyDescent="0.4">
      <c r="B2291" s="8" t="s">
        <v>517</v>
      </c>
      <c r="C2291" s="3" t="s">
        <v>3036</v>
      </c>
      <c r="D2291" s="3" t="s">
        <v>3272</v>
      </c>
      <c r="E2291" s="3">
        <v>1</v>
      </c>
      <c r="F2291" s="3" t="s">
        <v>3350</v>
      </c>
      <c r="G2291" s="3" t="s">
        <v>399</v>
      </c>
      <c r="H2291" s="3" t="s">
        <v>988</v>
      </c>
      <c r="I2291" s="3" t="s">
        <v>245</v>
      </c>
    </row>
    <row r="2292" spans="2:9" hidden="1" x14ac:dyDescent="0.4">
      <c r="B2292" s="8" t="s">
        <v>517</v>
      </c>
      <c r="C2292" s="3" t="s">
        <v>2332</v>
      </c>
      <c r="D2292" s="3" t="s">
        <v>2488</v>
      </c>
      <c r="E2292" s="3" t="s">
        <v>1272</v>
      </c>
      <c r="F2292" s="3" t="s">
        <v>399</v>
      </c>
      <c r="I2292" s="3" t="s">
        <v>1833</v>
      </c>
    </row>
    <row r="2293" spans="2:9" hidden="1" x14ac:dyDescent="0.4">
      <c r="B2293" s="8" t="s">
        <v>517</v>
      </c>
      <c r="C2293" s="3" t="s">
        <v>3396</v>
      </c>
      <c r="D2293" s="3" t="s">
        <v>3706</v>
      </c>
      <c r="F2293" s="3" t="s">
        <v>399</v>
      </c>
      <c r="G2293" s="3" t="s">
        <v>402</v>
      </c>
      <c r="I2293" s="3" t="s">
        <v>4063</v>
      </c>
    </row>
    <row r="2294" spans="2:9" hidden="1" x14ac:dyDescent="0.4">
      <c r="B2294" s="8" t="s">
        <v>517</v>
      </c>
      <c r="C2294" s="3" t="s">
        <v>5984</v>
      </c>
      <c r="D2294" s="3" t="s">
        <v>4870</v>
      </c>
      <c r="F2294" s="3" t="s">
        <v>399</v>
      </c>
      <c r="I2294" s="3" t="s">
        <v>4063</v>
      </c>
    </row>
    <row r="2295" spans="2:9" hidden="1" x14ac:dyDescent="0.4">
      <c r="B2295" s="8" t="s">
        <v>517</v>
      </c>
      <c r="C2295" s="3" t="s">
        <v>6332</v>
      </c>
      <c r="D2295" s="3" t="s">
        <v>5395</v>
      </c>
      <c r="F2295" s="3" t="s">
        <v>402</v>
      </c>
      <c r="I2295" s="3" t="s">
        <v>4063</v>
      </c>
    </row>
    <row r="2296" spans="2:9" hidden="1" x14ac:dyDescent="0.4">
      <c r="B2296" s="8" t="s">
        <v>517</v>
      </c>
      <c r="C2296" s="3" t="s">
        <v>2632</v>
      </c>
      <c r="D2296" s="3" t="s">
        <v>2488</v>
      </c>
      <c r="E2296" s="3" t="s">
        <v>1272</v>
      </c>
      <c r="F2296" s="3" t="s">
        <v>402</v>
      </c>
      <c r="I2296" s="3" t="s">
        <v>1833</v>
      </c>
    </row>
    <row r="2297" spans="2:9" hidden="1" x14ac:dyDescent="0.4">
      <c r="B2297" s="8" t="s">
        <v>517</v>
      </c>
      <c r="C2297" s="3" t="s">
        <v>4104</v>
      </c>
      <c r="D2297" s="3" t="s">
        <v>3706</v>
      </c>
      <c r="F2297" s="3" t="s">
        <v>399</v>
      </c>
      <c r="G2297" s="3" t="s">
        <v>402</v>
      </c>
      <c r="I2297" s="3" t="s">
        <v>4064</v>
      </c>
    </row>
    <row r="2298" spans="2:9" hidden="1" x14ac:dyDescent="0.4">
      <c r="B2298" s="8" t="s">
        <v>517</v>
      </c>
      <c r="C2298" s="3" t="s">
        <v>4381</v>
      </c>
      <c r="D2298" s="3" t="s">
        <v>4870</v>
      </c>
      <c r="F2298" s="3" t="s">
        <v>399</v>
      </c>
      <c r="I2298" s="3" t="s">
        <v>4064</v>
      </c>
    </row>
    <row r="2299" spans="2:9" hidden="1" x14ac:dyDescent="0.4">
      <c r="B2299" s="8" t="s">
        <v>517</v>
      </c>
      <c r="C2299" s="3" t="s">
        <v>5064</v>
      </c>
      <c r="D2299" s="3" t="s">
        <v>5395</v>
      </c>
      <c r="F2299" s="3" t="s">
        <v>402</v>
      </c>
      <c r="I2299" s="3" t="s">
        <v>4064</v>
      </c>
    </row>
    <row r="2300" spans="2:9" hidden="1" x14ac:dyDescent="0.4">
      <c r="B2300" s="8" t="s">
        <v>517</v>
      </c>
      <c r="C2300" s="3" t="s">
        <v>1392</v>
      </c>
      <c r="D2300" s="3" t="s">
        <v>1426</v>
      </c>
      <c r="F2300" s="3" t="s">
        <v>399</v>
      </c>
      <c r="G2300" s="3" t="s">
        <v>402</v>
      </c>
      <c r="H2300" s="3" t="s">
        <v>1279</v>
      </c>
      <c r="I2300" s="3" t="s">
        <v>1414</v>
      </c>
    </row>
    <row r="2301" spans="2:9" hidden="1" x14ac:dyDescent="0.4">
      <c r="B2301" s="8" t="s">
        <v>517</v>
      </c>
      <c r="C2301" s="3" t="s">
        <v>1536</v>
      </c>
      <c r="D2301" s="3" t="s">
        <v>1426</v>
      </c>
      <c r="F2301" s="3" t="s">
        <v>402</v>
      </c>
      <c r="I2301" s="3" t="s">
        <v>1414</v>
      </c>
    </row>
    <row r="2302" spans="2:9" hidden="1" x14ac:dyDescent="0.4">
      <c r="B2302" s="8" t="s">
        <v>2143</v>
      </c>
      <c r="C2302" s="3" t="s">
        <v>4120</v>
      </c>
      <c r="D2302" s="3" t="s">
        <v>4022</v>
      </c>
      <c r="F2302" s="3" t="s">
        <v>399</v>
      </c>
      <c r="G2302" s="3" t="s">
        <v>402</v>
      </c>
      <c r="I2302" s="3" t="s">
        <v>4064</v>
      </c>
    </row>
    <row r="2303" spans="2:9" hidden="1" x14ac:dyDescent="0.4">
      <c r="B2303" s="8" t="s">
        <v>2143</v>
      </c>
      <c r="C2303" s="3" t="s">
        <v>4391</v>
      </c>
      <c r="D2303" s="3" t="s">
        <v>4873</v>
      </c>
      <c r="F2303" s="3" t="s">
        <v>399</v>
      </c>
      <c r="I2303" s="3" t="s">
        <v>4064</v>
      </c>
    </row>
    <row r="2304" spans="2:9" hidden="1" x14ac:dyDescent="0.4">
      <c r="B2304" s="8" t="s">
        <v>2143</v>
      </c>
      <c r="C2304" s="3" t="s">
        <v>5080</v>
      </c>
      <c r="D2304" s="3" t="s">
        <v>5680</v>
      </c>
      <c r="F2304" s="3" t="s">
        <v>402</v>
      </c>
      <c r="I2304" s="3" t="s">
        <v>4064</v>
      </c>
    </row>
    <row r="2305" spans="2:9" hidden="1" x14ac:dyDescent="0.4">
      <c r="B2305" s="8" t="s">
        <v>517</v>
      </c>
      <c r="C2305" s="3" t="s">
        <v>2940</v>
      </c>
      <c r="D2305" s="3" t="s">
        <v>3178</v>
      </c>
      <c r="E2305" s="3">
        <v>1</v>
      </c>
      <c r="F2305" s="3" t="s">
        <v>402</v>
      </c>
      <c r="G2305" s="3" t="s">
        <v>988</v>
      </c>
      <c r="H2305" s="3" t="s">
        <v>399</v>
      </c>
      <c r="I2305" s="3" t="s">
        <v>245</v>
      </c>
    </row>
    <row r="2306" spans="2:9" hidden="1" x14ac:dyDescent="0.4">
      <c r="B2306" s="8" t="s">
        <v>517</v>
      </c>
      <c r="C2306" s="3" t="s">
        <v>355</v>
      </c>
      <c r="D2306" s="3" t="s">
        <v>379</v>
      </c>
      <c r="F2306" s="3" t="s">
        <v>399</v>
      </c>
      <c r="I2306" s="3" t="s">
        <v>267</v>
      </c>
    </row>
    <row r="2307" spans="2:9" hidden="1" x14ac:dyDescent="0.4">
      <c r="B2307" s="8" t="s">
        <v>517</v>
      </c>
      <c r="C2307" s="3" t="s">
        <v>1932</v>
      </c>
      <c r="D2307" s="3" t="s">
        <v>1963</v>
      </c>
      <c r="E2307" s="3" t="s">
        <v>7805</v>
      </c>
      <c r="F2307" s="3" t="s">
        <v>402</v>
      </c>
      <c r="I2307" s="3" t="s">
        <v>1865</v>
      </c>
    </row>
    <row r="2308" spans="2:9" hidden="1" x14ac:dyDescent="0.4">
      <c r="B2308" s="8" t="s">
        <v>516</v>
      </c>
      <c r="C2308" s="3" t="s">
        <v>2128</v>
      </c>
      <c r="D2308" s="3" t="s">
        <v>2138</v>
      </c>
      <c r="F2308" s="3" t="s">
        <v>399</v>
      </c>
      <c r="I2308" s="3" t="s">
        <v>1865</v>
      </c>
    </row>
    <row r="2309" spans="2:9" hidden="1" x14ac:dyDescent="0.4">
      <c r="B2309" s="8" t="s">
        <v>516</v>
      </c>
      <c r="C2309" s="3" t="s">
        <v>2123</v>
      </c>
      <c r="D2309" s="3" t="s">
        <v>2133</v>
      </c>
      <c r="F2309" s="3" t="s">
        <v>399</v>
      </c>
      <c r="I2309" s="3" t="s">
        <v>1865</v>
      </c>
    </row>
    <row r="2310" spans="2:9" hidden="1" x14ac:dyDescent="0.4">
      <c r="B2310" s="8" t="s">
        <v>517</v>
      </c>
      <c r="C2310" s="3" t="s">
        <v>4300</v>
      </c>
      <c r="D2310" s="3" t="s">
        <v>3913</v>
      </c>
      <c r="F2310" s="3" t="s">
        <v>399</v>
      </c>
      <c r="G2310" s="3" t="s">
        <v>402</v>
      </c>
      <c r="I2310" s="3" t="s">
        <v>4064</v>
      </c>
    </row>
    <row r="2311" spans="2:9" hidden="1" x14ac:dyDescent="0.4">
      <c r="B2311" s="8" t="s">
        <v>517</v>
      </c>
      <c r="C2311" s="3" t="s">
        <v>3619</v>
      </c>
      <c r="D2311" s="3" t="s">
        <v>3913</v>
      </c>
      <c r="F2311" s="3" t="s">
        <v>399</v>
      </c>
      <c r="G2311" s="3" t="s">
        <v>402</v>
      </c>
      <c r="I2311" s="3" t="s">
        <v>4063</v>
      </c>
    </row>
    <row r="2312" spans="2:9" hidden="1" x14ac:dyDescent="0.4">
      <c r="B2312" s="8" t="s">
        <v>517</v>
      </c>
      <c r="C2312" s="3" t="s">
        <v>5925</v>
      </c>
      <c r="D2312" s="3" t="s">
        <v>4960</v>
      </c>
      <c r="F2312" s="3" t="s">
        <v>399</v>
      </c>
      <c r="I2312" s="3" t="s">
        <v>4063</v>
      </c>
    </row>
    <row r="2313" spans="2:9" hidden="1" x14ac:dyDescent="0.4">
      <c r="B2313" s="8" t="s">
        <v>517</v>
      </c>
      <c r="C2313" s="3" t="s">
        <v>6271</v>
      </c>
      <c r="D2313" s="3" t="s">
        <v>5618</v>
      </c>
      <c r="F2313" s="3" t="s">
        <v>402</v>
      </c>
      <c r="I2313" s="3" t="s">
        <v>4063</v>
      </c>
    </row>
    <row r="2314" spans="2:9" hidden="1" x14ac:dyDescent="0.4">
      <c r="B2314" s="8" t="s">
        <v>517</v>
      </c>
      <c r="C2314" s="3" t="s">
        <v>4686</v>
      </c>
      <c r="D2314" s="3" t="s">
        <v>4960</v>
      </c>
      <c r="F2314" s="3" t="s">
        <v>399</v>
      </c>
      <c r="I2314" s="3" t="s">
        <v>4064</v>
      </c>
    </row>
    <row r="2315" spans="2:9" hidden="1" x14ac:dyDescent="0.4">
      <c r="B2315" s="8" t="s">
        <v>517</v>
      </c>
      <c r="C2315" s="3" t="s">
        <v>5298</v>
      </c>
      <c r="D2315" s="3" t="s">
        <v>5618</v>
      </c>
      <c r="F2315" s="3" t="s">
        <v>402</v>
      </c>
      <c r="I2315" s="3" t="s">
        <v>4064</v>
      </c>
    </row>
    <row r="2316" spans="2:9" hidden="1" x14ac:dyDescent="0.4">
      <c r="B2316" s="8" t="s">
        <v>517</v>
      </c>
      <c r="C2316" s="3" t="s">
        <v>195</v>
      </c>
      <c r="D2316" s="3" t="s">
        <v>587</v>
      </c>
      <c r="F2316" s="3" t="s">
        <v>399</v>
      </c>
      <c r="I2316" s="3" t="s">
        <v>267</v>
      </c>
    </row>
    <row r="2317" spans="2:9" hidden="1" x14ac:dyDescent="0.4">
      <c r="B2317" s="8" t="s">
        <v>517</v>
      </c>
      <c r="C2317" s="3" t="s">
        <v>195</v>
      </c>
      <c r="D2317" s="3" t="s">
        <v>551</v>
      </c>
      <c r="F2317" s="3" t="s">
        <v>399</v>
      </c>
      <c r="I2317" s="3" t="s">
        <v>267</v>
      </c>
    </row>
    <row r="2318" spans="2:9" hidden="1" x14ac:dyDescent="0.4">
      <c r="B2318" s="8" t="s">
        <v>529</v>
      </c>
      <c r="C2318" s="3" t="s">
        <v>1383</v>
      </c>
      <c r="D2318" s="3" t="s">
        <v>1415</v>
      </c>
      <c r="F2318" s="3" t="s">
        <v>399</v>
      </c>
      <c r="I2318" s="3" t="s">
        <v>1335</v>
      </c>
    </row>
    <row r="2319" spans="2:9" hidden="1" x14ac:dyDescent="0.4">
      <c r="B2319" s="8" t="s">
        <v>517</v>
      </c>
      <c r="C2319" s="3" t="s">
        <v>3051</v>
      </c>
      <c r="D2319" s="3" t="s">
        <v>3286</v>
      </c>
      <c r="E2319" s="3">
        <v>1</v>
      </c>
      <c r="F2319" s="3" t="s">
        <v>402</v>
      </c>
      <c r="I2319" s="3" t="s">
        <v>245</v>
      </c>
    </row>
    <row r="2320" spans="2:9" hidden="1" x14ac:dyDescent="0.4">
      <c r="B2320" s="8" t="s">
        <v>517</v>
      </c>
      <c r="C2320" s="3" t="s">
        <v>3091</v>
      </c>
      <c r="D2320" s="3" t="s">
        <v>3323</v>
      </c>
      <c r="E2320" s="3">
        <v>1</v>
      </c>
      <c r="F2320" s="3" t="s">
        <v>402</v>
      </c>
      <c r="G2320" s="3" t="s">
        <v>399</v>
      </c>
      <c r="I2320" s="3" t="s">
        <v>245</v>
      </c>
    </row>
    <row r="2321" spans="2:9" hidden="1" x14ac:dyDescent="0.4">
      <c r="B2321" s="8" t="s">
        <v>1004</v>
      </c>
      <c r="C2321" s="3" t="s">
        <v>2196</v>
      </c>
      <c r="D2321" s="3" t="s">
        <v>2347</v>
      </c>
      <c r="F2321" s="3" t="s">
        <v>399</v>
      </c>
      <c r="I2321" s="3" t="s">
        <v>1833</v>
      </c>
    </row>
    <row r="2322" spans="2:9" hidden="1" x14ac:dyDescent="0.4">
      <c r="B2322" s="8" t="s">
        <v>517</v>
      </c>
      <c r="C2322" s="3" t="s">
        <v>2946</v>
      </c>
      <c r="D2322" s="3" t="s">
        <v>3185</v>
      </c>
      <c r="E2322" s="3">
        <v>1</v>
      </c>
      <c r="F2322" s="3" t="s">
        <v>399</v>
      </c>
      <c r="G2322" s="3" t="s">
        <v>402</v>
      </c>
      <c r="I2322" s="3" t="s">
        <v>1335</v>
      </c>
    </row>
    <row r="2323" spans="2:9" hidden="1" x14ac:dyDescent="0.4">
      <c r="B2323" s="8" t="s">
        <v>529</v>
      </c>
      <c r="C2323" s="3" t="s">
        <v>4200</v>
      </c>
      <c r="D2323" s="3" t="s">
        <v>3802</v>
      </c>
      <c r="F2323" s="3" t="s">
        <v>399</v>
      </c>
      <c r="G2323" s="3" t="s">
        <v>402</v>
      </c>
      <c r="I2323" s="3" t="s">
        <v>4064</v>
      </c>
    </row>
    <row r="2324" spans="2:9" hidden="1" x14ac:dyDescent="0.4">
      <c r="B2324" s="8" t="s">
        <v>529</v>
      </c>
      <c r="C2324" s="3" t="s">
        <v>4656</v>
      </c>
      <c r="D2324" s="3" t="s">
        <v>4779</v>
      </c>
      <c r="F2324" s="3" t="s">
        <v>399</v>
      </c>
      <c r="I2324" s="3" t="s">
        <v>4064</v>
      </c>
    </row>
    <row r="2325" spans="2:9" hidden="1" x14ac:dyDescent="0.4">
      <c r="B2325" s="8" t="s">
        <v>529</v>
      </c>
      <c r="C2325" s="3" t="s">
        <v>5172</v>
      </c>
      <c r="D2325" s="3" t="s">
        <v>5493</v>
      </c>
      <c r="F2325" s="3" t="s">
        <v>402</v>
      </c>
      <c r="I2325" s="3" t="s">
        <v>4064</v>
      </c>
    </row>
    <row r="2326" spans="2:9" hidden="1" x14ac:dyDescent="0.4">
      <c r="B2326" s="8" t="s">
        <v>529</v>
      </c>
      <c r="C2326" s="3" t="s">
        <v>3499</v>
      </c>
      <c r="D2326" s="3" t="s">
        <v>3802</v>
      </c>
      <c r="F2326" s="3" t="s">
        <v>399</v>
      </c>
      <c r="G2326" s="3" t="s">
        <v>402</v>
      </c>
      <c r="I2326" s="3" t="s">
        <v>4063</v>
      </c>
    </row>
    <row r="2327" spans="2:9" hidden="1" x14ac:dyDescent="0.4">
      <c r="B2327" s="8" t="s">
        <v>529</v>
      </c>
      <c r="C2327" s="3" t="s">
        <v>5995</v>
      </c>
      <c r="D2327" s="3" t="s">
        <v>4779</v>
      </c>
      <c r="F2327" s="3" t="s">
        <v>399</v>
      </c>
      <c r="I2327" s="3" t="s">
        <v>4063</v>
      </c>
    </row>
    <row r="2328" spans="2:9" hidden="1" x14ac:dyDescent="0.4">
      <c r="B2328" s="8" t="s">
        <v>529</v>
      </c>
      <c r="C2328" s="3" t="s">
        <v>6344</v>
      </c>
      <c r="D2328" s="3" t="s">
        <v>5493</v>
      </c>
      <c r="F2328" s="3" t="s">
        <v>402</v>
      </c>
      <c r="I2328" s="3" t="s">
        <v>4063</v>
      </c>
    </row>
    <row r="2329" spans="2:9" hidden="1" x14ac:dyDescent="0.4">
      <c r="B2329" s="8" t="s">
        <v>536</v>
      </c>
      <c r="C2329" s="3" t="s">
        <v>452</v>
      </c>
      <c r="D2329" s="3" t="s">
        <v>755</v>
      </c>
      <c r="E2329" s="3" t="s">
        <v>432</v>
      </c>
      <c r="F2329" s="3" t="s">
        <v>12779</v>
      </c>
      <c r="G2329" s="3" t="s">
        <v>430</v>
      </c>
      <c r="I2329" s="3" t="s">
        <v>472</v>
      </c>
    </row>
    <row r="2330" spans="2:9" hidden="1" x14ac:dyDescent="0.4">
      <c r="B2330" s="8" t="s">
        <v>531</v>
      </c>
      <c r="C2330" s="3" t="s">
        <v>444</v>
      </c>
      <c r="D2330" s="3" t="s">
        <v>730</v>
      </c>
      <c r="E2330" s="3" t="s">
        <v>432</v>
      </c>
      <c r="F2330" s="3" t="s">
        <v>12779</v>
      </c>
      <c r="G2330" s="3" t="s">
        <v>430</v>
      </c>
      <c r="I2330" s="3" t="s">
        <v>472</v>
      </c>
    </row>
    <row r="2331" spans="2:9" hidden="1" x14ac:dyDescent="0.4">
      <c r="B2331" s="8" t="s">
        <v>536</v>
      </c>
      <c r="C2331" s="3" t="s">
        <v>444</v>
      </c>
      <c r="D2331" s="3" t="s">
        <v>722</v>
      </c>
      <c r="E2331" s="3" t="s">
        <v>432</v>
      </c>
      <c r="F2331" s="3" t="s">
        <v>12779</v>
      </c>
      <c r="G2331" s="3" t="s">
        <v>430</v>
      </c>
      <c r="I2331" s="3" t="s">
        <v>472</v>
      </c>
    </row>
    <row r="2332" spans="2:9" hidden="1" x14ac:dyDescent="0.4">
      <c r="B2332" s="8" t="s">
        <v>517</v>
      </c>
      <c r="C2332" s="3" t="s">
        <v>2906</v>
      </c>
      <c r="D2332" s="3" t="s">
        <v>3147</v>
      </c>
      <c r="E2332" s="3">
        <v>1</v>
      </c>
      <c r="F2332" s="3" t="s">
        <v>402</v>
      </c>
      <c r="G2332" s="3" t="s">
        <v>988</v>
      </c>
      <c r="I2332" s="3" t="s">
        <v>245</v>
      </c>
    </row>
    <row r="2333" spans="2:9" hidden="1" x14ac:dyDescent="0.4">
      <c r="B2333" s="8" t="s">
        <v>517</v>
      </c>
      <c r="C2333" s="3" t="s">
        <v>4012</v>
      </c>
      <c r="D2333" s="3" t="s">
        <v>4013</v>
      </c>
      <c r="F2333" s="3" t="s">
        <v>399</v>
      </c>
      <c r="G2333" s="3" t="s">
        <v>402</v>
      </c>
      <c r="I2333" s="3" t="s">
        <v>4063</v>
      </c>
    </row>
    <row r="2334" spans="2:9" hidden="1" x14ac:dyDescent="0.4">
      <c r="B2334" s="8" t="s">
        <v>517</v>
      </c>
      <c r="C2334" s="3" t="s">
        <v>5973</v>
      </c>
      <c r="D2334" s="3" t="s">
        <v>5019</v>
      </c>
      <c r="F2334" s="3" t="s">
        <v>399</v>
      </c>
      <c r="I2334" s="3" t="s">
        <v>4063</v>
      </c>
    </row>
    <row r="2335" spans="2:9" hidden="1" x14ac:dyDescent="0.4">
      <c r="B2335" s="8" t="s">
        <v>517</v>
      </c>
      <c r="C2335" s="3" t="s">
        <v>6321</v>
      </c>
      <c r="D2335" s="3" t="s">
        <v>5672</v>
      </c>
      <c r="F2335" s="3" t="s">
        <v>402</v>
      </c>
      <c r="I2335" s="3" t="s">
        <v>4063</v>
      </c>
    </row>
    <row r="2336" spans="2:9" hidden="1" x14ac:dyDescent="0.4">
      <c r="B2336" s="8" t="s">
        <v>517</v>
      </c>
      <c r="C2336" s="3" t="s">
        <v>4698</v>
      </c>
      <c r="D2336" s="3" t="s">
        <v>5019</v>
      </c>
      <c r="F2336" s="3" t="s">
        <v>399</v>
      </c>
      <c r="I2336" s="3" t="s">
        <v>4064</v>
      </c>
    </row>
    <row r="2337" spans="2:9" hidden="1" x14ac:dyDescent="0.4">
      <c r="B2337" s="8" t="s">
        <v>517</v>
      </c>
      <c r="C2337" s="3" t="s">
        <v>5353</v>
      </c>
      <c r="D2337" s="3" t="s">
        <v>5672</v>
      </c>
      <c r="F2337" s="3" t="s">
        <v>402</v>
      </c>
      <c r="I2337" s="3" t="s">
        <v>4064</v>
      </c>
    </row>
    <row r="2338" spans="2:9" hidden="1" x14ac:dyDescent="0.4">
      <c r="B2338" s="8" t="s">
        <v>517</v>
      </c>
      <c r="C2338" s="3" t="s">
        <v>4354</v>
      </c>
      <c r="D2338" s="3" t="s">
        <v>4013</v>
      </c>
      <c r="F2338" s="3" t="s">
        <v>399</v>
      </c>
      <c r="G2338" s="3" t="s">
        <v>402</v>
      </c>
      <c r="I2338" s="3" t="s">
        <v>4064</v>
      </c>
    </row>
    <row r="2339" spans="2:9" hidden="1" x14ac:dyDescent="0.4">
      <c r="B2339" s="8" t="s">
        <v>529</v>
      </c>
      <c r="C2339" s="3" t="s">
        <v>4339</v>
      </c>
      <c r="D2339" s="3" t="s">
        <v>3982</v>
      </c>
      <c r="F2339" s="3" t="s">
        <v>399</v>
      </c>
      <c r="G2339" s="3" t="s">
        <v>402</v>
      </c>
      <c r="I2339" s="3" t="s">
        <v>4064</v>
      </c>
    </row>
    <row r="2340" spans="2:9" hidden="1" x14ac:dyDescent="0.4">
      <c r="B2340" s="8" t="s">
        <v>529</v>
      </c>
      <c r="C2340" s="3" t="s">
        <v>4532</v>
      </c>
      <c r="D2340" s="3" t="s">
        <v>4939</v>
      </c>
      <c r="F2340" s="3" t="s">
        <v>399</v>
      </c>
      <c r="I2340" s="3" t="s">
        <v>4064</v>
      </c>
    </row>
    <row r="2341" spans="2:9" hidden="1" x14ac:dyDescent="0.4">
      <c r="B2341" s="8" t="s">
        <v>529</v>
      </c>
      <c r="C2341" s="3" t="s">
        <v>5340</v>
      </c>
      <c r="D2341" s="3" t="s">
        <v>5659</v>
      </c>
      <c r="F2341" s="3" t="s">
        <v>402</v>
      </c>
      <c r="I2341" s="3" t="s">
        <v>4064</v>
      </c>
    </row>
    <row r="2342" spans="2:9" hidden="1" x14ac:dyDescent="0.4">
      <c r="B2342" s="8" t="s">
        <v>4055</v>
      </c>
      <c r="C2342" s="3" t="s">
        <v>4340</v>
      </c>
      <c r="D2342" s="3" t="s">
        <v>3982</v>
      </c>
      <c r="F2342" s="3" t="s">
        <v>399</v>
      </c>
      <c r="G2342" s="3" t="s">
        <v>402</v>
      </c>
      <c r="I2342" s="3" t="s">
        <v>4064</v>
      </c>
    </row>
    <row r="2343" spans="2:9" hidden="1" x14ac:dyDescent="0.4">
      <c r="B2343" s="8" t="s">
        <v>529</v>
      </c>
      <c r="C2343" s="3" t="s">
        <v>3980</v>
      </c>
      <c r="D2343" s="3" t="s">
        <v>3982</v>
      </c>
      <c r="F2343" s="3" t="s">
        <v>399</v>
      </c>
      <c r="G2343" s="3" t="s">
        <v>402</v>
      </c>
      <c r="I2343" s="3" t="s">
        <v>4063</v>
      </c>
    </row>
    <row r="2344" spans="2:9" hidden="1" x14ac:dyDescent="0.4">
      <c r="B2344" s="8" t="s">
        <v>529</v>
      </c>
      <c r="C2344" s="3" t="s">
        <v>6016</v>
      </c>
      <c r="D2344" s="3" t="s">
        <v>4939</v>
      </c>
      <c r="F2344" s="3" t="s">
        <v>399</v>
      </c>
      <c r="I2344" s="3" t="s">
        <v>4063</v>
      </c>
    </row>
    <row r="2345" spans="2:9" hidden="1" x14ac:dyDescent="0.4">
      <c r="B2345" s="8" t="s">
        <v>529</v>
      </c>
      <c r="C2345" s="3" t="s">
        <v>6365</v>
      </c>
      <c r="D2345" s="3" t="s">
        <v>5659</v>
      </c>
      <c r="F2345" s="3" t="s">
        <v>402</v>
      </c>
      <c r="I2345" s="3" t="s">
        <v>4063</v>
      </c>
    </row>
    <row r="2346" spans="2:9" hidden="1" x14ac:dyDescent="0.4">
      <c r="B2346" s="8" t="s">
        <v>4055</v>
      </c>
      <c r="C2346" s="3" t="s">
        <v>6366</v>
      </c>
      <c r="D2346" s="3" t="s">
        <v>5659</v>
      </c>
      <c r="F2346" s="3" t="s">
        <v>402</v>
      </c>
      <c r="I2346" s="3" t="s">
        <v>4063</v>
      </c>
    </row>
    <row r="2347" spans="2:9" hidden="1" x14ac:dyDescent="0.4">
      <c r="B2347" s="8" t="s">
        <v>4055</v>
      </c>
      <c r="C2347" s="3" t="s">
        <v>6017</v>
      </c>
      <c r="D2347" s="3" t="s">
        <v>4939</v>
      </c>
      <c r="F2347" s="3" t="s">
        <v>399</v>
      </c>
      <c r="I2347" s="3" t="s">
        <v>4063</v>
      </c>
    </row>
    <row r="2348" spans="2:9" hidden="1" x14ac:dyDescent="0.4">
      <c r="B2348" s="8" t="s">
        <v>4055</v>
      </c>
      <c r="C2348" s="3" t="s">
        <v>3981</v>
      </c>
      <c r="D2348" s="3" t="s">
        <v>3982</v>
      </c>
      <c r="F2348" s="3" t="s">
        <v>399</v>
      </c>
      <c r="G2348" s="3" t="s">
        <v>402</v>
      </c>
      <c r="I2348" s="3" t="s">
        <v>4063</v>
      </c>
    </row>
    <row r="2349" spans="2:9" hidden="1" x14ac:dyDescent="0.4">
      <c r="B2349" s="8" t="s">
        <v>517</v>
      </c>
      <c r="C2349" s="3" t="s">
        <v>298</v>
      </c>
      <c r="D2349" s="3" t="s">
        <v>588</v>
      </c>
      <c r="F2349" s="3" t="s">
        <v>399</v>
      </c>
      <c r="I2349" s="3" t="s">
        <v>267</v>
      </c>
    </row>
    <row r="2350" spans="2:9" hidden="1" x14ac:dyDescent="0.4">
      <c r="B2350" s="8" t="s">
        <v>517</v>
      </c>
      <c r="C2350" s="3" t="s">
        <v>3392</v>
      </c>
      <c r="D2350" s="3" t="s">
        <v>3701</v>
      </c>
      <c r="F2350" s="3" t="s">
        <v>399</v>
      </c>
      <c r="G2350" s="3" t="s">
        <v>402</v>
      </c>
      <c r="I2350" s="3" t="s">
        <v>4063</v>
      </c>
    </row>
    <row r="2351" spans="2:9" hidden="1" x14ac:dyDescent="0.4">
      <c r="B2351" s="8" t="s">
        <v>517</v>
      </c>
      <c r="C2351" s="3" t="s">
        <v>5725</v>
      </c>
      <c r="D2351" s="3" t="s">
        <v>4722</v>
      </c>
      <c r="F2351" s="3" t="s">
        <v>399</v>
      </c>
      <c r="I2351" s="3" t="s">
        <v>4063</v>
      </c>
    </row>
    <row r="2352" spans="2:9" hidden="1" x14ac:dyDescent="0.4">
      <c r="B2352" s="8" t="s">
        <v>517</v>
      </c>
      <c r="C2352" s="3" t="s">
        <v>6066</v>
      </c>
      <c r="D2352" s="3" t="s">
        <v>5391</v>
      </c>
      <c r="F2352" s="3" t="s">
        <v>402</v>
      </c>
      <c r="I2352" s="3" t="s">
        <v>4063</v>
      </c>
    </row>
    <row r="2353" spans="2:9" hidden="1" x14ac:dyDescent="0.4">
      <c r="B2353" s="8" t="s">
        <v>518</v>
      </c>
      <c r="C2353" s="3" t="s">
        <v>2955</v>
      </c>
      <c r="D2353" s="3" t="s">
        <v>3194</v>
      </c>
      <c r="E2353" s="3">
        <v>1</v>
      </c>
      <c r="F2353" s="3" t="s">
        <v>402</v>
      </c>
      <c r="G2353" s="3" t="s">
        <v>399</v>
      </c>
      <c r="I2353" s="3" t="s">
        <v>245</v>
      </c>
    </row>
    <row r="2354" spans="2:9" hidden="1" x14ac:dyDescent="0.4">
      <c r="B2354" s="8" t="s">
        <v>2143</v>
      </c>
      <c r="C2354" s="3" t="s">
        <v>4117</v>
      </c>
      <c r="D2354" s="3" t="s">
        <v>3715</v>
      </c>
      <c r="F2354" s="3" t="s">
        <v>399</v>
      </c>
      <c r="G2354" s="3" t="s">
        <v>402</v>
      </c>
      <c r="I2354" s="3" t="s">
        <v>4064</v>
      </c>
    </row>
    <row r="2355" spans="2:9" hidden="1" x14ac:dyDescent="0.4">
      <c r="B2355" s="8" t="s">
        <v>2143</v>
      </c>
      <c r="C2355" s="3" t="s">
        <v>4616</v>
      </c>
      <c r="D2355" s="3" t="s">
        <v>4872</v>
      </c>
      <c r="F2355" s="3" t="s">
        <v>399</v>
      </c>
      <c r="I2355" s="3" t="s">
        <v>4064</v>
      </c>
    </row>
    <row r="2356" spans="2:9" hidden="1" x14ac:dyDescent="0.4">
      <c r="B2356" s="8" t="s">
        <v>2143</v>
      </c>
      <c r="C2356" s="3" t="s">
        <v>5078</v>
      </c>
      <c r="D2356" s="3" t="s">
        <v>5405</v>
      </c>
      <c r="F2356" s="3" t="s">
        <v>402</v>
      </c>
      <c r="I2356" s="3" t="s">
        <v>4064</v>
      </c>
    </row>
    <row r="2357" spans="2:9" hidden="1" x14ac:dyDescent="0.4">
      <c r="B2357" s="8" t="s">
        <v>517</v>
      </c>
      <c r="C2357" s="3" t="s">
        <v>3606</v>
      </c>
      <c r="D2357" s="3" t="s">
        <v>3903</v>
      </c>
      <c r="F2357" s="3" t="s">
        <v>399</v>
      </c>
      <c r="G2357" s="3" t="s">
        <v>402</v>
      </c>
      <c r="I2357" s="3" t="s">
        <v>4063</v>
      </c>
    </row>
    <row r="2358" spans="2:9" hidden="1" x14ac:dyDescent="0.4">
      <c r="B2358" s="8" t="s">
        <v>517</v>
      </c>
      <c r="C2358" s="3" t="s">
        <v>3606</v>
      </c>
      <c r="D2358" s="3" t="s">
        <v>3903</v>
      </c>
      <c r="F2358" s="3" t="s">
        <v>399</v>
      </c>
      <c r="G2358" s="3" t="s">
        <v>402</v>
      </c>
      <c r="I2358" s="3" t="s">
        <v>4064</v>
      </c>
    </row>
    <row r="2359" spans="2:9" hidden="1" x14ac:dyDescent="0.4">
      <c r="B2359" s="8" t="s">
        <v>517</v>
      </c>
      <c r="C2359" s="3" t="s">
        <v>5912</v>
      </c>
      <c r="D2359" s="3" t="s">
        <v>4846</v>
      </c>
      <c r="F2359" s="3" t="s">
        <v>399</v>
      </c>
      <c r="I2359" s="3" t="s">
        <v>4063</v>
      </c>
    </row>
    <row r="2360" spans="2:9" hidden="1" x14ac:dyDescent="0.4">
      <c r="B2360" s="8" t="s">
        <v>517</v>
      </c>
      <c r="C2360" s="3" t="s">
        <v>6258</v>
      </c>
      <c r="D2360" s="3" t="s">
        <v>5605</v>
      </c>
      <c r="F2360" s="3" t="s">
        <v>402</v>
      </c>
      <c r="I2360" s="3" t="s">
        <v>4063</v>
      </c>
    </row>
    <row r="2361" spans="2:9" hidden="1" x14ac:dyDescent="0.4">
      <c r="B2361" s="8" t="s">
        <v>517</v>
      </c>
      <c r="C2361" s="3" t="s">
        <v>4593</v>
      </c>
      <c r="D2361" s="3" t="s">
        <v>4846</v>
      </c>
      <c r="F2361" s="3" t="s">
        <v>399</v>
      </c>
      <c r="I2361" s="3" t="s">
        <v>4064</v>
      </c>
    </row>
    <row r="2362" spans="2:9" hidden="1" x14ac:dyDescent="0.4">
      <c r="B2362" s="8" t="s">
        <v>517</v>
      </c>
      <c r="C2362" s="3" t="s">
        <v>5285</v>
      </c>
      <c r="D2362" s="3" t="s">
        <v>5605</v>
      </c>
      <c r="F2362" s="3" t="s">
        <v>402</v>
      </c>
      <c r="I2362" s="3" t="s">
        <v>4064</v>
      </c>
    </row>
    <row r="2363" spans="2:9" hidden="1" x14ac:dyDescent="0.4">
      <c r="B2363" s="8" t="s">
        <v>518</v>
      </c>
      <c r="C2363" s="3" t="s">
        <v>4351</v>
      </c>
      <c r="D2363" s="3" t="s">
        <v>4008</v>
      </c>
      <c r="F2363" s="3" t="s">
        <v>399</v>
      </c>
      <c r="G2363" s="3" t="s">
        <v>402</v>
      </c>
      <c r="I2363" s="3" t="s">
        <v>4064</v>
      </c>
    </row>
    <row r="2364" spans="2:9" hidden="1" x14ac:dyDescent="0.4">
      <c r="B2364" s="8" t="s">
        <v>518</v>
      </c>
      <c r="C2364" s="3" t="s">
        <v>4005</v>
      </c>
      <c r="D2364" s="3" t="s">
        <v>4008</v>
      </c>
      <c r="F2364" s="3" t="s">
        <v>399</v>
      </c>
      <c r="G2364" s="3" t="s">
        <v>402</v>
      </c>
      <c r="I2364" s="3" t="s">
        <v>4063</v>
      </c>
    </row>
    <row r="2365" spans="2:9" hidden="1" x14ac:dyDescent="0.4">
      <c r="B2365" s="8" t="s">
        <v>518</v>
      </c>
      <c r="C2365" s="3" t="s">
        <v>5970</v>
      </c>
      <c r="D2365" s="3" t="s">
        <v>5016</v>
      </c>
      <c r="F2365" s="3" t="s">
        <v>399</v>
      </c>
      <c r="I2365" s="3" t="s">
        <v>4063</v>
      </c>
    </row>
    <row r="2366" spans="2:9" hidden="1" x14ac:dyDescent="0.4">
      <c r="B2366" s="8" t="s">
        <v>518</v>
      </c>
      <c r="C2366" s="3" t="s">
        <v>6318</v>
      </c>
      <c r="D2366" s="3" t="s">
        <v>5669</v>
      </c>
      <c r="F2366" s="3" t="s">
        <v>402</v>
      </c>
      <c r="I2366" s="3" t="s">
        <v>4063</v>
      </c>
    </row>
    <row r="2367" spans="2:9" hidden="1" x14ac:dyDescent="0.4">
      <c r="B2367" s="8" t="s">
        <v>518</v>
      </c>
      <c r="C2367" s="3" t="s">
        <v>4536</v>
      </c>
      <c r="D2367" s="3" t="s">
        <v>5016</v>
      </c>
      <c r="F2367" s="3" t="s">
        <v>399</v>
      </c>
      <c r="I2367" s="3" t="s">
        <v>4064</v>
      </c>
    </row>
    <row r="2368" spans="2:9" hidden="1" x14ac:dyDescent="0.4">
      <c r="B2368" s="8" t="s">
        <v>518</v>
      </c>
      <c r="C2368" s="3" t="s">
        <v>5350</v>
      </c>
      <c r="D2368" s="3" t="s">
        <v>5669</v>
      </c>
      <c r="F2368" s="3" t="s">
        <v>402</v>
      </c>
      <c r="I2368" s="3" t="s">
        <v>4064</v>
      </c>
    </row>
    <row r="2369" spans="2:9" hidden="1" x14ac:dyDescent="0.4">
      <c r="B2369" s="8" t="s">
        <v>517</v>
      </c>
      <c r="C2369" s="3" t="s">
        <v>2991</v>
      </c>
      <c r="D2369" s="3" t="s">
        <v>3229</v>
      </c>
      <c r="E2369" s="3">
        <v>1</v>
      </c>
      <c r="F2369" s="3" t="s">
        <v>402</v>
      </c>
      <c r="G2369" s="3" t="s">
        <v>1279</v>
      </c>
      <c r="I2369" s="3" t="s">
        <v>245</v>
      </c>
    </row>
    <row r="2370" spans="2:9" hidden="1" x14ac:dyDescent="0.4">
      <c r="B2370" s="8" t="s">
        <v>517</v>
      </c>
      <c r="C2370" s="3" t="s">
        <v>196</v>
      </c>
      <c r="D2370" s="3" t="s">
        <v>552</v>
      </c>
      <c r="F2370" s="3" t="s">
        <v>399</v>
      </c>
      <c r="I2370" s="3" t="s">
        <v>267</v>
      </c>
    </row>
    <row r="2371" spans="2:9" hidden="1" x14ac:dyDescent="0.4">
      <c r="B2371" s="8" t="s">
        <v>517</v>
      </c>
      <c r="C2371" s="3" t="s">
        <v>3092</v>
      </c>
      <c r="D2371" s="3" t="s">
        <v>3324</v>
      </c>
      <c r="E2371" s="3">
        <v>1</v>
      </c>
      <c r="F2371" s="3" t="s">
        <v>402</v>
      </c>
      <c r="G2371" s="3" t="s">
        <v>399</v>
      </c>
      <c r="H2371" s="3" t="s">
        <v>988</v>
      </c>
      <c r="I2371" s="3" t="s">
        <v>245</v>
      </c>
    </row>
    <row r="2372" spans="2:9" hidden="1" x14ac:dyDescent="0.4">
      <c r="B2372" s="8" t="s">
        <v>517</v>
      </c>
      <c r="C2372" s="3" t="s">
        <v>3517</v>
      </c>
      <c r="D2372" s="3" t="s">
        <v>3820</v>
      </c>
      <c r="F2372" s="3" t="s">
        <v>399</v>
      </c>
      <c r="G2372" s="3" t="s">
        <v>402</v>
      </c>
      <c r="I2372" s="3" t="s">
        <v>4063</v>
      </c>
    </row>
    <row r="2373" spans="2:9" hidden="1" x14ac:dyDescent="0.4">
      <c r="B2373" s="8" t="s">
        <v>517</v>
      </c>
      <c r="C2373" s="3" t="s">
        <v>5831</v>
      </c>
      <c r="D2373" s="3" t="s">
        <v>4789</v>
      </c>
      <c r="F2373" s="3" t="s">
        <v>399</v>
      </c>
      <c r="I2373" s="3" t="s">
        <v>4063</v>
      </c>
    </row>
    <row r="2374" spans="2:9" hidden="1" x14ac:dyDescent="0.4">
      <c r="B2374" s="8" t="s">
        <v>517</v>
      </c>
      <c r="C2374" s="3" t="s">
        <v>6174</v>
      </c>
      <c r="D2374" s="3" t="s">
        <v>5510</v>
      </c>
      <c r="F2374" s="3" t="s">
        <v>402</v>
      </c>
      <c r="I2374" s="3" t="s">
        <v>4063</v>
      </c>
    </row>
    <row r="2375" spans="2:9" hidden="1" x14ac:dyDescent="0.4">
      <c r="B2375" s="8" t="s">
        <v>517</v>
      </c>
      <c r="C2375" s="3" t="s">
        <v>4214</v>
      </c>
      <c r="D2375" s="3" t="s">
        <v>3820</v>
      </c>
      <c r="F2375" s="3" t="s">
        <v>399</v>
      </c>
      <c r="G2375" s="3" t="s">
        <v>402</v>
      </c>
      <c r="I2375" s="3" t="s">
        <v>4064</v>
      </c>
    </row>
    <row r="2376" spans="2:9" hidden="1" x14ac:dyDescent="0.4">
      <c r="B2376" s="8" t="s">
        <v>517</v>
      </c>
      <c r="C2376" s="3" t="s">
        <v>4441</v>
      </c>
      <c r="D2376" s="3" t="s">
        <v>4789</v>
      </c>
      <c r="F2376" s="3" t="s">
        <v>399</v>
      </c>
      <c r="I2376" s="3" t="s">
        <v>4064</v>
      </c>
    </row>
    <row r="2377" spans="2:9" hidden="1" x14ac:dyDescent="0.4">
      <c r="B2377" s="8" t="s">
        <v>517</v>
      </c>
      <c r="C2377" s="3" t="s">
        <v>5189</v>
      </c>
      <c r="D2377" s="3" t="s">
        <v>5510</v>
      </c>
      <c r="F2377" s="3" t="s">
        <v>402</v>
      </c>
      <c r="I2377" s="3" t="s">
        <v>4064</v>
      </c>
    </row>
    <row r="2378" spans="2:9" hidden="1" x14ac:dyDescent="0.4">
      <c r="B2378" s="8" t="s">
        <v>536</v>
      </c>
      <c r="C2378" s="3" t="s">
        <v>453</v>
      </c>
      <c r="D2378" s="3" t="s">
        <v>752</v>
      </c>
      <c r="E2378" s="3" t="s">
        <v>432</v>
      </c>
      <c r="F2378" s="3" t="s">
        <v>12779</v>
      </c>
      <c r="G2378" s="3" t="s">
        <v>430</v>
      </c>
      <c r="I2378" s="3" t="s">
        <v>472</v>
      </c>
    </row>
    <row r="2379" spans="2:9" hidden="1" x14ac:dyDescent="0.4">
      <c r="B2379" s="8" t="s">
        <v>518</v>
      </c>
      <c r="C2379" s="3" t="s">
        <v>34</v>
      </c>
      <c r="D2379" s="3" t="s">
        <v>97</v>
      </c>
      <c r="F2379" s="3" t="s">
        <v>400</v>
      </c>
      <c r="I2379" s="3" t="s">
        <v>252</v>
      </c>
    </row>
    <row r="2380" spans="2:9" hidden="1" x14ac:dyDescent="0.4">
      <c r="B2380" s="8" t="s">
        <v>773</v>
      </c>
      <c r="C2380" s="3" t="s">
        <v>806</v>
      </c>
      <c r="D2380" s="3" t="s">
        <v>818</v>
      </c>
      <c r="F2380" s="3" t="s">
        <v>399</v>
      </c>
      <c r="I2380" s="3" t="s">
        <v>824</v>
      </c>
    </row>
    <row r="2381" spans="2:9" hidden="1" x14ac:dyDescent="0.4">
      <c r="B2381" s="8" t="s">
        <v>773</v>
      </c>
      <c r="C2381" s="3" t="s">
        <v>919</v>
      </c>
      <c r="D2381" s="3" t="s">
        <v>818</v>
      </c>
      <c r="F2381" s="3" t="s">
        <v>402</v>
      </c>
      <c r="I2381" s="3" t="s">
        <v>824</v>
      </c>
    </row>
    <row r="2382" spans="2:9" hidden="1" x14ac:dyDescent="0.4">
      <c r="B2382" s="8" t="s">
        <v>517</v>
      </c>
      <c r="C2382" s="3" t="s">
        <v>1826</v>
      </c>
      <c r="D2382" s="3" t="s">
        <v>1895</v>
      </c>
      <c r="F2382" s="3" t="s">
        <v>399</v>
      </c>
      <c r="I2382" s="3" t="s">
        <v>1865</v>
      </c>
    </row>
    <row r="2383" spans="2:9" hidden="1" x14ac:dyDescent="0.4">
      <c r="B2383" s="8" t="s">
        <v>517</v>
      </c>
      <c r="C2383" s="3" t="s">
        <v>1827</v>
      </c>
      <c r="D2383" s="3" t="s">
        <v>1896</v>
      </c>
      <c r="F2383" s="3" t="s">
        <v>399</v>
      </c>
      <c r="I2383" s="3" t="s">
        <v>1865</v>
      </c>
    </row>
    <row r="2384" spans="2:9" hidden="1" x14ac:dyDescent="0.4">
      <c r="B2384" s="8" t="s">
        <v>517</v>
      </c>
      <c r="C2384" s="3" t="s">
        <v>2879</v>
      </c>
      <c r="D2384" s="3" t="s">
        <v>3121</v>
      </c>
      <c r="E2384" s="3">
        <v>1</v>
      </c>
      <c r="F2384" s="3" t="s">
        <v>402</v>
      </c>
      <c r="G2384" s="3" t="s">
        <v>988</v>
      </c>
      <c r="H2384" s="3" t="s">
        <v>399</v>
      </c>
      <c r="I2384" s="3" t="s">
        <v>245</v>
      </c>
    </row>
    <row r="2385" spans="2:9" hidden="1" x14ac:dyDescent="0.4">
      <c r="B2385" s="8" t="s">
        <v>517</v>
      </c>
      <c r="C2385" s="3" t="s">
        <v>1801</v>
      </c>
      <c r="D2385" s="3" t="s">
        <v>1870</v>
      </c>
      <c r="F2385" s="3" t="s">
        <v>399</v>
      </c>
      <c r="I2385" s="3" t="s">
        <v>1865</v>
      </c>
    </row>
    <row r="2386" spans="2:9" hidden="1" x14ac:dyDescent="0.4">
      <c r="B2386" s="8" t="s">
        <v>517</v>
      </c>
      <c r="C2386" s="3" t="s">
        <v>4305</v>
      </c>
      <c r="D2386" s="3" t="s">
        <v>3918</v>
      </c>
      <c r="F2386" s="3" t="s">
        <v>399</v>
      </c>
      <c r="G2386" s="3" t="s">
        <v>402</v>
      </c>
      <c r="I2386" s="3" t="s">
        <v>4064</v>
      </c>
    </row>
    <row r="2387" spans="2:9" hidden="1" x14ac:dyDescent="0.4">
      <c r="B2387" s="8" t="s">
        <v>517</v>
      </c>
      <c r="C2387" s="3" t="s">
        <v>4688</v>
      </c>
      <c r="D2387" s="3" t="s">
        <v>4929</v>
      </c>
      <c r="F2387" s="3" t="s">
        <v>399</v>
      </c>
      <c r="I2387" s="3" t="s">
        <v>4064</v>
      </c>
    </row>
    <row r="2388" spans="2:9" hidden="1" x14ac:dyDescent="0.4">
      <c r="B2388" s="8" t="s">
        <v>517</v>
      </c>
      <c r="C2388" s="3" t="s">
        <v>5303</v>
      </c>
      <c r="D2388" s="3" t="s">
        <v>5623</v>
      </c>
      <c r="F2388" s="3" t="s">
        <v>402</v>
      </c>
      <c r="I2388" s="3" t="s">
        <v>4064</v>
      </c>
    </row>
    <row r="2389" spans="2:9" hidden="1" x14ac:dyDescent="0.4">
      <c r="B2389" s="8" t="s">
        <v>517</v>
      </c>
      <c r="C2389" s="3" t="s">
        <v>3624</v>
      </c>
      <c r="D2389" s="3" t="s">
        <v>3918</v>
      </c>
      <c r="F2389" s="3" t="s">
        <v>399</v>
      </c>
      <c r="G2389" s="3" t="s">
        <v>402</v>
      </c>
      <c r="I2389" s="3" t="s">
        <v>4063</v>
      </c>
    </row>
    <row r="2390" spans="2:9" hidden="1" x14ac:dyDescent="0.4">
      <c r="B2390" s="8" t="s">
        <v>517</v>
      </c>
      <c r="C2390" s="3" t="s">
        <v>5930</v>
      </c>
      <c r="D2390" s="3" t="s">
        <v>4929</v>
      </c>
      <c r="F2390" s="3" t="s">
        <v>399</v>
      </c>
      <c r="I2390" s="3" t="s">
        <v>4063</v>
      </c>
    </row>
    <row r="2391" spans="2:9" hidden="1" x14ac:dyDescent="0.4">
      <c r="B2391" s="8" t="s">
        <v>517</v>
      </c>
      <c r="C2391" s="3" t="s">
        <v>6276</v>
      </c>
      <c r="D2391" s="3" t="s">
        <v>5623</v>
      </c>
      <c r="F2391" s="3" t="s">
        <v>402</v>
      </c>
      <c r="I2391" s="3" t="s">
        <v>4063</v>
      </c>
    </row>
    <row r="2392" spans="2:9" hidden="1" x14ac:dyDescent="0.4">
      <c r="B2392" s="8" t="s">
        <v>517</v>
      </c>
      <c r="C2392" s="3" t="s">
        <v>2963</v>
      </c>
      <c r="D2392" s="3" t="s">
        <v>3202</v>
      </c>
      <c r="E2392" s="3">
        <v>1</v>
      </c>
      <c r="F2392" s="3" t="s">
        <v>402</v>
      </c>
      <c r="I2392" s="3" t="s">
        <v>245</v>
      </c>
    </row>
    <row r="2393" spans="2:9" hidden="1" x14ac:dyDescent="0.4">
      <c r="B2393" s="8" t="s">
        <v>517</v>
      </c>
      <c r="C2393" s="3" t="s">
        <v>227</v>
      </c>
      <c r="D2393" s="3" t="s">
        <v>263</v>
      </c>
      <c r="F2393" s="3" t="s">
        <v>399</v>
      </c>
      <c r="I2393" s="3" t="s">
        <v>420</v>
      </c>
    </row>
    <row r="2394" spans="2:9" hidden="1" x14ac:dyDescent="0.4">
      <c r="B2394" s="8" t="s">
        <v>517</v>
      </c>
      <c r="C2394" s="3" t="s">
        <v>220</v>
      </c>
      <c r="D2394" s="3" t="s">
        <v>257</v>
      </c>
      <c r="F2394" s="3" t="s">
        <v>399</v>
      </c>
      <c r="I2394" s="3" t="s">
        <v>420</v>
      </c>
    </row>
    <row r="2395" spans="2:9" hidden="1" x14ac:dyDescent="0.4">
      <c r="B2395" s="8" t="s">
        <v>518</v>
      </c>
      <c r="C2395" s="3" t="s">
        <v>2274</v>
      </c>
      <c r="D2395" s="3" t="s">
        <v>2432</v>
      </c>
      <c r="E2395" s="3" t="s">
        <v>1272</v>
      </c>
      <c r="F2395" s="3" t="s">
        <v>399</v>
      </c>
      <c r="I2395" s="3" t="s">
        <v>1833</v>
      </c>
    </row>
    <row r="2396" spans="2:9" hidden="1" x14ac:dyDescent="0.4">
      <c r="B2396" s="8" t="s">
        <v>518</v>
      </c>
      <c r="C2396" s="3" t="s">
        <v>2580</v>
      </c>
      <c r="D2396" s="3" t="s">
        <v>2432</v>
      </c>
      <c r="E2396" s="3" t="s">
        <v>1272</v>
      </c>
      <c r="F2396" s="3" t="s">
        <v>402</v>
      </c>
      <c r="I2396" s="3" t="s">
        <v>1833</v>
      </c>
    </row>
    <row r="2397" spans="2:9" hidden="1" x14ac:dyDescent="0.4">
      <c r="B2397" s="8" t="s">
        <v>529</v>
      </c>
      <c r="C2397" s="3" t="s">
        <v>4166</v>
      </c>
      <c r="D2397" s="3" t="s">
        <v>3772</v>
      </c>
      <c r="F2397" s="3" t="s">
        <v>399</v>
      </c>
      <c r="G2397" s="3" t="s">
        <v>402</v>
      </c>
      <c r="I2397" s="3" t="s">
        <v>4064</v>
      </c>
    </row>
    <row r="2398" spans="2:9" hidden="1" x14ac:dyDescent="0.4">
      <c r="B2398" s="8" t="s">
        <v>529</v>
      </c>
      <c r="C2398" s="3" t="s">
        <v>4643</v>
      </c>
      <c r="D2398" s="3" t="s">
        <v>4771</v>
      </c>
      <c r="F2398" s="3" t="s">
        <v>399</v>
      </c>
      <c r="I2398" s="3" t="s">
        <v>4064</v>
      </c>
    </row>
    <row r="2399" spans="2:9" hidden="1" x14ac:dyDescent="0.4">
      <c r="B2399" s="8" t="s">
        <v>529</v>
      </c>
      <c r="C2399" s="3" t="s">
        <v>5137</v>
      </c>
      <c r="D2399" s="3" t="s">
        <v>5460</v>
      </c>
      <c r="F2399" s="3" t="s">
        <v>402</v>
      </c>
      <c r="I2399" s="3" t="s">
        <v>4064</v>
      </c>
    </row>
    <row r="2400" spans="2:9" hidden="1" x14ac:dyDescent="0.4">
      <c r="B2400" s="8" t="s">
        <v>529</v>
      </c>
      <c r="C2400" s="3" t="s">
        <v>3464</v>
      </c>
      <c r="D2400" s="3" t="s">
        <v>3772</v>
      </c>
      <c r="F2400" s="3" t="s">
        <v>399</v>
      </c>
      <c r="G2400" s="3" t="s">
        <v>402</v>
      </c>
      <c r="I2400" s="3" t="s">
        <v>4063</v>
      </c>
    </row>
    <row r="2401" spans="2:9" hidden="1" x14ac:dyDescent="0.4">
      <c r="B2401" s="8" t="s">
        <v>529</v>
      </c>
      <c r="C2401" s="3" t="s">
        <v>5786</v>
      </c>
      <c r="D2401" s="3" t="s">
        <v>4771</v>
      </c>
      <c r="F2401" s="3" t="s">
        <v>399</v>
      </c>
      <c r="I2401" s="3" t="s">
        <v>4063</v>
      </c>
    </row>
    <row r="2402" spans="2:9" hidden="1" x14ac:dyDescent="0.4">
      <c r="B2402" s="8" t="s">
        <v>529</v>
      </c>
      <c r="C2402" s="3" t="s">
        <v>6129</v>
      </c>
      <c r="D2402" s="3" t="s">
        <v>5460</v>
      </c>
      <c r="F2402" s="3" t="s">
        <v>402</v>
      </c>
      <c r="I2402" s="3" t="s">
        <v>4063</v>
      </c>
    </row>
    <row r="2403" spans="2:9" hidden="1" x14ac:dyDescent="0.4">
      <c r="B2403" s="8" t="s">
        <v>517</v>
      </c>
      <c r="C2403" s="3" t="s">
        <v>226</v>
      </c>
      <c r="D2403" s="3" t="s">
        <v>262</v>
      </c>
      <c r="F2403" s="3" t="s">
        <v>399</v>
      </c>
      <c r="I2403" s="3" t="s">
        <v>420</v>
      </c>
    </row>
    <row r="2404" spans="2:9" hidden="1" x14ac:dyDescent="0.4">
      <c r="B2404" s="8" t="s">
        <v>517</v>
      </c>
      <c r="C2404" s="3" t="s">
        <v>1330</v>
      </c>
      <c r="D2404" s="3" t="s">
        <v>1344</v>
      </c>
      <c r="E2404" s="3" t="s">
        <v>1272</v>
      </c>
      <c r="F2404" s="3" t="s">
        <v>399</v>
      </c>
      <c r="I2404" s="3" t="s">
        <v>1317</v>
      </c>
    </row>
    <row r="2405" spans="2:9" hidden="1" x14ac:dyDescent="0.4">
      <c r="B2405" s="8" t="s">
        <v>517</v>
      </c>
      <c r="C2405" s="3" t="s">
        <v>1362</v>
      </c>
      <c r="D2405" s="3" t="s">
        <v>1344</v>
      </c>
      <c r="E2405" s="3" t="s">
        <v>1272</v>
      </c>
      <c r="F2405" s="3" t="s">
        <v>402</v>
      </c>
      <c r="I2405" s="3" t="s">
        <v>1317</v>
      </c>
    </row>
    <row r="2406" spans="2:9" hidden="1" x14ac:dyDescent="0.4">
      <c r="B2406" s="8" t="s">
        <v>517</v>
      </c>
      <c r="C2406" s="3" t="s">
        <v>1372</v>
      </c>
      <c r="D2406" s="3" t="s">
        <v>1344</v>
      </c>
      <c r="E2406" s="3" t="s">
        <v>1272</v>
      </c>
      <c r="F2406" s="3" t="s">
        <v>402</v>
      </c>
      <c r="I2406" s="3" t="s">
        <v>1317</v>
      </c>
    </row>
    <row r="2407" spans="2:9" hidden="1" x14ac:dyDescent="0.4">
      <c r="B2407" s="8" t="s">
        <v>517</v>
      </c>
      <c r="C2407" s="3" t="s">
        <v>2306</v>
      </c>
      <c r="D2407" s="3" t="s">
        <v>2463</v>
      </c>
      <c r="E2407" s="3" t="s">
        <v>1272</v>
      </c>
      <c r="F2407" s="3" t="s">
        <v>399</v>
      </c>
      <c r="I2407" s="3" t="s">
        <v>1833</v>
      </c>
    </row>
    <row r="2408" spans="2:9" hidden="1" x14ac:dyDescent="0.4">
      <c r="B2408" s="8" t="s">
        <v>517</v>
      </c>
      <c r="C2408" s="3" t="s">
        <v>2534</v>
      </c>
      <c r="D2408" s="3" t="s">
        <v>2463</v>
      </c>
      <c r="E2408" s="3" t="s">
        <v>1272</v>
      </c>
      <c r="F2408" s="3" t="s">
        <v>402</v>
      </c>
      <c r="I2408" s="3" t="s">
        <v>1833</v>
      </c>
    </row>
    <row r="2409" spans="2:9" hidden="1" x14ac:dyDescent="0.4">
      <c r="B2409" s="8" t="s">
        <v>517</v>
      </c>
      <c r="C2409" s="3" t="s">
        <v>2893</v>
      </c>
      <c r="D2409" s="3" t="s">
        <v>3134</v>
      </c>
      <c r="E2409" s="3">
        <v>1</v>
      </c>
      <c r="F2409" s="3" t="s">
        <v>402</v>
      </c>
      <c r="I2409" s="3" t="s">
        <v>245</v>
      </c>
    </row>
    <row r="2410" spans="2:9" hidden="1" x14ac:dyDescent="0.4">
      <c r="B2410" s="8" t="s">
        <v>517</v>
      </c>
      <c r="C2410" s="3" t="s">
        <v>228</v>
      </c>
      <c r="D2410" s="3" t="s">
        <v>264</v>
      </c>
      <c r="F2410" s="3" t="s">
        <v>399</v>
      </c>
      <c r="I2410" s="3" t="s">
        <v>420</v>
      </c>
    </row>
    <row r="2411" spans="2:9" hidden="1" x14ac:dyDescent="0.4">
      <c r="B2411" s="8" t="s">
        <v>517</v>
      </c>
      <c r="C2411" s="3" t="s">
        <v>4098</v>
      </c>
      <c r="D2411" s="3" t="s">
        <v>3697</v>
      </c>
      <c r="F2411" s="3" t="s">
        <v>399</v>
      </c>
      <c r="G2411" s="3" t="s">
        <v>402</v>
      </c>
      <c r="I2411" s="3" t="s">
        <v>4064</v>
      </c>
    </row>
    <row r="2412" spans="2:9" hidden="1" x14ac:dyDescent="0.4">
      <c r="B2412" s="8" t="s">
        <v>517</v>
      </c>
      <c r="C2412" s="3" t="s">
        <v>3389</v>
      </c>
      <c r="D2412" s="3" t="s">
        <v>3697</v>
      </c>
      <c r="F2412" s="3" t="s">
        <v>399</v>
      </c>
      <c r="G2412" s="3" t="s">
        <v>402</v>
      </c>
      <c r="I2412" s="3" t="s">
        <v>4063</v>
      </c>
    </row>
    <row r="2413" spans="2:9" hidden="1" x14ac:dyDescent="0.4">
      <c r="B2413" s="8" t="s">
        <v>517</v>
      </c>
      <c r="C2413" s="3" t="s">
        <v>5723</v>
      </c>
      <c r="D2413" s="3" t="s">
        <v>4720</v>
      </c>
      <c r="F2413" s="3" t="s">
        <v>399</v>
      </c>
      <c r="I2413" s="3" t="s">
        <v>4063</v>
      </c>
    </row>
    <row r="2414" spans="2:9" hidden="1" x14ac:dyDescent="0.4">
      <c r="B2414" s="8" t="s">
        <v>517</v>
      </c>
      <c r="C2414" s="3" t="s">
        <v>6064</v>
      </c>
      <c r="D2414" s="3" t="s">
        <v>5388</v>
      </c>
      <c r="F2414" s="3" t="s">
        <v>402</v>
      </c>
      <c r="I2414" s="3" t="s">
        <v>4063</v>
      </c>
    </row>
    <row r="2415" spans="2:9" hidden="1" x14ac:dyDescent="0.4">
      <c r="B2415" s="8" t="s">
        <v>517</v>
      </c>
      <c r="C2415" s="3" t="s">
        <v>4551</v>
      </c>
      <c r="D2415" s="3" t="s">
        <v>4720</v>
      </c>
      <c r="F2415" s="3" t="s">
        <v>399</v>
      </c>
      <c r="I2415" s="3" t="s">
        <v>4064</v>
      </c>
    </row>
    <row r="2416" spans="2:9" hidden="1" x14ac:dyDescent="0.4">
      <c r="B2416" s="8" t="s">
        <v>517</v>
      </c>
      <c r="C2416" s="3" t="s">
        <v>5057</v>
      </c>
      <c r="D2416" s="3" t="s">
        <v>5388</v>
      </c>
      <c r="F2416" s="3" t="s">
        <v>402</v>
      </c>
      <c r="I2416" s="3" t="s">
        <v>4064</v>
      </c>
    </row>
    <row r="2417" spans="2:9" hidden="1" x14ac:dyDescent="0.4">
      <c r="B2417" s="8" t="s">
        <v>517</v>
      </c>
      <c r="C2417" s="3" t="s">
        <v>4090</v>
      </c>
      <c r="D2417" s="3" t="s">
        <v>3690</v>
      </c>
      <c r="F2417" s="3" t="s">
        <v>399</v>
      </c>
      <c r="G2417" s="3" t="s">
        <v>402</v>
      </c>
      <c r="I2417" s="3" t="s">
        <v>4064</v>
      </c>
    </row>
    <row r="2418" spans="2:9" hidden="1" x14ac:dyDescent="0.4">
      <c r="B2418" s="8" t="s">
        <v>517</v>
      </c>
      <c r="C2418" s="3" t="s">
        <v>3381</v>
      </c>
      <c r="D2418" s="3" t="s">
        <v>3690</v>
      </c>
      <c r="F2418" s="3" t="s">
        <v>399</v>
      </c>
      <c r="G2418" s="3" t="s">
        <v>402</v>
      </c>
      <c r="I2418" s="3" t="s">
        <v>4063</v>
      </c>
    </row>
    <row r="2419" spans="2:9" hidden="1" x14ac:dyDescent="0.4">
      <c r="B2419" s="8" t="s">
        <v>517</v>
      </c>
      <c r="C2419" s="3" t="s">
        <v>5717</v>
      </c>
      <c r="D2419" s="3" t="s">
        <v>4713</v>
      </c>
      <c r="F2419" s="3" t="s">
        <v>399</v>
      </c>
      <c r="I2419" s="3" t="s">
        <v>4063</v>
      </c>
    </row>
    <row r="2420" spans="2:9" ht="29.25" hidden="1" x14ac:dyDescent="0.4">
      <c r="B2420" s="8" t="s">
        <v>517</v>
      </c>
      <c r="C2420" s="3" t="s">
        <v>6058</v>
      </c>
      <c r="D2420" s="3" t="s">
        <v>5381</v>
      </c>
      <c r="F2420" s="3" t="s">
        <v>402</v>
      </c>
      <c r="I2420" s="3" t="s">
        <v>4063</v>
      </c>
    </row>
    <row r="2421" spans="2:9" hidden="1" x14ac:dyDescent="0.4">
      <c r="B2421" s="8" t="s">
        <v>517</v>
      </c>
      <c r="C2421" s="3" t="s">
        <v>4547</v>
      </c>
      <c r="D2421" s="3" t="s">
        <v>4713</v>
      </c>
      <c r="F2421" s="3" t="s">
        <v>399</v>
      </c>
      <c r="I2421" s="3" t="s">
        <v>4064</v>
      </c>
    </row>
    <row r="2422" spans="2:9" hidden="1" x14ac:dyDescent="0.4">
      <c r="B2422" s="8" t="s">
        <v>517</v>
      </c>
      <c r="C2422" s="3" t="s">
        <v>5049</v>
      </c>
      <c r="D2422" s="3" t="s">
        <v>5381</v>
      </c>
      <c r="F2422" s="3" t="s">
        <v>402</v>
      </c>
      <c r="I2422" s="3" t="s">
        <v>4064</v>
      </c>
    </row>
    <row r="2423" spans="2:9" hidden="1" x14ac:dyDescent="0.4">
      <c r="B2423" s="8">
        <v>1</v>
      </c>
      <c r="C2423" s="3" t="s">
        <v>170</v>
      </c>
      <c r="D2423" s="3" t="s">
        <v>646</v>
      </c>
      <c r="F2423" s="3" t="s">
        <v>399</v>
      </c>
      <c r="I2423" s="3" t="s">
        <v>267</v>
      </c>
    </row>
    <row r="2424" spans="2:9" hidden="1" x14ac:dyDescent="0.4">
      <c r="B2424" s="8" t="s">
        <v>536</v>
      </c>
      <c r="C2424" s="3" t="s">
        <v>720</v>
      </c>
      <c r="D2424" s="3" t="s">
        <v>749</v>
      </c>
      <c r="E2424" s="3" t="s">
        <v>432</v>
      </c>
      <c r="F2424" s="3" t="s">
        <v>12779</v>
      </c>
      <c r="G2424" s="3" t="s">
        <v>430</v>
      </c>
      <c r="I2424" s="3" t="s">
        <v>472</v>
      </c>
    </row>
    <row r="2425" spans="2:9" hidden="1" x14ac:dyDescent="0.4">
      <c r="B2425" s="8" t="s">
        <v>536</v>
      </c>
      <c r="C2425" s="3" t="s">
        <v>445</v>
      </c>
      <c r="D2425" s="3" t="s">
        <v>721</v>
      </c>
      <c r="E2425" s="3" t="s">
        <v>432</v>
      </c>
      <c r="F2425" s="3" t="s">
        <v>12779</v>
      </c>
      <c r="G2425" s="3" t="s">
        <v>430</v>
      </c>
      <c r="I2425" s="3" t="s">
        <v>472</v>
      </c>
    </row>
    <row r="2426" spans="2:9" hidden="1" x14ac:dyDescent="0.4">
      <c r="B2426" s="8" t="s">
        <v>517</v>
      </c>
      <c r="C2426" s="3" t="s">
        <v>3522</v>
      </c>
      <c r="D2426" s="3" t="s">
        <v>3825</v>
      </c>
      <c r="F2426" s="3" t="s">
        <v>399</v>
      </c>
      <c r="G2426" s="3" t="s">
        <v>402</v>
      </c>
      <c r="I2426" s="3" t="s">
        <v>4063</v>
      </c>
    </row>
    <row r="2427" spans="2:9" hidden="1" x14ac:dyDescent="0.4">
      <c r="B2427" s="8" t="s">
        <v>517</v>
      </c>
      <c r="C2427" s="3" t="s">
        <v>1448</v>
      </c>
      <c r="D2427" s="3" t="s">
        <v>1490</v>
      </c>
      <c r="F2427" s="3" t="s">
        <v>399</v>
      </c>
      <c r="G2427" s="3" t="s">
        <v>402</v>
      </c>
      <c r="I2427" s="3" t="s">
        <v>1489</v>
      </c>
    </row>
    <row r="2428" spans="2:9" hidden="1" x14ac:dyDescent="0.4">
      <c r="B2428" s="8" t="s">
        <v>1711</v>
      </c>
      <c r="C2428" s="3" t="s">
        <v>1707</v>
      </c>
      <c r="D2428" s="3" t="s">
        <v>1712</v>
      </c>
      <c r="F2428" s="3" t="s">
        <v>399</v>
      </c>
      <c r="G2428" s="3" t="s">
        <v>402</v>
      </c>
      <c r="I2428" s="3" t="s">
        <v>1489</v>
      </c>
    </row>
    <row r="2429" spans="2:9" hidden="1" x14ac:dyDescent="0.4">
      <c r="B2429" s="8" t="s">
        <v>517</v>
      </c>
      <c r="C2429" s="3" t="s">
        <v>1558</v>
      </c>
      <c r="D2429" s="3" t="s">
        <v>1490</v>
      </c>
      <c r="F2429" s="3" t="s">
        <v>402</v>
      </c>
      <c r="I2429" s="3" t="s">
        <v>1489</v>
      </c>
    </row>
    <row r="2430" spans="2:9" hidden="1" x14ac:dyDescent="0.4">
      <c r="B2430" s="8" t="s">
        <v>516</v>
      </c>
      <c r="C2430" s="3" t="s">
        <v>3414</v>
      </c>
      <c r="D2430" s="3" t="s">
        <v>3723</v>
      </c>
      <c r="F2430" s="3" t="s">
        <v>399</v>
      </c>
      <c r="G2430" s="3" t="s">
        <v>402</v>
      </c>
      <c r="I2430" s="3" t="s">
        <v>4063</v>
      </c>
    </row>
    <row r="2431" spans="2:9" hidden="1" x14ac:dyDescent="0.4">
      <c r="B2431" s="8" t="s">
        <v>516</v>
      </c>
      <c r="C2431" s="3" t="s">
        <v>5746</v>
      </c>
      <c r="D2431" s="3" t="s">
        <v>4876</v>
      </c>
      <c r="F2431" s="3" t="s">
        <v>399</v>
      </c>
      <c r="I2431" s="3" t="s">
        <v>4063</v>
      </c>
    </row>
    <row r="2432" spans="2:9" hidden="1" x14ac:dyDescent="0.4">
      <c r="B2432" s="8" t="s">
        <v>516</v>
      </c>
      <c r="C2432" s="3" t="s">
        <v>6088</v>
      </c>
      <c r="D2432" s="3" t="s">
        <v>5412</v>
      </c>
      <c r="F2432" s="3" t="s">
        <v>402</v>
      </c>
      <c r="I2432" s="3" t="s">
        <v>4063</v>
      </c>
    </row>
    <row r="2433" spans="2:9" hidden="1" x14ac:dyDescent="0.4">
      <c r="B2433" s="8" t="s">
        <v>529</v>
      </c>
      <c r="C2433" s="3" t="s">
        <v>4344</v>
      </c>
      <c r="D2433" s="3" t="s">
        <v>3991</v>
      </c>
      <c r="F2433" s="3" t="s">
        <v>399</v>
      </c>
      <c r="G2433" s="3" t="s">
        <v>402</v>
      </c>
      <c r="I2433" s="3" t="s">
        <v>4064</v>
      </c>
    </row>
    <row r="2434" spans="2:9" hidden="1" x14ac:dyDescent="0.4">
      <c r="B2434" s="8" t="s">
        <v>529</v>
      </c>
      <c r="C2434" s="3" t="s">
        <v>4533</v>
      </c>
      <c r="D2434" s="3" t="s">
        <v>4964</v>
      </c>
      <c r="F2434" s="3" t="s">
        <v>399</v>
      </c>
      <c r="I2434" s="3" t="s">
        <v>4064</v>
      </c>
    </row>
    <row r="2435" spans="2:9" hidden="1" x14ac:dyDescent="0.4">
      <c r="B2435" s="8" t="s">
        <v>529</v>
      </c>
      <c r="C2435" s="3" t="s">
        <v>5342</v>
      </c>
      <c r="D2435" s="3" t="s">
        <v>5661</v>
      </c>
      <c r="F2435" s="3" t="s">
        <v>402</v>
      </c>
      <c r="I2435" s="3" t="s">
        <v>4064</v>
      </c>
    </row>
    <row r="2436" spans="2:9" hidden="1" x14ac:dyDescent="0.4">
      <c r="B2436" s="8" t="s">
        <v>529</v>
      </c>
      <c r="C2436" s="3" t="s">
        <v>3990</v>
      </c>
      <c r="D2436" s="3" t="s">
        <v>3991</v>
      </c>
      <c r="F2436" s="3" t="s">
        <v>399</v>
      </c>
      <c r="G2436" s="3" t="s">
        <v>402</v>
      </c>
      <c r="I2436" s="3" t="s">
        <v>4063</v>
      </c>
    </row>
    <row r="2437" spans="2:9" hidden="1" x14ac:dyDescent="0.4">
      <c r="B2437" s="8" t="s">
        <v>529</v>
      </c>
      <c r="C2437" s="3" t="s">
        <v>5962</v>
      </c>
      <c r="D2437" s="3" t="s">
        <v>4964</v>
      </c>
      <c r="F2437" s="3" t="s">
        <v>399</v>
      </c>
      <c r="I2437" s="3" t="s">
        <v>4063</v>
      </c>
    </row>
    <row r="2438" spans="2:9" hidden="1" x14ac:dyDescent="0.4">
      <c r="B2438" s="8" t="s">
        <v>529</v>
      </c>
      <c r="C2438" s="3" t="s">
        <v>6310</v>
      </c>
      <c r="D2438" s="3" t="s">
        <v>5661</v>
      </c>
      <c r="F2438" s="3" t="s">
        <v>402</v>
      </c>
      <c r="I2438" s="3" t="s">
        <v>4063</v>
      </c>
    </row>
    <row r="2439" spans="2:9" hidden="1" x14ac:dyDescent="0.4">
      <c r="B2439" s="8" t="s">
        <v>517</v>
      </c>
      <c r="C2439" s="3" t="s">
        <v>3637</v>
      </c>
      <c r="D2439" s="3" t="s">
        <v>3930</v>
      </c>
      <c r="F2439" s="3" t="s">
        <v>399</v>
      </c>
      <c r="G2439" s="3" t="s">
        <v>402</v>
      </c>
      <c r="I2439" s="3" t="s">
        <v>4063</v>
      </c>
    </row>
    <row r="2440" spans="2:9" hidden="1" x14ac:dyDescent="0.4">
      <c r="B2440" s="8" t="s">
        <v>517</v>
      </c>
      <c r="C2440" s="3" t="s">
        <v>5940</v>
      </c>
      <c r="D2440" s="3" t="s">
        <v>4857</v>
      </c>
      <c r="F2440" s="3" t="s">
        <v>399</v>
      </c>
      <c r="I2440" s="3" t="s">
        <v>4063</v>
      </c>
    </row>
    <row r="2441" spans="2:9" hidden="1" x14ac:dyDescent="0.4">
      <c r="B2441" s="8" t="s">
        <v>517</v>
      </c>
      <c r="C2441" s="3" t="s">
        <v>6286</v>
      </c>
      <c r="D2441" s="3" t="s">
        <v>5636</v>
      </c>
      <c r="F2441" s="3" t="s">
        <v>402</v>
      </c>
      <c r="I2441" s="3" t="s">
        <v>4063</v>
      </c>
    </row>
    <row r="2442" spans="2:9" hidden="1" x14ac:dyDescent="0.4">
      <c r="B2442" s="8" t="s">
        <v>517</v>
      </c>
      <c r="C2442" s="3" t="s">
        <v>4316</v>
      </c>
      <c r="D2442" s="3" t="s">
        <v>3930</v>
      </c>
      <c r="F2442" s="3" t="s">
        <v>399</v>
      </c>
      <c r="G2442" s="3" t="s">
        <v>402</v>
      </c>
      <c r="I2442" s="3" t="s">
        <v>4064</v>
      </c>
    </row>
    <row r="2443" spans="2:9" hidden="1" x14ac:dyDescent="0.4">
      <c r="B2443" s="8" t="s">
        <v>517</v>
      </c>
      <c r="C2443" s="3" t="s">
        <v>4511</v>
      </c>
      <c r="D2443" s="3" t="s">
        <v>4857</v>
      </c>
      <c r="F2443" s="3" t="s">
        <v>399</v>
      </c>
      <c r="I2443" s="3" t="s">
        <v>4064</v>
      </c>
    </row>
    <row r="2444" spans="2:9" hidden="1" x14ac:dyDescent="0.4">
      <c r="B2444" s="8" t="s">
        <v>517</v>
      </c>
      <c r="C2444" s="3" t="s">
        <v>5316</v>
      </c>
      <c r="D2444" s="3" t="s">
        <v>5636</v>
      </c>
      <c r="F2444" s="3" t="s">
        <v>402</v>
      </c>
      <c r="I2444" s="3" t="s">
        <v>4064</v>
      </c>
    </row>
    <row r="2445" spans="2:9" hidden="1" x14ac:dyDescent="0.4">
      <c r="B2445" s="8" t="s">
        <v>517</v>
      </c>
      <c r="C2445" s="3" t="s">
        <v>2247</v>
      </c>
      <c r="D2445" s="3" t="s">
        <v>2404</v>
      </c>
      <c r="E2445" s="3" t="s">
        <v>1272</v>
      </c>
      <c r="F2445" s="3" t="s">
        <v>399</v>
      </c>
      <c r="I2445" s="3" t="s">
        <v>1833</v>
      </c>
    </row>
    <row r="2446" spans="2:9" hidden="1" x14ac:dyDescent="0.4">
      <c r="B2446" s="8" t="s">
        <v>517</v>
      </c>
      <c r="C2446" s="3" t="s">
        <v>2524</v>
      </c>
      <c r="D2446" s="3" t="s">
        <v>2404</v>
      </c>
      <c r="E2446" s="3" t="s">
        <v>1272</v>
      </c>
      <c r="F2446" s="3" t="s">
        <v>402</v>
      </c>
      <c r="I2446" s="3" t="s">
        <v>1833</v>
      </c>
    </row>
    <row r="2447" spans="2:9" hidden="1" x14ac:dyDescent="0.4">
      <c r="B2447" s="8" t="s">
        <v>517</v>
      </c>
      <c r="C2447" s="3" t="s">
        <v>5834</v>
      </c>
      <c r="D2447" s="3" t="s">
        <v>4793</v>
      </c>
      <c r="F2447" s="3" t="s">
        <v>399</v>
      </c>
      <c r="I2447" s="3" t="s">
        <v>4063</v>
      </c>
    </row>
    <row r="2448" spans="2:9" hidden="1" x14ac:dyDescent="0.4">
      <c r="B2448" s="8" t="s">
        <v>517</v>
      </c>
      <c r="C2448" s="3" t="s">
        <v>6177</v>
      </c>
      <c r="D2448" s="3" t="s">
        <v>5515</v>
      </c>
      <c r="F2448" s="3" t="s">
        <v>402</v>
      </c>
      <c r="I2448" s="3" t="s">
        <v>4063</v>
      </c>
    </row>
    <row r="2449" spans="2:9" hidden="1" x14ac:dyDescent="0.4">
      <c r="B2449" s="8" t="s">
        <v>517</v>
      </c>
      <c r="C2449" s="3" t="s">
        <v>4358</v>
      </c>
      <c r="D2449" s="3" t="s">
        <v>4034</v>
      </c>
      <c r="F2449" s="3" t="s">
        <v>399</v>
      </c>
      <c r="G2449" s="3" t="s">
        <v>402</v>
      </c>
      <c r="I2449" s="3" t="s">
        <v>4064</v>
      </c>
    </row>
    <row r="2450" spans="2:9" hidden="1" x14ac:dyDescent="0.4">
      <c r="B2450" s="8" t="s">
        <v>517</v>
      </c>
      <c r="C2450" s="3" t="s">
        <v>3579</v>
      </c>
      <c r="D2450" s="3" t="s">
        <v>4052</v>
      </c>
      <c r="F2450" s="3" t="s">
        <v>399</v>
      </c>
      <c r="G2450" s="3" t="s">
        <v>402</v>
      </c>
      <c r="I2450" s="3" t="s">
        <v>4063</v>
      </c>
    </row>
    <row r="2451" spans="2:9" hidden="1" x14ac:dyDescent="0.4">
      <c r="B2451" s="8" t="s">
        <v>517</v>
      </c>
      <c r="C2451" s="3" t="s">
        <v>3579</v>
      </c>
      <c r="D2451" s="3" t="s">
        <v>4034</v>
      </c>
      <c r="F2451" s="3" t="s">
        <v>399</v>
      </c>
      <c r="G2451" s="3" t="s">
        <v>402</v>
      </c>
      <c r="I2451" s="3" t="s">
        <v>4063</v>
      </c>
    </row>
    <row r="2452" spans="2:9" hidden="1" x14ac:dyDescent="0.4">
      <c r="B2452" s="8" t="s">
        <v>517</v>
      </c>
      <c r="C2452" s="3" t="s">
        <v>3579</v>
      </c>
      <c r="D2452" s="3" t="s">
        <v>4052</v>
      </c>
      <c r="F2452" s="3" t="s">
        <v>399</v>
      </c>
      <c r="G2452" s="3" t="s">
        <v>402</v>
      </c>
      <c r="I2452" s="3" t="s">
        <v>4064</v>
      </c>
    </row>
    <row r="2453" spans="2:9" hidden="1" x14ac:dyDescent="0.4">
      <c r="B2453" s="8" t="s">
        <v>517</v>
      </c>
      <c r="C2453" s="3" t="s">
        <v>5884</v>
      </c>
      <c r="D2453" s="3" t="s">
        <v>4975</v>
      </c>
      <c r="F2453" s="3" t="s">
        <v>399</v>
      </c>
      <c r="I2453" s="3" t="s">
        <v>4063</v>
      </c>
    </row>
    <row r="2454" spans="2:9" hidden="1" x14ac:dyDescent="0.4">
      <c r="B2454" s="8" t="s">
        <v>517</v>
      </c>
      <c r="C2454" s="3" t="s">
        <v>5884</v>
      </c>
      <c r="D2454" s="3" t="s">
        <v>5023</v>
      </c>
      <c r="F2454" s="3" t="s">
        <v>399</v>
      </c>
      <c r="I2454" s="3" t="s">
        <v>4063</v>
      </c>
    </row>
    <row r="2455" spans="2:9" hidden="1" x14ac:dyDescent="0.4">
      <c r="B2455" s="8" t="s">
        <v>517</v>
      </c>
      <c r="C2455" s="3" t="s">
        <v>6231</v>
      </c>
      <c r="D2455" s="3" t="s">
        <v>5573</v>
      </c>
      <c r="F2455" s="3" t="s">
        <v>402</v>
      </c>
      <c r="I2455" s="3" t="s">
        <v>4063</v>
      </c>
    </row>
    <row r="2456" spans="2:9" hidden="1" x14ac:dyDescent="0.4">
      <c r="B2456" s="8" t="s">
        <v>517</v>
      </c>
      <c r="C2456" s="3" t="s">
        <v>6231</v>
      </c>
      <c r="D2456" s="3" t="s">
        <v>5676</v>
      </c>
      <c r="F2456" s="3" t="s">
        <v>402</v>
      </c>
      <c r="I2456" s="3" t="s">
        <v>4063</v>
      </c>
    </row>
    <row r="2457" spans="2:9" hidden="1" x14ac:dyDescent="0.4">
      <c r="B2457" s="8" t="s">
        <v>517</v>
      </c>
      <c r="C2457" s="3" t="s">
        <v>4584</v>
      </c>
      <c r="D2457" s="3" t="s">
        <v>4975</v>
      </c>
      <c r="F2457" s="3" t="s">
        <v>399</v>
      </c>
      <c r="I2457" s="3" t="s">
        <v>4064</v>
      </c>
    </row>
    <row r="2458" spans="2:9" hidden="1" x14ac:dyDescent="0.4">
      <c r="B2458" s="8" t="s">
        <v>517</v>
      </c>
      <c r="C2458" s="3" t="s">
        <v>5252</v>
      </c>
      <c r="D2458" s="3" t="s">
        <v>5573</v>
      </c>
      <c r="F2458" s="3" t="s">
        <v>402</v>
      </c>
      <c r="I2458" s="3" t="s">
        <v>4064</v>
      </c>
    </row>
    <row r="2459" spans="2:9" hidden="1" x14ac:dyDescent="0.4">
      <c r="B2459" s="8" t="s">
        <v>517</v>
      </c>
      <c r="C2459" s="3" t="s">
        <v>4541</v>
      </c>
      <c r="D2459" s="3" t="s">
        <v>5023</v>
      </c>
      <c r="F2459" s="3" t="s">
        <v>399</v>
      </c>
      <c r="I2459" s="3" t="s">
        <v>4064</v>
      </c>
    </row>
    <row r="2460" spans="2:9" hidden="1" x14ac:dyDescent="0.4">
      <c r="B2460" s="8" t="s">
        <v>517</v>
      </c>
      <c r="C2460" s="3" t="s">
        <v>5358</v>
      </c>
      <c r="D2460" s="3" t="s">
        <v>5676</v>
      </c>
      <c r="F2460" s="3" t="s">
        <v>402</v>
      </c>
      <c r="I2460" s="3" t="s">
        <v>4064</v>
      </c>
    </row>
    <row r="2461" spans="2:9" hidden="1" x14ac:dyDescent="0.4">
      <c r="B2461" s="8" t="s">
        <v>517</v>
      </c>
      <c r="C2461" s="3" t="s">
        <v>2328</v>
      </c>
      <c r="D2461" s="3" t="s">
        <v>2484</v>
      </c>
      <c r="E2461" s="3" t="s">
        <v>1272</v>
      </c>
      <c r="F2461" s="3" t="s">
        <v>399</v>
      </c>
      <c r="I2461" s="3" t="s">
        <v>1833</v>
      </c>
    </row>
    <row r="2462" spans="2:9" hidden="1" x14ac:dyDescent="0.4">
      <c r="B2462" s="8" t="s">
        <v>517</v>
      </c>
      <c r="C2462" s="3" t="s">
        <v>2628</v>
      </c>
      <c r="D2462" s="3" t="s">
        <v>2484</v>
      </c>
      <c r="E2462" s="3" t="s">
        <v>1272</v>
      </c>
      <c r="F2462" s="3" t="s">
        <v>402</v>
      </c>
      <c r="I2462" s="3" t="s">
        <v>1833</v>
      </c>
    </row>
    <row r="2463" spans="2:9" hidden="1" x14ac:dyDescent="0.4">
      <c r="B2463" s="8" t="s">
        <v>518</v>
      </c>
      <c r="C2463" s="3" t="s">
        <v>1264</v>
      </c>
      <c r="D2463" s="3" t="s">
        <v>1273</v>
      </c>
      <c r="E2463" s="3" t="s">
        <v>1272</v>
      </c>
      <c r="F2463" s="3" t="s">
        <v>399</v>
      </c>
      <c r="I2463" s="3" t="s">
        <v>510</v>
      </c>
    </row>
    <row r="2464" spans="2:9" hidden="1" x14ac:dyDescent="0.4">
      <c r="B2464" s="8" t="s">
        <v>517</v>
      </c>
      <c r="C2464" s="3" t="s">
        <v>2886</v>
      </c>
      <c r="D2464" s="3" t="s">
        <v>3129</v>
      </c>
      <c r="E2464" s="3">
        <v>1</v>
      </c>
      <c r="F2464" s="3" t="s">
        <v>402</v>
      </c>
      <c r="G2464" s="3" t="s">
        <v>988</v>
      </c>
      <c r="I2464" s="3" t="s">
        <v>245</v>
      </c>
    </row>
    <row r="2465" spans="2:9" hidden="1" x14ac:dyDescent="0.4">
      <c r="B2465" s="8" t="s">
        <v>518</v>
      </c>
      <c r="C2465" s="3" t="s">
        <v>2230</v>
      </c>
      <c r="D2465" s="3" t="s">
        <v>2388</v>
      </c>
      <c r="E2465" s="3" t="s">
        <v>1272</v>
      </c>
      <c r="F2465" s="3" t="s">
        <v>399</v>
      </c>
      <c r="I2465" s="3" t="s">
        <v>1833</v>
      </c>
    </row>
    <row r="2466" spans="2:9" hidden="1" x14ac:dyDescent="0.4">
      <c r="B2466" s="8" t="s">
        <v>518</v>
      </c>
      <c r="C2466" s="3" t="s">
        <v>2551</v>
      </c>
      <c r="D2466" s="3" t="s">
        <v>2388</v>
      </c>
      <c r="E2466" s="3" t="s">
        <v>1272</v>
      </c>
      <c r="F2466" s="3" t="s">
        <v>402</v>
      </c>
      <c r="I2466" s="3" t="s">
        <v>1833</v>
      </c>
    </row>
    <row r="2467" spans="2:9" hidden="1" x14ac:dyDescent="0.4">
      <c r="B2467" s="8" t="s">
        <v>526</v>
      </c>
      <c r="C2467" s="3" t="s">
        <v>499</v>
      </c>
      <c r="D2467" s="3" t="s">
        <v>670</v>
      </c>
      <c r="E2467" s="3" t="s">
        <v>425</v>
      </c>
      <c r="F2467" s="3" t="s">
        <v>522</v>
      </c>
      <c r="I2467" s="3" t="s">
        <v>510</v>
      </c>
    </row>
    <row r="2468" spans="2:9" hidden="1" x14ac:dyDescent="0.4">
      <c r="B2468" s="8" t="s">
        <v>526</v>
      </c>
      <c r="C2468" s="3" t="s">
        <v>695</v>
      </c>
      <c r="D2468" s="3" t="s">
        <v>670</v>
      </c>
      <c r="E2468" s="3" t="s">
        <v>425</v>
      </c>
      <c r="F2468" s="3" t="s">
        <v>684</v>
      </c>
      <c r="I2468" s="3" t="s">
        <v>510</v>
      </c>
    </row>
    <row r="2469" spans="2:9" hidden="1" x14ac:dyDescent="0.4">
      <c r="B2469" s="8" t="s">
        <v>529</v>
      </c>
      <c r="C2469" s="3" t="s">
        <v>2222</v>
      </c>
      <c r="D2469" s="3" t="s">
        <v>2362</v>
      </c>
      <c r="E2469" s="3" t="s">
        <v>1272</v>
      </c>
      <c r="F2469" s="3" t="s">
        <v>399</v>
      </c>
      <c r="I2469" s="3" t="s">
        <v>2370</v>
      </c>
    </row>
    <row r="2470" spans="2:9" hidden="1" x14ac:dyDescent="0.4">
      <c r="B2470" s="8" t="s">
        <v>517</v>
      </c>
      <c r="C2470" s="3" t="s">
        <v>4216</v>
      </c>
      <c r="D2470" s="3" t="s">
        <v>3825</v>
      </c>
      <c r="F2470" s="3" t="s">
        <v>399</v>
      </c>
      <c r="G2470" s="3" t="s">
        <v>402</v>
      </c>
      <c r="I2470" s="3" t="s">
        <v>4064</v>
      </c>
    </row>
    <row r="2471" spans="2:9" hidden="1" x14ac:dyDescent="0.4">
      <c r="B2471" s="8" t="s">
        <v>517</v>
      </c>
      <c r="C2471" s="3" t="s">
        <v>4444</v>
      </c>
      <c r="D2471" s="3" t="s">
        <v>4793</v>
      </c>
      <c r="F2471" s="3" t="s">
        <v>399</v>
      </c>
      <c r="I2471" s="3" t="s">
        <v>4064</v>
      </c>
    </row>
    <row r="2472" spans="2:9" hidden="1" x14ac:dyDescent="0.4">
      <c r="B2472" s="8" t="s">
        <v>517</v>
      </c>
      <c r="C2472" s="3" t="s">
        <v>5194</v>
      </c>
      <c r="D2472" s="3" t="s">
        <v>5515</v>
      </c>
      <c r="F2472" s="3" t="s">
        <v>402</v>
      </c>
      <c r="I2472" s="3" t="s">
        <v>4064</v>
      </c>
    </row>
    <row r="2473" spans="2:9" hidden="1" x14ac:dyDescent="0.4">
      <c r="B2473" s="8" t="s">
        <v>517</v>
      </c>
      <c r="C2473" s="3" t="s">
        <v>840</v>
      </c>
      <c r="D2473" s="3" t="s">
        <v>852</v>
      </c>
      <c r="E2473" s="3" t="s">
        <v>7805</v>
      </c>
      <c r="F2473" s="3" t="s">
        <v>399</v>
      </c>
      <c r="I2473" s="3" t="s">
        <v>824</v>
      </c>
    </row>
    <row r="2474" spans="2:9" hidden="1" x14ac:dyDescent="0.4">
      <c r="B2474" s="8" t="s">
        <v>517</v>
      </c>
      <c r="C2474" s="3" t="s">
        <v>938</v>
      </c>
      <c r="D2474" s="3" t="s">
        <v>852</v>
      </c>
      <c r="E2474" s="3" t="s">
        <v>7805</v>
      </c>
      <c r="F2474" s="3" t="s">
        <v>402</v>
      </c>
      <c r="I2474" s="3" t="s">
        <v>824</v>
      </c>
    </row>
    <row r="2475" spans="2:9" hidden="1" x14ac:dyDescent="0.4">
      <c r="B2475" s="8" t="s">
        <v>536</v>
      </c>
      <c r="C2475" s="3" t="s">
        <v>446</v>
      </c>
      <c r="D2475" s="3" t="s">
        <v>723</v>
      </c>
      <c r="E2475" s="3" t="s">
        <v>432</v>
      </c>
      <c r="F2475" s="3" t="s">
        <v>12779</v>
      </c>
      <c r="G2475" s="3" t="s">
        <v>430</v>
      </c>
      <c r="I2475" s="3" t="s">
        <v>472</v>
      </c>
    </row>
    <row r="2476" spans="2:9" hidden="1" x14ac:dyDescent="0.4">
      <c r="B2476" s="8" t="s">
        <v>536</v>
      </c>
      <c r="C2476" s="3" t="s">
        <v>463</v>
      </c>
      <c r="D2476" s="3" t="s">
        <v>740</v>
      </c>
      <c r="E2476" s="3" t="s">
        <v>432</v>
      </c>
      <c r="F2476" s="3" t="s">
        <v>12779</v>
      </c>
      <c r="G2476" s="3" t="s">
        <v>430</v>
      </c>
      <c r="I2476" s="3" t="s">
        <v>472</v>
      </c>
    </row>
    <row r="2477" spans="2:9" hidden="1" x14ac:dyDescent="0.4">
      <c r="B2477" s="8" t="s">
        <v>517</v>
      </c>
      <c r="C2477" s="3" t="s">
        <v>2316</v>
      </c>
      <c r="D2477" s="3" t="s">
        <v>2472</v>
      </c>
      <c r="E2477" s="3" t="s">
        <v>1272</v>
      </c>
      <c r="F2477" s="3" t="s">
        <v>399</v>
      </c>
      <c r="I2477" s="3" t="s">
        <v>1833</v>
      </c>
    </row>
    <row r="2478" spans="2:9" hidden="1" x14ac:dyDescent="0.4">
      <c r="B2478" s="8" t="s">
        <v>517</v>
      </c>
      <c r="C2478" s="3" t="s">
        <v>2616</v>
      </c>
      <c r="D2478" s="3" t="s">
        <v>2472</v>
      </c>
      <c r="E2478" s="3" t="s">
        <v>1272</v>
      </c>
      <c r="F2478" s="3" t="s">
        <v>402</v>
      </c>
      <c r="I2478" s="3" t="s">
        <v>1833</v>
      </c>
    </row>
    <row r="2479" spans="2:9" hidden="1" x14ac:dyDescent="0.4">
      <c r="B2479" s="8" t="s">
        <v>517</v>
      </c>
      <c r="C2479" s="3" t="s">
        <v>489</v>
      </c>
      <c r="D2479" s="3" t="s">
        <v>681</v>
      </c>
      <c r="F2479" s="3" t="s">
        <v>399</v>
      </c>
      <c r="I2479" s="3" t="s">
        <v>510</v>
      </c>
    </row>
    <row r="2480" spans="2:9" hidden="1" x14ac:dyDescent="0.4">
      <c r="B2480" s="8" t="s">
        <v>517</v>
      </c>
      <c r="C2480" s="3" t="s">
        <v>495</v>
      </c>
      <c r="D2480" s="3" t="s">
        <v>664</v>
      </c>
      <c r="E2480" s="3" t="s">
        <v>425</v>
      </c>
      <c r="F2480" s="3" t="s">
        <v>522</v>
      </c>
      <c r="I2480" s="3" t="s">
        <v>510</v>
      </c>
    </row>
    <row r="2481" spans="2:9" hidden="1" x14ac:dyDescent="0.4">
      <c r="B2481" s="8" t="s">
        <v>517</v>
      </c>
      <c r="C2481" s="3" t="s">
        <v>697</v>
      </c>
      <c r="D2481" s="3" t="s">
        <v>664</v>
      </c>
      <c r="E2481" s="3" t="s">
        <v>425</v>
      </c>
      <c r="F2481" s="3" t="s">
        <v>684</v>
      </c>
      <c r="I2481" s="3" t="s">
        <v>510</v>
      </c>
    </row>
    <row r="2482" spans="2:9" hidden="1" x14ac:dyDescent="0.4">
      <c r="B2482" s="8" t="s">
        <v>517</v>
      </c>
      <c r="C2482" s="3" t="s">
        <v>696</v>
      </c>
      <c r="D2482" s="3" t="s">
        <v>681</v>
      </c>
      <c r="F2482" s="3" t="s">
        <v>684</v>
      </c>
      <c r="I2482" s="3" t="s">
        <v>510</v>
      </c>
    </row>
    <row r="2483" spans="2:9" hidden="1" x14ac:dyDescent="0.4">
      <c r="B2483" s="8" t="s">
        <v>517</v>
      </c>
      <c r="C2483" s="3" t="s">
        <v>490</v>
      </c>
      <c r="D2483" s="3" t="s">
        <v>681</v>
      </c>
      <c r="F2483" s="3" t="s">
        <v>399</v>
      </c>
      <c r="I2483" s="3" t="s">
        <v>510</v>
      </c>
    </row>
    <row r="2484" spans="2:9" hidden="1" x14ac:dyDescent="0.4">
      <c r="B2484" s="8" t="s">
        <v>517</v>
      </c>
      <c r="C2484" s="3" t="s">
        <v>698</v>
      </c>
      <c r="D2484" s="3" t="s">
        <v>681</v>
      </c>
      <c r="F2484" s="3" t="s">
        <v>684</v>
      </c>
      <c r="I2484" s="3" t="s">
        <v>510</v>
      </c>
    </row>
    <row r="2485" spans="2:9" hidden="1" x14ac:dyDescent="0.4">
      <c r="B2485" s="8" t="s">
        <v>517</v>
      </c>
      <c r="C2485" s="3" t="s">
        <v>496</v>
      </c>
      <c r="D2485" s="3" t="s">
        <v>664</v>
      </c>
      <c r="E2485" s="3" t="s">
        <v>425</v>
      </c>
      <c r="F2485" s="3" t="s">
        <v>522</v>
      </c>
      <c r="I2485" s="3" t="s">
        <v>510</v>
      </c>
    </row>
    <row r="2486" spans="2:9" hidden="1" x14ac:dyDescent="0.4">
      <c r="B2486" s="8" t="s">
        <v>517</v>
      </c>
      <c r="C2486" s="3" t="s">
        <v>699</v>
      </c>
      <c r="D2486" s="3" t="s">
        <v>664</v>
      </c>
      <c r="E2486" s="3" t="s">
        <v>425</v>
      </c>
      <c r="F2486" s="3" t="s">
        <v>684</v>
      </c>
      <c r="I2486" s="3" t="s">
        <v>510</v>
      </c>
    </row>
    <row r="2487" spans="2:9" hidden="1" x14ac:dyDescent="0.4">
      <c r="B2487" s="8" t="s">
        <v>517</v>
      </c>
      <c r="C2487" s="3" t="s">
        <v>2258</v>
      </c>
      <c r="D2487" s="3" t="s">
        <v>2415</v>
      </c>
      <c r="E2487" s="3" t="s">
        <v>1272</v>
      </c>
      <c r="F2487" s="3" t="s">
        <v>399</v>
      </c>
      <c r="I2487" s="3" t="s">
        <v>1833</v>
      </c>
    </row>
    <row r="2488" spans="2:9" hidden="1" x14ac:dyDescent="0.4">
      <c r="B2488" s="8" t="s">
        <v>517</v>
      </c>
      <c r="C2488" s="3" t="s">
        <v>2567</v>
      </c>
      <c r="D2488" s="3" t="s">
        <v>2415</v>
      </c>
      <c r="E2488" s="3" t="s">
        <v>1272</v>
      </c>
      <c r="F2488" s="3" t="s">
        <v>402</v>
      </c>
      <c r="I2488" s="3" t="s">
        <v>1833</v>
      </c>
    </row>
    <row r="2489" spans="2:9" hidden="1" x14ac:dyDescent="0.4">
      <c r="B2489" s="8" t="s">
        <v>518</v>
      </c>
      <c r="C2489" s="3" t="s">
        <v>410</v>
      </c>
      <c r="D2489" s="3" t="s">
        <v>427</v>
      </c>
      <c r="F2489" s="3" t="s">
        <v>430</v>
      </c>
      <c r="I2489" s="3" t="s">
        <v>431</v>
      </c>
    </row>
    <row r="2490" spans="2:9" hidden="1" x14ac:dyDescent="0.4">
      <c r="B2490" s="8" t="s">
        <v>536</v>
      </c>
      <c r="C2490" s="3" t="s">
        <v>2685</v>
      </c>
      <c r="D2490" s="3">
        <v>9</v>
      </c>
      <c r="F2490" s="3" t="s">
        <v>1124</v>
      </c>
      <c r="I2490" s="3" t="s">
        <v>252</v>
      </c>
    </row>
    <row r="2491" spans="2:9" hidden="1" x14ac:dyDescent="0.4">
      <c r="B2491" s="8" t="s">
        <v>536</v>
      </c>
      <c r="C2491" s="3" t="s">
        <v>2733</v>
      </c>
      <c r="D2491" s="3">
        <v>900</v>
      </c>
      <c r="F2491" s="3" t="s">
        <v>1124</v>
      </c>
      <c r="I2491" s="3" t="s">
        <v>252</v>
      </c>
    </row>
    <row r="2492" spans="2:9" hidden="1" x14ac:dyDescent="0.4">
      <c r="B2492" s="8" t="s">
        <v>536</v>
      </c>
      <c r="C2492" s="3" t="s">
        <v>2724</v>
      </c>
      <c r="D2492" s="3">
        <v>90</v>
      </c>
      <c r="F2492" s="3" t="s">
        <v>1124</v>
      </c>
      <c r="I2492" s="3" t="s">
        <v>252</v>
      </c>
    </row>
    <row r="2493" spans="2:9" hidden="1" x14ac:dyDescent="0.4">
      <c r="B2493" s="8" t="s">
        <v>536</v>
      </c>
      <c r="C2493" s="3" t="s">
        <v>2705</v>
      </c>
      <c r="D2493" s="3">
        <v>29</v>
      </c>
      <c r="F2493" s="3" t="s">
        <v>1124</v>
      </c>
      <c r="I2493" s="3" t="s">
        <v>252</v>
      </c>
    </row>
    <row r="2494" spans="2:9" hidden="1" x14ac:dyDescent="0.4">
      <c r="B2494" s="8" t="s">
        <v>536</v>
      </c>
      <c r="C2494" s="3" t="s">
        <v>2695</v>
      </c>
      <c r="D2494" s="3">
        <v>19</v>
      </c>
      <c r="F2494" s="3" t="s">
        <v>1124</v>
      </c>
      <c r="I2494" s="3" t="s">
        <v>252</v>
      </c>
    </row>
    <row r="2495" spans="2:9" hidden="1" x14ac:dyDescent="0.4">
      <c r="B2495" s="8">
        <v>0</v>
      </c>
      <c r="C2495" s="3" t="s">
        <v>68</v>
      </c>
      <c r="D2495" s="3" t="s">
        <v>124</v>
      </c>
      <c r="F2495" s="3" t="s">
        <v>825</v>
      </c>
      <c r="I2495" s="3" t="s">
        <v>252</v>
      </c>
    </row>
    <row r="2496" spans="2:9" hidden="1" x14ac:dyDescent="0.4">
      <c r="B2496" s="8">
        <v>1</v>
      </c>
      <c r="C2496" s="3" t="s">
        <v>67</v>
      </c>
      <c r="D2496" s="3" t="s">
        <v>124</v>
      </c>
      <c r="F2496" s="3" t="s">
        <v>400</v>
      </c>
      <c r="I2496" s="3" t="s">
        <v>252</v>
      </c>
    </row>
    <row r="2497" spans="2:9" hidden="1" x14ac:dyDescent="0.4">
      <c r="B2497" s="8" t="s">
        <v>536</v>
      </c>
      <c r="C2497" s="3" t="s">
        <v>2741</v>
      </c>
      <c r="D2497" s="3">
        <v>9000</v>
      </c>
      <c r="F2497" s="3" t="s">
        <v>1124</v>
      </c>
      <c r="I2497" s="3" t="s">
        <v>252</v>
      </c>
    </row>
    <row r="2498" spans="2:9" hidden="1" x14ac:dyDescent="0.4">
      <c r="B2498" s="8" t="s">
        <v>536</v>
      </c>
      <c r="C2498" s="3" t="s">
        <v>2719</v>
      </c>
      <c r="D2498" s="3">
        <v>39</v>
      </c>
      <c r="F2498" s="3" t="s">
        <v>1124</v>
      </c>
      <c r="I2498" s="3" t="s">
        <v>252</v>
      </c>
    </row>
    <row r="2499" spans="2:9" hidden="1" x14ac:dyDescent="0.4">
      <c r="B2499" s="8" t="s">
        <v>536</v>
      </c>
      <c r="C2499" s="3" t="s">
        <v>2749</v>
      </c>
      <c r="D2499" s="3">
        <v>90000</v>
      </c>
      <c r="F2499" s="3" t="s">
        <v>1124</v>
      </c>
      <c r="I2499" s="3" t="s">
        <v>252</v>
      </c>
    </row>
    <row r="2500" spans="2:9" hidden="1" x14ac:dyDescent="0.4">
      <c r="B2500" s="8" t="s">
        <v>536</v>
      </c>
      <c r="C2500" s="3" t="s">
        <v>468</v>
      </c>
      <c r="D2500" s="3" t="s">
        <v>741</v>
      </c>
      <c r="E2500" s="3" t="s">
        <v>432</v>
      </c>
      <c r="F2500" s="3" t="s">
        <v>12779</v>
      </c>
      <c r="G2500" s="3" t="s">
        <v>430</v>
      </c>
      <c r="I2500" s="3" t="s">
        <v>472</v>
      </c>
    </row>
    <row r="2501" spans="2:9" hidden="1" x14ac:dyDescent="0.4">
      <c r="B2501" s="8" t="s">
        <v>529</v>
      </c>
      <c r="C2501" s="3" t="s">
        <v>4169</v>
      </c>
      <c r="D2501" s="3" t="s">
        <v>3775</v>
      </c>
      <c r="F2501" s="3" t="s">
        <v>399</v>
      </c>
      <c r="G2501" s="3" t="s">
        <v>402</v>
      </c>
      <c r="I2501" s="3" t="s">
        <v>4064</v>
      </c>
    </row>
    <row r="2502" spans="2:9" hidden="1" x14ac:dyDescent="0.4">
      <c r="B2502" s="8" t="s">
        <v>529</v>
      </c>
      <c r="C2502" s="3" t="s">
        <v>4413</v>
      </c>
      <c r="D2502" s="3" t="s">
        <v>4892</v>
      </c>
      <c r="F2502" s="3" t="s">
        <v>399</v>
      </c>
      <c r="I2502" s="3" t="s">
        <v>4064</v>
      </c>
    </row>
    <row r="2503" spans="2:9" hidden="1" x14ac:dyDescent="0.4">
      <c r="B2503" s="8" t="s">
        <v>529</v>
      </c>
      <c r="C2503" s="3" t="s">
        <v>5140</v>
      </c>
      <c r="D2503" s="3" t="s">
        <v>5463</v>
      </c>
      <c r="F2503" s="3" t="s">
        <v>402</v>
      </c>
      <c r="I2503" s="3" t="s">
        <v>4064</v>
      </c>
    </row>
    <row r="2504" spans="2:9" hidden="1" x14ac:dyDescent="0.4">
      <c r="B2504" s="8" t="s">
        <v>529</v>
      </c>
      <c r="C2504" s="3" t="s">
        <v>3467</v>
      </c>
      <c r="D2504" s="3" t="s">
        <v>3775</v>
      </c>
      <c r="F2504" s="3" t="s">
        <v>399</v>
      </c>
      <c r="G2504" s="3" t="s">
        <v>402</v>
      </c>
      <c r="I2504" s="3" t="s">
        <v>4063</v>
      </c>
    </row>
    <row r="2505" spans="2:9" hidden="1" x14ac:dyDescent="0.4">
      <c r="B2505" s="8" t="s">
        <v>529</v>
      </c>
      <c r="C2505" s="3" t="s">
        <v>5789</v>
      </c>
      <c r="D2505" s="3" t="s">
        <v>4892</v>
      </c>
      <c r="F2505" s="3" t="s">
        <v>399</v>
      </c>
      <c r="I2505" s="3" t="s">
        <v>4063</v>
      </c>
    </row>
    <row r="2506" spans="2:9" hidden="1" x14ac:dyDescent="0.4">
      <c r="B2506" s="8" t="s">
        <v>529</v>
      </c>
      <c r="C2506" s="3" t="s">
        <v>6132</v>
      </c>
      <c r="D2506" s="3" t="s">
        <v>5463</v>
      </c>
      <c r="F2506" s="3" t="s">
        <v>402</v>
      </c>
      <c r="I2506" s="3" t="s">
        <v>4063</v>
      </c>
    </row>
    <row r="2507" spans="2:9" hidden="1" x14ac:dyDescent="0.4">
      <c r="B2507" s="8" t="s">
        <v>517</v>
      </c>
      <c r="C2507" s="3" t="s">
        <v>4101</v>
      </c>
      <c r="D2507" s="3" t="s">
        <v>3701</v>
      </c>
      <c r="F2507" s="3" t="s">
        <v>399</v>
      </c>
      <c r="G2507" s="3" t="s">
        <v>402</v>
      </c>
      <c r="I2507" s="3" t="s">
        <v>4064</v>
      </c>
    </row>
    <row r="2508" spans="2:9" hidden="1" x14ac:dyDescent="0.4">
      <c r="B2508" s="8" t="s">
        <v>517</v>
      </c>
      <c r="C2508" s="3" t="s">
        <v>4380</v>
      </c>
      <c r="D2508" s="3" t="s">
        <v>4722</v>
      </c>
      <c r="F2508" s="3" t="s">
        <v>399</v>
      </c>
      <c r="I2508" s="3" t="s">
        <v>4064</v>
      </c>
    </row>
    <row r="2509" spans="2:9" hidden="1" x14ac:dyDescent="0.4">
      <c r="B2509" s="8" t="s">
        <v>517</v>
      </c>
      <c r="C2509" s="3" t="s">
        <v>5060</v>
      </c>
      <c r="D2509" s="3" t="s">
        <v>5391</v>
      </c>
      <c r="F2509" s="3" t="s">
        <v>402</v>
      </c>
      <c r="I2509" s="3" t="s">
        <v>4064</v>
      </c>
    </row>
    <row r="2510" spans="2:9" hidden="1" x14ac:dyDescent="0.4">
      <c r="B2510" s="8" t="s">
        <v>517</v>
      </c>
      <c r="C2510" s="3" t="s">
        <v>2919</v>
      </c>
      <c r="D2510" s="3" t="s">
        <v>3159</v>
      </c>
      <c r="E2510" s="3">
        <v>1</v>
      </c>
      <c r="F2510" s="3" t="s">
        <v>402</v>
      </c>
      <c r="I2510" s="3" t="s">
        <v>245</v>
      </c>
    </row>
    <row r="2511" spans="2:9" hidden="1" x14ac:dyDescent="0.4">
      <c r="B2511" s="8" t="s">
        <v>1004</v>
      </c>
      <c r="C2511" s="3" t="s">
        <v>967</v>
      </c>
      <c r="D2511" s="3" t="s">
        <v>979</v>
      </c>
      <c r="F2511" s="3" t="s">
        <v>399</v>
      </c>
      <c r="I2511" s="3" t="s">
        <v>6427</v>
      </c>
    </row>
    <row r="2512" spans="2:9" hidden="1" x14ac:dyDescent="0.4">
      <c r="B2512" s="8" t="s">
        <v>516</v>
      </c>
      <c r="C2512" s="3" t="s">
        <v>4207</v>
      </c>
      <c r="D2512" s="3" t="s">
        <v>3811</v>
      </c>
      <c r="F2512" s="3" t="s">
        <v>399</v>
      </c>
      <c r="G2512" s="3" t="s">
        <v>402</v>
      </c>
      <c r="I2512" s="3" t="s">
        <v>4064</v>
      </c>
    </row>
    <row r="2513" spans="2:9" hidden="1" x14ac:dyDescent="0.4">
      <c r="B2513" s="8" t="s">
        <v>516</v>
      </c>
      <c r="C2513" s="3" t="s">
        <v>3508</v>
      </c>
      <c r="D2513" s="3" t="s">
        <v>3811</v>
      </c>
      <c r="F2513" s="3" t="s">
        <v>399</v>
      </c>
      <c r="G2513" s="3" t="s">
        <v>402</v>
      </c>
      <c r="I2513" s="3" t="s">
        <v>4063</v>
      </c>
    </row>
    <row r="2514" spans="2:9" hidden="1" x14ac:dyDescent="0.4">
      <c r="B2514" s="8" t="s">
        <v>516</v>
      </c>
      <c r="C2514" s="3" t="s">
        <v>5825</v>
      </c>
      <c r="D2514" s="3" t="s">
        <v>4949</v>
      </c>
      <c r="F2514" s="3" t="s">
        <v>399</v>
      </c>
      <c r="I2514" s="3" t="s">
        <v>4063</v>
      </c>
    </row>
    <row r="2515" spans="2:9" ht="29.25" hidden="1" x14ac:dyDescent="0.4">
      <c r="B2515" s="8" t="s">
        <v>516</v>
      </c>
      <c r="C2515" s="3" t="s">
        <v>6168</v>
      </c>
      <c r="D2515" s="3" t="s">
        <v>5502</v>
      </c>
      <c r="F2515" s="3" t="s">
        <v>402</v>
      </c>
      <c r="I2515" s="3" t="s">
        <v>4063</v>
      </c>
    </row>
    <row r="2516" spans="2:9" hidden="1" x14ac:dyDescent="0.4">
      <c r="B2516" s="8" t="s">
        <v>516</v>
      </c>
      <c r="C2516" s="3" t="s">
        <v>4555</v>
      </c>
      <c r="D2516" s="3" t="s">
        <v>4949</v>
      </c>
      <c r="F2516" s="3" t="s">
        <v>399</v>
      </c>
      <c r="I2516" s="3" t="s">
        <v>4064</v>
      </c>
    </row>
    <row r="2517" spans="2:9" hidden="1" x14ac:dyDescent="0.4">
      <c r="B2517" s="8" t="s">
        <v>516</v>
      </c>
      <c r="C2517" s="3" t="s">
        <v>5181</v>
      </c>
      <c r="D2517" s="3" t="s">
        <v>5502</v>
      </c>
      <c r="F2517" s="3" t="s">
        <v>402</v>
      </c>
      <c r="I2517" s="3" t="s">
        <v>4064</v>
      </c>
    </row>
    <row r="2518" spans="2:9" hidden="1" x14ac:dyDescent="0.4">
      <c r="B2518" s="8" t="s">
        <v>517</v>
      </c>
      <c r="C2518" s="8" t="s">
        <v>836</v>
      </c>
      <c r="D2518" s="3" t="s">
        <v>820</v>
      </c>
      <c r="F2518" s="3" t="s">
        <v>399</v>
      </c>
      <c r="I2518" s="3" t="s">
        <v>824</v>
      </c>
    </row>
    <row r="2519" spans="2:9" hidden="1" x14ac:dyDescent="0.4">
      <c r="B2519" s="8" t="s">
        <v>517</v>
      </c>
      <c r="C2519" s="8" t="s">
        <v>934</v>
      </c>
      <c r="D2519" s="3" t="s">
        <v>820</v>
      </c>
      <c r="F2519" s="3" t="s">
        <v>402</v>
      </c>
      <c r="I2519" s="3" t="s">
        <v>824</v>
      </c>
    </row>
    <row r="2520" spans="2:9" hidden="1" x14ac:dyDescent="0.4">
      <c r="B2520" s="8" t="s">
        <v>517</v>
      </c>
      <c r="C2520" s="3" t="s">
        <v>356</v>
      </c>
      <c r="D2520" s="3" t="s">
        <v>380</v>
      </c>
      <c r="F2520" s="3" t="s">
        <v>399</v>
      </c>
      <c r="I2520" s="3" t="s">
        <v>267</v>
      </c>
    </row>
    <row r="2521" spans="2:9" hidden="1" x14ac:dyDescent="0.4">
      <c r="B2521" s="8" t="s">
        <v>517</v>
      </c>
      <c r="C2521" s="3" t="s">
        <v>3612</v>
      </c>
      <c r="D2521" s="3" t="s">
        <v>3906</v>
      </c>
      <c r="F2521" s="3" t="s">
        <v>399</v>
      </c>
      <c r="G2521" s="3" t="s">
        <v>402</v>
      </c>
      <c r="I2521" s="3" t="s">
        <v>4063</v>
      </c>
    </row>
    <row r="2522" spans="2:9" hidden="1" x14ac:dyDescent="0.4">
      <c r="B2522" s="8" t="s">
        <v>517</v>
      </c>
      <c r="C2522" s="3" t="s">
        <v>3612</v>
      </c>
      <c r="D2522" s="3" t="s">
        <v>3906</v>
      </c>
      <c r="F2522" s="3" t="s">
        <v>399</v>
      </c>
      <c r="G2522" s="3" t="s">
        <v>402</v>
      </c>
      <c r="I2522" s="3" t="s">
        <v>4064</v>
      </c>
    </row>
    <row r="2523" spans="2:9" hidden="1" x14ac:dyDescent="0.4">
      <c r="B2523" s="8" t="s">
        <v>517</v>
      </c>
      <c r="C2523" s="3" t="s">
        <v>5918</v>
      </c>
      <c r="D2523" s="3" t="s">
        <v>4848</v>
      </c>
      <c r="F2523" s="3" t="s">
        <v>399</v>
      </c>
      <c r="I2523" s="3" t="s">
        <v>4063</v>
      </c>
    </row>
    <row r="2524" spans="2:9" hidden="1" x14ac:dyDescent="0.4">
      <c r="B2524" s="8" t="s">
        <v>517</v>
      </c>
      <c r="C2524" s="3" t="s">
        <v>6264</v>
      </c>
      <c r="D2524" s="3" t="s">
        <v>5611</v>
      </c>
      <c r="F2524" s="3" t="s">
        <v>402</v>
      </c>
      <c r="I2524" s="3" t="s">
        <v>4063</v>
      </c>
    </row>
    <row r="2525" spans="2:9" hidden="1" x14ac:dyDescent="0.4">
      <c r="B2525" s="8" t="s">
        <v>517</v>
      </c>
      <c r="C2525" s="3" t="s">
        <v>4594</v>
      </c>
      <c r="D2525" s="3" t="s">
        <v>4848</v>
      </c>
      <c r="F2525" s="3" t="s">
        <v>399</v>
      </c>
      <c r="I2525" s="3" t="s">
        <v>4064</v>
      </c>
    </row>
    <row r="2526" spans="2:9" hidden="1" x14ac:dyDescent="0.4">
      <c r="B2526" s="8" t="s">
        <v>517</v>
      </c>
      <c r="C2526" s="3" t="s">
        <v>5291</v>
      </c>
      <c r="D2526" s="3" t="s">
        <v>5611</v>
      </c>
      <c r="F2526" s="3" t="s">
        <v>402</v>
      </c>
      <c r="I2526" s="3" t="s">
        <v>4064</v>
      </c>
    </row>
    <row r="2527" spans="2:9" hidden="1" x14ac:dyDescent="0.4">
      <c r="B2527" s="8" t="s">
        <v>518</v>
      </c>
      <c r="C2527" s="3" t="s">
        <v>25</v>
      </c>
      <c r="D2527" s="3" t="s">
        <v>89</v>
      </c>
      <c r="F2527" s="3" t="s">
        <v>400</v>
      </c>
      <c r="I2527" s="3" t="s">
        <v>252</v>
      </c>
    </row>
    <row r="2528" spans="2:9" hidden="1" x14ac:dyDescent="0.4">
      <c r="B2528" s="8" t="s">
        <v>518</v>
      </c>
      <c r="C2528" s="3" t="s">
        <v>207</v>
      </c>
      <c r="D2528" s="3" t="s">
        <v>243</v>
      </c>
      <c r="F2528" s="3" t="s">
        <v>399</v>
      </c>
      <c r="I2528" s="3" t="s">
        <v>268</v>
      </c>
    </row>
    <row r="2529" spans="2:9" hidden="1" x14ac:dyDescent="0.4">
      <c r="B2529" s="8" t="s">
        <v>517</v>
      </c>
      <c r="C2529" s="3" t="s">
        <v>216</v>
      </c>
      <c r="D2529" s="3" t="s">
        <v>252</v>
      </c>
      <c r="F2529" s="3" t="s">
        <v>399</v>
      </c>
      <c r="I2529" s="3" t="s">
        <v>268</v>
      </c>
    </row>
    <row r="2530" spans="2:9" hidden="1" x14ac:dyDescent="0.4">
      <c r="B2530" s="8" t="s">
        <v>517</v>
      </c>
      <c r="C2530" s="3" t="s">
        <v>1405</v>
      </c>
      <c r="D2530" s="3" t="s">
        <v>1439</v>
      </c>
      <c r="F2530" s="3" t="s">
        <v>399</v>
      </c>
      <c r="G2530" s="3" t="s">
        <v>402</v>
      </c>
      <c r="H2530" s="3" t="s">
        <v>1279</v>
      </c>
      <c r="I2530" s="3" t="s">
        <v>1414</v>
      </c>
    </row>
    <row r="2531" spans="2:9" hidden="1" x14ac:dyDescent="0.4">
      <c r="B2531" s="8" t="s">
        <v>517</v>
      </c>
      <c r="C2531" s="3" t="s">
        <v>1549</v>
      </c>
      <c r="D2531" s="3" t="s">
        <v>1439</v>
      </c>
      <c r="F2531" s="3" t="s">
        <v>402</v>
      </c>
      <c r="I2531" s="3" t="s">
        <v>1414</v>
      </c>
    </row>
    <row r="2532" spans="2:9" hidden="1" x14ac:dyDescent="0.4">
      <c r="B2532" s="8" t="s">
        <v>517</v>
      </c>
      <c r="C2532" s="3" t="s">
        <v>224</v>
      </c>
      <c r="D2532" s="3" t="s">
        <v>258</v>
      </c>
      <c r="F2532" s="3" t="s">
        <v>399</v>
      </c>
      <c r="I2532" s="3" t="s">
        <v>420</v>
      </c>
    </row>
    <row r="2533" spans="2:9" ht="29.25" hidden="1" x14ac:dyDescent="0.4">
      <c r="B2533" s="8" t="s">
        <v>517</v>
      </c>
      <c r="C2533" s="3" t="s">
        <v>6358</v>
      </c>
      <c r="D2533" s="3" t="s">
        <v>5628</v>
      </c>
      <c r="F2533" s="3" t="s">
        <v>402</v>
      </c>
      <c r="I2533" s="3" t="s">
        <v>4063</v>
      </c>
    </row>
    <row r="2534" spans="2:9" hidden="1" x14ac:dyDescent="0.4">
      <c r="B2534" s="8" t="s">
        <v>517</v>
      </c>
      <c r="C2534" s="3" t="s">
        <v>6009</v>
      </c>
      <c r="D2534" s="3" t="s">
        <v>4851</v>
      </c>
      <c r="F2534" s="3" t="s">
        <v>399</v>
      </c>
      <c r="I2534" s="3" t="s">
        <v>4063</v>
      </c>
    </row>
    <row r="2535" spans="2:9" hidden="1" x14ac:dyDescent="0.4">
      <c r="B2535" s="8" t="s">
        <v>517</v>
      </c>
      <c r="C2535" s="3" t="s">
        <v>4310</v>
      </c>
      <c r="D2535" s="3" t="s">
        <v>3923</v>
      </c>
      <c r="F2535" s="3" t="s">
        <v>399</v>
      </c>
      <c r="G2535" s="3" t="s">
        <v>402</v>
      </c>
      <c r="I2535" s="3" t="s">
        <v>4064</v>
      </c>
    </row>
    <row r="2536" spans="2:9" hidden="1" x14ac:dyDescent="0.4">
      <c r="B2536" s="8" t="s">
        <v>517</v>
      </c>
      <c r="C2536" s="3" t="s">
        <v>3629</v>
      </c>
      <c r="D2536" s="3" t="s">
        <v>3923</v>
      </c>
      <c r="F2536" s="3" t="s">
        <v>399</v>
      </c>
      <c r="G2536" s="3" t="s">
        <v>402</v>
      </c>
      <c r="I2536" s="3" t="s">
        <v>4063</v>
      </c>
    </row>
    <row r="2537" spans="2:9" hidden="1" x14ac:dyDescent="0.4">
      <c r="B2537" s="8" t="s">
        <v>517</v>
      </c>
      <c r="C2537" s="3" t="s">
        <v>4558</v>
      </c>
      <c r="D2537" s="3" t="s">
        <v>4851</v>
      </c>
      <c r="F2537" s="3" t="s">
        <v>399</v>
      </c>
      <c r="I2537" s="3" t="s">
        <v>4064</v>
      </c>
    </row>
    <row r="2538" spans="2:9" hidden="1" x14ac:dyDescent="0.4">
      <c r="B2538" s="8" t="s">
        <v>517</v>
      </c>
      <c r="C2538" s="3" t="s">
        <v>5308</v>
      </c>
      <c r="D2538" s="3" t="s">
        <v>5628</v>
      </c>
      <c r="F2538" s="3" t="s">
        <v>402</v>
      </c>
      <c r="I2538" s="3" t="s">
        <v>4064</v>
      </c>
    </row>
    <row r="2539" spans="2:9" hidden="1" x14ac:dyDescent="0.4">
      <c r="B2539" s="8" t="s">
        <v>536</v>
      </c>
      <c r="C2539" s="3" t="s">
        <v>467</v>
      </c>
      <c r="D2539" s="3" t="s">
        <v>744</v>
      </c>
      <c r="E2539" s="3" t="s">
        <v>432</v>
      </c>
      <c r="F2539" s="3" t="s">
        <v>12779</v>
      </c>
      <c r="G2539" s="3" t="s">
        <v>430</v>
      </c>
      <c r="I2539" s="3" t="s">
        <v>472</v>
      </c>
    </row>
    <row r="2540" spans="2:9" hidden="1" x14ac:dyDescent="0.4">
      <c r="B2540" s="8" t="s">
        <v>529</v>
      </c>
      <c r="C2540" s="3" t="s">
        <v>467</v>
      </c>
      <c r="D2540" s="3" t="s">
        <v>745</v>
      </c>
      <c r="E2540" s="3" t="s">
        <v>432</v>
      </c>
      <c r="F2540" s="3" t="s">
        <v>12779</v>
      </c>
      <c r="G2540" s="3" t="s">
        <v>430</v>
      </c>
      <c r="I2540" s="3" t="s">
        <v>472</v>
      </c>
    </row>
    <row r="2541" spans="2:9" hidden="1" x14ac:dyDescent="0.4">
      <c r="B2541" s="8" t="s">
        <v>823</v>
      </c>
      <c r="C2541" s="3" t="s">
        <v>2073</v>
      </c>
      <c r="D2541" s="3" t="s">
        <v>2082</v>
      </c>
      <c r="F2541" s="3" t="s">
        <v>2065</v>
      </c>
      <c r="I2541" s="3" t="s">
        <v>248</v>
      </c>
    </row>
    <row r="2542" spans="2:9" hidden="1" x14ac:dyDescent="0.4">
      <c r="B2542" s="8" t="s">
        <v>518</v>
      </c>
      <c r="C2542" s="3" t="s">
        <v>2073</v>
      </c>
      <c r="D2542" s="3" t="s">
        <v>2082</v>
      </c>
      <c r="F2542" s="3" t="s">
        <v>402</v>
      </c>
      <c r="I2542" s="3" t="s">
        <v>1728</v>
      </c>
    </row>
    <row r="2543" spans="2:9" hidden="1" x14ac:dyDescent="0.4">
      <c r="B2543" s="8" t="s">
        <v>518</v>
      </c>
      <c r="C2543" s="3" t="s">
        <v>3655</v>
      </c>
      <c r="D2543" s="3" t="s">
        <v>3947</v>
      </c>
      <c r="E2543" s="3" t="s">
        <v>1272</v>
      </c>
      <c r="F2543" s="3" t="s">
        <v>399</v>
      </c>
      <c r="G2543" s="3" t="s">
        <v>402</v>
      </c>
      <c r="I2543" s="3" t="s">
        <v>4362</v>
      </c>
    </row>
    <row r="2544" spans="2:9" hidden="1" x14ac:dyDescent="0.4">
      <c r="B2544" s="8" t="s">
        <v>512</v>
      </c>
      <c r="C2544" s="3" t="s">
        <v>3670</v>
      </c>
      <c r="D2544" s="3" t="s">
        <v>3959</v>
      </c>
      <c r="E2544" s="3" t="s">
        <v>1272</v>
      </c>
      <c r="F2544" s="3" t="s">
        <v>399</v>
      </c>
      <c r="G2544" s="3" t="s">
        <v>402</v>
      </c>
      <c r="I2544" s="3" t="s">
        <v>4362</v>
      </c>
    </row>
    <row r="2545" spans="2:9" hidden="1" x14ac:dyDescent="0.4">
      <c r="B2545" s="8" t="s">
        <v>526</v>
      </c>
      <c r="C2545" s="3" t="s">
        <v>3669</v>
      </c>
      <c r="D2545" s="3" t="s">
        <v>3958</v>
      </c>
      <c r="E2545" s="3" t="s">
        <v>1272</v>
      </c>
      <c r="F2545" s="3" t="s">
        <v>399</v>
      </c>
      <c r="G2545" s="3" t="s">
        <v>402</v>
      </c>
      <c r="I2545" s="3" t="s">
        <v>4362</v>
      </c>
    </row>
    <row r="2546" spans="2:9" hidden="1" x14ac:dyDescent="0.4">
      <c r="B2546" s="8" t="s">
        <v>526</v>
      </c>
      <c r="C2546" s="3" t="s">
        <v>3668</v>
      </c>
      <c r="D2546" s="3" t="s">
        <v>3957</v>
      </c>
      <c r="E2546" s="3" t="s">
        <v>1272</v>
      </c>
      <c r="F2546" s="3" t="s">
        <v>399</v>
      </c>
      <c r="G2546" s="3" t="s">
        <v>402</v>
      </c>
      <c r="I2546" s="3" t="s">
        <v>4362</v>
      </c>
    </row>
    <row r="2547" spans="2:9" hidden="1" x14ac:dyDescent="0.4">
      <c r="B2547" s="8" t="s">
        <v>512</v>
      </c>
      <c r="C2547" s="3" t="s">
        <v>3667</v>
      </c>
      <c r="D2547" s="3" t="s">
        <v>3955</v>
      </c>
      <c r="E2547" s="3" t="s">
        <v>1272</v>
      </c>
      <c r="F2547" s="3" t="s">
        <v>399</v>
      </c>
      <c r="G2547" s="3" t="s">
        <v>402</v>
      </c>
      <c r="I2547" s="3" t="s">
        <v>4362</v>
      </c>
    </row>
    <row r="2548" spans="2:9" hidden="1" x14ac:dyDescent="0.4">
      <c r="B2548" s="8" t="s">
        <v>536</v>
      </c>
      <c r="C2548" s="3" t="s">
        <v>2684</v>
      </c>
      <c r="D2548" s="3">
        <v>8</v>
      </c>
      <c r="F2548" s="3" t="s">
        <v>1124</v>
      </c>
      <c r="I2548" s="3" t="s">
        <v>252</v>
      </c>
    </row>
    <row r="2549" spans="2:9" hidden="1" x14ac:dyDescent="0.4">
      <c r="B2549" s="8" t="s">
        <v>536</v>
      </c>
      <c r="C2549" s="3" t="s">
        <v>2732</v>
      </c>
      <c r="D2549" s="3">
        <v>800</v>
      </c>
      <c r="F2549" s="3" t="s">
        <v>1124</v>
      </c>
      <c r="I2549" s="3" t="s">
        <v>252</v>
      </c>
    </row>
    <row r="2550" spans="2:9" hidden="1" x14ac:dyDescent="0.4">
      <c r="B2550" s="8" t="s">
        <v>536</v>
      </c>
      <c r="C2550" s="3" t="s">
        <v>2723</v>
      </c>
      <c r="D2550" s="3">
        <v>80</v>
      </c>
      <c r="F2550" s="3" t="s">
        <v>1124</v>
      </c>
      <c r="I2550" s="3" t="s">
        <v>252</v>
      </c>
    </row>
    <row r="2551" spans="2:9" hidden="1" x14ac:dyDescent="0.4">
      <c r="B2551" s="8" t="s">
        <v>536</v>
      </c>
      <c r="C2551" s="3" t="s">
        <v>2704</v>
      </c>
      <c r="D2551" s="3">
        <v>28</v>
      </c>
      <c r="F2551" s="3" t="s">
        <v>1124</v>
      </c>
      <c r="I2551" s="3" t="s">
        <v>252</v>
      </c>
    </row>
    <row r="2552" spans="2:9" hidden="1" x14ac:dyDescent="0.4">
      <c r="B2552" s="8" t="s">
        <v>536</v>
      </c>
      <c r="C2552" s="3" t="s">
        <v>2694</v>
      </c>
      <c r="D2552" s="3">
        <v>18</v>
      </c>
      <c r="F2552" s="3" t="s">
        <v>1124</v>
      </c>
      <c r="I2552" s="3" t="s">
        <v>252</v>
      </c>
    </row>
    <row r="2553" spans="2:9" hidden="1" x14ac:dyDescent="0.4">
      <c r="B2553" s="8">
        <v>0</v>
      </c>
      <c r="C2553" s="3" t="s">
        <v>66</v>
      </c>
      <c r="D2553" s="3" t="s">
        <v>123</v>
      </c>
      <c r="F2553" s="3" t="s">
        <v>825</v>
      </c>
      <c r="I2553" s="3" t="s">
        <v>252</v>
      </c>
    </row>
    <row r="2554" spans="2:9" hidden="1" x14ac:dyDescent="0.4">
      <c r="B2554" s="8">
        <v>1</v>
      </c>
      <c r="C2554" s="3" t="s">
        <v>65</v>
      </c>
      <c r="D2554" s="3" t="s">
        <v>123</v>
      </c>
      <c r="F2554" s="3" t="s">
        <v>400</v>
      </c>
      <c r="I2554" s="3" t="s">
        <v>252</v>
      </c>
    </row>
    <row r="2555" spans="2:9" hidden="1" x14ac:dyDescent="0.4">
      <c r="B2555" s="8" t="s">
        <v>536</v>
      </c>
      <c r="C2555" s="3" t="s">
        <v>2740</v>
      </c>
      <c r="D2555" s="3">
        <v>8000</v>
      </c>
      <c r="F2555" s="3" t="s">
        <v>1124</v>
      </c>
      <c r="I2555" s="3" t="s">
        <v>252</v>
      </c>
    </row>
    <row r="2556" spans="2:9" hidden="1" x14ac:dyDescent="0.4">
      <c r="B2556" s="8" t="s">
        <v>536</v>
      </c>
      <c r="C2556" s="3" t="s">
        <v>2718</v>
      </c>
      <c r="D2556" s="3">
        <v>38</v>
      </c>
      <c r="F2556" s="3" t="s">
        <v>1124</v>
      </c>
      <c r="I2556" s="3" t="s">
        <v>252</v>
      </c>
    </row>
    <row r="2557" spans="2:9" hidden="1" x14ac:dyDescent="0.4">
      <c r="B2557" s="8" t="s">
        <v>536</v>
      </c>
      <c r="C2557" s="3" t="s">
        <v>2748</v>
      </c>
      <c r="D2557" s="3">
        <v>80000</v>
      </c>
      <c r="F2557" s="3" t="s">
        <v>1124</v>
      </c>
      <c r="I2557" s="3" t="s">
        <v>252</v>
      </c>
    </row>
    <row r="2558" spans="2:9" hidden="1" x14ac:dyDescent="0.4">
      <c r="B2558" s="8" t="s">
        <v>517</v>
      </c>
      <c r="C2558" s="8" t="s">
        <v>835</v>
      </c>
      <c r="D2558" s="3" t="s">
        <v>819</v>
      </c>
      <c r="F2558" s="3" t="s">
        <v>399</v>
      </c>
      <c r="I2558" s="3" t="s">
        <v>824</v>
      </c>
    </row>
    <row r="2559" spans="2:9" hidden="1" x14ac:dyDescent="0.4">
      <c r="B2559" s="8" t="s">
        <v>517</v>
      </c>
      <c r="C2559" s="8" t="s">
        <v>933</v>
      </c>
      <c r="D2559" s="3" t="s">
        <v>819</v>
      </c>
      <c r="F2559" s="3" t="s">
        <v>402</v>
      </c>
      <c r="I2559" s="3" t="s">
        <v>824</v>
      </c>
    </row>
    <row r="2560" spans="2:9" hidden="1" x14ac:dyDescent="0.4">
      <c r="B2560" s="8" t="s">
        <v>756</v>
      </c>
      <c r="C2560" s="3" t="s">
        <v>763</v>
      </c>
      <c r="D2560" s="3" t="s">
        <v>776</v>
      </c>
      <c r="E2560" s="3" t="s">
        <v>425</v>
      </c>
      <c r="F2560" s="3" t="s">
        <v>399</v>
      </c>
      <c r="G2560" s="3" t="s">
        <v>402</v>
      </c>
      <c r="I2560" s="3" t="s">
        <v>781</v>
      </c>
    </row>
    <row r="2561" spans="2:9" hidden="1" x14ac:dyDescent="0.4">
      <c r="B2561" s="8" t="s">
        <v>756</v>
      </c>
      <c r="C2561" s="3" t="s">
        <v>788</v>
      </c>
      <c r="D2561" s="3" t="s">
        <v>776</v>
      </c>
      <c r="E2561" s="3" t="s">
        <v>425</v>
      </c>
      <c r="F2561" s="3" t="s">
        <v>402</v>
      </c>
      <c r="I2561" s="3" t="s">
        <v>781</v>
      </c>
    </row>
    <row r="2562" spans="2:9" hidden="1" x14ac:dyDescent="0.4">
      <c r="B2562" s="8" t="s">
        <v>518</v>
      </c>
      <c r="C2562" s="3" t="s">
        <v>2338</v>
      </c>
      <c r="D2562" s="3" t="s">
        <v>2494</v>
      </c>
      <c r="E2562" s="3" t="s">
        <v>1272</v>
      </c>
      <c r="F2562" s="3" t="s">
        <v>399</v>
      </c>
      <c r="I2562" s="3" t="s">
        <v>1833</v>
      </c>
    </row>
    <row r="2563" spans="2:9" hidden="1" x14ac:dyDescent="0.4">
      <c r="B2563" s="8" t="s">
        <v>518</v>
      </c>
      <c r="C2563" s="3" t="s">
        <v>2638</v>
      </c>
      <c r="D2563" s="3" t="s">
        <v>2494</v>
      </c>
      <c r="E2563" s="3" t="s">
        <v>1272</v>
      </c>
      <c r="F2563" s="3" t="s">
        <v>402</v>
      </c>
      <c r="I2563" s="3" t="s">
        <v>1833</v>
      </c>
    </row>
    <row r="2564" spans="2:9" hidden="1" x14ac:dyDescent="0.4">
      <c r="B2564" s="8" t="s">
        <v>518</v>
      </c>
      <c r="C2564" s="3" t="s">
        <v>164</v>
      </c>
      <c r="D2564" s="3" t="s">
        <v>647</v>
      </c>
      <c r="F2564" s="3" t="s">
        <v>399</v>
      </c>
      <c r="I2564" s="3" t="s">
        <v>267</v>
      </c>
    </row>
    <row r="2565" spans="2:9" hidden="1" x14ac:dyDescent="0.4">
      <c r="B2565" s="8" t="s">
        <v>518</v>
      </c>
      <c r="C2565" s="3" t="s">
        <v>2933</v>
      </c>
      <c r="D2565" s="3" t="s">
        <v>3169</v>
      </c>
      <c r="E2565" s="3">
        <v>1</v>
      </c>
      <c r="F2565" s="3" t="s">
        <v>3349</v>
      </c>
      <c r="G2565" s="3" t="s">
        <v>402</v>
      </c>
      <c r="H2565" s="3" t="s">
        <v>988</v>
      </c>
      <c r="I2565" s="3" t="s">
        <v>1335</v>
      </c>
    </row>
    <row r="2566" spans="2:9" hidden="1" x14ac:dyDescent="0.4">
      <c r="B2566" s="8" t="s">
        <v>517</v>
      </c>
      <c r="C2566" s="3" t="s">
        <v>4646</v>
      </c>
      <c r="D2566" s="3" t="s">
        <v>4897</v>
      </c>
      <c r="F2566" s="3" t="s">
        <v>399</v>
      </c>
      <c r="I2566" s="3" t="s">
        <v>4064</v>
      </c>
    </row>
    <row r="2567" spans="2:9" hidden="1" x14ac:dyDescent="0.4">
      <c r="B2567" s="8" t="s">
        <v>517</v>
      </c>
      <c r="C2567" s="3" t="s">
        <v>5147</v>
      </c>
      <c r="D2567" s="3" t="s">
        <v>5469</v>
      </c>
      <c r="F2567" s="3" t="s">
        <v>402</v>
      </c>
      <c r="I2567" s="3" t="s">
        <v>4064</v>
      </c>
    </row>
    <row r="2568" spans="2:9" hidden="1" x14ac:dyDescent="0.4">
      <c r="B2568" s="8" t="s">
        <v>532</v>
      </c>
      <c r="C2568" s="3" t="s">
        <v>198</v>
      </c>
      <c r="D2568" s="3" t="s">
        <v>589</v>
      </c>
      <c r="F2568" s="3" t="s">
        <v>399</v>
      </c>
      <c r="I2568" s="3" t="s">
        <v>267</v>
      </c>
    </row>
    <row r="2569" spans="2:9" hidden="1" x14ac:dyDescent="0.4">
      <c r="B2569" s="8" t="s">
        <v>520</v>
      </c>
      <c r="C2569" s="3" t="s">
        <v>198</v>
      </c>
      <c r="D2569" s="3" t="s">
        <v>553</v>
      </c>
      <c r="F2569" s="3" t="s">
        <v>399</v>
      </c>
      <c r="I2569" s="3" t="s">
        <v>267</v>
      </c>
    </row>
    <row r="2570" spans="2:9" hidden="1" x14ac:dyDescent="0.4">
      <c r="B2570" s="8" t="s">
        <v>823</v>
      </c>
      <c r="C2570" s="3" t="s">
        <v>1682</v>
      </c>
      <c r="D2570" s="3" t="s">
        <v>1498</v>
      </c>
      <c r="F2570" s="3" t="s">
        <v>1124</v>
      </c>
      <c r="I2570" s="3" t="s">
        <v>1489</v>
      </c>
    </row>
    <row r="2571" spans="2:9" hidden="1" x14ac:dyDescent="0.4">
      <c r="B2571" s="8" t="s">
        <v>1487</v>
      </c>
      <c r="C2571" s="3" t="s">
        <v>1456</v>
      </c>
      <c r="D2571" s="3" t="s">
        <v>1498</v>
      </c>
      <c r="F2571" s="3" t="s">
        <v>399</v>
      </c>
      <c r="G2571" s="3" t="s">
        <v>402</v>
      </c>
      <c r="I2571" s="3" t="s">
        <v>1489</v>
      </c>
    </row>
    <row r="2572" spans="2:9" hidden="1" x14ac:dyDescent="0.4">
      <c r="B2572" s="8" t="s">
        <v>1487</v>
      </c>
      <c r="C2572" s="3" t="s">
        <v>1566</v>
      </c>
      <c r="D2572" s="3" t="s">
        <v>1498</v>
      </c>
      <c r="F2572" s="3" t="s">
        <v>402</v>
      </c>
      <c r="I2572" s="3" t="s">
        <v>1489</v>
      </c>
    </row>
    <row r="2573" spans="2:9" hidden="1" x14ac:dyDescent="0.4">
      <c r="B2573" s="8" t="s">
        <v>529</v>
      </c>
      <c r="C2573" s="3" t="s">
        <v>1235</v>
      </c>
      <c r="D2573" s="3" t="s">
        <v>1248</v>
      </c>
      <c r="F2573" s="3" t="s">
        <v>403</v>
      </c>
      <c r="I2573" s="3" t="s">
        <v>510</v>
      </c>
    </row>
    <row r="2574" spans="2:9" hidden="1" x14ac:dyDescent="0.4">
      <c r="B2574" s="8" t="s">
        <v>520</v>
      </c>
      <c r="C2574" s="3" t="s">
        <v>292</v>
      </c>
      <c r="D2574" s="3" t="s">
        <v>590</v>
      </c>
      <c r="F2574" s="3" t="s">
        <v>399</v>
      </c>
      <c r="I2574" s="3" t="s">
        <v>267</v>
      </c>
    </row>
    <row r="2575" spans="2:9" hidden="1" x14ac:dyDescent="0.4">
      <c r="B2575" s="8" t="s">
        <v>517</v>
      </c>
      <c r="C2575" s="3" t="s">
        <v>4156</v>
      </c>
      <c r="D2575" s="3" t="s">
        <v>3761</v>
      </c>
      <c r="F2575" s="3" t="s">
        <v>399</v>
      </c>
      <c r="G2575" s="3" t="s">
        <v>402</v>
      </c>
      <c r="I2575" s="3" t="s">
        <v>4064</v>
      </c>
    </row>
    <row r="2576" spans="2:9" hidden="1" x14ac:dyDescent="0.4">
      <c r="B2576" s="8" t="s">
        <v>517</v>
      </c>
      <c r="C2576" s="3" t="s">
        <v>3453</v>
      </c>
      <c r="D2576" s="3" t="s">
        <v>3761</v>
      </c>
      <c r="F2576" s="3" t="s">
        <v>399</v>
      </c>
      <c r="G2576" s="3" t="s">
        <v>402</v>
      </c>
      <c r="I2576" s="3" t="s">
        <v>4063</v>
      </c>
    </row>
    <row r="2577" spans="2:9" hidden="1" x14ac:dyDescent="0.4">
      <c r="B2577" s="8" t="s">
        <v>517</v>
      </c>
      <c r="C2577" s="3" t="s">
        <v>5780</v>
      </c>
      <c r="D2577" s="3" t="s">
        <v>4766</v>
      </c>
      <c r="F2577" s="3" t="s">
        <v>399</v>
      </c>
      <c r="I2577" s="3" t="s">
        <v>4063</v>
      </c>
    </row>
    <row r="2578" spans="2:9" hidden="1" x14ac:dyDescent="0.4">
      <c r="B2578" s="8" t="s">
        <v>517</v>
      </c>
      <c r="C2578" s="3" t="s">
        <v>6123</v>
      </c>
      <c r="D2578" s="3" t="s">
        <v>5450</v>
      </c>
      <c r="F2578" s="3" t="s">
        <v>402</v>
      </c>
      <c r="I2578" s="3" t="s">
        <v>4063</v>
      </c>
    </row>
    <row r="2579" spans="2:9" hidden="1" x14ac:dyDescent="0.4">
      <c r="B2579" s="8" t="s">
        <v>517</v>
      </c>
      <c r="C2579" s="3" t="s">
        <v>4410</v>
      </c>
      <c r="D2579" s="3" t="s">
        <v>4766</v>
      </c>
      <c r="F2579" s="3" t="s">
        <v>399</v>
      </c>
      <c r="I2579" s="3" t="s">
        <v>4064</v>
      </c>
    </row>
    <row r="2580" spans="2:9" hidden="1" x14ac:dyDescent="0.4">
      <c r="B2580" s="8" t="s">
        <v>517</v>
      </c>
      <c r="C2580" s="3" t="s">
        <v>5127</v>
      </c>
      <c r="D2580" s="3" t="s">
        <v>5450</v>
      </c>
      <c r="F2580" s="3" t="s">
        <v>402</v>
      </c>
      <c r="I2580" s="3" t="s">
        <v>4064</v>
      </c>
    </row>
    <row r="2581" spans="2:9" hidden="1" x14ac:dyDescent="0.4">
      <c r="B2581" s="8" t="s">
        <v>529</v>
      </c>
      <c r="C2581" s="3" t="s">
        <v>283</v>
      </c>
      <c r="D2581" s="3" t="s">
        <v>591</v>
      </c>
      <c r="F2581" s="3" t="s">
        <v>399</v>
      </c>
      <c r="I2581" s="3" t="s">
        <v>267</v>
      </c>
    </row>
    <row r="2582" spans="2:9" hidden="1" x14ac:dyDescent="0.4">
      <c r="B2582" s="8" t="s">
        <v>520</v>
      </c>
      <c r="C2582" s="3" t="s">
        <v>367</v>
      </c>
      <c r="D2582" s="3" t="s">
        <v>391</v>
      </c>
      <c r="F2582" s="3" t="s">
        <v>399</v>
      </c>
      <c r="I2582" s="3" t="s">
        <v>267</v>
      </c>
    </row>
    <row r="2583" spans="2:9" hidden="1" x14ac:dyDescent="0.4">
      <c r="B2583" s="8" t="s">
        <v>529</v>
      </c>
      <c r="C2583" s="3" t="s">
        <v>358</v>
      </c>
      <c r="D2583" s="3" t="s">
        <v>382</v>
      </c>
      <c r="F2583" s="3" t="s">
        <v>399</v>
      </c>
      <c r="I2583" s="3" t="s">
        <v>267</v>
      </c>
    </row>
    <row r="2584" spans="2:9" hidden="1" x14ac:dyDescent="0.4">
      <c r="B2584" s="8" t="s">
        <v>518</v>
      </c>
      <c r="C2584" s="3" t="s">
        <v>1475</v>
      </c>
      <c r="D2584" s="3" t="s">
        <v>1518</v>
      </c>
      <c r="F2584" s="3" t="s">
        <v>399</v>
      </c>
      <c r="G2584" s="3" t="s">
        <v>402</v>
      </c>
      <c r="I2584" s="3" t="s">
        <v>1489</v>
      </c>
    </row>
    <row r="2585" spans="2:9" hidden="1" x14ac:dyDescent="0.4">
      <c r="B2585" s="8" t="s">
        <v>518</v>
      </c>
      <c r="C2585" s="3" t="s">
        <v>1585</v>
      </c>
      <c r="D2585" s="3" t="s">
        <v>1518</v>
      </c>
      <c r="F2585" s="3" t="s">
        <v>402</v>
      </c>
      <c r="I2585" s="3" t="s">
        <v>1489</v>
      </c>
    </row>
    <row r="2586" spans="2:9" hidden="1" x14ac:dyDescent="0.4">
      <c r="B2586" s="8" t="s">
        <v>4061</v>
      </c>
      <c r="C2586" s="3" t="s">
        <v>4338</v>
      </c>
      <c r="D2586" s="3" t="s">
        <v>3979</v>
      </c>
      <c r="F2586" s="3" t="s">
        <v>399</v>
      </c>
      <c r="G2586" s="3" t="s">
        <v>402</v>
      </c>
      <c r="I2586" s="3" t="s">
        <v>4064</v>
      </c>
    </row>
    <row r="2587" spans="2:9" hidden="1" x14ac:dyDescent="0.4">
      <c r="B2587" s="8" t="s">
        <v>4061</v>
      </c>
      <c r="C2587" s="3" t="s">
        <v>3978</v>
      </c>
      <c r="D2587" s="3" t="s">
        <v>3979</v>
      </c>
      <c r="F2587" s="3" t="s">
        <v>399</v>
      </c>
      <c r="G2587" s="3" t="s">
        <v>402</v>
      </c>
      <c r="I2587" s="3" t="s">
        <v>4063</v>
      </c>
    </row>
    <row r="2588" spans="2:9" hidden="1" x14ac:dyDescent="0.4">
      <c r="B2588" s="8" t="s">
        <v>4061</v>
      </c>
      <c r="C2588" s="3" t="s">
        <v>5959</v>
      </c>
      <c r="D2588" s="3" t="s">
        <v>5010</v>
      </c>
      <c r="F2588" s="3" t="s">
        <v>399</v>
      </c>
      <c r="I2588" s="3" t="s">
        <v>4063</v>
      </c>
    </row>
    <row r="2589" spans="2:9" hidden="1" x14ac:dyDescent="0.4">
      <c r="B2589" s="8" t="s">
        <v>4061</v>
      </c>
      <c r="C2589" s="3" t="s">
        <v>6307</v>
      </c>
      <c r="D2589" s="3" t="s">
        <v>5658</v>
      </c>
      <c r="F2589" s="3" t="s">
        <v>402</v>
      </c>
      <c r="I2589" s="3" t="s">
        <v>4063</v>
      </c>
    </row>
    <row r="2590" spans="2:9" hidden="1" x14ac:dyDescent="0.4">
      <c r="B2590" s="8" t="s">
        <v>4061</v>
      </c>
      <c r="C2590" s="3" t="s">
        <v>4531</v>
      </c>
      <c r="D2590" s="3" t="s">
        <v>5010</v>
      </c>
      <c r="F2590" s="3" t="s">
        <v>399</v>
      </c>
      <c r="I2590" s="3" t="s">
        <v>4064</v>
      </c>
    </row>
    <row r="2591" spans="2:9" hidden="1" x14ac:dyDescent="0.4">
      <c r="B2591" s="8" t="s">
        <v>4061</v>
      </c>
      <c r="C2591" s="3" t="s">
        <v>5339</v>
      </c>
      <c r="D2591" s="3" t="s">
        <v>5658</v>
      </c>
      <c r="F2591" s="3" t="s">
        <v>402</v>
      </c>
      <c r="I2591" s="3" t="s">
        <v>4064</v>
      </c>
    </row>
    <row r="2592" spans="2:9" hidden="1" x14ac:dyDescent="0.4">
      <c r="B2592" s="8" t="s">
        <v>517</v>
      </c>
      <c r="C2592" s="3" t="s">
        <v>4175</v>
      </c>
      <c r="D2592" s="3" t="s">
        <v>3781</v>
      </c>
      <c r="F2592" s="3" t="s">
        <v>399</v>
      </c>
      <c r="G2592" s="3" t="s">
        <v>402</v>
      </c>
      <c r="I2592" s="3" t="s">
        <v>4064</v>
      </c>
    </row>
    <row r="2593" spans="2:9" hidden="1" x14ac:dyDescent="0.4">
      <c r="B2593" s="8" t="s">
        <v>518</v>
      </c>
      <c r="C2593" s="3" t="s">
        <v>3067</v>
      </c>
      <c r="D2593" s="3" t="s">
        <v>3299</v>
      </c>
      <c r="E2593" s="3">
        <v>1</v>
      </c>
      <c r="F2593" s="3" t="s">
        <v>402</v>
      </c>
      <c r="G2593" s="3" t="s">
        <v>1279</v>
      </c>
      <c r="I2593" s="3" t="s">
        <v>245</v>
      </c>
    </row>
    <row r="2594" spans="2:9" hidden="1" x14ac:dyDescent="0.4">
      <c r="B2594" s="8" t="s">
        <v>517</v>
      </c>
      <c r="C2594" s="3" t="s">
        <v>2926</v>
      </c>
      <c r="D2594" s="3" t="s">
        <v>3346</v>
      </c>
      <c r="E2594" s="3">
        <v>1</v>
      </c>
      <c r="F2594" s="3" t="s">
        <v>399</v>
      </c>
      <c r="G2594" s="3" t="s">
        <v>402</v>
      </c>
      <c r="H2594" s="3" t="s">
        <v>988</v>
      </c>
      <c r="I2594" s="3" t="s">
        <v>1335</v>
      </c>
    </row>
    <row r="2595" spans="2:9" hidden="1" x14ac:dyDescent="0.4">
      <c r="B2595" s="8" t="s">
        <v>529</v>
      </c>
      <c r="C2595" s="3" t="s">
        <v>1478</v>
      </c>
      <c r="D2595" s="3" t="s">
        <v>1523</v>
      </c>
      <c r="F2595" s="3" t="s">
        <v>399</v>
      </c>
      <c r="G2595" s="3" t="s">
        <v>402</v>
      </c>
      <c r="I2595" s="3" t="s">
        <v>1489</v>
      </c>
    </row>
    <row r="2596" spans="2:9" hidden="1" x14ac:dyDescent="0.4">
      <c r="B2596" s="8" t="s">
        <v>529</v>
      </c>
      <c r="C2596" s="3" t="s">
        <v>1587</v>
      </c>
      <c r="D2596" s="3" t="s">
        <v>1523</v>
      </c>
      <c r="F2596" s="3" t="s">
        <v>402</v>
      </c>
      <c r="I2596" s="3" t="s">
        <v>1489</v>
      </c>
    </row>
    <row r="2597" spans="2:9" hidden="1" x14ac:dyDescent="0.4">
      <c r="B2597" s="8" t="s">
        <v>517</v>
      </c>
      <c r="C2597" s="3" t="s">
        <v>2921</v>
      </c>
      <c r="D2597" s="3" t="s">
        <v>3161</v>
      </c>
      <c r="E2597" s="3">
        <v>1</v>
      </c>
      <c r="F2597" s="3" t="s">
        <v>402</v>
      </c>
      <c r="I2597" s="3" t="s">
        <v>245</v>
      </c>
    </row>
    <row r="2598" spans="2:9" hidden="1" x14ac:dyDescent="0.4">
      <c r="B2598" s="8" t="s">
        <v>517</v>
      </c>
      <c r="C2598" s="3" t="s">
        <v>3474</v>
      </c>
      <c r="D2598" s="3" t="s">
        <v>3781</v>
      </c>
      <c r="F2598" s="3" t="s">
        <v>399</v>
      </c>
      <c r="G2598" s="3" t="s">
        <v>402</v>
      </c>
      <c r="I2598" s="3" t="s">
        <v>4063</v>
      </c>
    </row>
    <row r="2599" spans="2:9" hidden="1" x14ac:dyDescent="0.4">
      <c r="B2599" s="8" t="s">
        <v>517</v>
      </c>
      <c r="C2599" s="3" t="s">
        <v>5796</v>
      </c>
      <c r="D2599" s="3" t="s">
        <v>4897</v>
      </c>
      <c r="F2599" s="3" t="s">
        <v>399</v>
      </c>
      <c r="I2599" s="3" t="s">
        <v>4063</v>
      </c>
    </row>
    <row r="2600" spans="2:9" hidden="1" x14ac:dyDescent="0.4">
      <c r="B2600" s="8" t="s">
        <v>517</v>
      </c>
      <c r="C2600" s="3" t="s">
        <v>6139</v>
      </c>
      <c r="D2600" s="3" t="s">
        <v>5469</v>
      </c>
      <c r="F2600" s="3" t="s">
        <v>402</v>
      </c>
      <c r="I2600" s="3" t="s">
        <v>4063</v>
      </c>
    </row>
    <row r="2601" spans="2:9" hidden="1" x14ac:dyDescent="0.4">
      <c r="B2601" s="8" t="s">
        <v>520</v>
      </c>
      <c r="C2601" s="3" t="s">
        <v>411</v>
      </c>
      <c r="D2601" s="3" t="s">
        <v>428</v>
      </c>
      <c r="F2601" s="3" t="s">
        <v>430</v>
      </c>
      <c r="I2601" s="3" t="s">
        <v>431</v>
      </c>
    </row>
    <row r="2602" spans="2:9" hidden="1" x14ac:dyDescent="0.4">
      <c r="B2602" s="8" t="s">
        <v>517</v>
      </c>
      <c r="C2602" s="3" t="s">
        <v>2289</v>
      </c>
      <c r="D2602" s="3" t="s">
        <v>2447</v>
      </c>
      <c r="E2602" s="3" t="s">
        <v>1272</v>
      </c>
      <c r="F2602" s="3" t="s">
        <v>399</v>
      </c>
      <c r="I2602" s="3" t="s">
        <v>1833</v>
      </c>
    </row>
    <row r="2603" spans="2:9" hidden="1" x14ac:dyDescent="0.4">
      <c r="B2603" s="8" t="s">
        <v>517</v>
      </c>
      <c r="C2603" s="3" t="s">
        <v>2594</v>
      </c>
      <c r="D2603" s="3" t="s">
        <v>2447</v>
      </c>
      <c r="E2603" s="3" t="s">
        <v>1272</v>
      </c>
      <c r="F2603" s="3" t="s">
        <v>402</v>
      </c>
      <c r="I2603" s="3" t="s">
        <v>1833</v>
      </c>
    </row>
    <row r="2604" spans="2:9" hidden="1" x14ac:dyDescent="0.4">
      <c r="B2604" s="8" t="s">
        <v>517</v>
      </c>
      <c r="C2604" s="3" t="s">
        <v>1718</v>
      </c>
      <c r="D2604" s="3" t="s">
        <v>1726</v>
      </c>
      <c r="F2604" s="3" t="s">
        <v>402</v>
      </c>
      <c r="G2604" s="3" t="s">
        <v>399</v>
      </c>
      <c r="I2604" s="3" t="s">
        <v>1728</v>
      </c>
    </row>
    <row r="2605" spans="2:9" hidden="1" x14ac:dyDescent="0.4">
      <c r="B2605" s="8" t="s">
        <v>517</v>
      </c>
      <c r="C2605" s="3" t="s">
        <v>1751</v>
      </c>
      <c r="D2605" s="3" t="s">
        <v>1755</v>
      </c>
      <c r="F2605" s="3" t="s">
        <v>402</v>
      </c>
      <c r="G2605" s="3" t="s">
        <v>399</v>
      </c>
      <c r="I2605" s="3" t="s">
        <v>1728</v>
      </c>
    </row>
    <row r="2606" spans="2:9" hidden="1" x14ac:dyDescent="0.4">
      <c r="B2606" s="8" t="s">
        <v>517</v>
      </c>
      <c r="C2606" s="3" t="s">
        <v>1759</v>
      </c>
      <c r="D2606" s="3" t="s">
        <v>1755</v>
      </c>
      <c r="F2606" s="3" t="s">
        <v>399</v>
      </c>
      <c r="I2606" s="3" t="s">
        <v>1728</v>
      </c>
    </row>
    <row r="2607" spans="2:9" hidden="1" x14ac:dyDescent="0.4">
      <c r="B2607" s="8" t="s">
        <v>519</v>
      </c>
      <c r="C2607" s="3" t="s">
        <v>4336</v>
      </c>
      <c r="D2607" s="3" t="s">
        <v>3975</v>
      </c>
      <c r="F2607" s="3" t="s">
        <v>399</v>
      </c>
      <c r="G2607" s="3" t="s">
        <v>402</v>
      </c>
      <c r="I2607" s="3" t="s">
        <v>4064</v>
      </c>
    </row>
    <row r="2608" spans="2:9" hidden="1" x14ac:dyDescent="0.4">
      <c r="B2608" s="8" t="s">
        <v>519</v>
      </c>
      <c r="C2608" s="3" t="s">
        <v>4529</v>
      </c>
      <c r="D2608" s="3" t="s">
        <v>4938</v>
      </c>
      <c r="F2608" s="3" t="s">
        <v>399</v>
      </c>
      <c r="I2608" s="3" t="s">
        <v>4064</v>
      </c>
    </row>
    <row r="2609" spans="2:9" hidden="1" x14ac:dyDescent="0.4">
      <c r="B2609" s="8" t="s">
        <v>519</v>
      </c>
      <c r="C2609" s="3" t="s">
        <v>5337</v>
      </c>
      <c r="D2609" s="3" t="s">
        <v>5656</v>
      </c>
      <c r="F2609" s="3" t="s">
        <v>402</v>
      </c>
      <c r="I2609" s="3" t="s">
        <v>4064</v>
      </c>
    </row>
    <row r="2610" spans="2:9" hidden="1" x14ac:dyDescent="0.4">
      <c r="B2610" s="8" t="s">
        <v>519</v>
      </c>
      <c r="C2610" s="3" t="s">
        <v>3974</v>
      </c>
      <c r="D2610" s="3" t="s">
        <v>3975</v>
      </c>
      <c r="F2610" s="3" t="s">
        <v>399</v>
      </c>
      <c r="G2610" s="3" t="s">
        <v>402</v>
      </c>
      <c r="I2610" s="3" t="s">
        <v>4063</v>
      </c>
    </row>
    <row r="2611" spans="2:9" hidden="1" x14ac:dyDescent="0.4">
      <c r="B2611" s="8" t="s">
        <v>519</v>
      </c>
      <c r="C2611" s="3" t="s">
        <v>6015</v>
      </c>
      <c r="D2611" s="3" t="s">
        <v>4938</v>
      </c>
      <c r="F2611" s="3" t="s">
        <v>399</v>
      </c>
      <c r="I2611" s="3" t="s">
        <v>4063</v>
      </c>
    </row>
    <row r="2612" spans="2:9" hidden="1" x14ac:dyDescent="0.4">
      <c r="B2612" s="8" t="s">
        <v>519</v>
      </c>
      <c r="C2612" s="3" t="s">
        <v>6364</v>
      </c>
      <c r="D2612" s="3" t="s">
        <v>5656</v>
      </c>
      <c r="F2612" s="3" t="s">
        <v>402</v>
      </c>
      <c r="I2612" s="3" t="s">
        <v>4063</v>
      </c>
    </row>
    <row r="2613" spans="2:9" x14ac:dyDescent="0.4">
      <c r="B2613" s="8" t="s">
        <v>517</v>
      </c>
      <c r="C2613" s="3" t="s">
        <v>3061</v>
      </c>
      <c r="D2613" s="3" t="s">
        <v>3294</v>
      </c>
      <c r="E2613" s="3">
        <v>1</v>
      </c>
      <c r="F2613" s="3" t="s">
        <v>1279</v>
      </c>
      <c r="G2613" s="3" t="s">
        <v>402</v>
      </c>
      <c r="I2613" s="3" t="s">
        <v>244</v>
      </c>
    </row>
    <row r="2614" spans="2:9" hidden="1" x14ac:dyDescent="0.4">
      <c r="B2614" s="8" t="s">
        <v>518</v>
      </c>
      <c r="C2614" s="3" t="s">
        <v>1163</v>
      </c>
      <c r="D2614" s="3" t="s">
        <v>1167</v>
      </c>
      <c r="F2614" s="3" t="s">
        <v>399</v>
      </c>
      <c r="G2614" s="3" t="s">
        <v>402</v>
      </c>
      <c r="I2614" s="3" t="s">
        <v>987</v>
      </c>
    </row>
    <row r="2615" spans="2:9" hidden="1" x14ac:dyDescent="0.4">
      <c r="B2615" s="8" t="s">
        <v>518</v>
      </c>
      <c r="C2615" s="3" t="s">
        <v>1180</v>
      </c>
      <c r="D2615" s="3" t="s">
        <v>1167</v>
      </c>
      <c r="F2615" s="3" t="s">
        <v>402</v>
      </c>
      <c r="I2615" s="3" t="s">
        <v>987</v>
      </c>
    </row>
    <row r="2616" spans="2:9" hidden="1" x14ac:dyDescent="0.4">
      <c r="B2616" s="8" t="s">
        <v>512</v>
      </c>
      <c r="C2616" s="3" t="s">
        <v>1171</v>
      </c>
      <c r="D2616" s="3" t="s">
        <v>1175</v>
      </c>
      <c r="F2616" s="3" t="s">
        <v>399</v>
      </c>
      <c r="G2616" s="3" t="s">
        <v>402</v>
      </c>
      <c r="I2616" s="3" t="s">
        <v>987</v>
      </c>
    </row>
    <row r="2617" spans="2:9" hidden="1" x14ac:dyDescent="0.4">
      <c r="B2617" s="8" t="s">
        <v>512</v>
      </c>
      <c r="C2617" s="3" t="s">
        <v>1184</v>
      </c>
      <c r="D2617" s="3" t="s">
        <v>1175</v>
      </c>
      <c r="F2617" s="3" t="s">
        <v>402</v>
      </c>
      <c r="I2617" s="3" t="s">
        <v>987</v>
      </c>
    </row>
    <row r="2618" spans="2:9" hidden="1" x14ac:dyDescent="0.4">
      <c r="B2618" s="8" t="s">
        <v>518</v>
      </c>
      <c r="C2618" s="3" t="s">
        <v>1224</v>
      </c>
      <c r="D2618" s="3" t="s">
        <v>1228</v>
      </c>
      <c r="F2618" s="3" t="s">
        <v>402</v>
      </c>
      <c r="G2618" s="3" t="s">
        <v>399</v>
      </c>
      <c r="H2618" s="3" t="s">
        <v>988</v>
      </c>
      <c r="I2618" s="3" t="s">
        <v>987</v>
      </c>
    </row>
    <row r="2619" spans="2:9" hidden="1" x14ac:dyDescent="0.4">
      <c r="B2619" s="8" t="s">
        <v>518</v>
      </c>
      <c r="C2619" s="3" t="s">
        <v>1232</v>
      </c>
      <c r="D2619" s="3" t="s">
        <v>1228</v>
      </c>
      <c r="F2619" s="3" t="s">
        <v>399</v>
      </c>
      <c r="I2619" s="3" t="s">
        <v>987</v>
      </c>
    </row>
    <row r="2620" spans="2:9" hidden="1" x14ac:dyDescent="0.4">
      <c r="B2620" s="8" t="s">
        <v>517</v>
      </c>
      <c r="C2620" s="3" t="s">
        <v>3401</v>
      </c>
      <c r="D2620" s="3" t="s">
        <v>3711</v>
      </c>
      <c r="F2620" s="3" t="s">
        <v>399</v>
      </c>
      <c r="G2620" s="3" t="s">
        <v>402</v>
      </c>
      <c r="I2620" s="3" t="s">
        <v>4063</v>
      </c>
    </row>
    <row r="2621" spans="2:9" hidden="1" x14ac:dyDescent="0.4">
      <c r="B2621" s="8" t="s">
        <v>517</v>
      </c>
      <c r="C2621" s="3" t="s">
        <v>5733</v>
      </c>
      <c r="D2621" s="3" t="s">
        <v>4871</v>
      </c>
      <c r="F2621" s="3" t="s">
        <v>399</v>
      </c>
      <c r="I2621" s="3" t="s">
        <v>4063</v>
      </c>
    </row>
    <row r="2622" spans="2:9" hidden="1" x14ac:dyDescent="0.4">
      <c r="B2622" s="8" t="s">
        <v>517</v>
      </c>
      <c r="C2622" s="3" t="s">
        <v>6075</v>
      </c>
      <c r="D2622" s="3" t="s">
        <v>5401</v>
      </c>
      <c r="F2622" s="3" t="s">
        <v>402</v>
      </c>
      <c r="I2622" s="3" t="s">
        <v>4063</v>
      </c>
    </row>
    <row r="2623" spans="2:9" hidden="1" x14ac:dyDescent="0.4">
      <c r="B2623" s="8" t="s">
        <v>518</v>
      </c>
      <c r="C2623" s="3" t="s">
        <v>304</v>
      </c>
      <c r="D2623" s="3" t="s">
        <v>592</v>
      </c>
      <c r="F2623" s="3" t="s">
        <v>399</v>
      </c>
      <c r="I2623" s="3" t="s">
        <v>267</v>
      </c>
    </row>
    <row r="2624" spans="2:9" hidden="1" x14ac:dyDescent="0.4">
      <c r="B2624" s="8" t="s">
        <v>517</v>
      </c>
      <c r="C2624" s="3" t="s">
        <v>24</v>
      </c>
      <c r="D2624" s="3" t="s">
        <v>89</v>
      </c>
      <c r="F2624" s="3" t="s">
        <v>400</v>
      </c>
      <c r="I2624" s="3" t="s">
        <v>252</v>
      </c>
    </row>
    <row r="2625" spans="2:9" hidden="1" x14ac:dyDescent="0.4">
      <c r="B2625" s="8" t="s">
        <v>518</v>
      </c>
      <c r="C2625" s="3" t="s">
        <v>2911</v>
      </c>
      <c r="D2625" s="3" t="s">
        <v>3152</v>
      </c>
      <c r="E2625" s="3">
        <v>1</v>
      </c>
      <c r="F2625" s="3" t="s">
        <v>402</v>
      </c>
      <c r="G2625" s="3" t="s">
        <v>988</v>
      </c>
      <c r="I2625" s="3" t="s">
        <v>245</v>
      </c>
    </row>
    <row r="2626" spans="2:9" hidden="1" x14ac:dyDescent="0.4">
      <c r="B2626" s="8" t="s">
        <v>518</v>
      </c>
      <c r="C2626" s="3" t="s">
        <v>2227</v>
      </c>
      <c r="D2626" s="3" t="s">
        <v>2380</v>
      </c>
      <c r="E2626" s="3" t="s">
        <v>1272</v>
      </c>
      <c r="F2626" s="3" t="s">
        <v>399</v>
      </c>
      <c r="I2626" s="3" t="s">
        <v>1833</v>
      </c>
    </row>
    <row r="2627" spans="2:9" hidden="1" x14ac:dyDescent="0.4">
      <c r="B2627" s="8" t="s">
        <v>518</v>
      </c>
      <c r="C2627" s="3" t="s">
        <v>2550</v>
      </c>
      <c r="D2627" s="3" t="s">
        <v>2380</v>
      </c>
      <c r="E2627" s="3" t="s">
        <v>1272</v>
      </c>
      <c r="F2627" s="3" t="s">
        <v>402</v>
      </c>
      <c r="I2627" s="3" t="s">
        <v>1833</v>
      </c>
    </row>
    <row r="2628" spans="2:9" hidden="1" x14ac:dyDescent="0.4">
      <c r="B2628" s="8" t="s">
        <v>518</v>
      </c>
      <c r="C2628" s="3" t="s">
        <v>2649</v>
      </c>
      <c r="D2628" s="3" t="s">
        <v>2660</v>
      </c>
      <c r="E2628" s="3" t="s">
        <v>1272</v>
      </c>
      <c r="F2628" s="3" t="s">
        <v>399</v>
      </c>
      <c r="I2628" s="3" t="s">
        <v>2370</v>
      </c>
    </row>
    <row r="2629" spans="2:9" x14ac:dyDescent="0.4">
      <c r="B2629" s="8" t="s">
        <v>518</v>
      </c>
      <c r="C2629" s="3" t="s">
        <v>3062</v>
      </c>
      <c r="D2629" s="3" t="s">
        <v>3295</v>
      </c>
      <c r="E2629" s="3">
        <v>1</v>
      </c>
      <c r="F2629" s="3" t="s">
        <v>1279</v>
      </c>
      <c r="G2629" s="3" t="s">
        <v>402</v>
      </c>
      <c r="I2629" s="3" t="s">
        <v>244</v>
      </c>
    </row>
    <row r="2630" spans="2:9" hidden="1" x14ac:dyDescent="0.4">
      <c r="B2630" s="8" t="s">
        <v>520</v>
      </c>
      <c r="C2630" s="3" t="s">
        <v>2228</v>
      </c>
      <c r="D2630" s="3" t="s">
        <v>2366</v>
      </c>
      <c r="E2630" s="3" t="s">
        <v>1272</v>
      </c>
      <c r="F2630" s="3" t="s">
        <v>399</v>
      </c>
      <c r="I2630" s="3" t="s">
        <v>2370</v>
      </c>
    </row>
    <row r="2631" spans="2:9" hidden="1" x14ac:dyDescent="0.4">
      <c r="B2631" s="8" t="s">
        <v>520</v>
      </c>
      <c r="C2631" s="3" t="s">
        <v>2864</v>
      </c>
      <c r="D2631" s="3" t="s">
        <v>2866</v>
      </c>
      <c r="E2631" s="3" t="s">
        <v>1272</v>
      </c>
      <c r="F2631" s="3" t="s">
        <v>399</v>
      </c>
      <c r="I2631" s="3" t="s">
        <v>2370</v>
      </c>
    </row>
    <row r="2632" spans="2:9" hidden="1" x14ac:dyDescent="0.4">
      <c r="B2632" s="8" t="s">
        <v>2042</v>
      </c>
      <c r="C2632" s="3" t="s">
        <v>2031</v>
      </c>
      <c r="D2632" s="3" t="s">
        <v>1994</v>
      </c>
      <c r="F2632" s="3" t="s">
        <v>399</v>
      </c>
      <c r="I2632" s="3" t="s">
        <v>1865</v>
      </c>
    </row>
    <row r="2633" spans="2:9" hidden="1" x14ac:dyDescent="0.4">
      <c r="B2633" s="8" t="s">
        <v>2060</v>
      </c>
      <c r="C2633" s="3" t="s">
        <v>2059</v>
      </c>
      <c r="D2633" s="3" t="s">
        <v>2047</v>
      </c>
      <c r="F2633" s="3" t="s">
        <v>399</v>
      </c>
      <c r="I2633" s="3" t="s">
        <v>1865</v>
      </c>
    </row>
    <row r="2634" spans="2:9" hidden="1" x14ac:dyDescent="0.4">
      <c r="B2634" s="8" t="s">
        <v>517</v>
      </c>
      <c r="C2634" s="3" t="s">
        <v>1823</v>
      </c>
      <c r="D2634" s="3" t="s">
        <v>1892</v>
      </c>
      <c r="F2634" s="3" t="s">
        <v>399</v>
      </c>
      <c r="I2634" s="3" t="s">
        <v>1865</v>
      </c>
    </row>
    <row r="2635" spans="2:9" hidden="1" x14ac:dyDescent="0.4">
      <c r="B2635" s="8" t="s">
        <v>517</v>
      </c>
      <c r="C2635" s="3" t="s">
        <v>1824</v>
      </c>
      <c r="D2635" s="3" t="s">
        <v>1893</v>
      </c>
      <c r="F2635" s="3" t="s">
        <v>399</v>
      </c>
      <c r="I2635" s="3" t="s">
        <v>1865</v>
      </c>
    </row>
    <row r="2636" spans="2:9" hidden="1" x14ac:dyDescent="0.4">
      <c r="B2636" s="8" t="s">
        <v>529</v>
      </c>
      <c r="C2636" s="3" t="s">
        <v>4165</v>
      </c>
      <c r="D2636" s="3" t="s">
        <v>3771</v>
      </c>
      <c r="F2636" s="3" t="s">
        <v>399</v>
      </c>
      <c r="G2636" s="3" t="s">
        <v>402</v>
      </c>
      <c r="I2636" s="3" t="s">
        <v>4064</v>
      </c>
    </row>
    <row r="2637" spans="2:9" hidden="1" x14ac:dyDescent="0.4">
      <c r="B2637" s="8" t="s">
        <v>529</v>
      </c>
      <c r="C2637" s="3" t="s">
        <v>3463</v>
      </c>
      <c r="D2637" s="3" t="s">
        <v>3771</v>
      </c>
      <c r="F2637" s="3" t="s">
        <v>399</v>
      </c>
      <c r="G2637" s="3" t="s">
        <v>402</v>
      </c>
      <c r="I2637" s="3" t="s">
        <v>4063</v>
      </c>
    </row>
    <row r="2638" spans="2:9" hidden="1" x14ac:dyDescent="0.4">
      <c r="B2638" s="8" t="s">
        <v>529</v>
      </c>
      <c r="C2638" s="3" t="s">
        <v>5991</v>
      </c>
      <c r="D2638" s="3" t="s">
        <v>4770</v>
      </c>
      <c r="F2638" s="3" t="s">
        <v>399</v>
      </c>
      <c r="I2638" s="3" t="s">
        <v>4063</v>
      </c>
    </row>
    <row r="2639" spans="2:9" hidden="1" x14ac:dyDescent="0.4">
      <c r="B2639" s="8" t="s">
        <v>529</v>
      </c>
      <c r="C2639" s="3" t="s">
        <v>6340</v>
      </c>
      <c r="D2639" s="3" t="s">
        <v>5459</v>
      </c>
      <c r="F2639" s="3" t="s">
        <v>402</v>
      </c>
      <c r="I2639" s="3" t="s">
        <v>4063</v>
      </c>
    </row>
    <row r="2640" spans="2:9" hidden="1" x14ac:dyDescent="0.4">
      <c r="B2640" s="8" t="s">
        <v>529</v>
      </c>
      <c r="C2640" s="3" t="s">
        <v>4642</v>
      </c>
      <c r="D2640" s="3" t="s">
        <v>4770</v>
      </c>
      <c r="F2640" s="3" t="s">
        <v>399</v>
      </c>
      <c r="I2640" s="3" t="s">
        <v>4064</v>
      </c>
    </row>
    <row r="2641" spans="2:9" hidden="1" x14ac:dyDescent="0.4">
      <c r="B2641" s="8" t="s">
        <v>529</v>
      </c>
      <c r="C2641" s="3" t="s">
        <v>5136</v>
      </c>
      <c r="D2641" s="3" t="s">
        <v>5459</v>
      </c>
      <c r="F2641" s="3" t="s">
        <v>402</v>
      </c>
      <c r="I2641" s="3" t="s">
        <v>4064</v>
      </c>
    </row>
    <row r="2642" spans="2:9" hidden="1" x14ac:dyDescent="0.4">
      <c r="B2642" s="8" t="s">
        <v>531</v>
      </c>
      <c r="C2642" s="3" t="s">
        <v>2873</v>
      </c>
      <c r="D2642" s="3" t="s">
        <v>3117</v>
      </c>
      <c r="E2642" s="3">
        <v>1</v>
      </c>
      <c r="F2642" s="3" t="s">
        <v>402</v>
      </c>
      <c r="I2642" s="3" t="s">
        <v>245</v>
      </c>
    </row>
    <row r="2643" spans="2:9" hidden="1" x14ac:dyDescent="0.4">
      <c r="B2643" s="8" t="s">
        <v>517</v>
      </c>
      <c r="C2643" s="3" t="s">
        <v>2263</v>
      </c>
      <c r="D2643" s="3" t="s">
        <v>2420</v>
      </c>
      <c r="E2643" s="3" t="s">
        <v>1272</v>
      </c>
      <c r="F2643" s="3" t="s">
        <v>399</v>
      </c>
      <c r="I2643" s="3" t="s">
        <v>1833</v>
      </c>
    </row>
    <row r="2644" spans="2:9" hidden="1" x14ac:dyDescent="0.4">
      <c r="B2644" s="8" t="s">
        <v>517</v>
      </c>
      <c r="C2644" s="3" t="s">
        <v>2571</v>
      </c>
      <c r="D2644" s="3" t="s">
        <v>2420</v>
      </c>
      <c r="E2644" s="3" t="s">
        <v>1272</v>
      </c>
      <c r="F2644" s="3" t="s">
        <v>402</v>
      </c>
      <c r="I2644" s="3" t="s">
        <v>1833</v>
      </c>
    </row>
    <row r="2645" spans="2:9" hidden="1" x14ac:dyDescent="0.4">
      <c r="B2645" s="8" t="s">
        <v>520</v>
      </c>
      <c r="C2645" s="3" t="s">
        <v>4149</v>
      </c>
      <c r="D2645" s="3" t="s">
        <v>3756</v>
      </c>
      <c r="F2645" s="3" t="s">
        <v>399</v>
      </c>
      <c r="G2645" s="3" t="s">
        <v>402</v>
      </c>
      <c r="I2645" s="3" t="s">
        <v>4064</v>
      </c>
    </row>
    <row r="2646" spans="2:9" hidden="1" x14ac:dyDescent="0.4">
      <c r="B2646" s="8" t="s">
        <v>517</v>
      </c>
      <c r="C2646" s="3" t="s">
        <v>4208</v>
      </c>
      <c r="D2646" s="3" t="s">
        <v>3812</v>
      </c>
      <c r="F2646" s="3" t="s">
        <v>399</v>
      </c>
      <c r="G2646" s="3" t="s">
        <v>402</v>
      </c>
      <c r="I2646" s="3" t="s">
        <v>4064</v>
      </c>
    </row>
    <row r="2647" spans="2:9" hidden="1" x14ac:dyDescent="0.4">
      <c r="B2647" s="8" t="s">
        <v>517</v>
      </c>
      <c r="C2647" s="3" t="s">
        <v>4435</v>
      </c>
      <c r="D2647" s="3" t="s">
        <v>4785</v>
      </c>
      <c r="F2647" s="3" t="s">
        <v>399</v>
      </c>
      <c r="I2647" s="3" t="s">
        <v>4064</v>
      </c>
    </row>
    <row r="2648" spans="2:9" hidden="1" x14ac:dyDescent="0.4">
      <c r="B2648" s="8" t="s">
        <v>517</v>
      </c>
      <c r="C2648" s="3" t="s">
        <v>5182</v>
      </c>
      <c r="D2648" s="3" t="s">
        <v>5503</v>
      </c>
      <c r="F2648" s="3" t="s">
        <v>402</v>
      </c>
      <c r="I2648" s="3" t="s">
        <v>4064</v>
      </c>
    </row>
    <row r="2649" spans="2:9" hidden="1" x14ac:dyDescent="0.4">
      <c r="B2649" s="8" t="s">
        <v>517</v>
      </c>
      <c r="C2649" s="3" t="s">
        <v>3509</v>
      </c>
      <c r="D2649" s="3" t="s">
        <v>3812</v>
      </c>
      <c r="F2649" s="3" t="s">
        <v>399</v>
      </c>
      <c r="G2649" s="3" t="s">
        <v>402</v>
      </c>
      <c r="I2649" s="3" t="s">
        <v>4063</v>
      </c>
    </row>
    <row r="2650" spans="2:9" hidden="1" x14ac:dyDescent="0.4">
      <c r="B2650" s="8" t="s">
        <v>517</v>
      </c>
      <c r="C2650" s="3" t="s">
        <v>5997</v>
      </c>
      <c r="D2650" s="3" t="s">
        <v>4785</v>
      </c>
      <c r="F2650" s="3" t="s">
        <v>399</v>
      </c>
      <c r="I2650" s="3" t="s">
        <v>4063</v>
      </c>
    </row>
    <row r="2651" spans="2:9" hidden="1" x14ac:dyDescent="0.4">
      <c r="B2651" s="8" t="s">
        <v>517</v>
      </c>
      <c r="C2651" s="3" t="s">
        <v>6346</v>
      </c>
      <c r="D2651" s="3" t="s">
        <v>5503</v>
      </c>
      <c r="F2651" s="3" t="s">
        <v>402</v>
      </c>
      <c r="I2651" s="3" t="s">
        <v>4063</v>
      </c>
    </row>
    <row r="2652" spans="2:9" hidden="1" x14ac:dyDescent="0.4">
      <c r="B2652" s="8" t="s">
        <v>520</v>
      </c>
      <c r="C2652" s="3" t="s">
        <v>4633</v>
      </c>
      <c r="D2652" s="3" t="s">
        <v>4763</v>
      </c>
      <c r="F2652" s="3" t="s">
        <v>399</v>
      </c>
      <c r="I2652" s="3" t="s">
        <v>4064</v>
      </c>
    </row>
    <row r="2653" spans="2:9" hidden="1" x14ac:dyDescent="0.4">
      <c r="B2653" s="8" t="s">
        <v>520</v>
      </c>
      <c r="C2653" s="3" t="s">
        <v>5120</v>
      </c>
      <c r="D2653" s="3" t="s">
        <v>5443</v>
      </c>
      <c r="F2653" s="3" t="s">
        <v>402</v>
      </c>
      <c r="I2653" s="3" t="s">
        <v>4064</v>
      </c>
    </row>
    <row r="2654" spans="2:9" hidden="1" x14ac:dyDescent="0.4">
      <c r="B2654" s="8" t="s">
        <v>529</v>
      </c>
      <c r="C2654" s="3" t="s">
        <v>3446</v>
      </c>
      <c r="D2654" s="3" t="s">
        <v>3756</v>
      </c>
      <c r="F2654" s="3" t="s">
        <v>399</v>
      </c>
      <c r="G2654" s="3" t="s">
        <v>402</v>
      </c>
      <c r="I2654" s="3" t="s">
        <v>4063</v>
      </c>
    </row>
    <row r="2655" spans="2:9" hidden="1" x14ac:dyDescent="0.4">
      <c r="B2655" s="8" t="s">
        <v>529</v>
      </c>
      <c r="C2655" s="3" t="s">
        <v>5775</v>
      </c>
      <c r="D2655" s="3" t="s">
        <v>4763</v>
      </c>
      <c r="F2655" s="3" t="s">
        <v>399</v>
      </c>
      <c r="I2655" s="3" t="s">
        <v>4063</v>
      </c>
    </row>
    <row r="2656" spans="2:9" hidden="1" x14ac:dyDescent="0.4">
      <c r="B2656" s="8" t="s">
        <v>529</v>
      </c>
      <c r="C2656" s="3" t="s">
        <v>6117</v>
      </c>
      <c r="D2656" s="3" t="s">
        <v>5443</v>
      </c>
      <c r="F2656" s="3" t="s">
        <v>402</v>
      </c>
      <c r="I2656" s="3" t="s">
        <v>4063</v>
      </c>
    </row>
    <row r="2657" spans="2:9" hidden="1" x14ac:dyDescent="0.4">
      <c r="B2657" s="8" t="s">
        <v>517</v>
      </c>
      <c r="C2657" s="3" t="s">
        <v>4355</v>
      </c>
      <c r="D2657" s="3" t="s">
        <v>4015</v>
      </c>
      <c r="F2657" s="3" t="s">
        <v>399</v>
      </c>
      <c r="G2657" s="3" t="s">
        <v>402</v>
      </c>
      <c r="I2657" s="3" t="s">
        <v>4064</v>
      </c>
    </row>
    <row r="2658" spans="2:9" hidden="1" x14ac:dyDescent="0.4">
      <c r="B2658" s="8" t="s">
        <v>517</v>
      </c>
      <c r="C2658" s="3" t="s">
        <v>4539</v>
      </c>
      <c r="D2658" s="3" t="s">
        <v>5020</v>
      </c>
      <c r="F2658" s="3" t="s">
        <v>399</v>
      </c>
      <c r="I2658" s="3" t="s">
        <v>4064</v>
      </c>
    </row>
    <row r="2659" spans="2:9" hidden="1" x14ac:dyDescent="0.4">
      <c r="B2659" s="8" t="s">
        <v>517</v>
      </c>
      <c r="C2659" s="3" t="s">
        <v>5354</v>
      </c>
      <c r="D2659" s="3" t="s">
        <v>5673</v>
      </c>
      <c r="F2659" s="3" t="s">
        <v>402</v>
      </c>
      <c r="I2659" s="3" t="s">
        <v>4064</v>
      </c>
    </row>
    <row r="2660" spans="2:9" hidden="1" x14ac:dyDescent="0.4">
      <c r="B2660" s="8" t="s">
        <v>517</v>
      </c>
      <c r="C2660" s="3" t="s">
        <v>4014</v>
      </c>
      <c r="D2660" s="3" t="s">
        <v>4015</v>
      </c>
      <c r="F2660" s="3" t="s">
        <v>399</v>
      </c>
      <c r="G2660" s="3" t="s">
        <v>402</v>
      </c>
      <c r="I2660" s="3" t="s">
        <v>4063</v>
      </c>
    </row>
    <row r="2661" spans="2:9" hidden="1" x14ac:dyDescent="0.4">
      <c r="B2661" s="8" t="s">
        <v>517</v>
      </c>
      <c r="C2661" s="3" t="s">
        <v>5974</v>
      </c>
      <c r="D2661" s="3" t="s">
        <v>5020</v>
      </c>
      <c r="F2661" s="3" t="s">
        <v>399</v>
      </c>
      <c r="I2661" s="3" t="s">
        <v>4063</v>
      </c>
    </row>
    <row r="2662" spans="2:9" hidden="1" x14ac:dyDescent="0.4">
      <c r="B2662" s="8" t="s">
        <v>517</v>
      </c>
      <c r="C2662" s="3" t="s">
        <v>6322</v>
      </c>
      <c r="D2662" s="3" t="s">
        <v>5673</v>
      </c>
      <c r="F2662" s="3" t="s">
        <v>402</v>
      </c>
      <c r="I2662" s="3" t="s">
        <v>4063</v>
      </c>
    </row>
    <row r="2663" spans="2:9" hidden="1" x14ac:dyDescent="0.4">
      <c r="B2663" s="8" t="s">
        <v>517</v>
      </c>
      <c r="C2663" s="3" t="s">
        <v>4228</v>
      </c>
      <c r="D2663" s="3" t="s">
        <v>3837</v>
      </c>
      <c r="F2663" s="3" t="s">
        <v>399</v>
      </c>
      <c r="G2663" s="3" t="s">
        <v>402</v>
      </c>
      <c r="I2663" s="3" t="s">
        <v>4064</v>
      </c>
    </row>
    <row r="2664" spans="2:9" hidden="1" x14ac:dyDescent="0.4">
      <c r="B2664" s="8" t="s">
        <v>517</v>
      </c>
      <c r="C2664" s="3" t="s">
        <v>4455</v>
      </c>
      <c r="D2664" s="3" t="s">
        <v>4805</v>
      </c>
      <c r="F2664" s="3" t="s">
        <v>399</v>
      </c>
      <c r="I2664" s="3" t="s">
        <v>4064</v>
      </c>
    </row>
    <row r="2665" spans="2:9" hidden="1" x14ac:dyDescent="0.4">
      <c r="B2665" s="8" t="s">
        <v>517</v>
      </c>
      <c r="C2665" s="3" t="s">
        <v>5206</v>
      </c>
      <c r="D2665" s="3" t="s">
        <v>5527</v>
      </c>
      <c r="F2665" s="3" t="s">
        <v>402</v>
      </c>
      <c r="I2665" s="3" t="s">
        <v>4064</v>
      </c>
    </row>
    <row r="2666" spans="2:9" hidden="1" x14ac:dyDescent="0.4">
      <c r="B2666" s="8" t="s">
        <v>517</v>
      </c>
      <c r="C2666" s="3" t="s">
        <v>3533</v>
      </c>
      <c r="D2666" s="3" t="s">
        <v>3837</v>
      </c>
      <c r="F2666" s="3" t="s">
        <v>399</v>
      </c>
      <c r="G2666" s="3" t="s">
        <v>402</v>
      </c>
      <c r="I2666" s="3" t="s">
        <v>4063</v>
      </c>
    </row>
    <row r="2667" spans="2:9" hidden="1" x14ac:dyDescent="0.4">
      <c r="B2667" s="8" t="s">
        <v>517</v>
      </c>
      <c r="C2667" s="3" t="s">
        <v>5845</v>
      </c>
      <c r="D2667" s="3" t="s">
        <v>4805</v>
      </c>
      <c r="F2667" s="3" t="s">
        <v>399</v>
      </c>
      <c r="I2667" s="3" t="s">
        <v>4063</v>
      </c>
    </row>
    <row r="2668" spans="2:9" hidden="1" x14ac:dyDescent="0.4">
      <c r="B2668" s="8" t="s">
        <v>517</v>
      </c>
      <c r="C2668" s="3" t="s">
        <v>6188</v>
      </c>
      <c r="D2668" s="3" t="s">
        <v>5527</v>
      </c>
      <c r="F2668" s="3" t="s">
        <v>402</v>
      </c>
      <c r="I2668" s="3" t="s">
        <v>4063</v>
      </c>
    </row>
    <row r="2669" spans="2:9" hidden="1" x14ac:dyDescent="0.4">
      <c r="B2669" s="8" t="s">
        <v>517</v>
      </c>
      <c r="C2669" s="3" t="s">
        <v>1775</v>
      </c>
      <c r="D2669" s="3" t="s">
        <v>1849</v>
      </c>
      <c r="F2669" s="3" t="s">
        <v>399</v>
      </c>
      <c r="I2669" s="3" t="s">
        <v>1842</v>
      </c>
    </row>
    <row r="2670" spans="2:9" hidden="1" x14ac:dyDescent="0.4">
      <c r="B2670" s="8" t="s">
        <v>517</v>
      </c>
      <c r="C2670" s="3" t="s">
        <v>1800</v>
      </c>
      <c r="D2670" s="3" t="s">
        <v>1869</v>
      </c>
      <c r="E2670" s="3" t="s">
        <v>432</v>
      </c>
      <c r="F2670" s="3" t="s">
        <v>399</v>
      </c>
      <c r="I2670" s="3" t="s">
        <v>1865</v>
      </c>
    </row>
    <row r="2671" spans="2:9" hidden="1" x14ac:dyDescent="0.4">
      <c r="B2671" s="8" t="s">
        <v>517</v>
      </c>
      <c r="C2671" s="3" t="s">
        <v>1776</v>
      </c>
      <c r="D2671" s="3" t="s">
        <v>1850</v>
      </c>
      <c r="F2671" s="3" t="s">
        <v>402</v>
      </c>
      <c r="I2671" s="3" t="s">
        <v>1838</v>
      </c>
    </row>
    <row r="2672" spans="2:9" hidden="1" x14ac:dyDescent="0.4">
      <c r="B2672" s="8" t="s">
        <v>517</v>
      </c>
      <c r="C2672" s="3" t="s">
        <v>2152</v>
      </c>
      <c r="D2672" s="3" t="s">
        <v>2167</v>
      </c>
      <c r="F2672" s="3" t="s">
        <v>399</v>
      </c>
      <c r="I2672" s="3" t="s">
        <v>1838</v>
      </c>
    </row>
    <row r="2673" spans="2:9" hidden="1" x14ac:dyDescent="0.4">
      <c r="B2673" s="8" t="s">
        <v>516</v>
      </c>
      <c r="C2673" s="3" t="s">
        <v>2182</v>
      </c>
      <c r="D2673" s="3" t="s">
        <v>2167</v>
      </c>
      <c r="F2673" s="3" t="s">
        <v>399</v>
      </c>
      <c r="I2673" s="3" t="s">
        <v>1838</v>
      </c>
    </row>
    <row r="2674" spans="2:9" hidden="1" x14ac:dyDescent="0.4">
      <c r="B2674" s="8" t="s">
        <v>517</v>
      </c>
      <c r="C2674" s="3" t="s">
        <v>3739</v>
      </c>
      <c r="D2674" s="3" t="s">
        <v>3943</v>
      </c>
      <c r="F2674" s="3" t="s">
        <v>399</v>
      </c>
      <c r="G2674" s="3" t="s">
        <v>402</v>
      </c>
      <c r="I2674" s="3" t="s">
        <v>4063</v>
      </c>
    </row>
    <row r="2675" spans="2:9" hidden="1" x14ac:dyDescent="0.4">
      <c r="B2675" s="8" t="s">
        <v>517</v>
      </c>
      <c r="C2675" s="3" t="s">
        <v>3739</v>
      </c>
      <c r="D2675" s="3" t="s">
        <v>3943</v>
      </c>
      <c r="F2675" s="3" t="s">
        <v>399</v>
      </c>
      <c r="G2675" s="3" t="s">
        <v>402</v>
      </c>
      <c r="I2675" s="3" t="s">
        <v>4064</v>
      </c>
    </row>
    <row r="2676" spans="2:9" hidden="1" x14ac:dyDescent="0.4">
      <c r="B2676" s="8" t="s">
        <v>517</v>
      </c>
      <c r="C2676" s="3" t="s">
        <v>5954</v>
      </c>
      <c r="D2676" s="3" t="s">
        <v>5009</v>
      </c>
      <c r="F2676" s="3" t="s">
        <v>399</v>
      </c>
      <c r="I2676" s="3" t="s">
        <v>4063</v>
      </c>
    </row>
    <row r="2677" spans="2:9" hidden="1" x14ac:dyDescent="0.4">
      <c r="B2677" s="8" t="s">
        <v>517</v>
      </c>
      <c r="C2677" s="3" t="s">
        <v>6301</v>
      </c>
      <c r="D2677" s="3" t="s">
        <v>5651</v>
      </c>
      <c r="F2677" s="3" t="s">
        <v>402</v>
      </c>
      <c r="I2677" s="3" t="s">
        <v>4063</v>
      </c>
    </row>
    <row r="2678" spans="2:9" hidden="1" x14ac:dyDescent="0.4">
      <c r="B2678" s="8" t="s">
        <v>517</v>
      </c>
      <c r="C2678" s="3" t="s">
        <v>4599</v>
      </c>
      <c r="D2678" s="3" t="s">
        <v>5009</v>
      </c>
      <c r="F2678" s="3" t="s">
        <v>399</v>
      </c>
      <c r="I2678" s="3" t="s">
        <v>4064</v>
      </c>
    </row>
    <row r="2679" spans="2:9" hidden="1" x14ac:dyDescent="0.4">
      <c r="B2679" s="8" t="s">
        <v>517</v>
      </c>
      <c r="C2679" s="3" t="s">
        <v>5332</v>
      </c>
      <c r="D2679" s="3" t="s">
        <v>5651</v>
      </c>
      <c r="F2679" s="3" t="s">
        <v>402</v>
      </c>
      <c r="I2679" s="3" t="s">
        <v>4064</v>
      </c>
    </row>
    <row r="2680" spans="2:9" ht="29.25" hidden="1" x14ac:dyDescent="0.4">
      <c r="B2680" s="8" t="s">
        <v>2046</v>
      </c>
      <c r="C2680" s="3" t="s">
        <v>4206</v>
      </c>
      <c r="D2680" s="3" t="s">
        <v>3810</v>
      </c>
      <c r="F2680" s="3" t="s">
        <v>399</v>
      </c>
      <c r="G2680" s="3" t="s">
        <v>402</v>
      </c>
      <c r="I2680" s="3" t="s">
        <v>4064</v>
      </c>
    </row>
    <row r="2681" spans="2:9" ht="29.25" hidden="1" x14ac:dyDescent="0.4">
      <c r="B2681" s="8" t="s">
        <v>2046</v>
      </c>
      <c r="C2681" s="3" t="s">
        <v>4659</v>
      </c>
      <c r="D2681" s="3" t="s">
        <v>4784</v>
      </c>
      <c r="F2681" s="3" t="s">
        <v>399</v>
      </c>
      <c r="I2681" s="3" t="s">
        <v>4064</v>
      </c>
    </row>
    <row r="2682" spans="2:9" ht="29.25" hidden="1" x14ac:dyDescent="0.4">
      <c r="B2682" s="8" t="s">
        <v>2046</v>
      </c>
      <c r="C2682" s="3" t="s">
        <v>5180</v>
      </c>
      <c r="D2682" s="3" t="s">
        <v>5501</v>
      </c>
      <c r="F2682" s="3" t="s">
        <v>402</v>
      </c>
      <c r="I2682" s="3" t="s">
        <v>4064</v>
      </c>
    </row>
    <row r="2683" spans="2:9" ht="29.25" hidden="1" x14ac:dyDescent="0.4">
      <c r="B2683" s="8" t="s">
        <v>2046</v>
      </c>
      <c r="C2683" s="3" t="s">
        <v>3507</v>
      </c>
      <c r="D2683" s="3" t="s">
        <v>3810</v>
      </c>
      <c r="F2683" s="3" t="s">
        <v>399</v>
      </c>
      <c r="G2683" s="3" t="s">
        <v>402</v>
      </c>
      <c r="I2683" s="3" t="s">
        <v>4063</v>
      </c>
    </row>
    <row r="2684" spans="2:9" ht="43.9" hidden="1" x14ac:dyDescent="0.4">
      <c r="B2684" s="8" t="s">
        <v>2046</v>
      </c>
      <c r="C2684" s="3" t="s">
        <v>6167</v>
      </c>
      <c r="D2684" s="3" t="s">
        <v>5501</v>
      </c>
      <c r="F2684" s="3" t="s">
        <v>402</v>
      </c>
      <c r="I2684" s="3" t="s">
        <v>4063</v>
      </c>
    </row>
    <row r="2685" spans="2:9" ht="29.25" hidden="1" x14ac:dyDescent="0.4">
      <c r="B2685" s="8" t="s">
        <v>2046</v>
      </c>
      <c r="C2685" s="3" t="s">
        <v>5824</v>
      </c>
      <c r="D2685" s="3" t="s">
        <v>4784</v>
      </c>
      <c r="F2685" s="3" t="s">
        <v>399</v>
      </c>
      <c r="I2685" s="3" t="s">
        <v>4063</v>
      </c>
    </row>
    <row r="2686" spans="2:9" hidden="1" x14ac:dyDescent="0.4">
      <c r="B2686" s="8" t="s">
        <v>517</v>
      </c>
      <c r="C2686" s="3" t="s">
        <v>4239</v>
      </c>
      <c r="D2686" s="3" t="s">
        <v>3853</v>
      </c>
      <c r="F2686" s="3" t="s">
        <v>399</v>
      </c>
      <c r="G2686" s="3" t="s">
        <v>402</v>
      </c>
      <c r="I2686" s="3" t="s">
        <v>4064</v>
      </c>
    </row>
    <row r="2687" spans="2:9" hidden="1" x14ac:dyDescent="0.4">
      <c r="B2687" s="8" t="s">
        <v>517</v>
      </c>
      <c r="C2687" s="3" t="s">
        <v>4464</v>
      </c>
      <c r="D2687" s="3" t="s">
        <v>4817</v>
      </c>
      <c r="F2687" s="3" t="s">
        <v>399</v>
      </c>
      <c r="I2687" s="3" t="s">
        <v>4064</v>
      </c>
    </row>
    <row r="2688" spans="2:9" hidden="1" x14ac:dyDescent="0.4">
      <c r="B2688" s="8" t="s">
        <v>517</v>
      </c>
      <c r="C2688" s="3" t="s">
        <v>5220</v>
      </c>
      <c r="D2688" s="3" t="s">
        <v>5542</v>
      </c>
      <c r="F2688" s="3" t="s">
        <v>402</v>
      </c>
      <c r="I2688" s="3" t="s">
        <v>4064</v>
      </c>
    </row>
    <row r="2689" spans="2:9" hidden="1" x14ac:dyDescent="0.4">
      <c r="B2689" s="8" t="s">
        <v>517</v>
      </c>
      <c r="C2689" s="3" t="s">
        <v>3545</v>
      </c>
      <c r="D2689" s="3" t="s">
        <v>3853</v>
      </c>
      <c r="F2689" s="3" t="s">
        <v>399</v>
      </c>
      <c r="G2689" s="3" t="s">
        <v>402</v>
      </c>
      <c r="I2689" s="3" t="s">
        <v>4063</v>
      </c>
    </row>
    <row r="2690" spans="2:9" hidden="1" x14ac:dyDescent="0.4">
      <c r="B2690" s="8" t="s">
        <v>517</v>
      </c>
      <c r="C2690" s="3" t="s">
        <v>5855</v>
      </c>
      <c r="D2690" s="3" t="s">
        <v>4817</v>
      </c>
      <c r="F2690" s="3" t="s">
        <v>399</v>
      </c>
      <c r="I2690" s="3" t="s">
        <v>4063</v>
      </c>
    </row>
    <row r="2691" spans="2:9" hidden="1" x14ac:dyDescent="0.4">
      <c r="B2691" s="8" t="s">
        <v>517</v>
      </c>
      <c r="C2691" s="3" t="s">
        <v>6200</v>
      </c>
      <c r="D2691" s="3" t="s">
        <v>5542</v>
      </c>
      <c r="F2691" s="3" t="s">
        <v>402</v>
      </c>
      <c r="I2691" s="3" t="s">
        <v>4063</v>
      </c>
    </row>
    <row r="2692" spans="2:9" hidden="1" x14ac:dyDescent="0.4">
      <c r="B2692" s="8" t="s">
        <v>529</v>
      </c>
      <c r="C2692" s="3" t="s">
        <v>3010</v>
      </c>
      <c r="D2692" s="3" t="s">
        <v>3246</v>
      </c>
      <c r="E2692" s="3">
        <v>1</v>
      </c>
      <c r="F2692" s="3" t="s">
        <v>402</v>
      </c>
      <c r="G2692" s="3" t="s">
        <v>399</v>
      </c>
      <c r="I2692" s="3" t="s">
        <v>245</v>
      </c>
    </row>
    <row r="2693" spans="2:9" hidden="1" x14ac:dyDescent="0.4">
      <c r="B2693" s="8" t="s">
        <v>518</v>
      </c>
      <c r="C2693" s="3" t="s">
        <v>3662</v>
      </c>
      <c r="D2693" s="3" t="s">
        <v>3955</v>
      </c>
      <c r="E2693" s="3" t="s">
        <v>1272</v>
      </c>
      <c r="F2693" s="3" t="s">
        <v>399</v>
      </c>
      <c r="G2693" s="3" t="s">
        <v>402</v>
      </c>
      <c r="I2693" s="3" t="s">
        <v>4362</v>
      </c>
    </row>
    <row r="2694" spans="2:9" hidden="1" x14ac:dyDescent="0.4">
      <c r="B2694" s="8" t="s">
        <v>517</v>
      </c>
      <c r="C2694" s="3" t="s">
        <v>2943</v>
      </c>
      <c r="D2694" s="3" t="s">
        <v>3183</v>
      </c>
      <c r="E2694" s="3">
        <v>1</v>
      </c>
      <c r="F2694" s="3" t="s">
        <v>402</v>
      </c>
      <c r="G2694" s="3" t="s">
        <v>988</v>
      </c>
      <c r="I2694" s="3" t="s">
        <v>245</v>
      </c>
    </row>
    <row r="2695" spans="2:9" hidden="1" x14ac:dyDescent="0.4">
      <c r="B2695" s="8" t="s">
        <v>1003</v>
      </c>
      <c r="C2695" s="3" t="s">
        <v>1245</v>
      </c>
      <c r="D2695" s="3" t="s">
        <v>1258</v>
      </c>
      <c r="F2695" s="3" t="s">
        <v>399</v>
      </c>
      <c r="I2695" s="3" t="s">
        <v>987</v>
      </c>
    </row>
    <row r="2696" spans="2:9" hidden="1" x14ac:dyDescent="0.4">
      <c r="B2696" s="8" t="s">
        <v>1003</v>
      </c>
      <c r="C2696" s="3" t="s">
        <v>1246</v>
      </c>
      <c r="D2696" s="3" t="s">
        <v>1259</v>
      </c>
      <c r="F2696" s="3" t="s">
        <v>399</v>
      </c>
      <c r="I2696" s="3" t="s">
        <v>987</v>
      </c>
    </row>
    <row r="2697" spans="2:9" hidden="1" x14ac:dyDescent="0.4">
      <c r="B2697" s="8" t="s">
        <v>1003</v>
      </c>
      <c r="C2697" s="3" t="s">
        <v>1244</v>
      </c>
      <c r="D2697" s="3" t="s">
        <v>1257</v>
      </c>
      <c r="F2697" s="3" t="s">
        <v>399</v>
      </c>
      <c r="I2697" s="3" t="s">
        <v>987</v>
      </c>
    </row>
    <row r="2698" spans="2:9" hidden="1" x14ac:dyDescent="0.4">
      <c r="B2698" s="8" t="s">
        <v>1003</v>
      </c>
      <c r="C2698" s="3" t="s">
        <v>1247</v>
      </c>
      <c r="D2698" s="3" t="s">
        <v>1260</v>
      </c>
      <c r="F2698" s="3" t="s">
        <v>399</v>
      </c>
      <c r="I2698" s="3" t="s">
        <v>987</v>
      </c>
    </row>
    <row r="2699" spans="2:9" hidden="1" x14ac:dyDescent="0.4">
      <c r="B2699" s="8" t="s">
        <v>518</v>
      </c>
      <c r="C2699" s="3" t="s">
        <v>2238</v>
      </c>
      <c r="D2699" s="3" t="s">
        <v>2396</v>
      </c>
      <c r="E2699" s="3" t="s">
        <v>1272</v>
      </c>
      <c r="F2699" s="3" t="s">
        <v>399</v>
      </c>
      <c r="I2699" s="3" t="s">
        <v>1833</v>
      </c>
    </row>
    <row r="2700" spans="2:9" hidden="1" x14ac:dyDescent="0.4">
      <c r="B2700" s="8" t="s">
        <v>518</v>
      </c>
      <c r="C2700" s="3" t="s">
        <v>2554</v>
      </c>
      <c r="D2700" s="3" t="s">
        <v>2396</v>
      </c>
      <c r="E2700" s="3" t="s">
        <v>1272</v>
      </c>
      <c r="F2700" s="3" t="s">
        <v>402</v>
      </c>
      <c r="I2700" s="3" t="s">
        <v>1833</v>
      </c>
    </row>
    <row r="2701" spans="2:9" hidden="1" x14ac:dyDescent="0.4">
      <c r="B2701" s="8" t="s">
        <v>518</v>
      </c>
      <c r="C2701" s="3" t="s">
        <v>2239</v>
      </c>
      <c r="D2701" s="3" t="s">
        <v>2396</v>
      </c>
      <c r="E2701" s="3" t="s">
        <v>1272</v>
      </c>
      <c r="F2701" s="3" t="s">
        <v>399</v>
      </c>
      <c r="I2701" s="3" t="s">
        <v>1833</v>
      </c>
    </row>
    <row r="2702" spans="2:9" hidden="1" x14ac:dyDescent="0.4">
      <c r="B2702" s="8" t="s">
        <v>518</v>
      </c>
      <c r="C2702" s="3" t="s">
        <v>2520</v>
      </c>
      <c r="D2702" s="3" t="s">
        <v>2396</v>
      </c>
      <c r="E2702" s="3" t="s">
        <v>1272</v>
      </c>
      <c r="F2702" s="3" t="s">
        <v>402</v>
      </c>
      <c r="I2702" s="3" t="s">
        <v>1833</v>
      </c>
    </row>
    <row r="2703" spans="2:9" hidden="1" x14ac:dyDescent="0.4">
      <c r="B2703" s="8" t="s">
        <v>517</v>
      </c>
      <c r="C2703" s="3" t="s">
        <v>4132</v>
      </c>
      <c r="D2703" s="3" t="s">
        <v>4023</v>
      </c>
      <c r="F2703" s="3" t="s">
        <v>399</v>
      </c>
      <c r="G2703" s="3" t="s">
        <v>402</v>
      </c>
      <c r="I2703" s="3" t="s">
        <v>4064</v>
      </c>
    </row>
    <row r="2704" spans="2:9" hidden="1" x14ac:dyDescent="0.4">
      <c r="B2704" s="8" t="s">
        <v>517</v>
      </c>
      <c r="C2704" s="3" t="s">
        <v>4624</v>
      </c>
      <c r="D2704" s="3" t="s">
        <v>4913</v>
      </c>
      <c r="F2704" s="3" t="s">
        <v>399</v>
      </c>
      <c r="I2704" s="3" t="s">
        <v>4064</v>
      </c>
    </row>
    <row r="2705" spans="2:9" hidden="1" x14ac:dyDescent="0.4">
      <c r="B2705" s="8" t="s">
        <v>517</v>
      </c>
      <c r="C2705" s="3" t="s">
        <v>5099</v>
      </c>
      <c r="D2705" s="3" t="s">
        <v>5422</v>
      </c>
      <c r="F2705" s="3" t="s">
        <v>402</v>
      </c>
      <c r="I2705" s="3" t="s">
        <v>4064</v>
      </c>
    </row>
    <row r="2706" spans="2:9" hidden="1" x14ac:dyDescent="0.4">
      <c r="B2706" s="8" t="s">
        <v>517</v>
      </c>
      <c r="C2706" s="3" t="s">
        <v>3424</v>
      </c>
      <c r="D2706" s="3" t="s">
        <v>4023</v>
      </c>
      <c r="F2706" s="3" t="s">
        <v>399</v>
      </c>
      <c r="G2706" s="3" t="s">
        <v>402</v>
      </c>
      <c r="I2706" s="3" t="s">
        <v>4063</v>
      </c>
    </row>
    <row r="2707" spans="2:9" hidden="1" x14ac:dyDescent="0.4">
      <c r="B2707" s="8" t="s">
        <v>517</v>
      </c>
      <c r="C2707" s="3" t="s">
        <v>5756</v>
      </c>
      <c r="D2707" s="3" t="s">
        <v>4913</v>
      </c>
      <c r="F2707" s="3" t="s">
        <v>399</v>
      </c>
      <c r="I2707" s="3" t="s">
        <v>4063</v>
      </c>
    </row>
    <row r="2708" spans="2:9" hidden="1" x14ac:dyDescent="0.4">
      <c r="B2708" s="8" t="s">
        <v>517</v>
      </c>
      <c r="C2708" s="3" t="s">
        <v>6098</v>
      </c>
      <c r="D2708" s="3" t="s">
        <v>5422</v>
      </c>
      <c r="F2708" s="3" t="s">
        <v>402</v>
      </c>
      <c r="I2708" s="3" t="s">
        <v>4063</v>
      </c>
    </row>
    <row r="2709" spans="2:9" hidden="1" x14ac:dyDescent="0.4">
      <c r="B2709" s="8" t="s">
        <v>517</v>
      </c>
      <c r="C2709" s="3" t="s">
        <v>4119</v>
      </c>
      <c r="D2709" s="3" t="s">
        <v>4022</v>
      </c>
      <c r="F2709" s="3" t="s">
        <v>399</v>
      </c>
      <c r="G2709" s="3" t="s">
        <v>402</v>
      </c>
      <c r="I2709" s="3" t="s">
        <v>4064</v>
      </c>
    </row>
    <row r="2710" spans="2:9" hidden="1" x14ac:dyDescent="0.4">
      <c r="B2710" s="8" t="s">
        <v>517</v>
      </c>
      <c r="C2710" s="3" t="s">
        <v>4390</v>
      </c>
      <c r="D2710" s="3" t="s">
        <v>4873</v>
      </c>
      <c r="F2710" s="3" t="s">
        <v>399</v>
      </c>
      <c r="I2710" s="3" t="s">
        <v>4064</v>
      </c>
    </row>
    <row r="2711" spans="2:9" hidden="1" x14ac:dyDescent="0.4">
      <c r="B2711" s="8" t="s">
        <v>517</v>
      </c>
      <c r="C2711" s="3" t="s">
        <v>5079</v>
      </c>
      <c r="D2711" s="3" t="s">
        <v>5680</v>
      </c>
      <c r="F2711" s="3" t="s">
        <v>402</v>
      </c>
      <c r="I2711" s="3" t="s">
        <v>4064</v>
      </c>
    </row>
    <row r="2712" spans="2:9" hidden="1" x14ac:dyDescent="0.4">
      <c r="B2712" s="8" t="s">
        <v>517</v>
      </c>
      <c r="C2712" s="3" t="s">
        <v>3406</v>
      </c>
      <c r="D2712" s="3" t="s">
        <v>4022</v>
      </c>
      <c r="F2712" s="3" t="s">
        <v>399</v>
      </c>
      <c r="G2712" s="3" t="s">
        <v>402</v>
      </c>
      <c r="I2712" s="3" t="s">
        <v>4063</v>
      </c>
    </row>
    <row r="2713" spans="2:9" hidden="1" x14ac:dyDescent="0.4">
      <c r="B2713" s="8" t="s">
        <v>517</v>
      </c>
      <c r="C2713" s="3" t="s">
        <v>5739</v>
      </c>
      <c r="D2713" s="3" t="s">
        <v>4873</v>
      </c>
      <c r="F2713" s="3" t="s">
        <v>399</v>
      </c>
      <c r="I2713" s="3" t="s">
        <v>4063</v>
      </c>
    </row>
    <row r="2714" spans="2:9" hidden="1" x14ac:dyDescent="0.4">
      <c r="B2714" s="8" t="s">
        <v>517</v>
      </c>
      <c r="C2714" s="3" t="s">
        <v>6081</v>
      </c>
      <c r="D2714" s="3" t="s">
        <v>5679</v>
      </c>
      <c r="F2714" s="3" t="s">
        <v>402</v>
      </c>
      <c r="I2714" s="3" t="s">
        <v>4063</v>
      </c>
    </row>
    <row r="2715" spans="2:9" hidden="1" x14ac:dyDescent="0.4">
      <c r="B2715" s="8" t="s">
        <v>517</v>
      </c>
      <c r="C2715" s="3" t="s">
        <v>214</v>
      </c>
      <c r="D2715" s="3" t="s">
        <v>250</v>
      </c>
      <c r="F2715" s="3" t="s">
        <v>522</v>
      </c>
      <c r="I2715" s="3" t="s">
        <v>267</v>
      </c>
    </row>
    <row r="2716" spans="2:9" hidden="1" x14ac:dyDescent="0.4">
      <c r="B2716" s="8">
        <v>4</v>
      </c>
      <c r="C2716" s="3" t="s">
        <v>172</v>
      </c>
      <c r="D2716" s="3" t="s">
        <v>648</v>
      </c>
      <c r="F2716" s="3" t="s">
        <v>399</v>
      </c>
      <c r="I2716" s="3" t="s">
        <v>267</v>
      </c>
    </row>
    <row r="2717" spans="2:9" hidden="1" x14ac:dyDescent="0.4">
      <c r="B2717" s="8" t="s">
        <v>517</v>
      </c>
      <c r="C2717" s="3" t="s">
        <v>2944</v>
      </c>
      <c r="D2717" s="3" t="s">
        <v>3181</v>
      </c>
      <c r="E2717" s="3">
        <v>1</v>
      </c>
      <c r="F2717" s="3" t="s">
        <v>402</v>
      </c>
      <c r="G2717" s="3" t="s">
        <v>988</v>
      </c>
      <c r="I2717" s="3" t="s">
        <v>245</v>
      </c>
    </row>
    <row r="2718" spans="2:9" hidden="1" x14ac:dyDescent="0.4">
      <c r="B2718" s="8" t="s">
        <v>529</v>
      </c>
      <c r="C2718" s="3" t="s">
        <v>1472</v>
      </c>
      <c r="D2718" s="3" t="s">
        <v>1515</v>
      </c>
      <c r="F2718" s="3" t="s">
        <v>399</v>
      </c>
      <c r="G2718" s="3" t="s">
        <v>402</v>
      </c>
      <c r="I2718" s="3" t="s">
        <v>1489</v>
      </c>
    </row>
    <row r="2719" spans="2:9" hidden="1" x14ac:dyDescent="0.4">
      <c r="B2719" s="8" t="s">
        <v>529</v>
      </c>
      <c r="C2719" s="3" t="s">
        <v>1582</v>
      </c>
      <c r="D2719" s="3" t="s">
        <v>1515</v>
      </c>
      <c r="F2719" s="3" t="s">
        <v>402</v>
      </c>
      <c r="I2719" s="3" t="s">
        <v>1489</v>
      </c>
    </row>
    <row r="2720" spans="2:9" hidden="1" x14ac:dyDescent="0.4">
      <c r="B2720" s="8" t="s">
        <v>518</v>
      </c>
      <c r="C2720" s="3" t="s">
        <v>306</v>
      </c>
      <c r="D2720" s="3" t="s">
        <v>593</v>
      </c>
      <c r="F2720" s="3" t="s">
        <v>399</v>
      </c>
      <c r="I2720" s="3" t="s">
        <v>267</v>
      </c>
    </row>
    <row r="2721" spans="2:9" hidden="1" x14ac:dyDescent="0.4">
      <c r="B2721" s="8" t="s">
        <v>517</v>
      </c>
      <c r="C2721" s="3" t="s">
        <v>191</v>
      </c>
      <c r="D2721" s="3" t="s">
        <v>554</v>
      </c>
      <c r="F2721" s="3" t="s">
        <v>399</v>
      </c>
      <c r="I2721" s="3" t="s">
        <v>267</v>
      </c>
    </row>
    <row r="2722" spans="2:9" hidden="1" x14ac:dyDescent="0.4">
      <c r="B2722" s="8" t="s">
        <v>536</v>
      </c>
      <c r="C2722" s="3" t="s">
        <v>2679</v>
      </c>
      <c r="D2722" s="3">
        <v>5</v>
      </c>
      <c r="F2722" s="3" t="s">
        <v>1124</v>
      </c>
      <c r="I2722" s="3" t="s">
        <v>252</v>
      </c>
    </row>
    <row r="2723" spans="2:9" hidden="1" x14ac:dyDescent="0.4">
      <c r="B2723" s="8" t="s">
        <v>536</v>
      </c>
      <c r="C2723" s="3" t="s">
        <v>2729</v>
      </c>
      <c r="D2723" s="3">
        <v>500</v>
      </c>
      <c r="F2723" s="3" t="s">
        <v>1124</v>
      </c>
      <c r="I2723" s="3" t="s">
        <v>252</v>
      </c>
    </row>
    <row r="2724" spans="2:9" hidden="1" x14ac:dyDescent="0.4">
      <c r="B2724" s="8" t="s">
        <v>536</v>
      </c>
      <c r="C2724" s="3" t="s">
        <v>2721</v>
      </c>
      <c r="D2724" s="3">
        <v>50</v>
      </c>
      <c r="F2724" s="3" t="s">
        <v>1124</v>
      </c>
      <c r="I2724" s="3" t="s">
        <v>252</v>
      </c>
    </row>
    <row r="2725" spans="2:9" hidden="1" x14ac:dyDescent="0.4">
      <c r="B2725" s="8" t="s">
        <v>536</v>
      </c>
      <c r="C2725" s="3" t="s">
        <v>2701</v>
      </c>
      <c r="D2725" s="3">
        <v>25</v>
      </c>
      <c r="F2725" s="3" t="s">
        <v>1124</v>
      </c>
      <c r="I2725" s="3" t="s">
        <v>252</v>
      </c>
    </row>
    <row r="2726" spans="2:9" hidden="1" x14ac:dyDescent="0.4">
      <c r="B2726" s="8" t="s">
        <v>536</v>
      </c>
      <c r="C2726" s="3" t="s">
        <v>2691</v>
      </c>
      <c r="D2726" s="3">
        <v>15</v>
      </c>
      <c r="F2726" s="3" t="s">
        <v>1124</v>
      </c>
      <c r="I2726" s="3" t="s">
        <v>252</v>
      </c>
    </row>
    <row r="2727" spans="2:9" hidden="1" x14ac:dyDescent="0.4">
      <c r="B2727" s="8" t="s">
        <v>536</v>
      </c>
      <c r="C2727" s="3" t="s">
        <v>2737</v>
      </c>
      <c r="D2727" s="3">
        <v>5000</v>
      </c>
      <c r="F2727" s="3" t="s">
        <v>1124</v>
      </c>
      <c r="I2727" s="3" t="s">
        <v>252</v>
      </c>
    </row>
    <row r="2728" spans="2:9" hidden="1" x14ac:dyDescent="0.4">
      <c r="B2728" s="8" t="s">
        <v>536</v>
      </c>
      <c r="C2728" s="3" t="s">
        <v>2711</v>
      </c>
      <c r="D2728" s="3">
        <v>35</v>
      </c>
      <c r="F2728" s="3" t="s">
        <v>1124</v>
      </c>
      <c r="I2728" s="3" t="s">
        <v>252</v>
      </c>
    </row>
    <row r="2729" spans="2:9" hidden="1" x14ac:dyDescent="0.4">
      <c r="B2729" s="8" t="s">
        <v>536</v>
      </c>
      <c r="C2729" s="3" t="s">
        <v>2745</v>
      </c>
      <c r="D2729" s="3">
        <v>50000</v>
      </c>
      <c r="F2729" s="3" t="s">
        <v>1124</v>
      </c>
      <c r="I2729" s="3" t="s">
        <v>252</v>
      </c>
    </row>
    <row r="2730" spans="2:9" hidden="1" x14ac:dyDescent="0.4">
      <c r="B2730" s="8" t="s">
        <v>520</v>
      </c>
      <c r="C2730" s="3" t="s">
        <v>2857</v>
      </c>
      <c r="D2730" s="3" t="s">
        <v>2860</v>
      </c>
      <c r="E2730" s="3" t="s">
        <v>1272</v>
      </c>
      <c r="F2730" s="3" t="s">
        <v>399</v>
      </c>
      <c r="I2730" s="3" t="s">
        <v>2370</v>
      </c>
    </row>
    <row r="2731" spans="2:9" hidden="1" x14ac:dyDescent="0.4">
      <c r="B2731" s="8" t="s">
        <v>536</v>
      </c>
      <c r="C2731" s="3" t="s">
        <v>3359</v>
      </c>
      <c r="D2731" s="3" t="s">
        <v>3113</v>
      </c>
      <c r="E2731" s="3">
        <v>1</v>
      </c>
      <c r="F2731" s="3" t="s">
        <v>1124</v>
      </c>
      <c r="I2731" s="3" t="s">
        <v>245</v>
      </c>
    </row>
    <row r="2732" spans="2:9" ht="29.25" hidden="1" x14ac:dyDescent="0.4">
      <c r="B2732" s="8" t="s">
        <v>536</v>
      </c>
      <c r="C2732" s="3" t="s">
        <v>2030</v>
      </c>
      <c r="D2732" s="3" t="s">
        <v>2122</v>
      </c>
      <c r="F2732" s="3" t="s">
        <v>2065</v>
      </c>
      <c r="I2732" s="3" t="s">
        <v>248</v>
      </c>
    </row>
    <row r="2733" spans="2:9" hidden="1" x14ac:dyDescent="0.4">
      <c r="B2733" s="8" t="s">
        <v>1008</v>
      </c>
      <c r="C2733" s="3" t="s">
        <v>991</v>
      </c>
      <c r="D2733" s="3" t="s">
        <v>997</v>
      </c>
      <c r="F2733" s="3" t="s">
        <v>988</v>
      </c>
      <c r="I2733" s="3" t="s">
        <v>510</v>
      </c>
    </row>
    <row r="2734" spans="2:9" hidden="1" x14ac:dyDescent="0.4">
      <c r="B2734" s="8" t="s">
        <v>515</v>
      </c>
      <c r="C2734" s="3" t="s">
        <v>1205</v>
      </c>
      <c r="D2734" s="3" t="s">
        <v>1220</v>
      </c>
      <c r="F2734" s="3" t="s">
        <v>988</v>
      </c>
      <c r="I2734" s="3" t="s">
        <v>781</v>
      </c>
    </row>
    <row r="2735" spans="2:9" hidden="1" x14ac:dyDescent="0.4">
      <c r="B2735" s="8" t="s">
        <v>1002</v>
      </c>
      <c r="C2735" s="3" t="s">
        <v>968</v>
      </c>
      <c r="D2735" s="3" t="s">
        <v>980</v>
      </c>
      <c r="F2735" s="3" t="s">
        <v>988</v>
      </c>
      <c r="I2735" s="3" t="s">
        <v>510</v>
      </c>
    </row>
    <row r="2736" spans="2:9" hidden="1" x14ac:dyDescent="0.4">
      <c r="B2736" s="8" t="s">
        <v>517</v>
      </c>
      <c r="C2736" s="3" t="s">
        <v>1208</v>
      </c>
      <c r="D2736" s="3" t="s">
        <v>1221</v>
      </c>
      <c r="F2736" s="3" t="s">
        <v>988</v>
      </c>
      <c r="I2736" s="3" t="s">
        <v>781</v>
      </c>
    </row>
    <row r="2737" spans="2:9" hidden="1" x14ac:dyDescent="0.4">
      <c r="B2737" s="8" t="s">
        <v>1006</v>
      </c>
      <c r="C2737" s="3" t="s">
        <v>989</v>
      </c>
      <c r="D2737" s="3" t="s">
        <v>995</v>
      </c>
      <c r="F2737" s="3" t="s">
        <v>988</v>
      </c>
      <c r="I2737" s="3" t="s">
        <v>510</v>
      </c>
    </row>
    <row r="2738" spans="2:9" hidden="1" x14ac:dyDescent="0.4">
      <c r="B2738" s="8" t="s">
        <v>1007</v>
      </c>
      <c r="C2738" s="3" t="s">
        <v>992</v>
      </c>
      <c r="D2738" s="3" t="s">
        <v>998</v>
      </c>
      <c r="F2738" s="3" t="s">
        <v>988</v>
      </c>
      <c r="I2738" s="3" t="s">
        <v>510</v>
      </c>
    </row>
    <row r="2739" spans="2:9" hidden="1" x14ac:dyDescent="0.4">
      <c r="B2739" s="8" t="s">
        <v>1002</v>
      </c>
      <c r="C2739" s="3" t="s">
        <v>1009</v>
      </c>
      <c r="D2739" s="3" t="s">
        <v>1010</v>
      </c>
      <c r="F2739" s="3" t="s">
        <v>988</v>
      </c>
      <c r="I2739" s="3" t="s">
        <v>510</v>
      </c>
    </row>
    <row r="2740" spans="2:9" hidden="1" x14ac:dyDescent="0.4">
      <c r="B2740" s="8" t="s">
        <v>526</v>
      </c>
      <c r="C2740" s="3" t="s">
        <v>1209</v>
      </c>
      <c r="D2740" s="3" t="s">
        <v>1221</v>
      </c>
      <c r="F2740" s="3" t="s">
        <v>988</v>
      </c>
      <c r="I2740" s="3" t="s">
        <v>781</v>
      </c>
    </row>
    <row r="2741" spans="2:9" hidden="1" x14ac:dyDescent="0.4">
      <c r="B2741" s="8" t="s">
        <v>1007</v>
      </c>
      <c r="C2741" s="3" t="s">
        <v>994</v>
      </c>
      <c r="D2741" s="3" t="s">
        <v>1000</v>
      </c>
      <c r="F2741" s="3" t="s">
        <v>988</v>
      </c>
      <c r="I2741" s="3" t="s">
        <v>510</v>
      </c>
    </row>
    <row r="2742" spans="2:9" hidden="1" x14ac:dyDescent="0.4">
      <c r="B2742" s="8" t="s">
        <v>1002</v>
      </c>
      <c r="C2742" s="3" t="s">
        <v>990</v>
      </c>
      <c r="D2742" s="3" t="s">
        <v>996</v>
      </c>
      <c r="F2742" s="3" t="s">
        <v>988</v>
      </c>
      <c r="I2742" s="3" t="s">
        <v>510</v>
      </c>
    </row>
    <row r="2743" spans="2:9" hidden="1" x14ac:dyDescent="0.4">
      <c r="B2743" s="8" t="s">
        <v>1002</v>
      </c>
      <c r="C2743" s="3" t="s">
        <v>993</v>
      </c>
      <c r="D2743" s="3" t="s">
        <v>999</v>
      </c>
      <c r="F2743" s="3" t="s">
        <v>988</v>
      </c>
      <c r="I2743" s="3" t="s">
        <v>510</v>
      </c>
    </row>
    <row r="2744" spans="2:9" hidden="1" x14ac:dyDescent="0.4">
      <c r="B2744" s="8" t="s">
        <v>515</v>
      </c>
      <c r="C2744" s="3" t="s">
        <v>1206</v>
      </c>
      <c r="D2744" s="3" t="s">
        <v>1220</v>
      </c>
      <c r="E2744" s="3" t="s">
        <v>432</v>
      </c>
      <c r="F2744" s="3" t="s">
        <v>988</v>
      </c>
      <c r="I2744" s="3" t="s">
        <v>781</v>
      </c>
    </row>
    <row r="2745" spans="2:9" hidden="1" x14ac:dyDescent="0.4">
      <c r="B2745" s="8" t="s">
        <v>517</v>
      </c>
      <c r="C2745" s="3" t="s">
        <v>1207</v>
      </c>
      <c r="D2745" s="3" t="s">
        <v>1221</v>
      </c>
      <c r="E2745" s="3" t="s">
        <v>432</v>
      </c>
      <c r="F2745" s="3" t="s">
        <v>988</v>
      </c>
      <c r="I2745" s="3" t="s">
        <v>781</v>
      </c>
    </row>
    <row r="2746" spans="2:9" hidden="1" x14ac:dyDescent="0.4">
      <c r="B2746" s="8" t="s">
        <v>517</v>
      </c>
      <c r="C2746" s="3" t="s">
        <v>3541</v>
      </c>
      <c r="D2746" s="3" t="s">
        <v>3849</v>
      </c>
      <c r="F2746" s="3" t="s">
        <v>399</v>
      </c>
      <c r="G2746" s="3" t="s">
        <v>402</v>
      </c>
      <c r="I2746" s="3" t="s">
        <v>4063</v>
      </c>
    </row>
    <row r="2747" spans="2:9" hidden="1" x14ac:dyDescent="0.4">
      <c r="B2747" s="8" t="s">
        <v>517</v>
      </c>
      <c r="C2747" s="3" t="s">
        <v>5851</v>
      </c>
      <c r="D2747" s="3" t="s">
        <v>4813</v>
      </c>
      <c r="F2747" s="3" t="s">
        <v>399</v>
      </c>
      <c r="I2747" s="3" t="s">
        <v>4063</v>
      </c>
    </row>
    <row r="2748" spans="2:9" hidden="1" x14ac:dyDescent="0.4">
      <c r="B2748" s="8" t="s">
        <v>517</v>
      </c>
      <c r="C2748" s="3" t="s">
        <v>6196</v>
      </c>
      <c r="D2748" s="3" t="s">
        <v>5538</v>
      </c>
      <c r="F2748" s="3" t="s">
        <v>402</v>
      </c>
      <c r="I2748" s="3" t="s">
        <v>4063</v>
      </c>
    </row>
    <row r="2749" spans="2:9" hidden="1" x14ac:dyDescent="0.4">
      <c r="B2749" s="8" t="s">
        <v>531</v>
      </c>
      <c r="C2749" s="3" t="s">
        <v>1971</v>
      </c>
      <c r="D2749" s="3" t="s">
        <v>1865</v>
      </c>
      <c r="F2749" s="3" t="s">
        <v>399</v>
      </c>
      <c r="I2749" s="3" t="s">
        <v>1968</v>
      </c>
    </row>
    <row r="2750" spans="2:9" hidden="1" x14ac:dyDescent="0.4">
      <c r="B2750" s="8" t="s">
        <v>518</v>
      </c>
      <c r="C2750" s="3" t="s">
        <v>2837</v>
      </c>
      <c r="D2750" s="3" t="s">
        <v>2840</v>
      </c>
      <c r="E2750" s="3" t="s">
        <v>1272</v>
      </c>
      <c r="F2750" s="3" t="s">
        <v>399</v>
      </c>
      <c r="I2750" s="3" t="s">
        <v>2370</v>
      </c>
    </row>
    <row r="2751" spans="2:9" hidden="1" x14ac:dyDescent="0.4">
      <c r="B2751" s="8" t="s">
        <v>518</v>
      </c>
      <c r="C2751" s="3" t="s">
        <v>2922</v>
      </c>
      <c r="D2751" s="3" t="s">
        <v>3162</v>
      </c>
      <c r="E2751" s="3">
        <v>1</v>
      </c>
      <c r="F2751" s="3" t="s">
        <v>399</v>
      </c>
      <c r="G2751" s="3" t="s">
        <v>402</v>
      </c>
      <c r="H2751" s="3" t="s">
        <v>988</v>
      </c>
      <c r="I2751" s="3" t="s">
        <v>510</v>
      </c>
    </row>
    <row r="2752" spans="2:9" hidden="1" x14ac:dyDescent="0.4">
      <c r="B2752" s="8" t="s">
        <v>518</v>
      </c>
      <c r="C2752" s="3" t="s">
        <v>3456</v>
      </c>
      <c r="D2752" s="3" t="s">
        <v>3764</v>
      </c>
      <c r="F2752" s="3" t="s">
        <v>399</v>
      </c>
      <c r="G2752" s="3" t="s">
        <v>402</v>
      </c>
      <c r="I2752" s="3" t="s">
        <v>4063</v>
      </c>
    </row>
    <row r="2753" spans="2:9" hidden="1" x14ac:dyDescent="0.4">
      <c r="B2753" s="8" t="s">
        <v>518</v>
      </c>
      <c r="C2753" s="3" t="s">
        <v>5782</v>
      </c>
      <c r="D2753" s="3" t="s">
        <v>4768</v>
      </c>
      <c r="F2753" s="3" t="s">
        <v>399</v>
      </c>
      <c r="I2753" s="3" t="s">
        <v>4063</v>
      </c>
    </row>
    <row r="2754" spans="2:9" hidden="1" x14ac:dyDescent="0.4">
      <c r="B2754" s="8" t="s">
        <v>518</v>
      </c>
      <c r="C2754" s="3" t="s">
        <v>6125</v>
      </c>
      <c r="D2754" s="3" t="s">
        <v>5452</v>
      </c>
      <c r="F2754" s="3" t="s">
        <v>402</v>
      </c>
      <c r="I2754" s="3" t="s">
        <v>4063</v>
      </c>
    </row>
    <row r="2755" spans="2:9" hidden="1" x14ac:dyDescent="0.4">
      <c r="B2755" s="8" t="s">
        <v>518</v>
      </c>
      <c r="C2755" s="3" t="s">
        <v>4158</v>
      </c>
      <c r="D2755" s="3" t="s">
        <v>3764</v>
      </c>
      <c r="F2755" s="3" t="s">
        <v>399</v>
      </c>
      <c r="G2755" s="3" t="s">
        <v>402</v>
      </c>
      <c r="I2755" s="3" t="s">
        <v>4064</v>
      </c>
    </row>
    <row r="2756" spans="2:9" hidden="1" x14ac:dyDescent="0.4">
      <c r="B2756" s="8" t="s">
        <v>518</v>
      </c>
      <c r="C2756" s="3" t="s">
        <v>4607</v>
      </c>
      <c r="D2756" s="3" t="s">
        <v>4768</v>
      </c>
      <c r="F2756" s="3" t="s">
        <v>399</v>
      </c>
      <c r="I2756" s="3" t="s">
        <v>4064</v>
      </c>
    </row>
    <row r="2757" spans="2:9" hidden="1" x14ac:dyDescent="0.4">
      <c r="B2757" s="8" t="s">
        <v>518</v>
      </c>
      <c r="C2757" s="3" t="s">
        <v>5129</v>
      </c>
      <c r="D2757" s="3" t="s">
        <v>5452</v>
      </c>
      <c r="F2757" s="3" t="s">
        <v>402</v>
      </c>
      <c r="I2757" s="3" t="s">
        <v>4064</v>
      </c>
    </row>
    <row r="2758" spans="2:9" hidden="1" x14ac:dyDescent="0.4">
      <c r="B2758" s="8" t="s">
        <v>517</v>
      </c>
      <c r="C2758" s="3" t="s">
        <v>4236</v>
      </c>
      <c r="D2758" s="3" t="s">
        <v>3849</v>
      </c>
      <c r="F2758" s="3" t="s">
        <v>399</v>
      </c>
      <c r="G2758" s="3" t="s">
        <v>402</v>
      </c>
      <c r="I2758" s="3" t="s">
        <v>4064</v>
      </c>
    </row>
    <row r="2759" spans="2:9" hidden="1" x14ac:dyDescent="0.4">
      <c r="B2759" s="8" t="s">
        <v>517</v>
      </c>
      <c r="C2759" s="3" t="s">
        <v>4461</v>
      </c>
      <c r="D2759" s="3" t="s">
        <v>4813</v>
      </c>
      <c r="F2759" s="3" t="s">
        <v>399</v>
      </c>
      <c r="I2759" s="3" t="s">
        <v>4064</v>
      </c>
    </row>
    <row r="2760" spans="2:9" hidden="1" x14ac:dyDescent="0.4">
      <c r="B2760" s="8" t="s">
        <v>517</v>
      </c>
      <c r="C2760" s="3" t="s">
        <v>5216</v>
      </c>
      <c r="D2760" s="3" t="s">
        <v>5538</v>
      </c>
      <c r="F2760" s="3" t="s">
        <v>402</v>
      </c>
      <c r="I2760" s="3" t="s">
        <v>4064</v>
      </c>
    </row>
    <row r="2761" spans="2:9" hidden="1" x14ac:dyDescent="0.4">
      <c r="B2761" s="8" t="s">
        <v>517</v>
      </c>
      <c r="C2761" s="3" t="s">
        <v>1924</v>
      </c>
      <c r="D2761" s="3" t="s">
        <v>1956</v>
      </c>
      <c r="F2761" s="3" t="s">
        <v>399</v>
      </c>
      <c r="I2761" s="3" t="s">
        <v>1865</v>
      </c>
    </row>
    <row r="2762" spans="2:9" hidden="1" x14ac:dyDescent="0.4">
      <c r="B2762" s="8" t="s">
        <v>517</v>
      </c>
      <c r="C2762" s="3" t="s">
        <v>1925</v>
      </c>
      <c r="D2762" s="3" t="s">
        <v>1957</v>
      </c>
      <c r="F2762" s="3" t="s">
        <v>399</v>
      </c>
      <c r="I2762" s="3" t="s">
        <v>1865</v>
      </c>
    </row>
    <row r="2763" spans="2:9" hidden="1" x14ac:dyDescent="0.4">
      <c r="B2763" s="8" t="s">
        <v>517</v>
      </c>
      <c r="C2763" s="3" t="s">
        <v>2869</v>
      </c>
      <c r="D2763" s="3" t="s">
        <v>3113</v>
      </c>
      <c r="E2763" s="3">
        <v>1</v>
      </c>
      <c r="F2763" s="3" t="s">
        <v>402</v>
      </c>
      <c r="G2763" s="3" t="s">
        <v>988</v>
      </c>
      <c r="H2763" s="3" t="s">
        <v>399</v>
      </c>
      <c r="I2763" s="3" t="s">
        <v>245</v>
      </c>
    </row>
    <row r="2764" spans="2:9" hidden="1" x14ac:dyDescent="0.4">
      <c r="B2764" s="8" t="s">
        <v>536</v>
      </c>
      <c r="C2764" s="3" t="s">
        <v>3355</v>
      </c>
      <c r="D2764" s="3" t="s">
        <v>3113</v>
      </c>
      <c r="E2764" s="3">
        <v>1</v>
      </c>
      <c r="F2764" s="3" t="s">
        <v>1124</v>
      </c>
      <c r="I2764" s="3" t="s">
        <v>245</v>
      </c>
    </row>
    <row r="2765" spans="2:9" hidden="1" x14ac:dyDescent="0.4">
      <c r="B2765" s="8" t="s">
        <v>518</v>
      </c>
      <c r="C2765" s="3" t="s">
        <v>359</v>
      </c>
      <c r="D2765" s="3" t="s">
        <v>383</v>
      </c>
      <c r="F2765" s="3" t="s">
        <v>399</v>
      </c>
      <c r="I2765" s="3" t="s">
        <v>267</v>
      </c>
    </row>
    <row r="2766" spans="2:9" hidden="1" x14ac:dyDescent="0.4">
      <c r="B2766" s="8" t="s">
        <v>517</v>
      </c>
      <c r="C2766" s="3" t="s">
        <v>219</v>
      </c>
      <c r="D2766" s="3" t="s">
        <v>260</v>
      </c>
      <c r="F2766" s="3" t="s">
        <v>399</v>
      </c>
      <c r="I2766" s="3" t="s">
        <v>420</v>
      </c>
    </row>
    <row r="2767" spans="2:9" hidden="1" x14ac:dyDescent="0.4">
      <c r="B2767" s="8" t="s">
        <v>518</v>
      </c>
      <c r="C2767" s="3" t="s">
        <v>2968</v>
      </c>
      <c r="D2767" s="3" t="s">
        <v>3207</v>
      </c>
      <c r="E2767" s="3">
        <v>1</v>
      </c>
      <c r="F2767" s="3" t="s">
        <v>402</v>
      </c>
      <c r="G2767" s="3" t="s">
        <v>399</v>
      </c>
      <c r="H2767" s="3" t="s">
        <v>1279</v>
      </c>
      <c r="I2767" s="3" t="s">
        <v>245</v>
      </c>
    </row>
    <row r="2768" spans="2:9" hidden="1" x14ac:dyDescent="0.4">
      <c r="B2768" s="8" t="s">
        <v>517</v>
      </c>
      <c r="C2768" s="3" t="s">
        <v>1779</v>
      </c>
      <c r="D2768" s="3" t="s">
        <v>1853</v>
      </c>
      <c r="F2768" s="3" t="s">
        <v>399</v>
      </c>
      <c r="G2768" s="3" t="s">
        <v>402</v>
      </c>
      <c r="I2768" s="3" t="s">
        <v>1842</v>
      </c>
    </row>
    <row r="2769" spans="2:9" hidden="1" x14ac:dyDescent="0.4">
      <c r="B2769" s="8" t="s">
        <v>517</v>
      </c>
      <c r="C2769" s="3" t="s">
        <v>1787</v>
      </c>
      <c r="D2769" s="3" t="s">
        <v>1859</v>
      </c>
      <c r="F2769" s="3" t="s">
        <v>402</v>
      </c>
      <c r="I2769" s="3" t="s">
        <v>1838</v>
      </c>
    </row>
    <row r="2770" spans="2:9" hidden="1" x14ac:dyDescent="0.4">
      <c r="B2770" s="8" t="s">
        <v>517</v>
      </c>
      <c r="C2770" s="3" t="s">
        <v>2157</v>
      </c>
      <c r="D2770" s="3" t="s">
        <v>2172</v>
      </c>
      <c r="F2770" s="3" t="s">
        <v>399</v>
      </c>
      <c r="I2770" s="3" t="s">
        <v>1838</v>
      </c>
    </row>
    <row r="2771" spans="2:9" hidden="1" x14ac:dyDescent="0.4">
      <c r="B2771" s="8" t="s">
        <v>516</v>
      </c>
      <c r="C2771" s="3" t="s">
        <v>2187</v>
      </c>
      <c r="D2771" s="3" t="s">
        <v>2172</v>
      </c>
      <c r="F2771" s="3" t="s">
        <v>399</v>
      </c>
      <c r="I2771" s="3" t="s">
        <v>1838</v>
      </c>
    </row>
    <row r="2772" spans="2:9" hidden="1" x14ac:dyDescent="0.4">
      <c r="B2772" s="8" t="s">
        <v>517</v>
      </c>
      <c r="C2772" s="3" t="s">
        <v>2291</v>
      </c>
      <c r="D2772" s="3" t="s">
        <v>2449</v>
      </c>
      <c r="E2772" s="3" t="s">
        <v>1272</v>
      </c>
      <c r="F2772" s="3" t="s">
        <v>399</v>
      </c>
      <c r="I2772" s="3" t="s">
        <v>1833</v>
      </c>
    </row>
    <row r="2773" spans="2:9" hidden="1" x14ac:dyDescent="0.4">
      <c r="B2773" s="8" t="s">
        <v>517</v>
      </c>
      <c r="C2773" s="3" t="s">
        <v>2596</v>
      </c>
      <c r="D2773" s="3" t="s">
        <v>2449</v>
      </c>
      <c r="E2773" s="3" t="s">
        <v>1272</v>
      </c>
      <c r="F2773" s="3" t="s">
        <v>402</v>
      </c>
      <c r="I2773" s="3" t="s">
        <v>1833</v>
      </c>
    </row>
    <row r="2774" spans="2:9" hidden="1" x14ac:dyDescent="0.4">
      <c r="B2774" s="8" t="s">
        <v>517</v>
      </c>
      <c r="C2774" s="3" t="s">
        <v>211</v>
      </c>
      <c r="D2774" s="3" t="s">
        <v>247</v>
      </c>
      <c r="F2774" s="3" t="s">
        <v>399</v>
      </c>
      <c r="I2774" s="3" t="s">
        <v>268</v>
      </c>
    </row>
    <row r="2775" spans="2:9" hidden="1" x14ac:dyDescent="0.4">
      <c r="B2775" s="8" t="s">
        <v>517</v>
      </c>
      <c r="C2775" s="3" t="s">
        <v>1331</v>
      </c>
      <c r="D2775" s="3" t="s">
        <v>1345</v>
      </c>
      <c r="E2775" s="3" t="s">
        <v>1272</v>
      </c>
      <c r="F2775" s="3" t="s">
        <v>399</v>
      </c>
      <c r="I2775" s="3" t="s">
        <v>1317</v>
      </c>
    </row>
    <row r="2776" spans="2:9" hidden="1" x14ac:dyDescent="0.4">
      <c r="B2776" s="8" t="s">
        <v>517</v>
      </c>
      <c r="C2776" s="3" t="s">
        <v>1373</v>
      </c>
      <c r="D2776" s="3" t="s">
        <v>1345</v>
      </c>
      <c r="E2776" s="3" t="s">
        <v>1272</v>
      </c>
      <c r="F2776" s="3" t="s">
        <v>402</v>
      </c>
      <c r="I2776" s="3" t="s">
        <v>1317</v>
      </c>
    </row>
    <row r="2777" spans="2:9" hidden="1" x14ac:dyDescent="0.4">
      <c r="B2777" s="8" t="s">
        <v>517</v>
      </c>
      <c r="C2777" s="3" t="s">
        <v>1363</v>
      </c>
      <c r="D2777" s="3" t="s">
        <v>1345</v>
      </c>
      <c r="E2777" s="3" t="s">
        <v>1272</v>
      </c>
      <c r="F2777" s="3" t="s">
        <v>402</v>
      </c>
      <c r="I2777" s="3" t="s">
        <v>1317</v>
      </c>
    </row>
    <row r="2778" spans="2:9" hidden="1" x14ac:dyDescent="0.4">
      <c r="B2778" s="8" t="s">
        <v>517</v>
      </c>
      <c r="C2778" s="3" t="s">
        <v>2307</v>
      </c>
      <c r="D2778" s="3" t="s">
        <v>2464</v>
      </c>
      <c r="E2778" s="3" t="s">
        <v>1272</v>
      </c>
      <c r="F2778" s="3" t="s">
        <v>399</v>
      </c>
      <c r="I2778" s="3" t="s">
        <v>1833</v>
      </c>
    </row>
    <row r="2779" spans="2:9" hidden="1" x14ac:dyDescent="0.4">
      <c r="B2779" s="8" t="s">
        <v>517</v>
      </c>
      <c r="C2779" s="3" t="s">
        <v>2535</v>
      </c>
      <c r="D2779" s="3" t="s">
        <v>2464</v>
      </c>
      <c r="E2779" s="3" t="s">
        <v>1272</v>
      </c>
      <c r="F2779" s="3" t="s">
        <v>402</v>
      </c>
      <c r="I2779" s="3" t="s">
        <v>1833</v>
      </c>
    </row>
    <row r="2780" spans="2:9" hidden="1" x14ac:dyDescent="0.4">
      <c r="B2780" s="8" t="s">
        <v>517</v>
      </c>
      <c r="C2780" s="3" t="s">
        <v>841</v>
      </c>
      <c r="D2780" s="3" t="s">
        <v>853</v>
      </c>
      <c r="E2780" s="3" t="s">
        <v>425</v>
      </c>
      <c r="F2780" s="3" t="s">
        <v>399</v>
      </c>
      <c r="I2780" s="3" t="s">
        <v>824</v>
      </c>
    </row>
    <row r="2781" spans="2:9" hidden="1" x14ac:dyDescent="0.4">
      <c r="B2781" s="8" t="s">
        <v>517</v>
      </c>
      <c r="C2781" s="3" t="s">
        <v>939</v>
      </c>
      <c r="D2781" s="3" t="s">
        <v>853</v>
      </c>
      <c r="E2781" s="3" t="s">
        <v>425</v>
      </c>
      <c r="F2781" s="3" t="s">
        <v>402</v>
      </c>
      <c r="I2781" s="3" t="s">
        <v>824</v>
      </c>
    </row>
    <row r="2782" spans="2:9" hidden="1" x14ac:dyDescent="0.4">
      <c r="B2782" s="8" t="s">
        <v>536</v>
      </c>
      <c r="C2782" s="3" t="s">
        <v>2020</v>
      </c>
      <c r="D2782" s="3" t="s">
        <v>2090</v>
      </c>
      <c r="F2782" s="3" t="s">
        <v>2065</v>
      </c>
      <c r="I2782" s="3" t="s">
        <v>248</v>
      </c>
    </row>
    <row r="2783" spans="2:9" hidden="1" x14ac:dyDescent="0.4">
      <c r="B2783" s="8" t="s">
        <v>517</v>
      </c>
      <c r="C2783" s="3" t="s">
        <v>716</v>
      </c>
      <c r="D2783" s="3" t="s">
        <v>674</v>
      </c>
      <c r="F2783" s="3" t="s">
        <v>684</v>
      </c>
      <c r="I2783" s="3" t="s">
        <v>510</v>
      </c>
    </row>
    <row r="2784" spans="2:9" hidden="1" x14ac:dyDescent="0.4">
      <c r="B2784" s="8" t="s">
        <v>517</v>
      </c>
      <c r="C2784" s="3" t="s">
        <v>484</v>
      </c>
      <c r="D2784" s="3" t="s">
        <v>679</v>
      </c>
      <c r="F2784" s="3" t="s">
        <v>522</v>
      </c>
      <c r="I2784" s="3" t="s">
        <v>510</v>
      </c>
    </row>
    <row r="2785" spans="2:9" hidden="1" x14ac:dyDescent="0.4">
      <c r="B2785" s="8" t="s">
        <v>517</v>
      </c>
      <c r="C2785" s="3" t="s">
        <v>504</v>
      </c>
      <c r="D2785" s="3" t="s">
        <v>674</v>
      </c>
      <c r="F2785" s="3" t="s">
        <v>522</v>
      </c>
      <c r="I2785" s="3" t="s">
        <v>510</v>
      </c>
    </row>
    <row r="2786" spans="2:9" hidden="1" x14ac:dyDescent="0.4">
      <c r="B2786" s="8" t="s">
        <v>517</v>
      </c>
      <c r="C2786" s="3" t="s">
        <v>701</v>
      </c>
      <c r="D2786" s="3" t="s">
        <v>674</v>
      </c>
      <c r="F2786" s="3" t="s">
        <v>684</v>
      </c>
      <c r="I2786" s="3" t="s">
        <v>510</v>
      </c>
    </row>
    <row r="2787" spans="2:9" hidden="1" x14ac:dyDescent="0.4">
      <c r="B2787" s="8" t="s">
        <v>517</v>
      </c>
      <c r="C2787" s="3" t="s">
        <v>700</v>
      </c>
      <c r="D2787" s="3" t="s">
        <v>679</v>
      </c>
      <c r="F2787" s="3" t="s">
        <v>684</v>
      </c>
      <c r="I2787" s="3" t="s">
        <v>510</v>
      </c>
    </row>
    <row r="2788" spans="2:9" hidden="1" x14ac:dyDescent="0.4">
      <c r="B2788" s="8" t="s">
        <v>536</v>
      </c>
      <c r="C2788" s="3" t="s">
        <v>437</v>
      </c>
      <c r="D2788" s="3" t="s">
        <v>475</v>
      </c>
      <c r="F2788" s="3" t="s">
        <v>430</v>
      </c>
      <c r="I2788" s="3" t="s">
        <v>431</v>
      </c>
    </row>
    <row r="2789" spans="2:9" hidden="1" x14ac:dyDescent="0.4">
      <c r="B2789" s="8" t="s">
        <v>517</v>
      </c>
      <c r="C2789" s="3" t="s">
        <v>2951</v>
      </c>
      <c r="D2789" s="3" t="s">
        <v>3190</v>
      </c>
      <c r="E2789" s="3">
        <v>1</v>
      </c>
      <c r="F2789" s="3" t="s">
        <v>402</v>
      </c>
      <c r="G2789" s="3" t="s">
        <v>399</v>
      </c>
      <c r="H2789" s="3" t="s">
        <v>1279</v>
      </c>
      <c r="I2789" s="3" t="s">
        <v>245</v>
      </c>
    </row>
    <row r="2790" spans="2:9" hidden="1" x14ac:dyDescent="0.4">
      <c r="B2790" s="8" t="s">
        <v>517</v>
      </c>
      <c r="C2790" s="3" t="s">
        <v>3394</v>
      </c>
      <c r="D2790" s="3" t="s">
        <v>3703</v>
      </c>
      <c r="F2790" s="3" t="s">
        <v>399</v>
      </c>
      <c r="G2790" s="3" t="s">
        <v>402</v>
      </c>
      <c r="I2790" s="3" t="s">
        <v>4063</v>
      </c>
    </row>
    <row r="2791" spans="2:9" hidden="1" x14ac:dyDescent="0.4">
      <c r="B2791" s="8" t="s">
        <v>517</v>
      </c>
      <c r="C2791" s="3" t="s">
        <v>5727</v>
      </c>
      <c r="D2791" s="3" t="s">
        <v>4724</v>
      </c>
      <c r="F2791" s="3" t="s">
        <v>399</v>
      </c>
      <c r="I2791" s="3" t="s">
        <v>4063</v>
      </c>
    </row>
    <row r="2792" spans="2:9" hidden="1" x14ac:dyDescent="0.4">
      <c r="B2792" s="8" t="s">
        <v>517</v>
      </c>
      <c r="C2792" s="3" t="s">
        <v>6068</v>
      </c>
      <c r="D2792" s="3" t="s">
        <v>5393</v>
      </c>
      <c r="F2792" s="3" t="s">
        <v>402</v>
      </c>
      <c r="I2792" s="3" t="s">
        <v>4063</v>
      </c>
    </row>
    <row r="2793" spans="2:9" hidden="1" x14ac:dyDescent="0.4">
      <c r="B2793" s="8" t="s">
        <v>531</v>
      </c>
      <c r="C2793" s="3" t="s">
        <v>2298</v>
      </c>
      <c r="D2793" s="3" t="s">
        <v>2455</v>
      </c>
      <c r="E2793" s="3" t="s">
        <v>1272</v>
      </c>
      <c r="F2793" s="3" t="s">
        <v>399</v>
      </c>
      <c r="I2793" s="3" t="s">
        <v>1833</v>
      </c>
    </row>
    <row r="2794" spans="2:9" hidden="1" x14ac:dyDescent="0.4">
      <c r="B2794" s="8" t="s">
        <v>531</v>
      </c>
      <c r="C2794" s="3" t="s">
        <v>2600</v>
      </c>
      <c r="D2794" s="3" t="s">
        <v>2455</v>
      </c>
      <c r="E2794" s="3" t="s">
        <v>1272</v>
      </c>
      <c r="F2794" s="3" t="s">
        <v>402</v>
      </c>
      <c r="I2794" s="3" t="s">
        <v>1833</v>
      </c>
    </row>
    <row r="2795" spans="2:9" hidden="1" x14ac:dyDescent="0.4">
      <c r="B2795" s="8" t="s">
        <v>531</v>
      </c>
      <c r="C2795" s="3" t="s">
        <v>2824</v>
      </c>
      <c r="D2795" s="3" t="s">
        <v>2828</v>
      </c>
      <c r="E2795" s="3" t="s">
        <v>1272</v>
      </c>
      <c r="F2795" s="3" t="s">
        <v>399</v>
      </c>
      <c r="I2795" s="3" t="s">
        <v>2370</v>
      </c>
    </row>
    <row r="2796" spans="2:9" hidden="1" x14ac:dyDescent="0.4">
      <c r="B2796" s="8" t="s">
        <v>517</v>
      </c>
      <c r="C2796" s="3" t="s">
        <v>4611</v>
      </c>
      <c r="D2796" s="3" t="s">
        <v>4724</v>
      </c>
      <c r="F2796" s="3" t="s">
        <v>399</v>
      </c>
      <c r="I2796" s="3" t="s">
        <v>4064</v>
      </c>
    </row>
    <row r="2797" spans="2:9" hidden="1" x14ac:dyDescent="0.4">
      <c r="B2797" s="8" t="s">
        <v>517</v>
      </c>
      <c r="C2797" s="3" t="s">
        <v>5062</v>
      </c>
      <c r="D2797" s="3" t="s">
        <v>5393</v>
      </c>
      <c r="F2797" s="3" t="s">
        <v>402</v>
      </c>
      <c r="I2797" s="3" t="s">
        <v>4064</v>
      </c>
    </row>
    <row r="2798" spans="2:9" hidden="1" x14ac:dyDescent="0.4">
      <c r="B2798" s="8" t="s">
        <v>517</v>
      </c>
      <c r="C2798" s="3" t="s">
        <v>4102</v>
      </c>
      <c r="D2798" s="3" t="s">
        <v>3703</v>
      </c>
      <c r="F2798" s="3" t="s">
        <v>399</v>
      </c>
      <c r="G2798" s="3" t="s">
        <v>402</v>
      </c>
      <c r="I2798" s="3" t="s">
        <v>4064</v>
      </c>
    </row>
    <row r="2799" spans="2:9" hidden="1" x14ac:dyDescent="0.4">
      <c r="B2799" s="8" t="s">
        <v>517</v>
      </c>
      <c r="C2799" s="3" t="s">
        <v>2859</v>
      </c>
      <c r="D2799" s="3" t="s">
        <v>2862</v>
      </c>
      <c r="E2799" s="3" t="s">
        <v>1272</v>
      </c>
      <c r="F2799" s="3" t="s">
        <v>399</v>
      </c>
      <c r="I2799" s="3" t="s">
        <v>2370</v>
      </c>
    </row>
    <row r="2800" spans="2:9" hidden="1" x14ac:dyDescent="0.4">
      <c r="B2800" s="8" t="s">
        <v>517</v>
      </c>
      <c r="C2800" s="3" t="s">
        <v>3513</v>
      </c>
      <c r="D2800" s="3" t="s">
        <v>3816</v>
      </c>
      <c r="F2800" s="3" t="s">
        <v>399</v>
      </c>
      <c r="G2800" s="3" t="s">
        <v>402</v>
      </c>
      <c r="I2800" s="3" t="s">
        <v>4064</v>
      </c>
    </row>
    <row r="2801" spans="2:9" hidden="1" x14ac:dyDescent="0.4">
      <c r="B2801" s="8" t="s">
        <v>517</v>
      </c>
      <c r="C2801" s="3" t="s">
        <v>4544</v>
      </c>
      <c r="D2801" s="3" t="s">
        <v>4701</v>
      </c>
      <c r="F2801" s="3" t="s">
        <v>399</v>
      </c>
      <c r="I2801" s="3" t="s">
        <v>4064</v>
      </c>
    </row>
    <row r="2802" spans="2:9" hidden="1" x14ac:dyDescent="0.4">
      <c r="B2802" s="8" t="s">
        <v>517</v>
      </c>
      <c r="C2802" s="3" t="s">
        <v>5027</v>
      </c>
      <c r="D2802" s="3" t="s">
        <v>5364</v>
      </c>
      <c r="F2802" s="3" t="s">
        <v>402</v>
      </c>
      <c r="I2802" s="3" t="s">
        <v>4064</v>
      </c>
    </row>
    <row r="2803" spans="2:9" hidden="1" x14ac:dyDescent="0.4">
      <c r="B2803" s="8" t="s">
        <v>517</v>
      </c>
      <c r="C2803" s="3" t="s">
        <v>2858</v>
      </c>
      <c r="D2803" s="3" t="s">
        <v>2861</v>
      </c>
      <c r="E2803" s="3" t="s">
        <v>1272</v>
      </c>
      <c r="F2803" s="3" t="s">
        <v>399</v>
      </c>
      <c r="I2803" s="3" t="s">
        <v>2370</v>
      </c>
    </row>
    <row r="2804" spans="2:9" hidden="1" x14ac:dyDescent="0.4">
      <c r="B2804" s="8" t="s">
        <v>531</v>
      </c>
      <c r="C2804" s="3" t="s">
        <v>1909</v>
      </c>
      <c r="D2804" s="3" t="s">
        <v>1942</v>
      </c>
      <c r="F2804" s="3" t="s">
        <v>399</v>
      </c>
      <c r="I2804" s="3" t="s">
        <v>1865</v>
      </c>
    </row>
    <row r="2805" spans="2:9" hidden="1" x14ac:dyDescent="0.4">
      <c r="B2805" s="8" t="s">
        <v>1991</v>
      </c>
      <c r="C2805" s="3" t="s">
        <v>1988</v>
      </c>
      <c r="D2805" s="3" t="s">
        <v>1995</v>
      </c>
      <c r="F2805" s="3" t="s">
        <v>399</v>
      </c>
      <c r="I2805" s="3" t="s">
        <v>1865</v>
      </c>
    </row>
    <row r="2806" spans="2:9" ht="29.25" hidden="1" x14ac:dyDescent="0.4">
      <c r="B2806" s="8" t="s">
        <v>2044</v>
      </c>
      <c r="C2806" s="3" t="s">
        <v>2034</v>
      </c>
      <c r="D2806" s="3" t="s">
        <v>1994</v>
      </c>
      <c r="F2806" s="3" t="s">
        <v>399</v>
      </c>
      <c r="I2806" s="3" t="s">
        <v>1865</v>
      </c>
    </row>
    <row r="2807" spans="2:9" hidden="1" x14ac:dyDescent="0.4">
      <c r="B2807" s="8" t="s">
        <v>1991</v>
      </c>
      <c r="C2807" s="3" t="s">
        <v>1989</v>
      </c>
      <c r="D2807" s="3" t="s">
        <v>1996</v>
      </c>
      <c r="F2807" s="3" t="s">
        <v>399</v>
      </c>
      <c r="I2807" s="3" t="s">
        <v>1865</v>
      </c>
    </row>
    <row r="2808" spans="2:9" hidden="1" x14ac:dyDescent="0.4">
      <c r="B2808" s="8" t="s">
        <v>1981</v>
      </c>
      <c r="C2808" s="3" t="s">
        <v>2032</v>
      </c>
      <c r="D2808" s="3" t="s">
        <v>1994</v>
      </c>
      <c r="F2808" s="3" t="s">
        <v>399</v>
      </c>
      <c r="I2808" s="3" t="s">
        <v>1865</v>
      </c>
    </row>
    <row r="2809" spans="2:9" hidden="1" x14ac:dyDescent="0.4">
      <c r="B2809" s="8" t="s">
        <v>1981</v>
      </c>
      <c r="C2809" s="3" t="s">
        <v>1997</v>
      </c>
      <c r="D2809" s="3" t="s">
        <v>1999</v>
      </c>
      <c r="F2809" s="3" t="s">
        <v>399</v>
      </c>
      <c r="I2809" s="3" t="s">
        <v>1865</v>
      </c>
    </row>
    <row r="2810" spans="2:9" hidden="1" x14ac:dyDescent="0.4">
      <c r="B2810" s="8" t="s">
        <v>1981</v>
      </c>
      <c r="C2810" s="3" t="s">
        <v>1998</v>
      </c>
      <c r="D2810" s="3" t="s">
        <v>2000</v>
      </c>
      <c r="F2810" s="3" t="s">
        <v>399</v>
      </c>
      <c r="I2810" s="3" t="s">
        <v>1865</v>
      </c>
    </row>
    <row r="2811" spans="2:9" ht="29.25" hidden="1" x14ac:dyDescent="0.4">
      <c r="B2811" s="8" t="s">
        <v>2043</v>
      </c>
      <c r="C2811" s="3" t="s">
        <v>2033</v>
      </c>
      <c r="D2811" s="3" t="s">
        <v>2047</v>
      </c>
      <c r="F2811" s="3" t="s">
        <v>399</v>
      </c>
      <c r="I2811" s="3" t="s">
        <v>1865</v>
      </c>
    </row>
    <row r="2812" spans="2:9" hidden="1" x14ac:dyDescent="0.4">
      <c r="B2812" s="8" t="s">
        <v>1981</v>
      </c>
      <c r="C2812" s="3" t="s">
        <v>1977</v>
      </c>
      <c r="D2812" s="3" t="s">
        <v>1984</v>
      </c>
      <c r="F2812" s="3" t="s">
        <v>399</v>
      </c>
      <c r="I2812" s="3" t="s">
        <v>1865</v>
      </c>
    </row>
    <row r="2813" spans="2:9" hidden="1" x14ac:dyDescent="0.4">
      <c r="B2813" s="8" t="s">
        <v>1981</v>
      </c>
      <c r="C2813" s="3" t="s">
        <v>1978</v>
      </c>
      <c r="D2813" s="3" t="s">
        <v>1985</v>
      </c>
      <c r="F2813" s="3" t="s">
        <v>399</v>
      </c>
      <c r="I2813" s="3" t="s">
        <v>1865</v>
      </c>
    </row>
    <row r="2814" spans="2:9" hidden="1" x14ac:dyDescent="0.4">
      <c r="B2814" s="8" t="s">
        <v>529</v>
      </c>
      <c r="C2814" s="3" t="s">
        <v>3072</v>
      </c>
      <c r="D2814" s="3" t="s">
        <v>3305</v>
      </c>
      <c r="E2814" s="3">
        <v>1</v>
      </c>
      <c r="F2814" s="3" t="s">
        <v>402</v>
      </c>
      <c r="I2814" s="3" t="s">
        <v>245</v>
      </c>
    </row>
    <row r="2815" spans="2:9" hidden="1" x14ac:dyDescent="0.4">
      <c r="B2815" s="8" t="s">
        <v>529</v>
      </c>
      <c r="C2815" s="3" t="s">
        <v>1468</v>
      </c>
      <c r="D2815" s="3" t="s">
        <v>1509</v>
      </c>
      <c r="F2815" s="3" t="s">
        <v>399</v>
      </c>
      <c r="G2815" s="3" t="s">
        <v>402</v>
      </c>
      <c r="I2815" s="3" t="s">
        <v>1489</v>
      </c>
    </row>
    <row r="2816" spans="2:9" hidden="1" x14ac:dyDescent="0.4">
      <c r="B2816" s="8" t="s">
        <v>529</v>
      </c>
      <c r="C2816" s="3" t="s">
        <v>1578</v>
      </c>
      <c r="D2816" s="3" t="s">
        <v>1509</v>
      </c>
      <c r="F2816" s="3" t="s">
        <v>402</v>
      </c>
      <c r="I2816" s="3" t="s">
        <v>1489</v>
      </c>
    </row>
    <row r="2817" spans="2:9" hidden="1" x14ac:dyDescent="0.4">
      <c r="B2817" s="8" t="s">
        <v>518</v>
      </c>
      <c r="C2817" s="3" t="s">
        <v>4069</v>
      </c>
      <c r="D2817" s="3" t="s">
        <v>3675</v>
      </c>
      <c r="F2817" s="3" t="s">
        <v>399</v>
      </c>
      <c r="G2817" s="3" t="s">
        <v>402</v>
      </c>
      <c r="I2817" s="3" t="s">
        <v>4064</v>
      </c>
    </row>
    <row r="2818" spans="2:9" hidden="1" x14ac:dyDescent="0.4">
      <c r="B2818" s="8" t="s">
        <v>518</v>
      </c>
      <c r="C2818" s="3" t="s">
        <v>4603</v>
      </c>
      <c r="D2818" s="3" t="s">
        <v>4704</v>
      </c>
      <c r="F2818" s="3" t="s">
        <v>399</v>
      </c>
      <c r="I2818" s="3" t="s">
        <v>4064</v>
      </c>
    </row>
    <row r="2819" spans="2:9" hidden="1" x14ac:dyDescent="0.4">
      <c r="B2819" s="8" t="s">
        <v>518</v>
      </c>
      <c r="C2819" s="3" t="s">
        <v>5034</v>
      </c>
      <c r="D2819" s="3" t="s">
        <v>5370</v>
      </c>
      <c r="F2819" s="3" t="s">
        <v>402</v>
      </c>
      <c r="I2819" s="3" t="s">
        <v>4064</v>
      </c>
    </row>
    <row r="2820" spans="2:9" hidden="1" x14ac:dyDescent="0.4">
      <c r="B2820" s="8" t="s">
        <v>517</v>
      </c>
      <c r="C2820" s="3" t="s">
        <v>3367</v>
      </c>
      <c r="D2820" s="3" t="s">
        <v>3675</v>
      </c>
      <c r="F2820" s="3" t="s">
        <v>399</v>
      </c>
      <c r="G2820" s="3" t="s">
        <v>402</v>
      </c>
      <c r="I2820" s="3" t="s">
        <v>4063</v>
      </c>
    </row>
    <row r="2821" spans="2:9" hidden="1" x14ac:dyDescent="0.4">
      <c r="B2821" s="8" t="s">
        <v>517</v>
      </c>
      <c r="C2821" s="3" t="s">
        <v>5702</v>
      </c>
      <c r="D2821" s="3" t="s">
        <v>4704</v>
      </c>
      <c r="F2821" s="3" t="s">
        <v>399</v>
      </c>
      <c r="I2821" s="3" t="s">
        <v>4063</v>
      </c>
    </row>
    <row r="2822" spans="2:9" hidden="1" x14ac:dyDescent="0.4">
      <c r="B2822" s="8" t="s">
        <v>517</v>
      </c>
      <c r="C2822" s="3" t="s">
        <v>6043</v>
      </c>
      <c r="D2822" s="3" t="s">
        <v>5370</v>
      </c>
      <c r="F2822" s="3" t="s">
        <v>402</v>
      </c>
      <c r="I2822" s="3" t="s">
        <v>4063</v>
      </c>
    </row>
    <row r="2823" spans="2:9" hidden="1" x14ac:dyDescent="0.4">
      <c r="B2823" s="8" t="s">
        <v>517</v>
      </c>
      <c r="C2823" s="3" t="s">
        <v>2878</v>
      </c>
      <c r="D2823" s="3" t="s">
        <v>3120</v>
      </c>
      <c r="E2823" s="3">
        <v>1</v>
      </c>
      <c r="F2823" s="3" t="s">
        <v>402</v>
      </c>
      <c r="G2823" s="3" t="s">
        <v>988</v>
      </c>
      <c r="H2823" s="3" t="s">
        <v>399</v>
      </c>
      <c r="I2823" s="3" t="s">
        <v>245</v>
      </c>
    </row>
    <row r="2824" spans="2:9" hidden="1" x14ac:dyDescent="0.4">
      <c r="B2824" s="8" t="s">
        <v>517</v>
      </c>
      <c r="C2824" s="3" t="s">
        <v>2978</v>
      </c>
      <c r="D2824" s="3" t="s">
        <v>3216</v>
      </c>
      <c r="E2824" s="3">
        <v>1</v>
      </c>
      <c r="F2824" s="3" t="s">
        <v>402</v>
      </c>
      <c r="G2824" s="3" t="s">
        <v>988</v>
      </c>
      <c r="H2824" s="3" t="s">
        <v>1279</v>
      </c>
      <c r="I2824" s="3" t="s">
        <v>245</v>
      </c>
    </row>
    <row r="2825" spans="2:9" hidden="1" x14ac:dyDescent="0.4">
      <c r="B2825" s="8" t="s">
        <v>517</v>
      </c>
      <c r="C2825" s="3" t="s">
        <v>845</v>
      </c>
      <c r="D2825" s="3" t="s">
        <v>858</v>
      </c>
      <c r="E2825" s="3" t="s">
        <v>425</v>
      </c>
      <c r="F2825" s="3" t="s">
        <v>399</v>
      </c>
      <c r="I2825" s="3" t="s">
        <v>824</v>
      </c>
    </row>
    <row r="2826" spans="2:9" hidden="1" x14ac:dyDescent="0.4">
      <c r="B2826" s="8" t="s">
        <v>517</v>
      </c>
      <c r="C2826" s="3" t="s">
        <v>944</v>
      </c>
      <c r="D2826" s="3" t="s">
        <v>858</v>
      </c>
      <c r="E2826" s="3" t="s">
        <v>425</v>
      </c>
      <c r="F2826" s="3" t="s">
        <v>402</v>
      </c>
      <c r="I2826" s="3" t="s">
        <v>824</v>
      </c>
    </row>
    <row r="2827" spans="2:9" hidden="1" x14ac:dyDescent="0.4">
      <c r="B2827" s="8" t="s">
        <v>517</v>
      </c>
      <c r="C2827" s="3" t="s">
        <v>2273</v>
      </c>
      <c r="D2827" s="3" t="s">
        <v>2431</v>
      </c>
      <c r="E2827" s="3" t="s">
        <v>1272</v>
      </c>
      <c r="F2827" s="3" t="s">
        <v>399</v>
      </c>
      <c r="I2827" s="3" t="s">
        <v>1833</v>
      </c>
    </row>
    <row r="2828" spans="2:9" hidden="1" x14ac:dyDescent="0.4">
      <c r="B2828" s="8" t="s">
        <v>517</v>
      </c>
      <c r="C2828" s="3" t="s">
        <v>2530</v>
      </c>
      <c r="D2828" s="3" t="s">
        <v>2431</v>
      </c>
      <c r="E2828" s="3" t="s">
        <v>1272</v>
      </c>
      <c r="F2828" s="3" t="s">
        <v>402</v>
      </c>
      <c r="I2828" s="3" t="s">
        <v>1833</v>
      </c>
    </row>
    <row r="2829" spans="2:9" hidden="1" x14ac:dyDescent="0.4">
      <c r="B2829" s="8" t="s">
        <v>517</v>
      </c>
      <c r="C2829" s="3" t="s">
        <v>2923</v>
      </c>
      <c r="D2829" s="3" t="s">
        <v>3163</v>
      </c>
      <c r="E2829" s="3">
        <v>1</v>
      </c>
      <c r="F2829" s="3" t="s">
        <v>399</v>
      </c>
      <c r="G2829" s="3" t="s">
        <v>402</v>
      </c>
      <c r="H2829" s="3" t="s">
        <v>988</v>
      </c>
      <c r="I2829" s="3" t="s">
        <v>510</v>
      </c>
    </row>
    <row r="2830" spans="2:9" hidden="1" x14ac:dyDescent="0.4">
      <c r="B2830" s="8" t="s">
        <v>517</v>
      </c>
      <c r="C2830" s="3" t="s">
        <v>1907</v>
      </c>
      <c r="D2830" s="3" t="s">
        <v>1940</v>
      </c>
      <c r="F2830" s="3" t="s">
        <v>399</v>
      </c>
      <c r="I2830" s="3" t="s">
        <v>1865</v>
      </c>
    </row>
    <row r="2831" spans="2:9" hidden="1" x14ac:dyDescent="0.4">
      <c r="B2831" s="8" t="s">
        <v>529</v>
      </c>
      <c r="C2831" s="3" t="s">
        <v>2275</v>
      </c>
      <c r="D2831" s="3" t="s">
        <v>2433</v>
      </c>
      <c r="E2831" s="3" t="s">
        <v>1272</v>
      </c>
      <c r="F2831" s="3" t="s">
        <v>399</v>
      </c>
      <c r="I2831" s="3" t="s">
        <v>1833</v>
      </c>
    </row>
    <row r="2832" spans="2:9" hidden="1" x14ac:dyDescent="0.4">
      <c r="B2832" s="8" t="s">
        <v>529</v>
      </c>
      <c r="C2832" s="3" t="s">
        <v>2581</v>
      </c>
      <c r="D2832" s="3" t="s">
        <v>2433</v>
      </c>
      <c r="E2832" s="3" t="s">
        <v>1272</v>
      </c>
      <c r="F2832" s="3" t="s">
        <v>402</v>
      </c>
      <c r="I2832" s="3" t="s">
        <v>1833</v>
      </c>
    </row>
    <row r="2833" spans="2:9" hidden="1" x14ac:dyDescent="0.4">
      <c r="B2833" s="8" t="s">
        <v>517</v>
      </c>
      <c r="C2833" s="3" t="s">
        <v>2304</v>
      </c>
      <c r="D2833" s="3" t="s">
        <v>2461</v>
      </c>
      <c r="E2833" s="3" t="s">
        <v>1272</v>
      </c>
      <c r="F2833" s="3" t="s">
        <v>399</v>
      </c>
      <c r="I2833" s="3" t="s">
        <v>1833</v>
      </c>
    </row>
    <row r="2834" spans="2:9" hidden="1" x14ac:dyDescent="0.4">
      <c r="B2834" s="8" t="s">
        <v>517</v>
      </c>
      <c r="C2834" s="3" t="s">
        <v>2606</v>
      </c>
      <c r="D2834" s="3" t="s">
        <v>2461</v>
      </c>
      <c r="E2834" s="3" t="s">
        <v>1272</v>
      </c>
      <c r="F2834" s="3" t="s">
        <v>402</v>
      </c>
      <c r="I2834" s="3" t="s">
        <v>1833</v>
      </c>
    </row>
    <row r="2835" spans="2:9" hidden="1" x14ac:dyDescent="0.4">
      <c r="B2835" s="8" t="s">
        <v>517</v>
      </c>
      <c r="C2835" s="3" t="s">
        <v>4083</v>
      </c>
      <c r="D2835" s="3" t="s">
        <v>3685</v>
      </c>
      <c r="F2835" s="3" t="s">
        <v>399</v>
      </c>
      <c r="G2835" s="3" t="s">
        <v>402</v>
      </c>
      <c r="I2835" s="3" t="s">
        <v>4064</v>
      </c>
    </row>
    <row r="2836" spans="2:9" hidden="1" x14ac:dyDescent="0.4">
      <c r="B2836" s="8" t="s">
        <v>517</v>
      </c>
      <c r="C2836" s="3" t="s">
        <v>3377</v>
      </c>
      <c r="D2836" s="3" t="s">
        <v>3685</v>
      </c>
      <c r="F2836" s="3" t="s">
        <v>399</v>
      </c>
      <c r="G2836" s="3" t="s">
        <v>402</v>
      </c>
      <c r="I2836" s="3" t="s">
        <v>4063</v>
      </c>
    </row>
    <row r="2837" spans="2:9" hidden="1" x14ac:dyDescent="0.4">
      <c r="B2837" s="8" t="s">
        <v>517</v>
      </c>
      <c r="C2837" s="3" t="s">
        <v>5712</v>
      </c>
      <c r="D2837" s="3" t="s">
        <v>4710</v>
      </c>
      <c r="F2837" s="3" t="s">
        <v>399</v>
      </c>
      <c r="I2837" s="3" t="s">
        <v>4063</v>
      </c>
    </row>
    <row r="2838" spans="2:9" hidden="1" x14ac:dyDescent="0.4">
      <c r="B2838" s="8" t="s">
        <v>517</v>
      </c>
      <c r="C2838" s="3" t="s">
        <v>6053</v>
      </c>
      <c r="D2838" s="3" t="s">
        <v>5378</v>
      </c>
      <c r="F2838" s="3" t="s">
        <v>402</v>
      </c>
      <c r="I2838" s="3" t="s">
        <v>4063</v>
      </c>
    </row>
    <row r="2839" spans="2:9" hidden="1" x14ac:dyDescent="0.4">
      <c r="B2839" s="8" t="s">
        <v>517</v>
      </c>
      <c r="C2839" s="3" t="s">
        <v>4606</v>
      </c>
      <c r="D2839" s="3" t="s">
        <v>4710</v>
      </c>
      <c r="F2839" s="3" t="s">
        <v>399</v>
      </c>
      <c r="I2839" s="3" t="s">
        <v>4064</v>
      </c>
    </row>
    <row r="2840" spans="2:9" hidden="1" x14ac:dyDescent="0.4">
      <c r="B2840" s="8" t="s">
        <v>517</v>
      </c>
      <c r="C2840" s="3" t="s">
        <v>5044</v>
      </c>
      <c r="D2840" s="3" t="s">
        <v>5378</v>
      </c>
      <c r="F2840" s="3" t="s">
        <v>402</v>
      </c>
      <c r="I2840" s="3" t="s">
        <v>4064</v>
      </c>
    </row>
    <row r="2841" spans="2:9" hidden="1" x14ac:dyDescent="0.4">
      <c r="B2841" s="8" t="s">
        <v>518</v>
      </c>
      <c r="C2841" s="3" t="s">
        <v>366</v>
      </c>
      <c r="D2841" s="3" t="s">
        <v>390</v>
      </c>
      <c r="F2841" s="3" t="s">
        <v>399</v>
      </c>
      <c r="I2841" s="3" t="s">
        <v>267</v>
      </c>
    </row>
    <row r="2842" spans="2:9" hidden="1" x14ac:dyDescent="0.4">
      <c r="B2842" s="8" t="s">
        <v>520</v>
      </c>
      <c r="C2842" s="3" t="s">
        <v>2870</v>
      </c>
      <c r="D2842" s="3" t="s">
        <v>3114</v>
      </c>
      <c r="E2842" s="3">
        <v>1</v>
      </c>
      <c r="F2842" s="3" t="s">
        <v>402</v>
      </c>
      <c r="G2842" s="3" t="s">
        <v>988</v>
      </c>
      <c r="H2842" s="3" t="s">
        <v>399</v>
      </c>
      <c r="I2842" s="3" t="s">
        <v>245</v>
      </c>
    </row>
    <row r="2843" spans="2:9" hidden="1" x14ac:dyDescent="0.4">
      <c r="B2843" s="8" t="s">
        <v>518</v>
      </c>
      <c r="C2843" s="3" t="s">
        <v>3064</v>
      </c>
      <c r="D2843" s="3" t="s">
        <v>3297</v>
      </c>
      <c r="E2843" s="3">
        <v>1</v>
      </c>
      <c r="F2843" s="3" t="s">
        <v>402</v>
      </c>
      <c r="G2843" s="3" t="s">
        <v>1279</v>
      </c>
      <c r="I2843" s="3" t="s">
        <v>245</v>
      </c>
    </row>
    <row r="2844" spans="2:9" hidden="1" x14ac:dyDescent="0.4">
      <c r="B2844" s="8" t="s">
        <v>517</v>
      </c>
      <c r="C2844" s="3" t="s">
        <v>4360</v>
      </c>
      <c r="D2844" s="3" t="s">
        <v>4361</v>
      </c>
      <c r="F2844" s="3" t="s">
        <v>399</v>
      </c>
      <c r="G2844" s="3" t="s">
        <v>402</v>
      </c>
      <c r="I2844" s="3" t="s">
        <v>4064</v>
      </c>
    </row>
    <row r="2845" spans="2:9" hidden="1" x14ac:dyDescent="0.4">
      <c r="B2845" s="8" t="s">
        <v>517</v>
      </c>
      <c r="C2845" s="3" t="s">
        <v>4359</v>
      </c>
      <c r="D2845" s="3" t="s">
        <v>4361</v>
      </c>
      <c r="F2845" s="3" t="s">
        <v>399</v>
      </c>
      <c r="G2845" s="3" t="s">
        <v>402</v>
      </c>
      <c r="I2845" s="3" t="s">
        <v>4063</v>
      </c>
    </row>
    <row r="2846" spans="2:9" hidden="1" x14ac:dyDescent="0.4">
      <c r="B2846" s="8" t="s">
        <v>517</v>
      </c>
      <c r="C2846" s="3" t="s">
        <v>5980</v>
      </c>
      <c r="D2846" s="3" t="s">
        <v>5024</v>
      </c>
      <c r="F2846" s="3" t="s">
        <v>399</v>
      </c>
      <c r="I2846" s="3" t="s">
        <v>4063</v>
      </c>
    </row>
    <row r="2847" spans="2:9" hidden="1" x14ac:dyDescent="0.4">
      <c r="B2847" s="8" t="s">
        <v>517</v>
      </c>
      <c r="C2847" s="3" t="s">
        <v>6328</v>
      </c>
      <c r="D2847" s="3" t="s">
        <v>5678</v>
      </c>
      <c r="F2847" s="3" t="s">
        <v>402</v>
      </c>
      <c r="I2847" s="3" t="s">
        <v>4063</v>
      </c>
    </row>
    <row r="2848" spans="2:9" hidden="1" x14ac:dyDescent="0.4">
      <c r="B2848" s="8" t="s">
        <v>517</v>
      </c>
      <c r="C2848" s="3" t="s">
        <v>4543</v>
      </c>
      <c r="D2848" s="3" t="s">
        <v>5024</v>
      </c>
      <c r="F2848" s="3" t="s">
        <v>399</v>
      </c>
      <c r="I2848" s="3" t="s">
        <v>4064</v>
      </c>
    </row>
    <row r="2849" spans="2:9" hidden="1" x14ac:dyDescent="0.4">
      <c r="B2849" s="8" t="s">
        <v>517</v>
      </c>
      <c r="C2849" s="3" t="s">
        <v>5361</v>
      </c>
      <c r="D2849" s="3" t="s">
        <v>5678</v>
      </c>
      <c r="F2849" s="3" t="s">
        <v>402</v>
      </c>
      <c r="I2849" s="3" t="s">
        <v>4064</v>
      </c>
    </row>
    <row r="2850" spans="2:9" hidden="1" x14ac:dyDescent="0.4">
      <c r="B2850" s="8" t="s">
        <v>517</v>
      </c>
      <c r="C2850" s="3" t="s">
        <v>223</v>
      </c>
      <c r="D2850" s="3" t="s">
        <v>255</v>
      </c>
      <c r="F2850" s="3" t="s">
        <v>399</v>
      </c>
      <c r="I2850" s="3" t="s">
        <v>420</v>
      </c>
    </row>
    <row r="2851" spans="2:9" hidden="1" x14ac:dyDescent="0.4">
      <c r="B2851" s="8" t="s">
        <v>517</v>
      </c>
      <c r="C2851" s="3" t="s">
        <v>3047</v>
      </c>
      <c r="D2851" s="3" t="s">
        <v>3282</v>
      </c>
      <c r="E2851" s="3">
        <v>1</v>
      </c>
      <c r="F2851" s="3" t="s">
        <v>402</v>
      </c>
      <c r="G2851" s="3" t="s">
        <v>399</v>
      </c>
      <c r="H2851" s="3" t="s">
        <v>988</v>
      </c>
      <c r="I2851" s="3" t="s">
        <v>245</v>
      </c>
    </row>
    <row r="2852" spans="2:9" hidden="1" x14ac:dyDescent="0.4">
      <c r="B2852" s="8" t="s">
        <v>518</v>
      </c>
      <c r="C2852" s="3" t="s">
        <v>1455</v>
      </c>
      <c r="D2852" s="3" t="s">
        <v>1497</v>
      </c>
      <c r="F2852" s="3" t="s">
        <v>399</v>
      </c>
      <c r="G2852" s="3" t="s">
        <v>402</v>
      </c>
      <c r="I2852" s="3" t="s">
        <v>1489</v>
      </c>
    </row>
    <row r="2853" spans="2:9" hidden="1" x14ac:dyDescent="0.4">
      <c r="B2853" s="8" t="s">
        <v>518</v>
      </c>
      <c r="C2853" s="3" t="s">
        <v>1565</v>
      </c>
      <c r="D2853" s="3" t="s">
        <v>1497</v>
      </c>
      <c r="F2853" s="3" t="s">
        <v>402</v>
      </c>
      <c r="I2853" s="3" t="s">
        <v>1489</v>
      </c>
    </row>
    <row r="2854" spans="2:9" hidden="1" x14ac:dyDescent="0.4">
      <c r="B2854" s="8" t="s">
        <v>823</v>
      </c>
      <c r="C2854" s="3" t="s">
        <v>1681</v>
      </c>
      <c r="D2854" s="3" t="s">
        <v>1698</v>
      </c>
      <c r="F2854" s="3" t="s">
        <v>1124</v>
      </c>
      <c r="I2854" s="3" t="s">
        <v>1489</v>
      </c>
    </row>
    <row r="2855" spans="2:9" hidden="1" x14ac:dyDescent="0.4">
      <c r="B2855" s="8" t="s">
        <v>536</v>
      </c>
      <c r="C2855" s="3" t="s">
        <v>2066</v>
      </c>
      <c r="D2855" s="3" t="s">
        <v>2074</v>
      </c>
      <c r="F2855" s="3" t="s">
        <v>2065</v>
      </c>
      <c r="I2855" s="3" t="s">
        <v>248</v>
      </c>
    </row>
    <row r="2856" spans="2:9" hidden="1" x14ac:dyDescent="0.4">
      <c r="B2856" s="8" t="s">
        <v>518</v>
      </c>
      <c r="C2856" s="3" t="s">
        <v>2066</v>
      </c>
      <c r="D2856" s="3" t="s">
        <v>2074</v>
      </c>
      <c r="F2856" s="3" t="s">
        <v>402</v>
      </c>
      <c r="I2856" s="3" t="s">
        <v>1728</v>
      </c>
    </row>
    <row r="2857" spans="2:9" hidden="1" x14ac:dyDescent="0.4">
      <c r="B2857" s="8" t="s">
        <v>517</v>
      </c>
      <c r="C2857" s="3" t="s">
        <v>1011</v>
      </c>
      <c r="D2857" s="3" t="s">
        <v>1015</v>
      </c>
      <c r="F2857" s="3" t="s">
        <v>399</v>
      </c>
      <c r="I2857" s="3" t="s">
        <v>510</v>
      </c>
    </row>
    <row r="2858" spans="2:9" hidden="1" x14ac:dyDescent="0.4">
      <c r="B2858" s="8" t="s">
        <v>529</v>
      </c>
      <c r="C2858" s="3" t="s">
        <v>307</v>
      </c>
      <c r="D2858" s="3" t="s">
        <v>594</v>
      </c>
      <c r="F2858" s="3" t="s">
        <v>399</v>
      </c>
      <c r="I2858" s="3" t="s">
        <v>267</v>
      </c>
    </row>
    <row r="2859" spans="2:9" hidden="1" x14ac:dyDescent="0.4">
      <c r="B2859" s="8" t="s">
        <v>536</v>
      </c>
      <c r="C2859" s="3" t="s">
        <v>2716</v>
      </c>
      <c r="D2859" s="3">
        <v>4</v>
      </c>
      <c r="F2859" s="3" t="s">
        <v>1124</v>
      </c>
      <c r="I2859" s="3" t="s">
        <v>252</v>
      </c>
    </row>
    <row r="2860" spans="2:9" hidden="1" x14ac:dyDescent="0.4">
      <c r="B2860" s="8">
        <v>0</v>
      </c>
      <c r="C2860" s="3" t="s">
        <v>58</v>
      </c>
      <c r="D2860" s="3" t="s">
        <v>120</v>
      </c>
      <c r="F2860" s="3" t="s">
        <v>825</v>
      </c>
      <c r="I2860" s="3" t="s">
        <v>252</v>
      </c>
    </row>
    <row r="2861" spans="2:9" hidden="1" x14ac:dyDescent="0.4">
      <c r="B2861" s="8" t="s">
        <v>517</v>
      </c>
      <c r="C2861" s="3" t="s">
        <v>57</v>
      </c>
      <c r="D2861" s="3" t="s">
        <v>118</v>
      </c>
      <c r="F2861" s="3" t="s">
        <v>400</v>
      </c>
      <c r="I2861" s="3" t="s">
        <v>252</v>
      </c>
    </row>
    <row r="2862" spans="2:9" hidden="1" x14ac:dyDescent="0.4">
      <c r="B2862" s="8" t="s">
        <v>517</v>
      </c>
      <c r="C2862" s="3" t="s">
        <v>3078</v>
      </c>
      <c r="D2862" s="3" t="s">
        <v>3310</v>
      </c>
      <c r="E2862" s="3">
        <v>1</v>
      </c>
      <c r="F2862" s="3" t="s">
        <v>402</v>
      </c>
      <c r="I2862" s="3" t="s">
        <v>245</v>
      </c>
    </row>
    <row r="2863" spans="2:9" hidden="1" x14ac:dyDescent="0.4">
      <c r="B2863" s="8" t="s">
        <v>517</v>
      </c>
      <c r="C2863" s="3" t="s">
        <v>218</v>
      </c>
      <c r="D2863" s="3" t="s">
        <v>254</v>
      </c>
      <c r="F2863" s="3" t="s">
        <v>399</v>
      </c>
      <c r="I2863" s="3" t="s">
        <v>268</v>
      </c>
    </row>
    <row r="2864" spans="2:9" hidden="1" x14ac:dyDescent="0.4">
      <c r="B2864" s="8" t="s">
        <v>518</v>
      </c>
      <c r="C2864" s="3" t="s">
        <v>533</v>
      </c>
      <c r="D2864" s="3" t="s">
        <v>595</v>
      </c>
      <c r="F2864" s="3" t="s">
        <v>399</v>
      </c>
      <c r="I2864" s="3" t="s">
        <v>267</v>
      </c>
    </row>
    <row r="2865" spans="2:9" hidden="1" x14ac:dyDescent="0.4">
      <c r="B2865" s="8" t="s">
        <v>518</v>
      </c>
      <c r="C2865" s="3" t="s">
        <v>29</v>
      </c>
      <c r="D2865" s="3" t="s">
        <v>409</v>
      </c>
      <c r="F2865" s="3" t="s">
        <v>400</v>
      </c>
      <c r="I2865" s="3" t="s">
        <v>252</v>
      </c>
    </row>
    <row r="2866" spans="2:9" hidden="1" x14ac:dyDescent="0.4">
      <c r="B2866" s="8" t="s">
        <v>526</v>
      </c>
      <c r="C2866" s="3" t="s">
        <v>141</v>
      </c>
      <c r="D2866" s="3" t="s">
        <v>153</v>
      </c>
      <c r="F2866" s="3" t="s">
        <v>400</v>
      </c>
      <c r="I2866" s="3" t="s">
        <v>252</v>
      </c>
    </row>
    <row r="2867" spans="2:9" hidden="1" x14ac:dyDescent="0.4">
      <c r="B2867" s="8" t="s">
        <v>517</v>
      </c>
      <c r="C2867" s="3" t="s">
        <v>4337</v>
      </c>
      <c r="D2867" s="3" t="s">
        <v>3977</v>
      </c>
      <c r="F2867" s="3" t="s">
        <v>399</v>
      </c>
      <c r="G2867" s="3" t="s">
        <v>402</v>
      </c>
      <c r="I2867" s="3" t="s">
        <v>4064</v>
      </c>
    </row>
    <row r="2868" spans="2:9" hidden="1" x14ac:dyDescent="0.4">
      <c r="B2868" s="8" t="s">
        <v>517</v>
      </c>
      <c r="C2868" s="3" t="s">
        <v>4530</v>
      </c>
      <c r="D2868" s="3" t="s">
        <v>4910</v>
      </c>
      <c r="F2868" s="3" t="s">
        <v>399</v>
      </c>
      <c r="I2868" s="3" t="s">
        <v>4064</v>
      </c>
    </row>
    <row r="2869" spans="2:9" hidden="1" x14ac:dyDescent="0.4">
      <c r="B2869" s="8" t="s">
        <v>517</v>
      </c>
      <c r="C2869" s="3" t="s">
        <v>5338</v>
      </c>
      <c r="D2869" s="3" t="s">
        <v>5657</v>
      </c>
      <c r="F2869" s="3" t="s">
        <v>402</v>
      </c>
      <c r="I2869" s="3" t="s">
        <v>4064</v>
      </c>
    </row>
    <row r="2870" spans="2:9" hidden="1" x14ac:dyDescent="0.4">
      <c r="B2870" s="8" t="s">
        <v>773</v>
      </c>
      <c r="C2870" s="3" t="s">
        <v>801</v>
      </c>
      <c r="D2870" s="3" t="s">
        <v>813</v>
      </c>
      <c r="F2870" s="3" t="s">
        <v>399</v>
      </c>
      <c r="I2870" s="3" t="s">
        <v>824</v>
      </c>
    </row>
    <row r="2871" spans="2:9" hidden="1" x14ac:dyDescent="0.4">
      <c r="B2871" s="8" t="s">
        <v>773</v>
      </c>
      <c r="C2871" s="3" t="s">
        <v>914</v>
      </c>
      <c r="D2871" s="3" t="s">
        <v>813</v>
      </c>
      <c r="F2871" s="3" t="s">
        <v>402</v>
      </c>
      <c r="I2871" s="3" t="s">
        <v>824</v>
      </c>
    </row>
    <row r="2872" spans="2:9" hidden="1" x14ac:dyDescent="0.4">
      <c r="B2872" s="8" t="s">
        <v>517</v>
      </c>
      <c r="C2872" s="3" t="s">
        <v>3976</v>
      </c>
      <c r="D2872" s="3" t="s">
        <v>3977</v>
      </c>
      <c r="F2872" s="3" t="s">
        <v>399</v>
      </c>
      <c r="G2872" s="3" t="s">
        <v>402</v>
      </c>
      <c r="I2872" s="3" t="s">
        <v>4063</v>
      </c>
    </row>
    <row r="2873" spans="2:9" hidden="1" x14ac:dyDescent="0.4">
      <c r="B2873" s="8" t="s">
        <v>517</v>
      </c>
      <c r="C2873" s="3" t="s">
        <v>5958</v>
      </c>
      <c r="D2873" s="3" t="s">
        <v>4910</v>
      </c>
      <c r="F2873" s="3" t="s">
        <v>399</v>
      </c>
      <c r="I2873" s="3" t="s">
        <v>4063</v>
      </c>
    </row>
    <row r="2874" spans="2:9" hidden="1" x14ac:dyDescent="0.4">
      <c r="B2874" s="8" t="s">
        <v>517</v>
      </c>
      <c r="C2874" s="3" t="s">
        <v>6306</v>
      </c>
      <c r="D2874" s="3" t="s">
        <v>5657</v>
      </c>
      <c r="F2874" s="3" t="s">
        <v>402</v>
      </c>
      <c r="I2874" s="3" t="s">
        <v>4063</v>
      </c>
    </row>
    <row r="2875" spans="2:9" hidden="1" x14ac:dyDescent="0.4">
      <c r="B2875" s="8" t="s">
        <v>517</v>
      </c>
      <c r="C2875" s="3" t="s">
        <v>2987</v>
      </c>
      <c r="D2875" s="3" t="s">
        <v>3225</v>
      </c>
      <c r="E2875" s="3">
        <v>1</v>
      </c>
      <c r="F2875" s="3" t="s">
        <v>402</v>
      </c>
      <c r="G2875" s="3" t="s">
        <v>988</v>
      </c>
      <c r="H2875" s="3" t="s">
        <v>1279</v>
      </c>
      <c r="I2875" s="3" t="s">
        <v>245</v>
      </c>
    </row>
    <row r="2876" spans="2:9" hidden="1" x14ac:dyDescent="0.4">
      <c r="B2876" s="8" t="s">
        <v>517</v>
      </c>
      <c r="C2876" s="3" t="s">
        <v>4295</v>
      </c>
      <c r="D2876" s="3" t="s">
        <v>3905</v>
      </c>
      <c r="F2876" s="3" t="s">
        <v>399</v>
      </c>
      <c r="G2876" s="3" t="s">
        <v>402</v>
      </c>
      <c r="I2876" s="3" t="s">
        <v>4064</v>
      </c>
    </row>
    <row r="2877" spans="2:9" hidden="1" x14ac:dyDescent="0.4">
      <c r="B2877" s="8" t="s">
        <v>517</v>
      </c>
      <c r="C2877" s="3" t="s">
        <v>4500</v>
      </c>
      <c r="D2877" s="3" t="s">
        <v>4924</v>
      </c>
      <c r="F2877" s="3" t="s">
        <v>399</v>
      </c>
      <c r="I2877" s="3" t="s">
        <v>4064</v>
      </c>
    </row>
    <row r="2878" spans="2:9" hidden="1" x14ac:dyDescent="0.4">
      <c r="B2878" s="8" t="s">
        <v>517</v>
      </c>
      <c r="C2878" s="3" t="s">
        <v>5290</v>
      </c>
      <c r="D2878" s="3" t="s">
        <v>5610</v>
      </c>
      <c r="F2878" s="3" t="s">
        <v>402</v>
      </c>
      <c r="I2878" s="3" t="s">
        <v>4064</v>
      </c>
    </row>
    <row r="2879" spans="2:9" hidden="1" x14ac:dyDescent="0.4">
      <c r="B2879" s="8" t="s">
        <v>517</v>
      </c>
      <c r="C2879" s="3" t="s">
        <v>3611</v>
      </c>
      <c r="D2879" s="3" t="s">
        <v>3905</v>
      </c>
      <c r="F2879" s="3" t="s">
        <v>399</v>
      </c>
      <c r="G2879" s="3" t="s">
        <v>402</v>
      </c>
      <c r="I2879" s="3" t="s">
        <v>4063</v>
      </c>
    </row>
    <row r="2880" spans="2:9" hidden="1" x14ac:dyDescent="0.4">
      <c r="B2880" s="8" t="s">
        <v>517</v>
      </c>
      <c r="C2880" s="3" t="s">
        <v>5917</v>
      </c>
      <c r="D2880" s="3" t="s">
        <v>4924</v>
      </c>
      <c r="F2880" s="3" t="s">
        <v>399</v>
      </c>
      <c r="I2880" s="3" t="s">
        <v>4063</v>
      </c>
    </row>
    <row r="2881" spans="2:9" ht="29.25" hidden="1" x14ac:dyDescent="0.4">
      <c r="B2881" s="8" t="s">
        <v>517</v>
      </c>
      <c r="C2881" s="3" t="s">
        <v>6263</v>
      </c>
      <c r="D2881" s="3" t="s">
        <v>5610</v>
      </c>
      <c r="F2881" s="3" t="s">
        <v>402</v>
      </c>
      <c r="I2881" s="3" t="s">
        <v>4063</v>
      </c>
    </row>
    <row r="2882" spans="2:9" hidden="1" x14ac:dyDescent="0.4">
      <c r="B2882" s="8" t="s">
        <v>520</v>
      </c>
      <c r="C2882" s="3" t="s">
        <v>2907</v>
      </c>
      <c r="D2882" s="3" t="s">
        <v>3148</v>
      </c>
      <c r="E2882" s="3">
        <v>1</v>
      </c>
      <c r="F2882" s="3" t="s">
        <v>402</v>
      </c>
      <c r="I2882" s="3" t="s">
        <v>245</v>
      </c>
    </row>
    <row r="2883" spans="2:9" hidden="1" x14ac:dyDescent="0.4">
      <c r="B2883" s="8" t="s">
        <v>517</v>
      </c>
      <c r="C2883" s="3" t="s">
        <v>4154</v>
      </c>
      <c r="D2883" s="3" t="s">
        <v>3760</v>
      </c>
      <c r="F2883" s="3" t="s">
        <v>399</v>
      </c>
      <c r="G2883" s="3" t="s">
        <v>402</v>
      </c>
      <c r="I2883" s="3" t="s">
        <v>4064</v>
      </c>
    </row>
    <row r="2884" spans="2:9" hidden="1" x14ac:dyDescent="0.4">
      <c r="B2884" s="8" t="s">
        <v>517</v>
      </c>
      <c r="C2884" s="3" t="s">
        <v>4409</v>
      </c>
      <c r="D2884" s="3" t="s">
        <v>4883</v>
      </c>
      <c r="F2884" s="3" t="s">
        <v>399</v>
      </c>
      <c r="I2884" s="3" t="s">
        <v>4064</v>
      </c>
    </row>
    <row r="2885" spans="2:9" hidden="1" x14ac:dyDescent="0.4">
      <c r="B2885" s="8" t="s">
        <v>517</v>
      </c>
      <c r="C2885" s="3" t="s">
        <v>5125</v>
      </c>
      <c r="D2885" s="3" t="s">
        <v>5448</v>
      </c>
      <c r="F2885" s="3" t="s">
        <v>402</v>
      </c>
      <c r="I2885" s="3" t="s">
        <v>4064</v>
      </c>
    </row>
    <row r="2886" spans="2:9" hidden="1" x14ac:dyDescent="0.4">
      <c r="B2886" s="8" t="s">
        <v>517</v>
      </c>
      <c r="C2886" s="3" t="s">
        <v>3451</v>
      </c>
      <c r="D2886" s="3" t="s">
        <v>3760</v>
      </c>
      <c r="F2886" s="3" t="s">
        <v>399</v>
      </c>
      <c r="G2886" s="3" t="s">
        <v>402</v>
      </c>
      <c r="I2886" s="3" t="s">
        <v>4063</v>
      </c>
    </row>
    <row r="2887" spans="2:9" hidden="1" x14ac:dyDescent="0.4">
      <c r="B2887" s="8" t="s">
        <v>517</v>
      </c>
      <c r="C2887" s="3" t="s">
        <v>5779</v>
      </c>
      <c r="D2887" s="3" t="s">
        <v>4883</v>
      </c>
      <c r="F2887" s="3" t="s">
        <v>399</v>
      </c>
      <c r="I2887" s="3" t="s">
        <v>4063</v>
      </c>
    </row>
    <row r="2888" spans="2:9" hidden="1" x14ac:dyDescent="0.4">
      <c r="B2888" s="8" t="s">
        <v>517</v>
      </c>
      <c r="C2888" s="3" t="s">
        <v>6121</v>
      </c>
      <c r="D2888" s="3" t="s">
        <v>5448</v>
      </c>
      <c r="F2888" s="3" t="s">
        <v>402</v>
      </c>
      <c r="I2888" s="3" t="s">
        <v>4063</v>
      </c>
    </row>
    <row r="2889" spans="2:9" hidden="1" x14ac:dyDescent="0.4">
      <c r="B2889" s="8" t="s">
        <v>518</v>
      </c>
      <c r="C2889" s="3" t="s">
        <v>130</v>
      </c>
      <c r="D2889" s="3" t="s">
        <v>408</v>
      </c>
      <c r="F2889" s="3" t="s">
        <v>400</v>
      </c>
      <c r="I2889" s="3" t="s">
        <v>252</v>
      </c>
    </row>
    <row r="2890" spans="2:9" hidden="1" x14ac:dyDescent="0.4">
      <c r="B2890" s="8">
        <v>0</v>
      </c>
      <c r="C2890" s="3" t="s">
        <v>131</v>
      </c>
      <c r="D2890" s="3" t="s">
        <v>408</v>
      </c>
      <c r="F2890" s="3" t="s">
        <v>825</v>
      </c>
      <c r="I2890" s="3" t="s">
        <v>252</v>
      </c>
    </row>
    <row r="2891" spans="2:9" hidden="1" x14ac:dyDescent="0.4">
      <c r="B2891" s="8" t="s">
        <v>531</v>
      </c>
      <c r="C2891" s="3" t="s">
        <v>426</v>
      </c>
      <c r="D2891" s="3" t="s">
        <v>153</v>
      </c>
      <c r="E2891" s="3" t="s">
        <v>425</v>
      </c>
      <c r="F2891" s="3" t="s">
        <v>400</v>
      </c>
      <c r="I2891" s="3" t="s">
        <v>252</v>
      </c>
    </row>
    <row r="2892" spans="2:9" hidden="1" x14ac:dyDescent="0.4">
      <c r="B2892" s="8" t="s">
        <v>518</v>
      </c>
      <c r="C2892" s="3" t="s">
        <v>3442</v>
      </c>
      <c r="D2892" s="3" t="s">
        <v>3752</v>
      </c>
      <c r="F2892" s="3" t="s">
        <v>399</v>
      </c>
      <c r="G2892" s="3" t="s">
        <v>402</v>
      </c>
      <c r="I2892" s="3" t="s">
        <v>4063</v>
      </c>
    </row>
    <row r="2893" spans="2:9" hidden="1" x14ac:dyDescent="0.4">
      <c r="B2893" s="8" t="s">
        <v>518</v>
      </c>
      <c r="C2893" s="3" t="s">
        <v>5773</v>
      </c>
      <c r="D2893" s="3" t="s">
        <v>4881</v>
      </c>
      <c r="F2893" s="3" t="s">
        <v>399</v>
      </c>
      <c r="I2893" s="3" t="s">
        <v>4063</v>
      </c>
    </row>
    <row r="2894" spans="2:9" hidden="1" x14ac:dyDescent="0.4">
      <c r="B2894" s="8" t="s">
        <v>518</v>
      </c>
      <c r="C2894" s="3" t="s">
        <v>6115</v>
      </c>
      <c r="D2894" s="3" t="s">
        <v>5439</v>
      </c>
      <c r="F2894" s="3" t="s">
        <v>402</v>
      </c>
      <c r="I2894" s="3" t="s">
        <v>4063</v>
      </c>
    </row>
    <row r="2895" spans="2:9" hidden="1" x14ac:dyDescent="0.4">
      <c r="B2895" s="8" t="s">
        <v>517</v>
      </c>
      <c r="C2895" s="3" t="s">
        <v>222</v>
      </c>
      <c r="D2895" s="3" t="s">
        <v>261</v>
      </c>
      <c r="F2895" s="3" t="s">
        <v>399</v>
      </c>
      <c r="I2895" s="3" t="s">
        <v>420</v>
      </c>
    </row>
    <row r="2896" spans="2:9" hidden="1" x14ac:dyDescent="0.4">
      <c r="B2896" s="8" t="s">
        <v>518</v>
      </c>
      <c r="C2896" s="3" t="s">
        <v>4146</v>
      </c>
      <c r="D2896" s="3" t="s">
        <v>3752</v>
      </c>
      <c r="F2896" s="3" t="s">
        <v>399</v>
      </c>
      <c r="G2896" s="3" t="s">
        <v>402</v>
      </c>
      <c r="I2896" s="3" t="s">
        <v>4064</v>
      </c>
    </row>
    <row r="2897" spans="2:9" hidden="1" x14ac:dyDescent="0.4">
      <c r="B2897" s="8" t="s">
        <v>518</v>
      </c>
      <c r="C2897" s="3" t="s">
        <v>4405</v>
      </c>
      <c r="D2897" s="3" t="s">
        <v>4881</v>
      </c>
      <c r="F2897" s="3" t="s">
        <v>399</v>
      </c>
      <c r="I2897" s="3" t="s">
        <v>4064</v>
      </c>
    </row>
    <row r="2898" spans="2:9" hidden="1" x14ac:dyDescent="0.4">
      <c r="B2898" s="8" t="s">
        <v>518</v>
      </c>
      <c r="C2898" s="3" t="s">
        <v>5116</v>
      </c>
      <c r="D2898" s="3" t="s">
        <v>5439</v>
      </c>
      <c r="F2898" s="3" t="s">
        <v>402</v>
      </c>
      <c r="I2898" s="3" t="s">
        <v>4064</v>
      </c>
    </row>
    <row r="2899" spans="2:9" hidden="1" x14ac:dyDescent="0.4">
      <c r="B2899" s="8" t="s">
        <v>517</v>
      </c>
      <c r="C2899" s="3" t="s">
        <v>4662</v>
      </c>
      <c r="D2899" s="3" t="s">
        <v>4951</v>
      </c>
      <c r="F2899" s="3" t="s">
        <v>399</v>
      </c>
      <c r="I2899" s="3" t="s">
        <v>4064</v>
      </c>
    </row>
    <row r="2900" spans="2:9" hidden="1" x14ac:dyDescent="0.4">
      <c r="B2900" s="8" t="s">
        <v>517</v>
      </c>
      <c r="C2900" s="3" t="s">
        <v>5190</v>
      </c>
      <c r="D2900" s="3" t="s">
        <v>5511</v>
      </c>
      <c r="F2900" s="3" t="s">
        <v>402</v>
      </c>
      <c r="I2900" s="3" t="s">
        <v>4064</v>
      </c>
    </row>
    <row r="2901" spans="2:9" hidden="1" x14ac:dyDescent="0.4">
      <c r="B2901" s="8" t="s">
        <v>517</v>
      </c>
      <c r="C2901" s="3" t="s">
        <v>3518</v>
      </c>
      <c r="D2901" s="3" t="s">
        <v>3821</v>
      </c>
      <c r="F2901" s="3" t="s">
        <v>399</v>
      </c>
      <c r="G2901" s="3" t="s">
        <v>402</v>
      </c>
      <c r="I2901" s="3" t="s">
        <v>4063</v>
      </c>
    </row>
    <row r="2902" spans="2:9" hidden="1" x14ac:dyDescent="0.4">
      <c r="B2902" s="8" t="s">
        <v>517</v>
      </c>
      <c r="C2902" s="3" t="s">
        <v>3518</v>
      </c>
      <c r="D2902" s="3" t="s">
        <v>3821</v>
      </c>
      <c r="F2902" s="3" t="s">
        <v>399</v>
      </c>
      <c r="G2902" s="3" t="s">
        <v>402</v>
      </c>
      <c r="I2902" s="3" t="s">
        <v>4064</v>
      </c>
    </row>
    <row r="2903" spans="2:9" hidden="1" x14ac:dyDescent="0.4">
      <c r="B2903" s="8" t="s">
        <v>517</v>
      </c>
      <c r="C2903" s="3" t="s">
        <v>5832</v>
      </c>
      <c r="D2903" s="3" t="s">
        <v>4951</v>
      </c>
      <c r="F2903" s="3" t="s">
        <v>399</v>
      </c>
      <c r="I2903" s="3" t="s">
        <v>4063</v>
      </c>
    </row>
    <row r="2904" spans="2:9" hidden="1" x14ac:dyDescent="0.4">
      <c r="B2904" s="8" t="s">
        <v>517</v>
      </c>
      <c r="C2904" s="3" t="s">
        <v>6175</v>
      </c>
      <c r="D2904" s="3" t="s">
        <v>5511</v>
      </c>
      <c r="F2904" s="3" t="s">
        <v>402</v>
      </c>
      <c r="I2904" s="3" t="s">
        <v>4063</v>
      </c>
    </row>
    <row r="2905" spans="2:9" hidden="1" x14ac:dyDescent="0.4">
      <c r="B2905" s="8" t="s">
        <v>518</v>
      </c>
      <c r="C2905" s="3" t="s">
        <v>30</v>
      </c>
      <c r="D2905" s="3" t="s">
        <v>93</v>
      </c>
      <c r="F2905" s="3" t="s">
        <v>400</v>
      </c>
      <c r="I2905" s="3" t="s">
        <v>252</v>
      </c>
    </row>
    <row r="2906" spans="2:9" hidden="1" x14ac:dyDescent="0.4">
      <c r="B2906" s="8" t="s">
        <v>773</v>
      </c>
      <c r="C2906" s="3" t="s">
        <v>802</v>
      </c>
      <c r="D2906" s="3" t="s">
        <v>814</v>
      </c>
      <c r="F2906" s="3" t="s">
        <v>399</v>
      </c>
      <c r="I2906" s="3" t="s">
        <v>824</v>
      </c>
    </row>
    <row r="2907" spans="2:9" hidden="1" x14ac:dyDescent="0.4">
      <c r="B2907" s="8" t="s">
        <v>773</v>
      </c>
      <c r="C2907" s="3" t="s">
        <v>915</v>
      </c>
      <c r="D2907" s="3" t="s">
        <v>814</v>
      </c>
      <c r="F2907" s="3" t="s">
        <v>402</v>
      </c>
      <c r="I2907" s="3" t="s">
        <v>824</v>
      </c>
    </row>
    <row r="2908" spans="2:9" hidden="1" x14ac:dyDescent="0.4">
      <c r="B2908" s="8" t="s">
        <v>536</v>
      </c>
      <c r="C2908" s="3" t="s">
        <v>2717</v>
      </c>
      <c r="D2908" s="3">
        <v>5</v>
      </c>
      <c r="F2908" s="3" t="s">
        <v>1124</v>
      </c>
      <c r="I2908" s="3" t="s">
        <v>252</v>
      </c>
    </row>
    <row r="2909" spans="2:9" hidden="1" x14ac:dyDescent="0.4">
      <c r="B2909" s="8">
        <v>0</v>
      </c>
      <c r="C2909" s="3" t="s">
        <v>60</v>
      </c>
      <c r="D2909" s="3" t="s">
        <v>119</v>
      </c>
      <c r="F2909" s="3" t="s">
        <v>825</v>
      </c>
      <c r="I2909" s="3" t="s">
        <v>252</v>
      </c>
    </row>
    <row r="2910" spans="2:9" hidden="1" x14ac:dyDescent="0.4">
      <c r="B2910" s="8">
        <v>0</v>
      </c>
      <c r="C2910" s="3" t="s">
        <v>59</v>
      </c>
      <c r="D2910" s="3" t="s">
        <v>119</v>
      </c>
      <c r="F2910" s="3" t="s">
        <v>400</v>
      </c>
      <c r="I2910" s="3" t="s">
        <v>252</v>
      </c>
    </row>
    <row r="2911" spans="2:9" hidden="1" x14ac:dyDescent="0.4">
      <c r="B2911" s="8" t="s">
        <v>518</v>
      </c>
      <c r="C2911" s="3" t="s">
        <v>2966</v>
      </c>
      <c r="D2911" s="3" t="s">
        <v>3205</v>
      </c>
      <c r="E2911" s="3">
        <v>1</v>
      </c>
      <c r="F2911" s="3" t="s">
        <v>402</v>
      </c>
      <c r="G2911" s="3" t="s">
        <v>988</v>
      </c>
      <c r="I2911" s="3" t="s">
        <v>245</v>
      </c>
    </row>
    <row r="2912" spans="2:9" hidden="1" x14ac:dyDescent="0.4">
      <c r="B2912" s="8" t="s">
        <v>518</v>
      </c>
      <c r="C2912" s="3" t="s">
        <v>4170</v>
      </c>
      <c r="D2912" s="3" t="s">
        <v>3776</v>
      </c>
      <c r="F2912" s="3" t="s">
        <v>399</v>
      </c>
      <c r="G2912" s="3" t="s">
        <v>402</v>
      </c>
      <c r="I2912" s="3" t="s">
        <v>4064</v>
      </c>
    </row>
    <row r="2913" spans="2:9" hidden="1" x14ac:dyDescent="0.4">
      <c r="B2913" s="8" t="s">
        <v>518</v>
      </c>
      <c r="C2913" s="3" t="s">
        <v>3468</v>
      </c>
      <c r="D2913" s="3" t="s">
        <v>3776</v>
      </c>
      <c r="F2913" s="3" t="s">
        <v>399</v>
      </c>
      <c r="G2913" s="3" t="s">
        <v>402</v>
      </c>
      <c r="I2913" s="3" t="s">
        <v>4063</v>
      </c>
    </row>
    <row r="2914" spans="2:9" hidden="1" x14ac:dyDescent="0.4">
      <c r="B2914" s="8" t="s">
        <v>518</v>
      </c>
      <c r="C2914" s="3" t="s">
        <v>5790</v>
      </c>
      <c r="D2914" s="3" t="s">
        <v>4893</v>
      </c>
      <c r="F2914" s="3" t="s">
        <v>399</v>
      </c>
      <c r="I2914" s="3" t="s">
        <v>4063</v>
      </c>
    </row>
    <row r="2915" spans="2:9" hidden="1" x14ac:dyDescent="0.4">
      <c r="B2915" s="8" t="s">
        <v>518</v>
      </c>
      <c r="C2915" s="3" t="s">
        <v>6133</v>
      </c>
      <c r="D2915" s="3" t="s">
        <v>5464</v>
      </c>
      <c r="F2915" s="3" t="s">
        <v>402</v>
      </c>
      <c r="I2915" s="3" t="s">
        <v>4063</v>
      </c>
    </row>
    <row r="2916" spans="2:9" hidden="1" x14ac:dyDescent="0.4">
      <c r="B2916" s="8" t="s">
        <v>518</v>
      </c>
      <c r="C2916" s="3" t="s">
        <v>4414</v>
      </c>
      <c r="D2916" s="3" t="s">
        <v>4893</v>
      </c>
      <c r="F2916" s="3" t="s">
        <v>399</v>
      </c>
      <c r="I2916" s="3" t="s">
        <v>4064</v>
      </c>
    </row>
    <row r="2917" spans="2:9" hidden="1" x14ac:dyDescent="0.4">
      <c r="B2917" s="8" t="s">
        <v>518</v>
      </c>
      <c r="C2917" s="3" t="s">
        <v>5141</v>
      </c>
      <c r="D2917" s="3" t="s">
        <v>5464</v>
      </c>
      <c r="F2917" s="3" t="s">
        <v>402</v>
      </c>
      <c r="I2917" s="3" t="s">
        <v>4064</v>
      </c>
    </row>
    <row r="2918" spans="2:9" hidden="1" x14ac:dyDescent="0.4">
      <c r="B2918" s="8">
        <v>4</v>
      </c>
      <c r="C2918" s="3" t="s">
        <v>173</v>
      </c>
      <c r="D2918" s="3" t="s">
        <v>649</v>
      </c>
      <c r="F2918" s="3" t="s">
        <v>399</v>
      </c>
      <c r="I2918" s="3" t="s">
        <v>267</v>
      </c>
    </row>
    <row r="2919" spans="2:9" hidden="1" x14ac:dyDescent="0.4">
      <c r="B2919" s="8" t="s">
        <v>518</v>
      </c>
      <c r="C2919" s="3" t="s">
        <v>337</v>
      </c>
      <c r="D2919" s="3" t="s">
        <v>596</v>
      </c>
      <c r="F2919" s="3" t="s">
        <v>399</v>
      </c>
      <c r="I2919" s="3" t="s">
        <v>267</v>
      </c>
    </row>
    <row r="2920" spans="2:9" hidden="1" x14ac:dyDescent="0.4">
      <c r="B2920" s="8" t="s">
        <v>517</v>
      </c>
      <c r="C2920" s="3" t="s">
        <v>2903</v>
      </c>
      <c r="D2920" s="3" t="s">
        <v>3144</v>
      </c>
      <c r="E2920" s="3">
        <v>1</v>
      </c>
      <c r="F2920" s="3" t="s">
        <v>402</v>
      </c>
      <c r="G2920" s="3" t="s">
        <v>988</v>
      </c>
      <c r="I2920" s="3" t="s">
        <v>245</v>
      </c>
    </row>
    <row r="2921" spans="2:9" hidden="1" x14ac:dyDescent="0.4">
      <c r="B2921" s="8" t="s">
        <v>517</v>
      </c>
      <c r="C2921" s="3" t="s">
        <v>1919</v>
      </c>
      <c r="D2921" s="3" t="s">
        <v>1951</v>
      </c>
      <c r="F2921" s="3" t="s">
        <v>399</v>
      </c>
      <c r="I2921" s="3" t="s">
        <v>1865</v>
      </c>
    </row>
    <row r="2922" spans="2:9" hidden="1" x14ac:dyDescent="0.4">
      <c r="B2922" s="8" t="s">
        <v>529</v>
      </c>
      <c r="C2922" s="3" t="s">
        <v>3070</v>
      </c>
      <c r="D2922" s="3" t="s">
        <v>3303</v>
      </c>
      <c r="E2922" s="3">
        <v>1</v>
      </c>
      <c r="F2922" s="3" t="s">
        <v>402</v>
      </c>
      <c r="I2922" s="3" t="s">
        <v>245</v>
      </c>
    </row>
    <row r="2923" spans="2:9" hidden="1" x14ac:dyDescent="0.4">
      <c r="B2923" s="8" t="s">
        <v>536</v>
      </c>
      <c r="C2923" s="3" t="s">
        <v>747</v>
      </c>
      <c r="D2923" s="3" t="s">
        <v>751</v>
      </c>
      <c r="E2923" s="3" t="s">
        <v>432</v>
      </c>
      <c r="F2923" s="3" t="s">
        <v>12779</v>
      </c>
      <c r="G2923" s="3" t="s">
        <v>430</v>
      </c>
      <c r="I2923" s="3" t="s">
        <v>472</v>
      </c>
    </row>
    <row r="2924" spans="2:9" hidden="1" x14ac:dyDescent="0.4">
      <c r="B2924" s="8" t="s">
        <v>517</v>
      </c>
      <c r="C2924" s="3" t="s">
        <v>338</v>
      </c>
      <c r="D2924" s="3" t="s">
        <v>597</v>
      </c>
      <c r="F2924" s="3" t="s">
        <v>399</v>
      </c>
      <c r="I2924" s="3" t="s">
        <v>267</v>
      </c>
    </row>
    <row r="2925" spans="2:9" hidden="1" x14ac:dyDescent="0.4">
      <c r="B2925" s="8" t="s">
        <v>518</v>
      </c>
      <c r="C2925" s="3" t="s">
        <v>2194</v>
      </c>
      <c r="D2925" s="3" t="s">
        <v>2346</v>
      </c>
      <c r="F2925" s="3" t="s">
        <v>399</v>
      </c>
      <c r="I2925" s="3" t="s">
        <v>1833</v>
      </c>
    </row>
    <row r="2926" spans="2:9" hidden="1" x14ac:dyDescent="0.4">
      <c r="B2926" s="8" t="s">
        <v>518</v>
      </c>
      <c r="C2926" s="3" t="s">
        <v>2537</v>
      </c>
      <c r="D2926" s="3" t="s">
        <v>2346</v>
      </c>
      <c r="F2926" s="3" t="s">
        <v>402</v>
      </c>
      <c r="I2926" s="3" t="s">
        <v>1833</v>
      </c>
    </row>
    <row r="2927" spans="2:9" hidden="1" x14ac:dyDescent="0.4">
      <c r="B2927" s="8" t="s">
        <v>518</v>
      </c>
      <c r="C2927" s="3" t="s">
        <v>2195</v>
      </c>
      <c r="D2927" s="3" t="s">
        <v>2346</v>
      </c>
      <c r="F2927" s="3" t="s">
        <v>399</v>
      </c>
      <c r="I2927" s="3" t="s">
        <v>1833</v>
      </c>
    </row>
    <row r="2928" spans="2:9" hidden="1" x14ac:dyDescent="0.4">
      <c r="B2928" s="8" t="s">
        <v>518</v>
      </c>
      <c r="C2928" s="3" t="s">
        <v>2538</v>
      </c>
      <c r="D2928" s="3" t="s">
        <v>2346</v>
      </c>
      <c r="F2928" s="3" t="s">
        <v>402</v>
      </c>
      <c r="I2928" s="3" t="s">
        <v>1833</v>
      </c>
    </row>
    <row r="2929" spans="2:9" hidden="1" x14ac:dyDescent="0.4">
      <c r="B2929" s="8" t="s">
        <v>517</v>
      </c>
      <c r="C2929" s="3" t="s">
        <v>2368</v>
      </c>
      <c r="D2929" s="3" t="s">
        <v>2497</v>
      </c>
      <c r="E2929" s="3" t="s">
        <v>1272</v>
      </c>
      <c r="F2929" s="3" t="s">
        <v>399</v>
      </c>
      <c r="I2929" s="3" t="s">
        <v>1833</v>
      </c>
    </row>
    <row r="2930" spans="2:9" hidden="1" x14ac:dyDescent="0.4">
      <c r="B2930" s="8" t="s">
        <v>517</v>
      </c>
      <c r="C2930" s="3" t="s">
        <v>2642</v>
      </c>
      <c r="D2930" s="3" t="s">
        <v>2497</v>
      </c>
      <c r="E2930" s="3" t="s">
        <v>1272</v>
      </c>
      <c r="F2930" s="3" t="s">
        <v>402</v>
      </c>
      <c r="I2930" s="3" t="s">
        <v>1833</v>
      </c>
    </row>
    <row r="2931" spans="2:9" hidden="1" x14ac:dyDescent="0.4">
      <c r="B2931" s="8" t="s">
        <v>517</v>
      </c>
      <c r="C2931" s="3" t="s">
        <v>2301</v>
      </c>
      <c r="D2931" s="3" t="s">
        <v>2458</v>
      </c>
      <c r="E2931" s="3" t="s">
        <v>1272</v>
      </c>
      <c r="F2931" s="3" t="s">
        <v>399</v>
      </c>
      <c r="I2931" s="3" t="s">
        <v>1833</v>
      </c>
    </row>
    <row r="2932" spans="2:9" hidden="1" x14ac:dyDescent="0.4">
      <c r="B2932" s="8" t="s">
        <v>517</v>
      </c>
      <c r="C2932" s="3" t="s">
        <v>2603</v>
      </c>
      <c r="D2932" s="3" t="s">
        <v>2458</v>
      </c>
      <c r="E2932" s="3" t="s">
        <v>1272</v>
      </c>
      <c r="F2932" s="3" t="s">
        <v>402</v>
      </c>
      <c r="I2932" s="3" t="s">
        <v>1833</v>
      </c>
    </row>
    <row r="2933" spans="2:9" hidden="1" x14ac:dyDescent="0.4">
      <c r="B2933" s="8" t="s">
        <v>530</v>
      </c>
      <c r="C2933" s="3" t="s">
        <v>2964</v>
      </c>
      <c r="D2933" s="3" t="s">
        <v>3203</v>
      </c>
      <c r="E2933" s="3">
        <v>1</v>
      </c>
      <c r="F2933" s="3" t="s">
        <v>402</v>
      </c>
      <c r="G2933" s="3" t="s">
        <v>399</v>
      </c>
      <c r="I2933" s="3" t="s">
        <v>245</v>
      </c>
    </row>
    <row r="2934" spans="2:9" ht="29.25" hidden="1" x14ac:dyDescent="0.4">
      <c r="B2934" s="8" t="s">
        <v>536</v>
      </c>
      <c r="C2934" s="3" t="s">
        <v>464</v>
      </c>
      <c r="D2934" s="3" t="s">
        <v>748</v>
      </c>
      <c r="E2934" s="3" t="s">
        <v>433</v>
      </c>
      <c r="F2934" s="3" t="s">
        <v>12779</v>
      </c>
      <c r="G2934" s="3" t="s">
        <v>430</v>
      </c>
      <c r="I2934" s="3" t="s">
        <v>472</v>
      </c>
    </row>
    <row r="2935" spans="2:9" hidden="1" x14ac:dyDescent="0.4">
      <c r="B2935" s="8">
        <v>1</v>
      </c>
      <c r="C2935" s="3" t="s">
        <v>174</v>
      </c>
      <c r="D2935" s="3" t="s">
        <v>650</v>
      </c>
      <c r="F2935" s="3" t="s">
        <v>399</v>
      </c>
      <c r="I2935" s="3" t="s">
        <v>267</v>
      </c>
    </row>
    <row r="2936" spans="2:9" hidden="1" x14ac:dyDescent="0.4">
      <c r="B2936" s="8" t="s">
        <v>517</v>
      </c>
      <c r="C2936" s="3" t="s">
        <v>1972</v>
      </c>
      <c r="D2936" s="3" t="s">
        <v>1865</v>
      </c>
      <c r="F2936" s="3" t="s">
        <v>399</v>
      </c>
      <c r="I2936" s="3" t="s">
        <v>1968</v>
      </c>
    </row>
    <row r="2937" spans="2:9" hidden="1" x14ac:dyDescent="0.4">
      <c r="B2937" s="8" t="s">
        <v>518</v>
      </c>
      <c r="C2937" s="3" t="s">
        <v>1399</v>
      </c>
      <c r="D2937" s="3" t="s">
        <v>1433</v>
      </c>
      <c r="F2937" s="3" t="s">
        <v>399</v>
      </c>
      <c r="G2937" s="3" t="s">
        <v>402</v>
      </c>
      <c r="H2937" s="3" t="s">
        <v>1279</v>
      </c>
      <c r="I2937" s="3" t="s">
        <v>1414</v>
      </c>
    </row>
    <row r="2938" spans="2:9" hidden="1" x14ac:dyDescent="0.4">
      <c r="B2938" s="8" t="s">
        <v>518</v>
      </c>
      <c r="C2938" s="3" t="s">
        <v>1543</v>
      </c>
      <c r="D2938" s="3" t="s">
        <v>1433</v>
      </c>
      <c r="F2938" s="3" t="s">
        <v>402</v>
      </c>
      <c r="I2938" s="3" t="s">
        <v>1414</v>
      </c>
    </row>
    <row r="2939" spans="2:9" hidden="1" x14ac:dyDescent="0.4">
      <c r="B2939" s="8" t="s">
        <v>517</v>
      </c>
      <c r="C2939" s="3" t="s">
        <v>2980</v>
      </c>
      <c r="D2939" s="3" t="s">
        <v>3218</v>
      </c>
      <c r="E2939" s="3">
        <v>1</v>
      </c>
      <c r="F2939" s="3" t="s">
        <v>402</v>
      </c>
      <c r="G2939" s="3" t="s">
        <v>988</v>
      </c>
      <c r="H2939" s="3" t="s">
        <v>1279</v>
      </c>
      <c r="I2939" s="3" t="s">
        <v>245</v>
      </c>
    </row>
    <row r="2940" spans="2:9" hidden="1" x14ac:dyDescent="0.4">
      <c r="B2940" s="8" t="s">
        <v>517</v>
      </c>
      <c r="C2940" s="3" t="s">
        <v>2942</v>
      </c>
      <c r="D2940" s="3" t="s">
        <v>3182</v>
      </c>
      <c r="E2940" s="3">
        <v>1</v>
      </c>
      <c r="F2940" s="3" t="s">
        <v>402</v>
      </c>
      <c r="G2940" s="3" t="s">
        <v>988</v>
      </c>
      <c r="I2940" s="3" t="s">
        <v>245</v>
      </c>
    </row>
    <row r="2941" spans="2:9" hidden="1" x14ac:dyDescent="0.4">
      <c r="B2941" s="8" t="s">
        <v>1004</v>
      </c>
      <c r="C2941" s="3" t="s">
        <v>1237</v>
      </c>
      <c r="D2941" s="3" t="s">
        <v>1250</v>
      </c>
      <c r="F2941" s="3" t="s">
        <v>399</v>
      </c>
      <c r="I2941" s="3" t="s">
        <v>987</v>
      </c>
    </row>
    <row r="2942" spans="2:9" hidden="1" x14ac:dyDescent="0.4">
      <c r="B2942" s="8" t="s">
        <v>1003</v>
      </c>
      <c r="C2942" s="3" t="s">
        <v>1238</v>
      </c>
      <c r="D2942" s="3" t="s">
        <v>1251</v>
      </c>
      <c r="F2942" s="3" t="s">
        <v>399</v>
      </c>
      <c r="I2942" s="3" t="s">
        <v>987</v>
      </c>
    </row>
    <row r="2943" spans="2:9" hidden="1" x14ac:dyDescent="0.4">
      <c r="B2943" s="8" t="s">
        <v>1004</v>
      </c>
      <c r="C2943" s="3" t="s">
        <v>1236</v>
      </c>
      <c r="D2943" s="3" t="s">
        <v>1249</v>
      </c>
      <c r="F2943" s="3" t="s">
        <v>399</v>
      </c>
      <c r="I2943" s="3" t="s">
        <v>987</v>
      </c>
    </row>
    <row r="2944" spans="2:9" hidden="1" x14ac:dyDescent="0.4">
      <c r="B2944" s="8" t="s">
        <v>1003</v>
      </c>
      <c r="C2944" s="3" t="s">
        <v>1239</v>
      </c>
      <c r="D2944" s="3" t="s">
        <v>1252</v>
      </c>
      <c r="F2944" s="3" t="s">
        <v>399</v>
      </c>
      <c r="I2944" s="3" t="s">
        <v>987</v>
      </c>
    </row>
    <row r="2945" spans="2:9" hidden="1" x14ac:dyDescent="0.4">
      <c r="B2945" s="8" t="s">
        <v>517</v>
      </c>
      <c r="C2945" s="3" t="s">
        <v>2984</v>
      </c>
      <c r="D2945" s="3" t="s">
        <v>3222</v>
      </c>
      <c r="E2945" s="3">
        <v>1</v>
      </c>
      <c r="F2945" s="3" t="s">
        <v>402</v>
      </c>
      <c r="G2945" s="3" t="s">
        <v>988</v>
      </c>
      <c r="I2945" s="3" t="s">
        <v>245</v>
      </c>
    </row>
    <row r="2946" spans="2:9" hidden="1" x14ac:dyDescent="0.4">
      <c r="B2946" s="8" t="s">
        <v>517</v>
      </c>
      <c r="C2946" s="3" t="s">
        <v>339</v>
      </c>
      <c r="D2946" s="3" t="s">
        <v>598</v>
      </c>
      <c r="F2946" s="3" t="s">
        <v>399</v>
      </c>
      <c r="I2946" s="3" t="s">
        <v>267</v>
      </c>
    </row>
    <row r="2947" spans="2:9" hidden="1" x14ac:dyDescent="0.4">
      <c r="B2947" s="8" t="s">
        <v>517</v>
      </c>
      <c r="C2947" s="3" t="s">
        <v>2985</v>
      </c>
      <c r="D2947" s="3" t="s">
        <v>3222</v>
      </c>
      <c r="E2947" s="3">
        <v>1</v>
      </c>
      <c r="F2947" s="3" t="s">
        <v>402</v>
      </c>
      <c r="G2947" s="3" t="s">
        <v>988</v>
      </c>
      <c r="I2947" s="3" t="s">
        <v>245</v>
      </c>
    </row>
    <row r="2948" spans="2:9" hidden="1" x14ac:dyDescent="0.4">
      <c r="B2948" s="8" t="s">
        <v>518</v>
      </c>
      <c r="C2948" s="3" t="s">
        <v>1391</v>
      </c>
      <c r="D2948" s="3" t="s">
        <v>1425</v>
      </c>
      <c r="F2948" s="3" t="s">
        <v>399</v>
      </c>
      <c r="G2948" s="3" t="s">
        <v>402</v>
      </c>
      <c r="H2948" s="3" t="s">
        <v>1279</v>
      </c>
      <c r="I2948" s="3" t="s">
        <v>1414</v>
      </c>
    </row>
    <row r="2949" spans="2:9" hidden="1" x14ac:dyDescent="0.4">
      <c r="B2949" s="8" t="s">
        <v>526</v>
      </c>
      <c r="C2949" s="3" t="s">
        <v>1651</v>
      </c>
      <c r="D2949" s="3" t="s">
        <v>1660</v>
      </c>
      <c r="F2949" s="3" t="s">
        <v>399</v>
      </c>
      <c r="I2949" s="3" t="s">
        <v>1414</v>
      </c>
    </row>
    <row r="2950" spans="2:9" hidden="1" x14ac:dyDescent="0.4">
      <c r="B2950" s="8" t="s">
        <v>526</v>
      </c>
      <c r="C2950" s="3" t="s">
        <v>1668</v>
      </c>
      <c r="D2950" s="3" t="s">
        <v>1660</v>
      </c>
      <c r="F2950" s="3" t="s">
        <v>402</v>
      </c>
      <c r="I2950" s="3" t="s">
        <v>1414</v>
      </c>
    </row>
    <row r="2951" spans="2:9" hidden="1" x14ac:dyDescent="0.4">
      <c r="B2951" s="8" t="s">
        <v>518</v>
      </c>
      <c r="C2951" s="3" t="s">
        <v>1535</v>
      </c>
      <c r="D2951" s="3" t="s">
        <v>1425</v>
      </c>
      <c r="F2951" s="3" t="s">
        <v>402</v>
      </c>
      <c r="I2951" s="3" t="s">
        <v>1414</v>
      </c>
    </row>
    <row r="2952" spans="2:9" hidden="1" x14ac:dyDescent="0.4">
      <c r="B2952" s="8" t="s">
        <v>512</v>
      </c>
      <c r="C2952" s="3" t="s">
        <v>1650</v>
      </c>
      <c r="D2952" s="3" t="s">
        <v>1659</v>
      </c>
      <c r="F2952" s="3" t="s">
        <v>399</v>
      </c>
      <c r="I2952" s="3" t="s">
        <v>1414</v>
      </c>
    </row>
    <row r="2953" spans="2:9" hidden="1" x14ac:dyDescent="0.4">
      <c r="B2953" s="8" t="s">
        <v>512</v>
      </c>
      <c r="C2953" s="3" t="s">
        <v>1667</v>
      </c>
      <c r="D2953" s="3" t="s">
        <v>1659</v>
      </c>
      <c r="F2953" s="3" t="s">
        <v>402</v>
      </c>
      <c r="I2953" s="3" t="s">
        <v>1414</v>
      </c>
    </row>
    <row r="2954" spans="2:9" hidden="1" x14ac:dyDescent="0.4">
      <c r="B2954" s="8" t="s">
        <v>517</v>
      </c>
      <c r="C2954" s="3" t="s">
        <v>2288</v>
      </c>
      <c r="D2954" s="3" t="s">
        <v>2446</v>
      </c>
      <c r="E2954" s="3" t="s">
        <v>1272</v>
      </c>
      <c r="F2954" s="3" t="s">
        <v>399</v>
      </c>
      <c r="I2954" s="3" t="s">
        <v>1833</v>
      </c>
    </row>
    <row r="2955" spans="2:9" hidden="1" x14ac:dyDescent="0.4">
      <c r="B2955" s="8" t="s">
        <v>517</v>
      </c>
      <c r="C2955" s="3" t="s">
        <v>2593</v>
      </c>
      <c r="D2955" s="3" t="s">
        <v>2446</v>
      </c>
      <c r="E2955" s="3" t="s">
        <v>1272</v>
      </c>
      <c r="F2955" s="3" t="s">
        <v>402</v>
      </c>
      <c r="I2955" s="3" t="s">
        <v>1833</v>
      </c>
    </row>
    <row r="2956" spans="2:9" hidden="1" x14ac:dyDescent="0.4">
      <c r="B2956" s="8" t="s">
        <v>532</v>
      </c>
      <c r="C2956" s="3" t="s">
        <v>360</v>
      </c>
      <c r="D2956" s="3" t="s">
        <v>384</v>
      </c>
      <c r="F2956" s="3" t="s">
        <v>399</v>
      </c>
      <c r="I2956" s="3" t="s">
        <v>267</v>
      </c>
    </row>
    <row r="2957" spans="2:9" hidden="1" x14ac:dyDescent="0.4">
      <c r="B2957" s="8" t="s">
        <v>517</v>
      </c>
      <c r="C2957" s="3" t="s">
        <v>3630</v>
      </c>
      <c r="D2957" s="3" t="s">
        <v>3924</v>
      </c>
      <c r="F2957" s="3" t="s">
        <v>399</v>
      </c>
      <c r="G2957" s="3" t="s">
        <v>402</v>
      </c>
      <c r="I2957" s="3" t="s">
        <v>4063</v>
      </c>
    </row>
    <row r="2958" spans="2:9" hidden="1" x14ac:dyDescent="0.4">
      <c r="B2958" s="8" t="s">
        <v>517</v>
      </c>
      <c r="C2958" s="3" t="s">
        <v>3630</v>
      </c>
      <c r="D2958" s="3" t="s">
        <v>3924</v>
      </c>
      <c r="F2958" s="3" t="s">
        <v>399</v>
      </c>
      <c r="G2958" s="3" t="s">
        <v>402</v>
      </c>
      <c r="I2958" s="3" t="s">
        <v>4064</v>
      </c>
    </row>
    <row r="2959" spans="2:9" hidden="1" x14ac:dyDescent="0.4">
      <c r="B2959" s="8" t="s">
        <v>517</v>
      </c>
      <c r="C2959" s="3" t="s">
        <v>5934</v>
      </c>
      <c r="D2959" s="3" t="s">
        <v>4852</v>
      </c>
      <c r="F2959" s="3" t="s">
        <v>399</v>
      </c>
      <c r="I2959" s="3" t="s">
        <v>4063</v>
      </c>
    </row>
    <row r="2960" spans="2:9" hidden="1" x14ac:dyDescent="0.4">
      <c r="B2960" s="8" t="s">
        <v>517</v>
      </c>
      <c r="C2960" s="3" t="s">
        <v>6280</v>
      </c>
      <c r="D2960" s="3" t="s">
        <v>5629</v>
      </c>
      <c r="F2960" s="3" t="s">
        <v>402</v>
      </c>
      <c r="I2960" s="3" t="s">
        <v>4063</v>
      </c>
    </row>
    <row r="2961" spans="2:9" hidden="1" x14ac:dyDescent="0.4">
      <c r="B2961" s="8" t="s">
        <v>517</v>
      </c>
      <c r="C2961" s="3" t="s">
        <v>4596</v>
      </c>
      <c r="D2961" s="3" t="s">
        <v>4852</v>
      </c>
      <c r="F2961" s="3" t="s">
        <v>399</v>
      </c>
      <c r="I2961" s="3" t="s">
        <v>4064</v>
      </c>
    </row>
    <row r="2962" spans="2:9" hidden="1" x14ac:dyDescent="0.4">
      <c r="B2962" s="8" t="s">
        <v>517</v>
      </c>
      <c r="C2962" s="3" t="s">
        <v>5309</v>
      </c>
      <c r="D2962" s="3" t="s">
        <v>5629</v>
      </c>
      <c r="F2962" s="3" t="s">
        <v>402</v>
      </c>
      <c r="I2962" s="3" t="s">
        <v>4064</v>
      </c>
    </row>
    <row r="2963" spans="2:9" hidden="1" x14ac:dyDescent="0.4">
      <c r="B2963" s="8" t="s">
        <v>517</v>
      </c>
      <c r="C2963" s="3" t="s">
        <v>2262</v>
      </c>
      <c r="D2963" s="3" t="s">
        <v>2419</v>
      </c>
      <c r="E2963" s="3" t="s">
        <v>1272</v>
      </c>
      <c r="F2963" s="3" t="s">
        <v>399</v>
      </c>
      <c r="I2963" s="3" t="s">
        <v>1833</v>
      </c>
    </row>
    <row r="2964" spans="2:9" hidden="1" x14ac:dyDescent="0.4">
      <c r="B2964" s="8" t="s">
        <v>517</v>
      </c>
      <c r="C2964" s="3" t="s">
        <v>2570</v>
      </c>
      <c r="D2964" s="3" t="s">
        <v>2419</v>
      </c>
      <c r="E2964" s="3" t="s">
        <v>1272</v>
      </c>
      <c r="F2964" s="3" t="s">
        <v>402</v>
      </c>
      <c r="I2964" s="3" t="s">
        <v>1833</v>
      </c>
    </row>
    <row r="2965" spans="2:9" hidden="1" x14ac:dyDescent="0.4">
      <c r="B2965" s="8" t="s">
        <v>520</v>
      </c>
      <c r="C2965" s="3" t="s">
        <v>4209</v>
      </c>
      <c r="D2965" s="3" t="s">
        <v>3814</v>
      </c>
      <c r="F2965" s="3" t="s">
        <v>399</v>
      </c>
      <c r="G2965" s="3" t="s">
        <v>402</v>
      </c>
      <c r="I2965" s="3" t="s">
        <v>4064</v>
      </c>
    </row>
    <row r="2966" spans="2:9" hidden="1" x14ac:dyDescent="0.4">
      <c r="B2966" s="8" t="s">
        <v>520</v>
      </c>
      <c r="C2966" s="3" t="s">
        <v>4436</v>
      </c>
      <c r="D2966" s="3" t="s">
        <v>4918</v>
      </c>
      <c r="F2966" s="3" t="s">
        <v>399</v>
      </c>
      <c r="I2966" s="3" t="s">
        <v>4064</v>
      </c>
    </row>
    <row r="2967" spans="2:9" hidden="1" x14ac:dyDescent="0.4">
      <c r="B2967" s="8" t="s">
        <v>520</v>
      </c>
      <c r="C2967" s="3" t="s">
        <v>5184</v>
      </c>
      <c r="D2967" s="3" t="s">
        <v>5505</v>
      </c>
      <c r="F2967" s="3" t="s">
        <v>402</v>
      </c>
      <c r="I2967" s="3" t="s">
        <v>4064</v>
      </c>
    </row>
    <row r="2968" spans="2:9" hidden="1" x14ac:dyDescent="0.4">
      <c r="B2968" s="8" t="s">
        <v>520</v>
      </c>
      <c r="C2968" s="3" t="s">
        <v>3511</v>
      </c>
      <c r="D2968" s="3" t="s">
        <v>3814</v>
      </c>
      <c r="F2968" s="3" t="s">
        <v>399</v>
      </c>
      <c r="G2968" s="3" t="s">
        <v>402</v>
      </c>
      <c r="I2968" s="3" t="s">
        <v>4063</v>
      </c>
    </row>
    <row r="2969" spans="2:9" hidden="1" x14ac:dyDescent="0.4">
      <c r="B2969" s="8" t="s">
        <v>520</v>
      </c>
      <c r="C2969" s="3" t="s">
        <v>5998</v>
      </c>
      <c r="D2969" s="3" t="s">
        <v>4918</v>
      </c>
      <c r="F2969" s="3" t="s">
        <v>399</v>
      </c>
      <c r="I2969" s="3" t="s">
        <v>4063</v>
      </c>
    </row>
    <row r="2970" spans="2:9" hidden="1" x14ac:dyDescent="0.4">
      <c r="B2970" s="8" t="s">
        <v>520</v>
      </c>
      <c r="C2970" s="3" t="s">
        <v>6347</v>
      </c>
      <c r="D2970" s="3" t="s">
        <v>5505</v>
      </c>
      <c r="F2970" s="3" t="s">
        <v>402</v>
      </c>
      <c r="I2970" s="3" t="s">
        <v>4063</v>
      </c>
    </row>
    <row r="2971" spans="2:9" hidden="1" x14ac:dyDescent="0.4">
      <c r="B2971" s="8" t="s">
        <v>823</v>
      </c>
      <c r="C2971" s="3" t="s">
        <v>1687</v>
      </c>
      <c r="D2971" s="3" t="s">
        <v>1505</v>
      </c>
      <c r="F2971" s="3" t="s">
        <v>1124</v>
      </c>
      <c r="I2971" s="3" t="s">
        <v>1489</v>
      </c>
    </row>
    <row r="2972" spans="2:9" hidden="1" x14ac:dyDescent="0.4">
      <c r="B2972" s="8" t="s">
        <v>517</v>
      </c>
      <c r="C2972" s="3" t="s">
        <v>2325</v>
      </c>
      <c r="D2972" s="15" t="s">
        <v>2481</v>
      </c>
      <c r="E2972" s="3" t="s">
        <v>1272</v>
      </c>
      <c r="F2972" s="3" t="s">
        <v>399</v>
      </c>
      <c r="I2972" s="3" t="s">
        <v>1833</v>
      </c>
    </row>
    <row r="2973" spans="2:9" hidden="1" x14ac:dyDescent="0.4">
      <c r="B2973" s="8" t="s">
        <v>517</v>
      </c>
      <c r="C2973" s="3" t="s">
        <v>2625</v>
      </c>
      <c r="D2973" s="3" t="s">
        <v>2481</v>
      </c>
      <c r="E2973" s="3" t="s">
        <v>1272</v>
      </c>
      <c r="F2973" s="3" t="s">
        <v>402</v>
      </c>
      <c r="I2973" s="3" t="s">
        <v>1833</v>
      </c>
    </row>
    <row r="2974" spans="2:9" hidden="1" x14ac:dyDescent="0.4">
      <c r="B2974" s="8" t="s">
        <v>532</v>
      </c>
      <c r="C2974" s="3" t="s">
        <v>199</v>
      </c>
      <c r="D2974" s="3" t="s">
        <v>599</v>
      </c>
      <c r="F2974" s="3" t="s">
        <v>399</v>
      </c>
      <c r="I2974" s="3" t="s">
        <v>267</v>
      </c>
    </row>
    <row r="2975" spans="2:9" hidden="1" x14ac:dyDescent="0.4">
      <c r="B2975" s="8" t="s">
        <v>532</v>
      </c>
      <c r="C2975" s="3" t="s">
        <v>199</v>
      </c>
      <c r="D2975" s="3" t="s">
        <v>555</v>
      </c>
      <c r="F2975" s="3" t="s">
        <v>399</v>
      </c>
      <c r="I2975" s="3" t="s">
        <v>267</v>
      </c>
    </row>
    <row r="2976" spans="2:9" hidden="1" x14ac:dyDescent="0.4">
      <c r="B2976" s="8" t="s">
        <v>517</v>
      </c>
      <c r="C2976" s="3" t="s">
        <v>3065</v>
      </c>
      <c r="D2976" s="3" t="s">
        <v>3352</v>
      </c>
      <c r="E2976" s="3">
        <v>1</v>
      </c>
      <c r="F2976" s="3" t="s">
        <v>402</v>
      </c>
      <c r="G2976" s="3" t="s">
        <v>1279</v>
      </c>
      <c r="H2976" s="3" t="s">
        <v>399</v>
      </c>
      <c r="I2976" s="3" t="s">
        <v>245</v>
      </c>
    </row>
    <row r="2977" spans="2:9" hidden="1" x14ac:dyDescent="0.4">
      <c r="B2977" s="8" t="s">
        <v>517</v>
      </c>
      <c r="C2977" s="3" t="s">
        <v>1463</v>
      </c>
      <c r="D2977" s="3" t="s">
        <v>1514</v>
      </c>
      <c r="F2977" s="3" t="s">
        <v>399</v>
      </c>
      <c r="G2977" s="3" t="s">
        <v>402</v>
      </c>
      <c r="I2977" s="3" t="s">
        <v>1489</v>
      </c>
    </row>
    <row r="2978" spans="2:9" hidden="1" x14ac:dyDescent="0.4">
      <c r="B2978" s="8" t="s">
        <v>517</v>
      </c>
      <c r="C2978" s="3" t="s">
        <v>1573</v>
      </c>
      <c r="D2978" s="3" t="s">
        <v>1514</v>
      </c>
      <c r="F2978" s="3" t="s">
        <v>402</v>
      </c>
      <c r="I2978" s="3" t="s">
        <v>1489</v>
      </c>
    </row>
    <row r="2979" spans="2:9" hidden="1" x14ac:dyDescent="0.4">
      <c r="B2979" s="8" t="s">
        <v>518</v>
      </c>
      <c r="C2979" s="3" t="s">
        <v>4281</v>
      </c>
      <c r="D2979" s="3" t="s">
        <v>4037</v>
      </c>
      <c r="F2979" s="3" t="s">
        <v>399</v>
      </c>
      <c r="G2979" s="3" t="s">
        <v>402</v>
      </c>
      <c r="I2979" s="3" t="s">
        <v>4064</v>
      </c>
    </row>
    <row r="2980" spans="2:9" hidden="1" x14ac:dyDescent="0.4">
      <c r="B2980" s="8" t="s">
        <v>518</v>
      </c>
      <c r="C2980" s="3" t="s">
        <v>4493</v>
      </c>
      <c r="D2980" s="3" t="s">
        <v>4985</v>
      </c>
      <c r="F2980" s="3" t="s">
        <v>399</v>
      </c>
      <c r="I2980" s="3" t="s">
        <v>4064</v>
      </c>
    </row>
    <row r="2981" spans="2:9" hidden="1" x14ac:dyDescent="0.4">
      <c r="B2981" s="8" t="s">
        <v>518</v>
      </c>
      <c r="C2981" s="3" t="s">
        <v>5272</v>
      </c>
      <c r="D2981" s="3" t="s">
        <v>5592</v>
      </c>
      <c r="F2981" s="3" t="s">
        <v>402</v>
      </c>
      <c r="I2981" s="3" t="s">
        <v>4064</v>
      </c>
    </row>
    <row r="2982" spans="2:9" hidden="1" x14ac:dyDescent="0.4">
      <c r="B2982" s="8" t="s">
        <v>518</v>
      </c>
      <c r="C2982" s="3" t="s">
        <v>3598</v>
      </c>
      <c r="D2982" s="3" t="s">
        <v>4037</v>
      </c>
      <c r="F2982" s="3" t="s">
        <v>399</v>
      </c>
      <c r="G2982" s="3" t="s">
        <v>402</v>
      </c>
      <c r="I2982" s="3" t="s">
        <v>4063</v>
      </c>
    </row>
    <row r="2983" spans="2:9" hidden="1" x14ac:dyDescent="0.4">
      <c r="B2983" s="8" t="s">
        <v>518</v>
      </c>
      <c r="C2983" s="3" t="s">
        <v>5899</v>
      </c>
      <c r="D2983" s="3" t="s">
        <v>4985</v>
      </c>
      <c r="F2983" s="3" t="s">
        <v>399</v>
      </c>
      <c r="I2983" s="3" t="s">
        <v>4063</v>
      </c>
    </row>
    <row r="2984" spans="2:9" hidden="1" x14ac:dyDescent="0.4">
      <c r="B2984" s="8" t="s">
        <v>518</v>
      </c>
      <c r="C2984" s="3" t="s">
        <v>6245</v>
      </c>
      <c r="D2984" s="3" t="s">
        <v>5592</v>
      </c>
      <c r="F2984" s="3" t="s">
        <v>402</v>
      </c>
      <c r="I2984" s="3" t="s">
        <v>4063</v>
      </c>
    </row>
    <row r="2985" spans="2:9" hidden="1" x14ac:dyDescent="0.4">
      <c r="B2985" s="8" t="s">
        <v>517</v>
      </c>
      <c r="C2985" s="3" t="s">
        <v>2254</v>
      </c>
      <c r="D2985" s="3" t="s">
        <v>2411</v>
      </c>
      <c r="E2985" s="3" t="s">
        <v>1272</v>
      </c>
      <c r="F2985" s="3" t="s">
        <v>399</v>
      </c>
      <c r="I2985" s="3" t="s">
        <v>1833</v>
      </c>
    </row>
    <row r="2986" spans="2:9" hidden="1" x14ac:dyDescent="0.4">
      <c r="B2986" s="8" t="s">
        <v>517</v>
      </c>
      <c r="C2986" s="3" t="s">
        <v>2563</v>
      </c>
      <c r="D2986" s="3" t="s">
        <v>2411</v>
      </c>
      <c r="E2986" s="3" t="s">
        <v>1272</v>
      </c>
      <c r="F2986" s="3" t="s">
        <v>402</v>
      </c>
      <c r="I2986" s="3" t="s">
        <v>1833</v>
      </c>
    </row>
    <row r="2987" spans="2:9" hidden="1" x14ac:dyDescent="0.4">
      <c r="B2987" s="8" t="s">
        <v>517</v>
      </c>
      <c r="C2987" s="3" t="s">
        <v>2976</v>
      </c>
      <c r="D2987" s="3" t="s">
        <v>3214</v>
      </c>
      <c r="E2987" s="3">
        <v>1</v>
      </c>
      <c r="F2987" s="3" t="s">
        <v>3350</v>
      </c>
      <c r="G2987" s="3" t="s">
        <v>988</v>
      </c>
      <c r="H2987" s="3" t="s">
        <v>399</v>
      </c>
      <c r="I2987" s="3" t="s">
        <v>245</v>
      </c>
    </row>
    <row r="2988" spans="2:9" hidden="1" x14ac:dyDescent="0.4">
      <c r="B2988" s="8" t="s">
        <v>517</v>
      </c>
      <c r="C2988" s="3" t="s">
        <v>4140</v>
      </c>
      <c r="D2988" s="3" t="s">
        <v>3740</v>
      </c>
      <c r="F2988" s="3" t="s">
        <v>399</v>
      </c>
      <c r="G2988" s="3" t="s">
        <v>402</v>
      </c>
      <c r="I2988" s="3" t="s">
        <v>4064</v>
      </c>
    </row>
    <row r="2989" spans="2:9" hidden="1" x14ac:dyDescent="0.4">
      <c r="B2989" s="8" t="s">
        <v>517</v>
      </c>
      <c r="C2989" s="3" t="s">
        <v>3432</v>
      </c>
      <c r="D2989" s="3" t="s">
        <v>3740</v>
      </c>
      <c r="F2989" s="3" t="s">
        <v>399</v>
      </c>
      <c r="G2989" s="3" t="s">
        <v>402</v>
      </c>
      <c r="I2989" s="3" t="s">
        <v>4063</v>
      </c>
    </row>
    <row r="2990" spans="2:9" hidden="1" x14ac:dyDescent="0.4">
      <c r="B2990" s="8" t="s">
        <v>517</v>
      </c>
      <c r="C2990" s="3" t="s">
        <v>5764</v>
      </c>
      <c r="D2990" s="3" t="s">
        <v>4753</v>
      </c>
      <c r="F2990" s="3" t="s">
        <v>399</v>
      </c>
      <c r="I2990" s="3" t="s">
        <v>4063</v>
      </c>
    </row>
    <row r="2991" spans="2:9" hidden="1" x14ac:dyDescent="0.4">
      <c r="B2991" s="8" t="s">
        <v>517</v>
      </c>
      <c r="C2991" s="3" t="s">
        <v>6106</v>
      </c>
      <c r="D2991" s="3" t="s">
        <v>5430</v>
      </c>
      <c r="F2991" s="3" t="s">
        <v>402</v>
      </c>
      <c r="I2991" s="3" t="s">
        <v>4063</v>
      </c>
    </row>
    <row r="2992" spans="2:9" hidden="1" x14ac:dyDescent="0.4">
      <c r="B2992" s="8" t="s">
        <v>517</v>
      </c>
      <c r="C2992" s="3" t="s">
        <v>4403</v>
      </c>
      <c r="D2992" s="3" t="s">
        <v>4753</v>
      </c>
      <c r="F2992" s="3" t="s">
        <v>399</v>
      </c>
      <c r="I2992" s="3" t="s">
        <v>4064</v>
      </c>
    </row>
    <row r="2993" spans="2:9" hidden="1" x14ac:dyDescent="0.4">
      <c r="B2993" s="8" t="s">
        <v>517</v>
      </c>
      <c r="C2993" s="3" t="s">
        <v>5107</v>
      </c>
      <c r="D2993" s="3" t="s">
        <v>5430</v>
      </c>
      <c r="F2993" s="3" t="s">
        <v>402</v>
      </c>
      <c r="I2993" s="3" t="s">
        <v>4064</v>
      </c>
    </row>
    <row r="2994" spans="2:9" hidden="1" x14ac:dyDescent="0.4">
      <c r="B2994" s="8" t="s">
        <v>532</v>
      </c>
      <c r="C2994" s="3" t="s">
        <v>3081</v>
      </c>
      <c r="D2994" s="3" t="s">
        <v>3313</v>
      </c>
      <c r="E2994" s="3">
        <v>1</v>
      </c>
      <c r="F2994" s="3" t="s">
        <v>402</v>
      </c>
      <c r="G2994" s="3" t="s">
        <v>1279</v>
      </c>
      <c r="I2994" s="3" t="s">
        <v>245</v>
      </c>
    </row>
    <row r="2995" spans="2:9" hidden="1" x14ac:dyDescent="0.4">
      <c r="B2995" s="8" t="s">
        <v>517</v>
      </c>
      <c r="C2995" s="3" t="s">
        <v>4103</v>
      </c>
      <c r="D2995" s="3" t="s">
        <v>3704</v>
      </c>
      <c r="F2995" s="3" t="s">
        <v>399</v>
      </c>
      <c r="G2995" s="3" t="s">
        <v>402</v>
      </c>
      <c r="I2995" s="3" t="s">
        <v>4064</v>
      </c>
    </row>
    <row r="2996" spans="2:9" hidden="1" x14ac:dyDescent="0.4">
      <c r="B2996" s="8" t="s">
        <v>517</v>
      </c>
      <c r="C2996" s="3" t="s">
        <v>3395</v>
      </c>
      <c r="D2996" s="3" t="s">
        <v>3704</v>
      </c>
      <c r="F2996" s="3" t="s">
        <v>399</v>
      </c>
      <c r="G2996" s="3" t="s">
        <v>402</v>
      </c>
      <c r="I2996" s="3" t="s">
        <v>4063</v>
      </c>
    </row>
    <row r="2997" spans="2:9" hidden="1" x14ac:dyDescent="0.4">
      <c r="B2997" s="8" t="s">
        <v>517</v>
      </c>
      <c r="C2997" s="3" t="s">
        <v>5728</v>
      </c>
      <c r="D2997" s="3" t="s">
        <v>4725</v>
      </c>
      <c r="F2997" s="3" t="s">
        <v>399</v>
      </c>
      <c r="I2997" s="3" t="s">
        <v>4063</v>
      </c>
    </row>
    <row r="2998" spans="2:9" hidden="1" x14ac:dyDescent="0.4">
      <c r="B2998" s="8" t="s">
        <v>517</v>
      </c>
      <c r="C2998" s="3" t="s">
        <v>6069</v>
      </c>
      <c r="D2998" s="3" t="s">
        <v>5394</v>
      </c>
      <c r="F2998" s="3" t="s">
        <v>402</v>
      </c>
      <c r="I2998" s="3" t="s">
        <v>4063</v>
      </c>
    </row>
    <row r="2999" spans="2:9" hidden="1" x14ac:dyDescent="0.4">
      <c r="B2999" s="8" t="s">
        <v>517</v>
      </c>
      <c r="C2999" s="3" t="s">
        <v>4612</v>
      </c>
      <c r="D2999" s="3" t="s">
        <v>4725</v>
      </c>
      <c r="F2999" s="3" t="s">
        <v>399</v>
      </c>
      <c r="I2999" s="3" t="s">
        <v>4064</v>
      </c>
    </row>
    <row r="3000" spans="2:9" hidden="1" x14ac:dyDescent="0.4">
      <c r="B3000" s="8" t="s">
        <v>517</v>
      </c>
      <c r="C3000" s="3" t="s">
        <v>5063</v>
      </c>
      <c r="D3000" s="3" t="s">
        <v>5394</v>
      </c>
      <c r="F3000" s="3" t="s">
        <v>402</v>
      </c>
      <c r="I3000" s="3" t="s">
        <v>4064</v>
      </c>
    </row>
    <row r="3001" spans="2:9" hidden="1" x14ac:dyDescent="0.4">
      <c r="B3001" s="8" t="s">
        <v>517</v>
      </c>
      <c r="C3001" s="3" t="s">
        <v>2261</v>
      </c>
      <c r="D3001" s="3" t="s">
        <v>2418</v>
      </c>
      <c r="E3001" s="3" t="s">
        <v>1272</v>
      </c>
      <c r="F3001" s="3" t="s">
        <v>399</v>
      </c>
      <c r="I3001" s="3" t="s">
        <v>1833</v>
      </c>
    </row>
    <row r="3002" spans="2:9" hidden="1" x14ac:dyDescent="0.4">
      <c r="B3002" s="8" t="s">
        <v>517</v>
      </c>
      <c r="C3002" s="3" t="s">
        <v>2569</v>
      </c>
      <c r="D3002" s="3" t="s">
        <v>2418</v>
      </c>
      <c r="E3002" s="3" t="s">
        <v>1272</v>
      </c>
      <c r="F3002" s="3" t="s">
        <v>402</v>
      </c>
      <c r="I3002" s="3" t="s">
        <v>1833</v>
      </c>
    </row>
    <row r="3003" spans="2:9" hidden="1" x14ac:dyDescent="0.4">
      <c r="B3003" s="8" t="s">
        <v>517</v>
      </c>
      <c r="C3003" s="3" t="s">
        <v>2318</v>
      </c>
      <c r="D3003" s="13" t="s">
        <v>2474</v>
      </c>
      <c r="E3003" s="3" t="s">
        <v>1272</v>
      </c>
      <c r="F3003" s="3" t="s">
        <v>399</v>
      </c>
      <c r="I3003" s="3" t="s">
        <v>1833</v>
      </c>
    </row>
    <row r="3004" spans="2:9" hidden="1" x14ac:dyDescent="0.4">
      <c r="B3004" s="8" t="s">
        <v>517</v>
      </c>
      <c r="C3004" s="3" t="s">
        <v>2618</v>
      </c>
      <c r="D3004" s="13" t="s">
        <v>2474</v>
      </c>
      <c r="E3004" s="3" t="s">
        <v>1272</v>
      </c>
      <c r="F3004" s="3" t="s">
        <v>402</v>
      </c>
      <c r="I3004" s="3" t="s">
        <v>1833</v>
      </c>
    </row>
    <row r="3005" spans="2:9" hidden="1" x14ac:dyDescent="0.4">
      <c r="B3005" s="8" t="s">
        <v>517</v>
      </c>
      <c r="C3005" s="3" t="s">
        <v>2977</v>
      </c>
      <c r="D3005" s="3" t="s">
        <v>3215</v>
      </c>
      <c r="E3005" s="3">
        <v>1</v>
      </c>
      <c r="F3005" s="3" t="s">
        <v>3350</v>
      </c>
      <c r="G3005" s="3" t="s">
        <v>988</v>
      </c>
      <c r="H3005" s="3" t="s">
        <v>399</v>
      </c>
      <c r="I3005" s="3" t="s">
        <v>245</v>
      </c>
    </row>
    <row r="3006" spans="2:9" hidden="1" x14ac:dyDescent="0.4">
      <c r="B3006" s="8" t="s">
        <v>756</v>
      </c>
      <c r="C3006" s="3" t="s">
        <v>769</v>
      </c>
      <c r="D3006" s="3" t="s">
        <v>779</v>
      </c>
      <c r="F3006" s="3" t="s">
        <v>399</v>
      </c>
      <c r="G3006" s="3" t="s">
        <v>402</v>
      </c>
      <c r="I3006" s="3" t="s">
        <v>781</v>
      </c>
    </row>
    <row r="3007" spans="2:9" hidden="1" x14ac:dyDescent="0.4">
      <c r="B3007" s="8" t="s">
        <v>756</v>
      </c>
      <c r="C3007" s="3" t="s">
        <v>794</v>
      </c>
      <c r="D3007" s="3" t="s">
        <v>779</v>
      </c>
      <c r="F3007" s="3" t="s">
        <v>402</v>
      </c>
      <c r="I3007" s="3" t="s">
        <v>781</v>
      </c>
    </row>
    <row r="3008" spans="2:9" hidden="1" x14ac:dyDescent="0.4">
      <c r="B3008" s="8" t="s">
        <v>517</v>
      </c>
      <c r="C3008" s="3" t="s">
        <v>506</v>
      </c>
      <c r="D3008" s="3" t="s">
        <v>676</v>
      </c>
      <c r="F3008" s="3" t="s">
        <v>522</v>
      </c>
      <c r="I3008" s="3" t="s">
        <v>510</v>
      </c>
    </row>
    <row r="3009" spans="2:9" hidden="1" x14ac:dyDescent="0.4">
      <c r="B3009" s="8" t="s">
        <v>517</v>
      </c>
      <c r="C3009" s="3" t="s">
        <v>702</v>
      </c>
      <c r="D3009" s="3" t="s">
        <v>676</v>
      </c>
      <c r="F3009" s="3" t="s">
        <v>684</v>
      </c>
      <c r="I3009" s="3" t="s">
        <v>510</v>
      </c>
    </row>
    <row r="3010" spans="2:9" hidden="1" x14ac:dyDescent="0.4">
      <c r="B3010" s="8" t="s">
        <v>517</v>
      </c>
      <c r="C3010" s="3" t="s">
        <v>483</v>
      </c>
      <c r="D3010" s="3" t="s">
        <v>678</v>
      </c>
      <c r="F3010" s="3" t="s">
        <v>522</v>
      </c>
      <c r="I3010" s="3" t="s">
        <v>510</v>
      </c>
    </row>
    <row r="3011" spans="2:9" hidden="1" x14ac:dyDescent="0.4">
      <c r="B3011" s="8" t="s">
        <v>517</v>
      </c>
      <c r="C3011" s="3" t="s">
        <v>703</v>
      </c>
      <c r="D3011" s="3" t="s">
        <v>678</v>
      </c>
      <c r="F3011" s="3" t="s">
        <v>684</v>
      </c>
      <c r="I3011" s="3" t="s">
        <v>510</v>
      </c>
    </row>
    <row r="3012" spans="2:9" hidden="1" x14ac:dyDescent="0.4">
      <c r="B3012" s="8" t="s">
        <v>518</v>
      </c>
      <c r="C3012" s="3" t="s">
        <v>974</v>
      </c>
      <c r="D3012" s="3" t="s">
        <v>986</v>
      </c>
      <c r="F3012" s="3" t="s">
        <v>399</v>
      </c>
      <c r="I3012" s="3" t="s">
        <v>510</v>
      </c>
    </row>
    <row r="3013" spans="2:9" hidden="1" x14ac:dyDescent="0.4">
      <c r="B3013" s="8" t="s">
        <v>518</v>
      </c>
      <c r="C3013" s="3" t="s">
        <v>1133</v>
      </c>
      <c r="D3013" s="3" t="s">
        <v>1140</v>
      </c>
      <c r="F3013" s="3" t="s">
        <v>402</v>
      </c>
      <c r="I3013" s="3" t="s">
        <v>510</v>
      </c>
    </row>
    <row r="3014" spans="2:9" hidden="1" x14ac:dyDescent="0.4">
      <c r="B3014" s="8" t="s">
        <v>518</v>
      </c>
      <c r="C3014" s="3" t="s">
        <v>1091</v>
      </c>
      <c r="D3014" s="3" t="s">
        <v>1094</v>
      </c>
      <c r="F3014" s="3" t="s">
        <v>402</v>
      </c>
      <c r="G3014" s="3" t="s">
        <v>399</v>
      </c>
      <c r="H3014" s="3" t="s">
        <v>988</v>
      </c>
      <c r="I3014" s="3" t="s">
        <v>510</v>
      </c>
    </row>
    <row r="3015" spans="2:9" hidden="1" x14ac:dyDescent="0.4">
      <c r="B3015" s="8" t="s">
        <v>518</v>
      </c>
      <c r="C3015" s="3" t="s">
        <v>1103</v>
      </c>
      <c r="D3015" s="3" t="s">
        <v>1094</v>
      </c>
      <c r="F3015" s="3" t="s">
        <v>402</v>
      </c>
      <c r="I3015" s="3" t="s">
        <v>510</v>
      </c>
    </row>
    <row r="3016" spans="2:9" hidden="1" x14ac:dyDescent="0.4">
      <c r="B3016" s="8" t="s">
        <v>518</v>
      </c>
      <c r="C3016" s="3" t="s">
        <v>1112</v>
      </c>
      <c r="D3016" s="3" t="s">
        <v>1094</v>
      </c>
      <c r="F3016" s="3" t="s">
        <v>399</v>
      </c>
      <c r="I3016" s="3" t="s">
        <v>510</v>
      </c>
    </row>
    <row r="3017" spans="2:9" hidden="1" x14ac:dyDescent="0.4">
      <c r="B3017" s="8" t="s">
        <v>517</v>
      </c>
      <c r="C3017" s="3" t="s">
        <v>3003</v>
      </c>
      <c r="D3017" s="3" t="s">
        <v>3239</v>
      </c>
      <c r="E3017" s="3">
        <v>1</v>
      </c>
      <c r="F3017" s="3" t="s">
        <v>402</v>
      </c>
      <c r="G3017" s="3" t="s">
        <v>988</v>
      </c>
      <c r="H3017" s="3" t="s">
        <v>399</v>
      </c>
      <c r="I3017" s="3" t="s">
        <v>245</v>
      </c>
    </row>
    <row r="3018" spans="2:9" hidden="1" x14ac:dyDescent="0.4">
      <c r="B3018" s="8" t="s">
        <v>516</v>
      </c>
      <c r="C3018" s="3" t="s">
        <v>3535</v>
      </c>
      <c r="D3018" s="3" t="s">
        <v>3841</v>
      </c>
      <c r="F3018" s="3" t="s">
        <v>399</v>
      </c>
      <c r="G3018" s="3" t="s">
        <v>402</v>
      </c>
      <c r="I3018" s="3" t="s">
        <v>4063</v>
      </c>
    </row>
    <row r="3019" spans="2:9" hidden="1" x14ac:dyDescent="0.4">
      <c r="B3019" s="8" t="s">
        <v>516</v>
      </c>
      <c r="C3019" s="3" t="s">
        <v>3535</v>
      </c>
      <c r="D3019" s="3" t="s">
        <v>3841</v>
      </c>
      <c r="F3019" s="3" t="s">
        <v>399</v>
      </c>
      <c r="G3019" s="3" t="s">
        <v>402</v>
      </c>
      <c r="I3019" s="3" t="s">
        <v>4064</v>
      </c>
    </row>
    <row r="3020" spans="2:9" hidden="1" x14ac:dyDescent="0.4">
      <c r="B3020" s="8" t="s">
        <v>516</v>
      </c>
      <c r="C3020" s="3" t="s">
        <v>5847</v>
      </c>
      <c r="D3020" s="3" t="s">
        <v>4808</v>
      </c>
      <c r="F3020" s="3" t="s">
        <v>399</v>
      </c>
      <c r="I3020" s="3" t="s">
        <v>4063</v>
      </c>
    </row>
    <row r="3021" spans="2:9" hidden="1" x14ac:dyDescent="0.4">
      <c r="B3021" s="8" t="s">
        <v>516</v>
      </c>
      <c r="C3021" s="3" t="s">
        <v>6191</v>
      </c>
      <c r="D3021" s="3" t="s">
        <v>5531</v>
      </c>
      <c r="F3021" s="3" t="s">
        <v>402</v>
      </c>
      <c r="I3021" s="3" t="s">
        <v>4063</v>
      </c>
    </row>
    <row r="3022" spans="2:9" hidden="1" x14ac:dyDescent="0.4">
      <c r="B3022" s="8" t="s">
        <v>516</v>
      </c>
      <c r="C3022" s="3" t="s">
        <v>4577</v>
      </c>
      <c r="D3022" s="3" t="s">
        <v>4808</v>
      </c>
      <c r="F3022" s="3" t="s">
        <v>399</v>
      </c>
      <c r="I3022" s="3" t="s">
        <v>4064</v>
      </c>
    </row>
    <row r="3023" spans="2:9" hidden="1" x14ac:dyDescent="0.4">
      <c r="B3023" s="8" t="s">
        <v>516</v>
      </c>
      <c r="C3023" s="3" t="s">
        <v>5209</v>
      </c>
      <c r="D3023" s="3" t="s">
        <v>5531</v>
      </c>
      <c r="F3023" s="3" t="s">
        <v>402</v>
      </c>
      <c r="I3023" s="3" t="s">
        <v>4064</v>
      </c>
    </row>
    <row r="3024" spans="2:9" ht="29.25" hidden="1" x14ac:dyDescent="0.4">
      <c r="B3024" s="8" t="s">
        <v>4057</v>
      </c>
      <c r="C3024" s="3" t="s">
        <v>4231</v>
      </c>
      <c r="D3024" s="3" t="s">
        <v>3842</v>
      </c>
      <c r="F3024" s="3" t="s">
        <v>399</v>
      </c>
      <c r="G3024" s="3" t="s">
        <v>402</v>
      </c>
      <c r="I3024" s="3" t="s">
        <v>4064</v>
      </c>
    </row>
    <row r="3025" spans="2:9" ht="29.25" hidden="1" x14ac:dyDescent="0.4">
      <c r="B3025" s="8" t="s">
        <v>4057</v>
      </c>
      <c r="C3025" s="3" t="s">
        <v>4665</v>
      </c>
      <c r="D3025" s="3" t="s">
        <v>4809</v>
      </c>
      <c r="F3025" s="3" t="s">
        <v>399</v>
      </c>
      <c r="I3025" s="3" t="s">
        <v>4064</v>
      </c>
    </row>
    <row r="3026" spans="2:9" ht="29.25" hidden="1" x14ac:dyDescent="0.4">
      <c r="B3026" s="8" t="s">
        <v>4057</v>
      </c>
      <c r="C3026" s="3" t="s">
        <v>5210</v>
      </c>
      <c r="D3026" s="3" t="s">
        <v>5532</v>
      </c>
      <c r="F3026" s="3" t="s">
        <v>402</v>
      </c>
      <c r="I3026" s="3" t="s">
        <v>4064</v>
      </c>
    </row>
    <row r="3027" spans="2:9" ht="29.25" hidden="1" x14ac:dyDescent="0.4">
      <c r="B3027" s="8" t="s">
        <v>4057</v>
      </c>
      <c r="C3027" s="3" t="s">
        <v>3536</v>
      </c>
      <c r="D3027" s="3" t="s">
        <v>3842</v>
      </c>
      <c r="F3027" s="3" t="s">
        <v>399</v>
      </c>
      <c r="G3027" s="3" t="s">
        <v>402</v>
      </c>
      <c r="I3027" s="3" t="s">
        <v>4063</v>
      </c>
    </row>
    <row r="3028" spans="2:9" ht="29.25" hidden="1" x14ac:dyDescent="0.4">
      <c r="B3028" s="8" t="s">
        <v>4057</v>
      </c>
      <c r="C3028" s="3" t="s">
        <v>6028</v>
      </c>
      <c r="D3028" s="3" t="s">
        <v>4809</v>
      </c>
      <c r="F3028" s="3" t="s">
        <v>399</v>
      </c>
      <c r="I3028" s="3" t="s">
        <v>4063</v>
      </c>
    </row>
    <row r="3029" spans="2:9" ht="43.9" hidden="1" x14ac:dyDescent="0.4">
      <c r="B3029" s="8" t="s">
        <v>4057</v>
      </c>
      <c r="C3029" s="3" t="s">
        <v>6192</v>
      </c>
      <c r="D3029" s="3" t="s">
        <v>5532</v>
      </c>
      <c r="F3029" s="3" t="s">
        <v>402</v>
      </c>
      <c r="I3029" s="3" t="s">
        <v>4063</v>
      </c>
    </row>
    <row r="3030" spans="2:9" hidden="1" x14ac:dyDescent="0.4">
      <c r="B3030" s="8" t="s">
        <v>4055</v>
      </c>
      <c r="C3030" s="3" t="s">
        <v>4246</v>
      </c>
      <c r="D3030" s="3" t="s">
        <v>3860</v>
      </c>
      <c r="F3030" s="3" t="s">
        <v>399</v>
      </c>
      <c r="G3030" s="3" t="s">
        <v>402</v>
      </c>
      <c r="I3030" s="3" t="s">
        <v>4064</v>
      </c>
    </row>
    <row r="3031" spans="2:9" hidden="1" x14ac:dyDescent="0.4">
      <c r="B3031" s="8" t="s">
        <v>4055</v>
      </c>
      <c r="C3031" s="3" t="s">
        <v>4669</v>
      </c>
      <c r="D3031" s="3" t="s">
        <v>4824</v>
      </c>
      <c r="F3031" s="3" t="s">
        <v>399</v>
      </c>
      <c r="I3031" s="3" t="s">
        <v>4064</v>
      </c>
    </row>
    <row r="3032" spans="2:9" hidden="1" x14ac:dyDescent="0.4">
      <c r="B3032" s="8" t="s">
        <v>4055</v>
      </c>
      <c r="C3032" s="3" t="s">
        <v>5227</v>
      </c>
      <c r="D3032" s="3" t="s">
        <v>5549</v>
      </c>
      <c r="F3032" s="3" t="s">
        <v>402</v>
      </c>
      <c r="I3032" s="3" t="s">
        <v>4064</v>
      </c>
    </row>
    <row r="3033" spans="2:9" hidden="1" x14ac:dyDescent="0.4">
      <c r="B3033" s="8" t="s">
        <v>4055</v>
      </c>
      <c r="C3033" s="3" t="s">
        <v>3553</v>
      </c>
      <c r="D3033" s="3" t="s">
        <v>3860</v>
      </c>
      <c r="F3033" s="3" t="s">
        <v>399</v>
      </c>
      <c r="G3033" s="3" t="s">
        <v>402</v>
      </c>
      <c r="I3033" s="3" t="s">
        <v>4063</v>
      </c>
    </row>
    <row r="3034" spans="2:9" hidden="1" x14ac:dyDescent="0.4">
      <c r="B3034" s="8" t="s">
        <v>4055</v>
      </c>
      <c r="C3034" s="3" t="s">
        <v>6208</v>
      </c>
      <c r="D3034" s="3" t="s">
        <v>5549</v>
      </c>
      <c r="F3034" s="3" t="s">
        <v>402</v>
      </c>
      <c r="I3034" s="3" t="s">
        <v>4063</v>
      </c>
    </row>
    <row r="3035" spans="2:9" hidden="1" x14ac:dyDescent="0.4">
      <c r="B3035" s="8" t="s">
        <v>4055</v>
      </c>
      <c r="C3035" s="3" t="s">
        <v>5863</v>
      </c>
      <c r="D3035" s="3" t="s">
        <v>4824</v>
      </c>
      <c r="F3035" s="3" t="s">
        <v>399</v>
      </c>
      <c r="I3035" s="3" t="s">
        <v>4063</v>
      </c>
    </row>
    <row r="3036" spans="2:9" hidden="1" x14ac:dyDescent="0.4">
      <c r="B3036" s="8" t="s">
        <v>517</v>
      </c>
      <c r="C3036" s="3" t="s">
        <v>3039</v>
      </c>
      <c r="D3036" s="3" t="s">
        <v>3275</v>
      </c>
      <c r="E3036" s="3">
        <v>1</v>
      </c>
      <c r="F3036" s="3" t="s">
        <v>402</v>
      </c>
      <c r="G3036" s="3" t="s">
        <v>399</v>
      </c>
      <c r="H3036" s="3" t="s">
        <v>988</v>
      </c>
      <c r="I3036" s="3" t="s">
        <v>245</v>
      </c>
    </row>
    <row r="3037" spans="2:9" hidden="1" x14ac:dyDescent="0.4">
      <c r="B3037" s="8" t="s">
        <v>517</v>
      </c>
      <c r="C3037" s="3" t="s">
        <v>4211</v>
      </c>
      <c r="D3037" s="3" t="s">
        <v>3817</v>
      </c>
      <c r="F3037" s="3" t="s">
        <v>399</v>
      </c>
      <c r="G3037" s="3" t="s">
        <v>402</v>
      </c>
      <c r="I3037" s="3" t="s">
        <v>4064</v>
      </c>
    </row>
    <row r="3038" spans="2:9" hidden="1" x14ac:dyDescent="0.4">
      <c r="B3038" s="8" t="s">
        <v>517</v>
      </c>
      <c r="C3038" s="3" t="s">
        <v>3514</v>
      </c>
      <c r="D3038" s="3" t="s">
        <v>3817</v>
      </c>
      <c r="F3038" s="3" t="s">
        <v>399</v>
      </c>
      <c r="G3038" s="3" t="s">
        <v>402</v>
      </c>
      <c r="I3038" s="3" t="s">
        <v>4063</v>
      </c>
    </row>
    <row r="3039" spans="2:9" hidden="1" x14ac:dyDescent="0.4">
      <c r="B3039" s="8" t="s">
        <v>517</v>
      </c>
      <c r="C3039" s="3" t="s">
        <v>5828</v>
      </c>
      <c r="D3039" s="3" t="s">
        <v>4786</v>
      </c>
      <c r="F3039" s="3" t="s">
        <v>399</v>
      </c>
      <c r="I3039" s="3" t="s">
        <v>4063</v>
      </c>
    </row>
    <row r="3040" spans="2:9" hidden="1" x14ac:dyDescent="0.4">
      <c r="B3040" s="8" t="s">
        <v>517</v>
      </c>
      <c r="C3040" s="3" t="s">
        <v>6171</v>
      </c>
      <c r="D3040" s="3" t="s">
        <v>5507</v>
      </c>
      <c r="F3040" s="3" t="s">
        <v>402</v>
      </c>
      <c r="I3040" s="3" t="s">
        <v>4063</v>
      </c>
    </row>
    <row r="3041" spans="2:9" hidden="1" x14ac:dyDescent="0.4">
      <c r="B3041" s="8" t="s">
        <v>517</v>
      </c>
      <c r="C3041" s="3" t="s">
        <v>4438</v>
      </c>
      <c r="D3041" s="3" t="s">
        <v>4786</v>
      </c>
      <c r="F3041" s="3" t="s">
        <v>399</v>
      </c>
      <c r="I3041" s="3" t="s">
        <v>4064</v>
      </c>
    </row>
    <row r="3042" spans="2:9" hidden="1" x14ac:dyDescent="0.4">
      <c r="B3042" s="8" t="s">
        <v>517</v>
      </c>
      <c r="C3042" s="3" t="s">
        <v>5186</v>
      </c>
      <c r="D3042" s="3" t="s">
        <v>5507</v>
      </c>
      <c r="F3042" s="3" t="s">
        <v>402</v>
      </c>
      <c r="I3042" s="3" t="s">
        <v>4064</v>
      </c>
    </row>
    <row r="3043" spans="2:9" hidden="1" x14ac:dyDescent="0.4">
      <c r="B3043" s="8" t="s">
        <v>516</v>
      </c>
      <c r="C3043" s="3" t="s">
        <v>4192</v>
      </c>
      <c r="D3043" s="3" t="s">
        <v>3796</v>
      </c>
      <c r="F3043" s="3" t="s">
        <v>399</v>
      </c>
      <c r="G3043" s="3" t="s">
        <v>402</v>
      </c>
      <c r="I3043" s="3" t="s">
        <v>4064</v>
      </c>
    </row>
    <row r="3044" spans="2:9" hidden="1" x14ac:dyDescent="0.4">
      <c r="B3044" s="8" t="s">
        <v>516</v>
      </c>
      <c r="C3044" s="3" t="s">
        <v>4653</v>
      </c>
      <c r="D3044" s="3" t="s">
        <v>4915</v>
      </c>
      <c r="F3044" s="3" t="s">
        <v>399</v>
      </c>
      <c r="I3044" s="3" t="s">
        <v>4064</v>
      </c>
    </row>
    <row r="3045" spans="2:9" hidden="1" x14ac:dyDescent="0.4">
      <c r="B3045" s="8" t="s">
        <v>516</v>
      </c>
      <c r="C3045" s="3" t="s">
        <v>5164</v>
      </c>
      <c r="D3045" s="3" t="s">
        <v>5485</v>
      </c>
      <c r="F3045" s="3" t="s">
        <v>402</v>
      </c>
      <c r="I3045" s="3" t="s">
        <v>4064</v>
      </c>
    </row>
    <row r="3046" spans="2:9" hidden="1" x14ac:dyDescent="0.4">
      <c r="B3046" s="8" t="s">
        <v>516</v>
      </c>
      <c r="C3046" s="3" t="s">
        <v>3491</v>
      </c>
      <c r="D3046" s="3" t="s">
        <v>3796</v>
      </c>
      <c r="F3046" s="3" t="s">
        <v>399</v>
      </c>
      <c r="G3046" s="3" t="s">
        <v>402</v>
      </c>
      <c r="I3046" s="3" t="s">
        <v>4063</v>
      </c>
    </row>
    <row r="3047" spans="2:9" hidden="1" x14ac:dyDescent="0.4">
      <c r="B3047" s="8" t="s">
        <v>516</v>
      </c>
      <c r="C3047" s="3" t="s">
        <v>5812</v>
      </c>
      <c r="D3047" s="3" t="s">
        <v>4915</v>
      </c>
      <c r="F3047" s="3" t="s">
        <v>399</v>
      </c>
      <c r="I3047" s="3" t="s">
        <v>4063</v>
      </c>
    </row>
    <row r="3048" spans="2:9" ht="29.25" hidden="1" x14ac:dyDescent="0.4">
      <c r="B3048" s="8" t="s">
        <v>516</v>
      </c>
      <c r="C3048" s="3" t="s">
        <v>6155</v>
      </c>
      <c r="D3048" s="3" t="s">
        <v>5485</v>
      </c>
      <c r="F3048" s="3" t="s">
        <v>402</v>
      </c>
      <c r="I3048" s="3" t="s">
        <v>4063</v>
      </c>
    </row>
    <row r="3049" spans="2:9" hidden="1" x14ac:dyDescent="0.4">
      <c r="B3049" s="8" t="s">
        <v>518</v>
      </c>
      <c r="C3049" s="3" t="s">
        <v>3531</v>
      </c>
      <c r="D3049" s="3" t="s">
        <v>3835</v>
      </c>
      <c r="F3049" s="3" t="s">
        <v>399</v>
      </c>
      <c r="G3049" s="3" t="s">
        <v>402</v>
      </c>
      <c r="I3049" s="3" t="s">
        <v>4063</v>
      </c>
    </row>
    <row r="3050" spans="2:9" hidden="1" x14ac:dyDescent="0.4">
      <c r="B3050" s="8" t="s">
        <v>518</v>
      </c>
      <c r="C3050" s="3" t="s">
        <v>5843</v>
      </c>
      <c r="D3050" s="3" t="s">
        <v>4803</v>
      </c>
      <c r="F3050" s="3" t="s">
        <v>399</v>
      </c>
      <c r="I3050" s="3" t="s">
        <v>4063</v>
      </c>
    </row>
    <row r="3051" spans="2:9" hidden="1" x14ac:dyDescent="0.4">
      <c r="B3051" s="8" t="s">
        <v>518</v>
      </c>
      <c r="C3051" s="3" t="s">
        <v>6186</v>
      </c>
      <c r="D3051" s="3" t="s">
        <v>5525</v>
      </c>
      <c r="F3051" s="3" t="s">
        <v>402</v>
      </c>
      <c r="I3051" s="3" t="s">
        <v>4063</v>
      </c>
    </row>
    <row r="3052" spans="2:9" hidden="1" x14ac:dyDescent="0.4">
      <c r="B3052" s="8" t="s">
        <v>518</v>
      </c>
      <c r="C3052" s="3" t="s">
        <v>4226</v>
      </c>
      <c r="D3052" s="3" t="s">
        <v>3835</v>
      </c>
      <c r="F3052" s="3" t="s">
        <v>399</v>
      </c>
      <c r="G3052" s="3" t="s">
        <v>402</v>
      </c>
      <c r="I3052" s="3" t="s">
        <v>4064</v>
      </c>
    </row>
    <row r="3053" spans="2:9" hidden="1" x14ac:dyDescent="0.4">
      <c r="B3053" s="8" t="s">
        <v>518</v>
      </c>
      <c r="C3053" s="3" t="s">
        <v>4453</v>
      </c>
      <c r="D3053" s="3" t="s">
        <v>4803</v>
      </c>
      <c r="F3053" s="3" t="s">
        <v>399</v>
      </c>
      <c r="I3053" s="3" t="s">
        <v>4064</v>
      </c>
    </row>
    <row r="3054" spans="2:9" hidden="1" x14ac:dyDescent="0.4">
      <c r="B3054" s="8" t="s">
        <v>518</v>
      </c>
      <c r="C3054" s="3" t="s">
        <v>5204</v>
      </c>
      <c r="D3054" s="3" t="s">
        <v>5525</v>
      </c>
      <c r="F3054" s="3" t="s">
        <v>402</v>
      </c>
      <c r="I3054" s="3" t="s">
        <v>4064</v>
      </c>
    </row>
    <row r="3055" spans="2:9" hidden="1" x14ac:dyDescent="0.4">
      <c r="B3055" s="8" t="s">
        <v>520</v>
      </c>
      <c r="C3055" s="3" t="s">
        <v>2276</v>
      </c>
      <c r="D3055" s="3" t="s">
        <v>2434</v>
      </c>
      <c r="E3055" s="3" t="s">
        <v>1272</v>
      </c>
      <c r="F3055" s="3" t="s">
        <v>399</v>
      </c>
      <c r="I3055" s="3" t="s">
        <v>1833</v>
      </c>
    </row>
    <row r="3056" spans="2:9" hidden="1" x14ac:dyDescent="0.4">
      <c r="B3056" s="8" t="s">
        <v>520</v>
      </c>
      <c r="C3056" s="3" t="s">
        <v>2582</v>
      </c>
      <c r="D3056" s="3" t="s">
        <v>2434</v>
      </c>
      <c r="E3056" s="3" t="s">
        <v>1272</v>
      </c>
      <c r="F3056" s="3" t="s">
        <v>402</v>
      </c>
      <c r="I3056" s="3" t="s">
        <v>1833</v>
      </c>
    </row>
    <row r="3057" spans="2:9" hidden="1" x14ac:dyDescent="0.4">
      <c r="B3057" s="8" t="s">
        <v>517</v>
      </c>
      <c r="C3057" s="3" t="s">
        <v>3489</v>
      </c>
      <c r="D3057" s="3" t="s">
        <v>3794</v>
      </c>
      <c r="F3057" s="3" t="s">
        <v>399</v>
      </c>
      <c r="G3057" s="3" t="s">
        <v>402</v>
      </c>
      <c r="I3057" s="3" t="s">
        <v>4063</v>
      </c>
    </row>
    <row r="3058" spans="2:9" hidden="1" x14ac:dyDescent="0.4">
      <c r="B3058" s="8" t="s">
        <v>517</v>
      </c>
      <c r="C3058" s="3" t="s">
        <v>3489</v>
      </c>
      <c r="D3058" s="3" t="s">
        <v>3794</v>
      </c>
      <c r="F3058" s="3" t="s">
        <v>399</v>
      </c>
      <c r="G3058" s="3" t="s">
        <v>402</v>
      </c>
      <c r="I3058" s="3" t="s">
        <v>4064</v>
      </c>
    </row>
    <row r="3059" spans="2:9" hidden="1" x14ac:dyDescent="0.4">
      <c r="B3059" s="8" t="s">
        <v>517</v>
      </c>
      <c r="C3059" s="3" t="s">
        <v>5992</v>
      </c>
      <c r="D3059" s="3" t="s">
        <v>4941</v>
      </c>
      <c r="F3059" s="3" t="s">
        <v>399</v>
      </c>
      <c r="I3059" s="3" t="s">
        <v>4063</v>
      </c>
    </row>
    <row r="3060" spans="2:9" hidden="1" x14ac:dyDescent="0.4">
      <c r="B3060" s="8" t="s">
        <v>517</v>
      </c>
      <c r="C3060" s="3" t="s">
        <v>6341</v>
      </c>
      <c r="D3060" s="3" t="s">
        <v>5483</v>
      </c>
      <c r="F3060" s="3" t="s">
        <v>402</v>
      </c>
      <c r="I3060" s="3" t="s">
        <v>4063</v>
      </c>
    </row>
    <row r="3061" spans="2:9" hidden="1" x14ac:dyDescent="0.4">
      <c r="B3061" s="8" t="s">
        <v>517</v>
      </c>
      <c r="C3061" s="3" t="s">
        <v>4426</v>
      </c>
      <c r="D3061" s="3" t="s">
        <v>4941</v>
      </c>
      <c r="F3061" s="3" t="s">
        <v>399</v>
      </c>
      <c r="I3061" s="3" t="s">
        <v>4064</v>
      </c>
    </row>
    <row r="3062" spans="2:9" hidden="1" x14ac:dyDescent="0.4">
      <c r="B3062" s="8" t="s">
        <v>517</v>
      </c>
      <c r="C3062" s="3" t="s">
        <v>5162</v>
      </c>
      <c r="D3062" s="3" t="s">
        <v>5483</v>
      </c>
      <c r="F3062" s="3" t="s">
        <v>402</v>
      </c>
      <c r="I3062" s="3" t="s">
        <v>4064</v>
      </c>
    </row>
    <row r="3063" spans="2:9" hidden="1" x14ac:dyDescent="0.4">
      <c r="B3063" s="8" t="s">
        <v>517</v>
      </c>
      <c r="C3063" s="3" t="s">
        <v>3521</v>
      </c>
      <c r="D3063" s="3" t="s">
        <v>3824</v>
      </c>
      <c r="F3063" s="3" t="s">
        <v>399</v>
      </c>
      <c r="G3063" s="3" t="s">
        <v>402</v>
      </c>
      <c r="I3063" s="3" t="s">
        <v>4063</v>
      </c>
    </row>
    <row r="3064" spans="2:9" hidden="1" x14ac:dyDescent="0.4">
      <c r="B3064" s="8" t="s">
        <v>517</v>
      </c>
      <c r="C3064" s="3" t="s">
        <v>3521</v>
      </c>
      <c r="D3064" s="3" t="s">
        <v>3824</v>
      </c>
      <c r="F3064" s="3" t="s">
        <v>399</v>
      </c>
      <c r="G3064" s="3" t="s">
        <v>402</v>
      </c>
      <c r="I3064" s="3" t="s">
        <v>4064</v>
      </c>
    </row>
    <row r="3065" spans="2:9" hidden="1" x14ac:dyDescent="0.4">
      <c r="B3065" s="8" t="s">
        <v>517</v>
      </c>
      <c r="C3065" s="3" t="s">
        <v>6000</v>
      </c>
      <c r="D3065" s="3" t="s">
        <v>4792</v>
      </c>
      <c r="F3065" s="3" t="s">
        <v>399</v>
      </c>
      <c r="I3065" s="3" t="s">
        <v>4063</v>
      </c>
    </row>
    <row r="3066" spans="2:9" hidden="1" x14ac:dyDescent="0.4">
      <c r="B3066" s="8" t="s">
        <v>517</v>
      </c>
      <c r="C3066" s="3" t="s">
        <v>6349</v>
      </c>
      <c r="D3066" s="3" t="s">
        <v>5514</v>
      </c>
      <c r="F3066" s="3" t="s">
        <v>402</v>
      </c>
      <c r="I3066" s="3" t="s">
        <v>4063</v>
      </c>
    </row>
    <row r="3067" spans="2:9" hidden="1" x14ac:dyDescent="0.4">
      <c r="B3067" s="8" t="s">
        <v>517</v>
      </c>
      <c r="C3067" s="3" t="s">
        <v>4443</v>
      </c>
      <c r="D3067" s="3" t="s">
        <v>4792</v>
      </c>
      <c r="F3067" s="3" t="s">
        <v>399</v>
      </c>
      <c r="I3067" s="3" t="s">
        <v>4064</v>
      </c>
    </row>
    <row r="3068" spans="2:9" hidden="1" x14ac:dyDescent="0.4">
      <c r="B3068" s="8" t="s">
        <v>517</v>
      </c>
      <c r="C3068" s="3" t="s">
        <v>5193</v>
      </c>
      <c r="D3068" s="3" t="s">
        <v>5514</v>
      </c>
      <c r="F3068" s="3" t="s">
        <v>402</v>
      </c>
      <c r="I3068" s="3" t="s">
        <v>4064</v>
      </c>
    </row>
    <row r="3069" spans="2:9" hidden="1" x14ac:dyDescent="0.4">
      <c r="B3069" s="8" t="s">
        <v>531</v>
      </c>
      <c r="C3069" s="3" t="s">
        <v>1397</v>
      </c>
      <c r="D3069" s="3" t="s">
        <v>1431</v>
      </c>
      <c r="F3069" s="3" t="s">
        <v>399</v>
      </c>
      <c r="G3069" s="3" t="s">
        <v>402</v>
      </c>
      <c r="H3069" s="3" t="s">
        <v>1279</v>
      </c>
      <c r="I3069" s="3" t="s">
        <v>1414</v>
      </c>
    </row>
    <row r="3070" spans="2:9" hidden="1" x14ac:dyDescent="0.4">
      <c r="B3070" s="8" t="s">
        <v>531</v>
      </c>
      <c r="C3070" s="3" t="s">
        <v>1541</v>
      </c>
      <c r="D3070" s="3" t="s">
        <v>1431</v>
      </c>
      <c r="F3070" s="3" t="s">
        <v>402</v>
      </c>
      <c r="I3070" s="3" t="s">
        <v>1414</v>
      </c>
    </row>
    <row r="3071" spans="2:9" hidden="1" x14ac:dyDescent="0.4">
      <c r="B3071" s="8" t="s">
        <v>520</v>
      </c>
      <c r="C3071" s="3" t="s">
        <v>1470</v>
      </c>
      <c r="D3071" s="3" t="s">
        <v>1511</v>
      </c>
      <c r="F3071" s="3" t="s">
        <v>399</v>
      </c>
      <c r="G3071" s="3" t="s">
        <v>402</v>
      </c>
      <c r="I3071" s="3" t="s">
        <v>1489</v>
      </c>
    </row>
    <row r="3072" spans="2:9" hidden="1" x14ac:dyDescent="0.4">
      <c r="B3072" s="8" t="s">
        <v>520</v>
      </c>
      <c r="C3072" s="3" t="s">
        <v>1580</v>
      </c>
      <c r="D3072" s="3" t="s">
        <v>1511</v>
      </c>
      <c r="F3072" s="3" t="s">
        <v>402</v>
      </c>
      <c r="I3072" s="3" t="s">
        <v>1489</v>
      </c>
    </row>
    <row r="3073" spans="2:9" hidden="1" x14ac:dyDescent="0.4">
      <c r="B3073" s="8" t="s">
        <v>517</v>
      </c>
      <c r="C3073" s="3" t="s">
        <v>2935</v>
      </c>
      <c r="D3073" s="3" t="s">
        <v>3172</v>
      </c>
      <c r="E3073" s="3">
        <v>1</v>
      </c>
      <c r="F3073" s="3" t="s">
        <v>402</v>
      </c>
      <c r="G3073" s="3" t="s">
        <v>988</v>
      </c>
      <c r="H3073" s="3" t="s">
        <v>399</v>
      </c>
      <c r="I3073" s="3" t="s">
        <v>245</v>
      </c>
    </row>
    <row r="3074" spans="2:9" hidden="1" x14ac:dyDescent="0.4">
      <c r="B3074" s="8" t="s">
        <v>1006</v>
      </c>
      <c r="C3074" s="3" t="s">
        <v>3638</v>
      </c>
      <c r="D3074" s="3" t="s">
        <v>3931</v>
      </c>
      <c r="F3074" s="3" t="s">
        <v>399</v>
      </c>
      <c r="G3074" s="3" t="s">
        <v>402</v>
      </c>
      <c r="I3074" s="3" t="s">
        <v>4063</v>
      </c>
    </row>
    <row r="3075" spans="2:9" hidden="1" x14ac:dyDescent="0.4">
      <c r="B3075" s="8" t="s">
        <v>1006</v>
      </c>
      <c r="C3075" s="3" t="s">
        <v>5942</v>
      </c>
      <c r="D3075" s="3" t="s">
        <v>4858</v>
      </c>
      <c r="F3075" s="3" t="s">
        <v>399</v>
      </c>
      <c r="I3075" s="3" t="s">
        <v>4063</v>
      </c>
    </row>
    <row r="3076" spans="2:9" hidden="1" x14ac:dyDescent="0.4">
      <c r="B3076" s="8" t="s">
        <v>1006</v>
      </c>
      <c r="C3076" s="3" t="s">
        <v>6288</v>
      </c>
      <c r="D3076" s="3" t="s">
        <v>5637</v>
      </c>
      <c r="F3076" s="3" t="s">
        <v>402</v>
      </c>
      <c r="I3076" s="3" t="s">
        <v>4063</v>
      </c>
    </row>
    <row r="3077" spans="2:9" hidden="1" x14ac:dyDescent="0.4">
      <c r="B3077" s="8" t="s">
        <v>1006</v>
      </c>
      <c r="C3077" s="3" t="s">
        <v>4317</v>
      </c>
      <c r="D3077" s="3" t="s">
        <v>3931</v>
      </c>
      <c r="F3077" s="3" t="s">
        <v>399</v>
      </c>
      <c r="G3077" s="3" t="s">
        <v>402</v>
      </c>
      <c r="I3077" s="3" t="s">
        <v>4064</v>
      </c>
    </row>
    <row r="3078" spans="2:9" hidden="1" x14ac:dyDescent="0.4">
      <c r="B3078" s="8" t="s">
        <v>1006</v>
      </c>
      <c r="C3078" s="3" t="s">
        <v>4512</v>
      </c>
      <c r="D3078" s="3" t="s">
        <v>4858</v>
      </c>
      <c r="F3078" s="3" t="s">
        <v>399</v>
      </c>
      <c r="I3078" s="3" t="s">
        <v>4064</v>
      </c>
    </row>
    <row r="3079" spans="2:9" hidden="1" x14ac:dyDescent="0.4">
      <c r="B3079" s="8" t="s">
        <v>1006</v>
      </c>
      <c r="C3079" s="3" t="s">
        <v>5317</v>
      </c>
      <c r="D3079" s="3" t="s">
        <v>5637</v>
      </c>
      <c r="F3079" s="3" t="s">
        <v>402</v>
      </c>
      <c r="I3079" s="3" t="s">
        <v>4064</v>
      </c>
    </row>
    <row r="3080" spans="2:9" ht="29.25" hidden="1" x14ac:dyDescent="0.4">
      <c r="B3080" s="8" t="s">
        <v>4058</v>
      </c>
      <c r="C3080" s="3" t="s">
        <v>4272</v>
      </c>
      <c r="D3080" s="3" t="s">
        <v>3887</v>
      </c>
      <c r="F3080" s="3" t="s">
        <v>399</v>
      </c>
      <c r="G3080" s="3" t="s">
        <v>402</v>
      </c>
      <c r="I3080" s="3" t="s">
        <v>4064</v>
      </c>
    </row>
    <row r="3081" spans="2:9" ht="29.25" hidden="1" x14ac:dyDescent="0.4">
      <c r="B3081" s="8" t="s">
        <v>4058</v>
      </c>
      <c r="C3081" s="3" t="s">
        <v>4678</v>
      </c>
      <c r="D3081" s="3" t="s">
        <v>4838</v>
      </c>
      <c r="F3081" s="3" t="s">
        <v>399</v>
      </c>
      <c r="I3081" s="3" t="s">
        <v>4064</v>
      </c>
    </row>
    <row r="3082" spans="2:9" ht="29.25" hidden="1" x14ac:dyDescent="0.4">
      <c r="B3082" s="8" t="s">
        <v>4058</v>
      </c>
      <c r="C3082" s="3" t="s">
        <v>5257</v>
      </c>
      <c r="D3082" s="3" t="s">
        <v>5578</v>
      </c>
      <c r="F3082" s="3" t="s">
        <v>402</v>
      </c>
      <c r="I3082" s="3" t="s">
        <v>4064</v>
      </c>
    </row>
    <row r="3083" spans="2:9" ht="29.25" hidden="1" x14ac:dyDescent="0.4">
      <c r="B3083" s="8" t="s">
        <v>4058</v>
      </c>
      <c r="C3083" s="3" t="s">
        <v>3583</v>
      </c>
      <c r="D3083" s="3" t="s">
        <v>3887</v>
      </c>
      <c r="F3083" s="3" t="s">
        <v>399</v>
      </c>
      <c r="G3083" s="3" t="s">
        <v>402</v>
      </c>
      <c r="I3083" s="3" t="s">
        <v>4063</v>
      </c>
    </row>
    <row r="3084" spans="2:9" ht="29.25" hidden="1" x14ac:dyDescent="0.4">
      <c r="B3084" s="8" t="s">
        <v>4058</v>
      </c>
      <c r="C3084" s="3" t="s">
        <v>6033</v>
      </c>
      <c r="D3084" s="3" t="s">
        <v>4838</v>
      </c>
      <c r="F3084" s="3" t="s">
        <v>399</v>
      </c>
      <c r="I3084" s="3" t="s">
        <v>4063</v>
      </c>
    </row>
    <row r="3085" spans="2:9" ht="29.25" hidden="1" x14ac:dyDescent="0.4">
      <c r="B3085" s="8" t="s">
        <v>4058</v>
      </c>
      <c r="C3085" s="3" t="s">
        <v>6234</v>
      </c>
      <c r="D3085" s="3" t="s">
        <v>5578</v>
      </c>
      <c r="F3085" s="3" t="s">
        <v>402</v>
      </c>
      <c r="I3085" s="3" t="s">
        <v>4063</v>
      </c>
    </row>
    <row r="3086" spans="2:9" hidden="1" x14ac:dyDescent="0.4">
      <c r="B3086" s="8" t="s">
        <v>517</v>
      </c>
      <c r="C3086" s="3" t="s">
        <v>2929</v>
      </c>
      <c r="D3086" s="3" t="s">
        <v>3347</v>
      </c>
      <c r="E3086" s="3">
        <v>1</v>
      </c>
      <c r="F3086" s="3" t="s">
        <v>399</v>
      </c>
      <c r="G3086" s="3" t="s">
        <v>402</v>
      </c>
      <c r="I3086" s="3" t="s">
        <v>1335</v>
      </c>
    </row>
    <row r="3087" spans="2:9" hidden="1" x14ac:dyDescent="0.4">
      <c r="B3087" s="8" t="s">
        <v>529</v>
      </c>
      <c r="C3087" s="3" t="s">
        <v>4312</v>
      </c>
      <c r="D3087" s="3" t="s">
        <v>3926</v>
      </c>
      <c r="F3087" s="3" t="s">
        <v>399</v>
      </c>
      <c r="G3087" s="3" t="s">
        <v>402</v>
      </c>
      <c r="I3087" s="3" t="s">
        <v>4064</v>
      </c>
    </row>
    <row r="3088" spans="2:9" hidden="1" x14ac:dyDescent="0.4">
      <c r="B3088" s="8" t="s">
        <v>529</v>
      </c>
      <c r="C3088" s="3" t="s">
        <v>4510</v>
      </c>
      <c r="D3088" s="3" t="s">
        <v>5001</v>
      </c>
      <c r="F3088" s="3" t="s">
        <v>399</v>
      </c>
      <c r="I3088" s="3" t="s">
        <v>4064</v>
      </c>
    </row>
    <row r="3089" spans="2:9" hidden="1" x14ac:dyDescent="0.4">
      <c r="B3089" s="8" t="s">
        <v>529</v>
      </c>
      <c r="C3089" s="3" t="s">
        <v>5311</v>
      </c>
      <c r="D3089" s="3" t="s">
        <v>5631</v>
      </c>
      <c r="F3089" s="3" t="s">
        <v>402</v>
      </c>
      <c r="I3089" s="3" t="s">
        <v>4064</v>
      </c>
    </row>
    <row r="3090" spans="2:9" hidden="1" x14ac:dyDescent="0.4">
      <c r="B3090" s="8" t="s">
        <v>529</v>
      </c>
      <c r="C3090" s="3" t="s">
        <v>3632</v>
      </c>
      <c r="D3090" s="3" t="s">
        <v>3926</v>
      </c>
      <c r="F3090" s="3" t="s">
        <v>399</v>
      </c>
      <c r="G3090" s="3" t="s">
        <v>402</v>
      </c>
      <c r="I3090" s="3" t="s">
        <v>4063</v>
      </c>
    </row>
    <row r="3091" spans="2:9" hidden="1" x14ac:dyDescent="0.4">
      <c r="B3091" s="8" t="s">
        <v>529</v>
      </c>
      <c r="C3091" s="3" t="s">
        <v>5936</v>
      </c>
      <c r="D3091" s="3" t="s">
        <v>5001</v>
      </c>
      <c r="F3091" s="3" t="s">
        <v>399</v>
      </c>
      <c r="I3091" s="3" t="s">
        <v>4063</v>
      </c>
    </row>
    <row r="3092" spans="2:9" hidden="1" x14ac:dyDescent="0.4">
      <c r="B3092" s="8" t="s">
        <v>529</v>
      </c>
      <c r="C3092" s="3" t="s">
        <v>6282</v>
      </c>
      <c r="D3092" s="3" t="s">
        <v>5631</v>
      </c>
      <c r="F3092" s="3" t="s">
        <v>402</v>
      </c>
      <c r="I3092" s="3" t="s">
        <v>4063</v>
      </c>
    </row>
    <row r="3093" spans="2:9" hidden="1" x14ac:dyDescent="0.4">
      <c r="B3093" s="8" t="s">
        <v>517</v>
      </c>
      <c r="C3093" s="3" t="s">
        <v>4202</v>
      </c>
      <c r="D3093" s="3" t="s">
        <v>3806</v>
      </c>
      <c r="F3093" s="3" t="s">
        <v>399</v>
      </c>
      <c r="G3093" s="3" t="s">
        <v>402</v>
      </c>
      <c r="I3093" s="3" t="s">
        <v>4064</v>
      </c>
    </row>
    <row r="3094" spans="2:9" hidden="1" x14ac:dyDescent="0.4">
      <c r="B3094" s="8" t="s">
        <v>517</v>
      </c>
      <c r="C3094" s="3" t="s">
        <v>3503</v>
      </c>
      <c r="D3094" s="3" t="s">
        <v>3806</v>
      </c>
      <c r="F3094" s="3" t="s">
        <v>399</v>
      </c>
      <c r="G3094" s="3" t="s">
        <v>402</v>
      </c>
      <c r="I3094" s="3" t="s">
        <v>4063</v>
      </c>
    </row>
    <row r="3095" spans="2:9" hidden="1" x14ac:dyDescent="0.4">
      <c r="B3095" s="8" t="s">
        <v>517</v>
      </c>
      <c r="C3095" s="3" t="s">
        <v>5821</v>
      </c>
      <c r="D3095" s="3" t="s">
        <v>4948</v>
      </c>
      <c r="F3095" s="3" t="s">
        <v>399</v>
      </c>
      <c r="I3095" s="3" t="s">
        <v>4063</v>
      </c>
    </row>
    <row r="3096" spans="2:9" hidden="1" x14ac:dyDescent="0.4">
      <c r="B3096" s="8" t="s">
        <v>517</v>
      </c>
      <c r="C3096" s="3" t="s">
        <v>6164</v>
      </c>
      <c r="D3096" s="3" t="s">
        <v>5497</v>
      </c>
      <c r="F3096" s="3" t="s">
        <v>402</v>
      </c>
      <c r="I3096" s="3" t="s">
        <v>4063</v>
      </c>
    </row>
    <row r="3097" spans="2:9" hidden="1" x14ac:dyDescent="0.4">
      <c r="B3097" s="8" t="s">
        <v>517</v>
      </c>
      <c r="C3097" s="3" t="s">
        <v>4658</v>
      </c>
      <c r="D3097" s="3" t="s">
        <v>4948</v>
      </c>
      <c r="F3097" s="3" t="s">
        <v>399</v>
      </c>
      <c r="I3097" s="3" t="s">
        <v>4064</v>
      </c>
    </row>
    <row r="3098" spans="2:9" hidden="1" x14ac:dyDescent="0.4">
      <c r="B3098" s="8" t="s">
        <v>517</v>
      </c>
      <c r="C3098" s="3" t="s">
        <v>5176</v>
      </c>
      <c r="D3098" s="3" t="s">
        <v>5497</v>
      </c>
      <c r="F3098" s="3" t="s">
        <v>402</v>
      </c>
      <c r="I3098" s="3" t="s">
        <v>4064</v>
      </c>
    </row>
    <row r="3099" spans="2:9" hidden="1" x14ac:dyDescent="0.4">
      <c r="B3099" s="8" t="s">
        <v>517</v>
      </c>
      <c r="C3099" s="3" t="s">
        <v>862</v>
      </c>
      <c r="D3099" s="3" t="s">
        <v>874</v>
      </c>
      <c r="E3099" s="3" t="s">
        <v>425</v>
      </c>
      <c r="F3099" s="3" t="s">
        <v>399</v>
      </c>
      <c r="I3099" s="3" t="s">
        <v>824</v>
      </c>
    </row>
    <row r="3100" spans="2:9" hidden="1" x14ac:dyDescent="0.4">
      <c r="B3100" s="8" t="s">
        <v>517</v>
      </c>
      <c r="C3100" s="3" t="s">
        <v>862</v>
      </c>
      <c r="D3100" s="3" t="s">
        <v>899</v>
      </c>
      <c r="E3100" s="3" t="s">
        <v>425</v>
      </c>
      <c r="F3100" s="3" t="s">
        <v>399</v>
      </c>
      <c r="I3100" s="3" t="s">
        <v>523</v>
      </c>
    </row>
    <row r="3101" spans="2:9" hidden="1" x14ac:dyDescent="0.4">
      <c r="B3101" s="8" t="s">
        <v>517</v>
      </c>
      <c r="C3101" s="3" t="s">
        <v>862</v>
      </c>
      <c r="D3101" s="3" t="s">
        <v>886</v>
      </c>
      <c r="E3101" s="3" t="s">
        <v>425</v>
      </c>
      <c r="F3101" s="3" t="s">
        <v>399</v>
      </c>
      <c r="I3101" s="3" t="s">
        <v>898</v>
      </c>
    </row>
    <row r="3102" spans="2:9" hidden="1" x14ac:dyDescent="0.4">
      <c r="B3102" s="8" t="s">
        <v>517</v>
      </c>
      <c r="C3102" s="3" t="s">
        <v>949</v>
      </c>
      <c r="D3102" s="3" t="s">
        <v>874</v>
      </c>
      <c r="E3102" s="3" t="s">
        <v>425</v>
      </c>
      <c r="F3102" s="3" t="s">
        <v>402</v>
      </c>
      <c r="I3102" s="3" t="s">
        <v>824</v>
      </c>
    </row>
    <row r="3103" spans="2:9" hidden="1" x14ac:dyDescent="0.4">
      <c r="B3103" s="8" t="s">
        <v>517</v>
      </c>
      <c r="C3103" s="3" t="s">
        <v>949</v>
      </c>
      <c r="D3103" s="3" t="s">
        <v>899</v>
      </c>
      <c r="E3103" s="3" t="s">
        <v>425</v>
      </c>
      <c r="F3103" s="3" t="s">
        <v>402</v>
      </c>
      <c r="I3103" s="3" t="s">
        <v>523</v>
      </c>
    </row>
    <row r="3104" spans="2:9" hidden="1" x14ac:dyDescent="0.4">
      <c r="B3104" s="8" t="s">
        <v>517</v>
      </c>
      <c r="C3104" s="3" t="s">
        <v>949</v>
      </c>
      <c r="D3104" s="3" t="s">
        <v>886</v>
      </c>
      <c r="E3104" s="3" t="s">
        <v>425</v>
      </c>
      <c r="F3104" s="3" t="s">
        <v>402</v>
      </c>
      <c r="I3104" s="3" t="s">
        <v>898</v>
      </c>
    </row>
    <row r="3105" spans="2:9" hidden="1" x14ac:dyDescent="0.4">
      <c r="B3105" s="8" t="s">
        <v>517</v>
      </c>
      <c r="C3105" s="3" t="s">
        <v>3046</v>
      </c>
      <c r="D3105" s="3" t="s">
        <v>3281</v>
      </c>
      <c r="E3105" s="3">
        <v>1</v>
      </c>
      <c r="F3105" s="3" t="s">
        <v>402</v>
      </c>
      <c r="G3105" s="3" t="s">
        <v>988</v>
      </c>
      <c r="I3105" s="3" t="s">
        <v>245</v>
      </c>
    </row>
    <row r="3106" spans="2:9" hidden="1" x14ac:dyDescent="0.4">
      <c r="B3106" s="8" t="s">
        <v>520</v>
      </c>
      <c r="C3106" s="3" t="s">
        <v>770</v>
      </c>
      <c r="D3106" s="3" t="s">
        <v>779</v>
      </c>
      <c r="E3106" s="3" t="s">
        <v>425</v>
      </c>
      <c r="F3106" s="3" t="s">
        <v>399</v>
      </c>
      <c r="G3106" s="3" t="s">
        <v>402</v>
      </c>
      <c r="I3106" s="3" t="s">
        <v>781</v>
      </c>
    </row>
    <row r="3107" spans="2:9" hidden="1" x14ac:dyDescent="0.4">
      <c r="B3107" s="8" t="s">
        <v>520</v>
      </c>
      <c r="C3107" s="3" t="s">
        <v>795</v>
      </c>
      <c r="D3107" s="3" t="s">
        <v>779</v>
      </c>
      <c r="E3107" s="3" t="s">
        <v>425</v>
      </c>
      <c r="F3107" s="3" t="s">
        <v>402</v>
      </c>
      <c r="I3107" s="3" t="s">
        <v>781</v>
      </c>
    </row>
    <row r="3108" spans="2:9" hidden="1" x14ac:dyDescent="0.4">
      <c r="B3108" s="8" t="s">
        <v>4055</v>
      </c>
      <c r="C3108" s="3" t="s">
        <v>3447</v>
      </c>
      <c r="D3108" s="3" t="s">
        <v>4026</v>
      </c>
      <c r="F3108" s="3" t="s">
        <v>399</v>
      </c>
      <c r="G3108" s="3" t="s">
        <v>402</v>
      </c>
      <c r="I3108" s="3" t="s">
        <v>4063</v>
      </c>
    </row>
    <row r="3109" spans="2:9" hidden="1" x14ac:dyDescent="0.4">
      <c r="B3109" s="8" t="s">
        <v>4055</v>
      </c>
      <c r="C3109" s="3" t="s">
        <v>4150</v>
      </c>
      <c r="D3109" s="3" t="s">
        <v>4026</v>
      </c>
      <c r="F3109" s="3" t="s">
        <v>399</v>
      </c>
      <c r="G3109" s="3" t="s">
        <v>402</v>
      </c>
      <c r="I3109" s="3" t="s">
        <v>4064</v>
      </c>
    </row>
    <row r="3110" spans="2:9" hidden="1" x14ac:dyDescent="0.4">
      <c r="B3110" s="8" t="s">
        <v>4055</v>
      </c>
      <c r="C3110" s="3" t="s">
        <v>4631</v>
      </c>
      <c r="D3110" s="3" t="s">
        <v>4882</v>
      </c>
      <c r="F3110" s="3" t="s">
        <v>399</v>
      </c>
      <c r="I3110" s="3" t="s">
        <v>4064</v>
      </c>
    </row>
    <row r="3111" spans="2:9" hidden="1" x14ac:dyDescent="0.4">
      <c r="B3111" s="8" t="s">
        <v>4055</v>
      </c>
      <c r="C3111" s="3" t="s">
        <v>5121</v>
      </c>
      <c r="D3111" s="3" t="s">
        <v>5444</v>
      </c>
      <c r="F3111" s="3" t="s">
        <v>402</v>
      </c>
      <c r="I3111" s="3" t="s">
        <v>4064</v>
      </c>
    </row>
    <row r="3112" spans="2:9" hidden="1" x14ac:dyDescent="0.4">
      <c r="B3112" s="8" t="s">
        <v>4055</v>
      </c>
      <c r="C3112" s="3" t="s">
        <v>6118</v>
      </c>
      <c r="D3112" s="3" t="s">
        <v>5444</v>
      </c>
      <c r="F3112" s="3" t="s">
        <v>402</v>
      </c>
      <c r="I3112" s="3" t="s">
        <v>4063</v>
      </c>
    </row>
    <row r="3113" spans="2:9" hidden="1" x14ac:dyDescent="0.4">
      <c r="B3113" s="8" t="s">
        <v>4055</v>
      </c>
      <c r="C3113" s="3" t="s">
        <v>5776</v>
      </c>
      <c r="D3113" s="3" t="s">
        <v>4882</v>
      </c>
      <c r="F3113" s="3" t="s">
        <v>399</v>
      </c>
      <c r="I3113" s="3" t="s">
        <v>4063</v>
      </c>
    </row>
    <row r="3114" spans="2:9" hidden="1" x14ac:dyDescent="0.4">
      <c r="B3114" s="8" t="s">
        <v>529</v>
      </c>
      <c r="C3114" s="3" t="s">
        <v>867</v>
      </c>
      <c r="D3114" s="3" t="s">
        <v>880</v>
      </c>
      <c r="E3114" s="3" t="s">
        <v>425</v>
      </c>
      <c r="F3114" s="3" t="s">
        <v>399</v>
      </c>
      <c r="I3114" s="3" t="s">
        <v>824</v>
      </c>
    </row>
    <row r="3115" spans="2:9" hidden="1" x14ac:dyDescent="0.4">
      <c r="B3115" s="8" t="s">
        <v>529</v>
      </c>
      <c r="C3115" s="3" t="s">
        <v>867</v>
      </c>
      <c r="D3115" s="3" t="s">
        <v>904</v>
      </c>
      <c r="E3115" s="3" t="s">
        <v>425</v>
      </c>
      <c r="F3115" s="3" t="s">
        <v>399</v>
      </c>
      <c r="I3115" s="3" t="s">
        <v>523</v>
      </c>
    </row>
    <row r="3116" spans="2:9" hidden="1" x14ac:dyDescent="0.4">
      <c r="B3116" s="8" t="s">
        <v>529</v>
      </c>
      <c r="C3116" s="3" t="s">
        <v>867</v>
      </c>
      <c r="D3116" s="3" t="s">
        <v>891</v>
      </c>
      <c r="E3116" s="3" t="s">
        <v>425</v>
      </c>
      <c r="F3116" s="3" t="s">
        <v>399</v>
      </c>
      <c r="I3116" s="3" t="s">
        <v>898</v>
      </c>
    </row>
    <row r="3117" spans="2:9" hidden="1" x14ac:dyDescent="0.4">
      <c r="B3117" s="8" t="s">
        <v>529</v>
      </c>
      <c r="C3117" s="3" t="s">
        <v>957</v>
      </c>
      <c r="D3117" s="3" t="s">
        <v>880</v>
      </c>
      <c r="E3117" s="3" t="s">
        <v>425</v>
      </c>
      <c r="F3117" s="3" t="s">
        <v>402</v>
      </c>
      <c r="I3117" s="3" t="s">
        <v>824</v>
      </c>
    </row>
    <row r="3118" spans="2:9" hidden="1" x14ac:dyDescent="0.4">
      <c r="B3118" s="8" t="s">
        <v>529</v>
      </c>
      <c r="C3118" s="3" t="s">
        <v>957</v>
      </c>
      <c r="D3118" s="3" t="s">
        <v>904</v>
      </c>
      <c r="E3118" s="3" t="s">
        <v>425</v>
      </c>
      <c r="F3118" s="3" t="s">
        <v>402</v>
      </c>
      <c r="I3118" s="3" t="s">
        <v>523</v>
      </c>
    </row>
    <row r="3119" spans="2:9" hidden="1" x14ac:dyDescent="0.4">
      <c r="B3119" s="8" t="s">
        <v>529</v>
      </c>
      <c r="C3119" s="3" t="s">
        <v>957</v>
      </c>
      <c r="D3119" s="3" t="s">
        <v>891</v>
      </c>
      <c r="E3119" s="3" t="s">
        <v>425</v>
      </c>
      <c r="F3119" s="3" t="s">
        <v>402</v>
      </c>
      <c r="I3119" s="3" t="s">
        <v>898</v>
      </c>
    </row>
    <row r="3120" spans="2:9" hidden="1" x14ac:dyDescent="0.4">
      <c r="B3120" s="8" t="s">
        <v>518</v>
      </c>
      <c r="C3120" s="3" t="s">
        <v>3074</v>
      </c>
      <c r="D3120" s="3" t="s">
        <v>3306</v>
      </c>
      <c r="E3120" s="3">
        <v>1</v>
      </c>
      <c r="F3120" s="3" t="s">
        <v>402</v>
      </c>
      <c r="G3120" s="3" t="s">
        <v>988</v>
      </c>
      <c r="I3120" s="3" t="s">
        <v>245</v>
      </c>
    </row>
    <row r="3121" spans="2:9" hidden="1" x14ac:dyDescent="0.4">
      <c r="B3121" s="8" t="s">
        <v>518</v>
      </c>
      <c r="C3121" s="3" t="s">
        <v>2910</v>
      </c>
      <c r="D3121" s="3" t="s">
        <v>3151</v>
      </c>
      <c r="E3121" s="3">
        <v>1</v>
      </c>
      <c r="F3121" s="3" t="s">
        <v>402</v>
      </c>
      <c r="G3121" s="3" t="s">
        <v>988</v>
      </c>
      <c r="I3121" s="3" t="s">
        <v>245</v>
      </c>
    </row>
    <row r="3122" spans="2:9" hidden="1" x14ac:dyDescent="0.4">
      <c r="B3122" s="8" t="s">
        <v>518</v>
      </c>
      <c r="C3122" s="3" t="s">
        <v>976</v>
      </c>
      <c r="D3122" s="3" t="s">
        <v>1165</v>
      </c>
      <c r="F3122" s="3" t="s">
        <v>399</v>
      </c>
      <c r="G3122" s="3" t="s">
        <v>402</v>
      </c>
      <c r="I3122" s="3" t="s">
        <v>987</v>
      </c>
    </row>
    <row r="3123" spans="2:9" hidden="1" x14ac:dyDescent="0.4">
      <c r="B3123" s="8" t="s">
        <v>518</v>
      </c>
      <c r="C3123" s="3" t="s">
        <v>1178</v>
      </c>
      <c r="D3123" s="3" t="s">
        <v>1165</v>
      </c>
      <c r="F3123" s="3" t="s">
        <v>402</v>
      </c>
      <c r="I3123" s="3" t="s">
        <v>987</v>
      </c>
    </row>
    <row r="3124" spans="2:9" hidden="1" x14ac:dyDescent="0.4">
      <c r="B3124" s="8" t="s">
        <v>512</v>
      </c>
      <c r="C3124" s="3" t="s">
        <v>1169</v>
      </c>
      <c r="D3124" s="3" t="s">
        <v>1173</v>
      </c>
      <c r="F3124" s="3" t="s">
        <v>399</v>
      </c>
      <c r="G3124" s="3" t="s">
        <v>402</v>
      </c>
      <c r="I3124" s="3" t="s">
        <v>987</v>
      </c>
    </row>
    <row r="3125" spans="2:9" hidden="1" x14ac:dyDescent="0.4">
      <c r="B3125" s="8" t="s">
        <v>512</v>
      </c>
      <c r="C3125" s="3" t="s">
        <v>1182</v>
      </c>
      <c r="D3125" s="3" t="s">
        <v>1173</v>
      </c>
      <c r="F3125" s="3" t="s">
        <v>402</v>
      </c>
      <c r="I3125" s="3" t="s">
        <v>987</v>
      </c>
    </row>
    <row r="3126" spans="2:9" hidden="1" x14ac:dyDescent="0.4">
      <c r="B3126" s="8" t="s">
        <v>518</v>
      </c>
      <c r="C3126" s="3" t="s">
        <v>1222</v>
      </c>
      <c r="D3126" s="3" t="s">
        <v>1226</v>
      </c>
      <c r="F3126" s="3" t="s">
        <v>402</v>
      </c>
      <c r="G3126" s="3" t="s">
        <v>399</v>
      </c>
      <c r="H3126" s="3" t="s">
        <v>988</v>
      </c>
      <c r="I3126" s="3" t="s">
        <v>987</v>
      </c>
    </row>
    <row r="3127" spans="2:9" hidden="1" x14ac:dyDescent="0.4">
      <c r="B3127" s="8" t="s">
        <v>518</v>
      </c>
      <c r="C3127" s="3" t="s">
        <v>1230</v>
      </c>
      <c r="D3127" s="3" t="s">
        <v>1226</v>
      </c>
      <c r="F3127" s="3" t="s">
        <v>399</v>
      </c>
      <c r="I3127" s="3" t="s">
        <v>987</v>
      </c>
    </row>
    <row r="3128" spans="2:9" hidden="1" x14ac:dyDescent="0.4">
      <c r="B3128" s="8" t="s">
        <v>518</v>
      </c>
      <c r="C3128" s="3" t="s">
        <v>2241</v>
      </c>
      <c r="D3128" s="3" t="s">
        <v>2398</v>
      </c>
      <c r="E3128" s="3" t="s">
        <v>1272</v>
      </c>
      <c r="F3128" s="3" t="s">
        <v>399</v>
      </c>
      <c r="I3128" s="3" t="s">
        <v>1833</v>
      </c>
    </row>
    <row r="3129" spans="2:9" hidden="1" x14ac:dyDescent="0.4">
      <c r="B3129" s="8" t="s">
        <v>518</v>
      </c>
      <c r="C3129" s="3" t="s">
        <v>2522</v>
      </c>
      <c r="D3129" s="3" t="s">
        <v>2398</v>
      </c>
      <c r="E3129" s="3" t="s">
        <v>1272</v>
      </c>
      <c r="F3129" s="3" t="s">
        <v>402</v>
      </c>
      <c r="I3129" s="3" t="s">
        <v>1833</v>
      </c>
    </row>
    <row r="3130" spans="2:9" hidden="1" x14ac:dyDescent="0.4">
      <c r="B3130" s="8" t="s">
        <v>517</v>
      </c>
      <c r="C3130" s="3" t="s">
        <v>1386</v>
      </c>
      <c r="D3130" s="3" t="s">
        <v>1420</v>
      </c>
      <c r="F3130" s="3" t="s">
        <v>402</v>
      </c>
      <c r="I3130" s="3" t="s">
        <v>245</v>
      </c>
    </row>
    <row r="3131" spans="2:9" hidden="1" x14ac:dyDescent="0.4">
      <c r="B3131" s="8" t="s">
        <v>516</v>
      </c>
      <c r="C3131" s="3" t="s">
        <v>1385</v>
      </c>
      <c r="D3131" s="3" t="s">
        <v>1419</v>
      </c>
      <c r="F3131" s="3" t="s">
        <v>399</v>
      </c>
      <c r="I3131" s="3" t="s">
        <v>1414</v>
      </c>
    </row>
    <row r="3132" spans="2:9" hidden="1" x14ac:dyDescent="0.4">
      <c r="B3132" s="8" t="s">
        <v>517</v>
      </c>
      <c r="C3132" s="3" t="s">
        <v>4143</v>
      </c>
      <c r="D3132" s="3" t="s">
        <v>3744</v>
      </c>
      <c r="F3132" s="3" t="s">
        <v>399</v>
      </c>
      <c r="G3132" s="3" t="s">
        <v>402</v>
      </c>
      <c r="I3132" s="3" t="s">
        <v>4064</v>
      </c>
    </row>
    <row r="3133" spans="2:9" hidden="1" x14ac:dyDescent="0.4">
      <c r="B3133" s="8" t="s">
        <v>517</v>
      </c>
      <c r="C3133" s="3" t="s">
        <v>3437</v>
      </c>
      <c r="D3133" s="3" t="s">
        <v>3744</v>
      </c>
      <c r="F3133" s="3" t="s">
        <v>399</v>
      </c>
      <c r="G3133" s="3" t="s">
        <v>402</v>
      </c>
      <c r="I3133" s="3" t="s">
        <v>4063</v>
      </c>
    </row>
    <row r="3134" spans="2:9" hidden="1" x14ac:dyDescent="0.4">
      <c r="B3134" s="8" t="s">
        <v>517</v>
      </c>
      <c r="C3134" s="3" t="s">
        <v>5768</v>
      </c>
      <c r="D3134" s="3" t="s">
        <v>4757</v>
      </c>
      <c r="F3134" s="3" t="s">
        <v>399</v>
      </c>
      <c r="I3134" s="3" t="s">
        <v>4063</v>
      </c>
    </row>
    <row r="3135" spans="2:9" hidden="1" x14ac:dyDescent="0.4">
      <c r="B3135" s="8" t="s">
        <v>517</v>
      </c>
      <c r="C3135" s="3" t="s">
        <v>6110</v>
      </c>
      <c r="D3135" s="3" t="s">
        <v>5434</v>
      </c>
      <c r="F3135" s="3" t="s">
        <v>402</v>
      </c>
      <c r="I3135" s="3" t="s">
        <v>4063</v>
      </c>
    </row>
    <row r="3136" spans="2:9" hidden="1" x14ac:dyDescent="0.4">
      <c r="B3136" s="8" t="s">
        <v>517</v>
      </c>
      <c r="C3136" s="3" t="s">
        <v>4554</v>
      </c>
      <c r="D3136" s="3" t="s">
        <v>4757</v>
      </c>
      <c r="F3136" s="3" t="s">
        <v>399</v>
      </c>
      <c r="I3136" s="3" t="s">
        <v>4064</v>
      </c>
    </row>
    <row r="3137" spans="2:9" hidden="1" x14ac:dyDescent="0.4">
      <c r="B3137" s="8" t="s">
        <v>517</v>
      </c>
      <c r="C3137" s="3" t="s">
        <v>5111</v>
      </c>
      <c r="D3137" s="3" t="s">
        <v>5434</v>
      </c>
      <c r="F3137" s="3" t="s">
        <v>402</v>
      </c>
      <c r="I3137" s="3" t="s">
        <v>4064</v>
      </c>
    </row>
    <row r="3138" spans="2:9" hidden="1" x14ac:dyDescent="0.4">
      <c r="B3138" s="8" t="s">
        <v>517</v>
      </c>
      <c r="C3138" s="3" t="s">
        <v>2320</v>
      </c>
      <c r="D3138" s="15" t="s">
        <v>2476</v>
      </c>
      <c r="E3138" s="3" t="s">
        <v>1272</v>
      </c>
      <c r="F3138" s="3" t="s">
        <v>399</v>
      </c>
      <c r="I3138" s="3" t="s">
        <v>1833</v>
      </c>
    </row>
    <row r="3139" spans="2:9" hidden="1" x14ac:dyDescent="0.4">
      <c r="B3139" s="8" t="s">
        <v>517</v>
      </c>
      <c r="C3139" s="3" t="s">
        <v>2620</v>
      </c>
      <c r="D3139" s="3" t="s">
        <v>2476</v>
      </c>
      <c r="E3139" s="3" t="s">
        <v>1272</v>
      </c>
      <c r="F3139" s="3" t="s">
        <v>402</v>
      </c>
      <c r="I3139" s="3" t="s">
        <v>1833</v>
      </c>
    </row>
    <row r="3140" spans="2:9" hidden="1" x14ac:dyDescent="0.4">
      <c r="B3140" s="8" t="s">
        <v>517</v>
      </c>
      <c r="C3140" s="3" t="s">
        <v>3017</v>
      </c>
      <c r="D3140" s="3" t="s">
        <v>3253</v>
      </c>
      <c r="E3140" s="3">
        <v>1</v>
      </c>
      <c r="F3140" s="3" t="s">
        <v>402</v>
      </c>
      <c r="G3140" s="3" t="s">
        <v>399</v>
      </c>
      <c r="H3140" s="3" t="s">
        <v>988</v>
      </c>
      <c r="I3140" s="3" t="s">
        <v>245</v>
      </c>
    </row>
    <row r="3141" spans="2:9" hidden="1" x14ac:dyDescent="0.4">
      <c r="B3141" s="8" t="s">
        <v>517</v>
      </c>
      <c r="C3141" s="3" t="s">
        <v>2251</v>
      </c>
      <c r="D3141" s="3" t="s">
        <v>2408</v>
      </c>
      <c r="E3141" s="3" t="s">
        <v>1272</v>
      </c>
      <c r="F3141" s="3" t="s">
        <v>399</v>
      </c>
      <c r="I3141" s="3" t="s">
        <v>1833</v>
      </c>
    </row>
    <row r="3142" spans="2:9" hidden="1" x14ac:dyDescent="0.4">
      <c r="B3142" s="8" t="s">
        <v>517</v>
      </c>
      <c r="C3142" s="3" t="s">
        <v>2526</v>
      </c>
      <c r="D3142" s="3" t="s">
        <v>2408</v>
      </c>
      <c r="E3142" s="3" t="s">
        <v>1272</v>
      </c>
      <c r="F3142" s="3" t="s">
        <v>402</v>
      </c>
      <c r="I3142" s="3" t="s">
        <v>1833</v>
      </c>
    </row>
    <row r="3143" spans="2:9" hidden="1" x14ac:dyDescent="0.4">
      <c r="B3143" s="8" t="s">
        <v>517</v>
      </c>
      <c r="C3143" s="3" t="s">
        <v>2788</v>
      </c>
      <c r="D3143" s="3" t="s">
        <v>2809</v>
      </c>
      <c r="E3143" s="3" t="s">
        <v>1272</v>
      </c>
      <c r="F3143" s="3" t="s">
        <v>399</v>
      </c>
      <c r="I3143" s="3" t="s">
        <v>2370</v>
      </c>
    </row>
    <row r="3144" spans="2:9" hidden="1" x14ac:dyDescent="0.4">
      <c r="B3144" s="8" t="s">
        <v>518</v>
      </c>
      <c r="C3144" s="3" t="s">
        <v>2213</v>
      </c>
      <c r="D3144" s="3" t="s">
        <v>2361</v>
      </c>
      <c r="E3144" s="3" t="s">
        <v>432</v>
      </c>
      <c r="F3144" s="3" t="s">
        <v>399</v>
      </c>
      <c r="I3144" s="3" t="s">
        <v>1833</v>
      </c>
    </row>
    <row r="3145" spans="2:9" hidden="1" x14ac:dyDescent="0.4">
      <c r="B3145" s="8" t="s">
        <v>518</v>
      </c>
      <c r="C3145" s="3" t="s">
        <v>2546</v>
      </c>
      <c r="D3145" s="3" t="s">
        <v>2361</v>
      </c>
      <c r="E3145" s="3" t="s">
        <v>432</v>
      </c>
      <c r="F3145" s="3" t="s">
        <v>402</v>
      </c>
      <c r="I3145" s="3" t="s">
        <v>1833</v>
      </c>
    </row>
    <row r="3146" spans="2:9" hidden="1" x14ac:dyDescent="0.4">
      <c r="B3146" s="8" t="s">
        <v>536</v>
      </c>
      <c r="C3146" s="3" t="s">
        <v>2670</v>
      </c>
      <c r="D3146" s="14" t="s">
        <v>2715</v>
      </c>
      <c r="F3146" s="3" t="s">
        <v>1124</v>
      </c>
      <c r="I3146" s="3" t="s">
        <v>252</v>
      </c>
    </row>
    <row r="3147" spans="2:9" hidden="1" x14ac:dyDescent="0.4">
      <c r="B3147" s="8" t="s">
        <v>518</v>
      </c>
      <c r="C3147" s="3" t="s">
        <v>497</v>
      </c>
      <c r="D3147" s="3" t="s">
        <v>665</v>
      </c>
      <c r="E3147" s="3" t="s">
        <v>425</v>
      </c>
      <c r="F3147" s="3" t="s">
        <v>522</v>
      </c>
      <c r="I3147" s="3" t="s">
        <v>510</v>
      </c>
    </row>
    <row r="3148" spans="2:9" hidden="1" x14ac:dyDescent="0.4">
      <c r="B3148" s="8" t="s">
        <v>518</v>
      </c>
      <c r="C3148" s="3" t="s">
        <v>704</v>
      </c>
      <c r="D3148" s="3" t="s">
        <v>665</v>
      </c>
      <c r="E3148" s="3" t="s">
        <v>425</v>
      </c>
      <c r="F3148" s="3" t="s">
        <v>684</v>
      </c>
      <c r="I3148" s="3" t="s">
        <v>510</v>
      </c>
    </row>
    <row r="3149" spans="2:9" hidden="1" x14ac:dyDescent="0.4">
      <c r="B3149" s="8" t="s">
        <v>517</v>
      </c>
      <c r="C3149" s="3" t="s">
        <v>3093</v>
      </c>
      <c r="D3149" s="3" t="s">
        <v>3325</v>
      </c>
      <c r="E3149" s="3">
        <v>1</v>
      </c>
      <c r="F3149" s="3" t="s">
        <v>402</v>
      </c>
      <c r="G3149" s="3" t="s">
        <v>399</v>
      </c>
      <c r="H3149" s="3" t="s">
        <v>988</v>
      </c>
      <c r="I3149" s="3" t="s">
        <v>245</v>
      </c>
    </row>
    <row r="3150" spans="2:9" hidden="1" x14ac:dyDescent="0.4">
      <c r="B3150" s="8" t="s">
        <v>517</v>
      </c>
      <c r="C3150" s="3" t="s">
        <v>4260</v>
      </c>
      <c r="D3150" s="3" t="s">
        <v>3873</v>
      </c>
      <c r="F3150" s="3" t="s">
        <v>399</v>
      </c>
      <c r="G3150" s="3" t="s">
        <v>402</v>
      </c>
      <c r="I3150" s="3" t="s">
        <v>4064</v>
      </c>
    </row>
    <row r="3151" spans="2:9" hidden="1" x14ac:dyDescent="0.4">
      <c r="B3151" s="8" t="s">
        <v>517</v>
      </c>
      <c r="C3151" s="3" t="s">
        <v>4676</v>
      </c>
      <c r="D3151" s="3" t="s">
        <v>4831</v>
      </c>
      <c r="F3151" s="3" t="s">
        <v>399</v>
      </c>
      <c r="I3151" s="3" t="s">
        <v>4064</v>
      </c>
    </row>
    <row r="3152" spans="2:9" hidden="1" x14ac:dyDescent="0.4">
      <c r="B3152" s="8" t="s">
        <v>517</v>
      </c>
      <c r="C3152" s="3" t="s">
        <v>5240</v>
      </c>
      <c r="D3152" s="3" t="s">
        <v>5562</v>
      </c>
      <c r="F3152" s="3" t="s">
        <v>402</v>
      </c>
      <c r="I3152" s="3" t="s">
        <v>4064</v>
      </c>
    </row>
    <row r="3153" spans="2:9" hidden="1" x14ac:dyDescent="0.4">
      <c r="B3153" s="8" t="s">
        <v>517</v>
      </c>
      <c r="C3153" s="3" t="s">
        <v>3566</v>
      </c>
      <c r="D3153" s="3" t="s">
        <v>3873</v>
      </c>
      <c r="F3153" s="3" t="s">
        <v>399</v>
      </c>
      <c r="G3153" s="3" t="s">
        <v>402</v>
      </c>
      <c r="I3153" s="3" t="s">
        <v>4063</v>
      </c>
    </row>
    <row r="3154" spans="2:9" hidden="1" x14ac:dyDescent="0.4">
      <c r="B3154" s="8" t="s">
        <v>517</v>
      </c>
      <c r="C3154" s="3" t="s">
        <v>5875</v>
      </c>
      <c r="D3154" s="3" t="s">
        <v>4831</v>
      </c>
      <c r="F3154" s="3" t="s">
        <v>399</v>
      </c>
      <c r="I3154" s="3" t="s">
        <v>4063</v>
      </c>
    </row>
    <row r="3155" spans="2:9" hidden="1" x14ac:dyDescent="0.4">
      <c r="B3155" s="8" t="s">
        <v>517</v>
      </c>
      <c r="C3155" s="3" t="s">
        <v>6221</v>
      </c>
      <c r="D3155" s="3" t="s">
        <v>5562</v>
      </c>
      <c r="F3155" s="3" t="s">
        <v>402</v>
      </c>
      <c r="I3155" s="3" t="s">
        <v>4063</v>
      </c>
    </row>
    <row r="3156" spans="2:9" hidden="1" x14ac:dyDescent="0.4">
      <c r="B3156" s="8" t="s">
        <v>518</v>
      </c>
      <c r="C3156" s="3" t="s">
        <v>35</v>
      </c>
      <c r="D3156" s="3" t="s">
        <v>98</v>
      </c>
      <c r="F3156" s="3" t="s">
        <v>400</v>
      </c>
      <c r="I3156" s="3" t="s">
        <v>252</v>
      </c>
    </row>
    <row r="3157" spans="2:9" hidden="1" x14ac:dyDescent="0.4">
      <c r="B3157" s="8" t="s">
        <v>773</v>
      </c>
      <c r="C3157" s="3" t="s">
        <v>807</v>
      </c>
      <c r="D3157" s="3" t="s">
        <v>819</v>
      </c>
      <c r="F3157" s="3" t="s">
        <v>399</v>
      </c>
      <c r="I3157" s="3" t="s">
        <v>824</v>
      </c>
    </row>
    <row r="3158" spans="2:9" hidden="1" x14ac:dyDescent="0.4">
      <c r="B3158" s="8" t="s">
        <v>773</v>
      </c>
      <c r="C3158" s="3" t="s">
        <v>920</v>
      </c>
      <c r="D3158" s="3" t="s">
        <v>819</v>
      </c>
      <c r="F3158" s="3" t="s">
        <v>402</v>
      </c>
      <c r="I3158" s="3" t="s">
        <v>824</v>
      </c>
    </row>
    <row r="3159" spans="2:9" hidden="1" x14ac:dyDescent="0.4">
      <c r="B3159" s="8" t="s">
        <v>512</v>
      </c>
      <c r="C3159" s="3" t="s">
        <v>809</v>
      </c>
      <c r="D3159" s="3" t="s">
        <v>821</v>
      </c>
      <c r="F3159" s="3" t="s">
        <v>399</v>
      </c>
      <c r="I3159" s="3" t="s">
        <v>824</v>
      </c>
    </row>
    <row r="3160" spans="2:9" hidden="1" x14ac:dyDescent="0.4">
      <c r="B3160" s="8" t="s">
        <v>512</v>
      </c>
      <c r="C3160" s="3" t="s">
        <v>922</v>
      </c>
      <c r="D3160" s="3" t="s">
        <v>821</v>
      </c>
      <c r="F3160" s="3" t="s">
        <v>402</v>
      </c>
      <c r="I3160" s="3" t="s">
        <v>824</v>
      </c>
    </row>
    <row r="3161" spans="2:9" hidden="1" x14ac:dyDescent="0.4">
      <c r="B3161" s="8">
        <v>0</v>
      </c>
      <c r="C3161" s="3" t="s">
        <v>51</v>
      </c>
      <c r="D3161" s="3" t="s">
        <v>98</v>
      </c>
      <c r="F3161" s="3" t="s">
        <v>825</v>
      </c>
      <c r="I3161" s="3" t="s">
        <v>252</v>
      </c>
    </row>
    <row r="3162" spans="2:9" hidden="1" x14ac:dyDescent="0.4">
      <c r="B3162" s="8" t="s">
        <v>517</v>
      </c>
      <c r="C3162" s="3" t="s">
        <v>44</v>
      </c>
      <c r="D3162" s="3" t="s">
        <v>107</v>
      </c>
      <c r="F3162" s="3" t="s">
        <v>400</v>
      </c>
      <c r="I3162" s="3" t="s">
        <v>252</v>
      </c>
    </row>
    <row r="3163" spans="2:9" hidden="1" x14ac:dyDescent="0.4">
      <c r="B3163" s="8" t="s">
        <v>517</v>
      </c>
      <c r="C3163" s="3" t="s">
        <v>48</v>
      </c>
      <c r="D3163" s="3" t="s">
        <v>111</v>
      </c>
      <c r="F3163" s="3" t="s">
        <v>400</v>
      </c>
      <c r="I3163" s="3" t="s">
        <v>252</v>
      </c>
    </row>
    <row r="3164" spans="2:9" hidden="1" x14ac:dyDescent="0.4">
      <c r="B3164" s="8" t="s">
        <v>517</v>
      </c>
      <c r="C3164" s="3" t="s">
        <v>40</v>
      </c>
      <c r="D3164" s="3" t="s">
        <v>103</v>
      </c>
      <c r="F3164" s="3" t="s">
        <v>400</v>
      </c>
      <c r="I3164" s="3" t="s">
        <v>252</v>
      </c>
    </row>
    <row r="3165" spans="2:9" hidden="1" x14ac:dyDescent="0.4">
      <c r="B3165" s="8">
        <v>0</v>
      </c>
      <c r="C3165" s="3" t="s">
        <v>36</v>
      </c>
      <c r="D3165" s="3" t="s">
        <v>99</v>
      </c>
      <c r="F3165" s="3" t="s">
        <v>825</v>
      </c>
      <c r="I3165" s="3" t="s">
        <v>252</v>
      </c>
    </row>
    <row r="3166" spans="2:9" hidden="1" x14ac:dyDescent="0.4">
      <c r="B3166" s="8" t="s">
        <v>512</v>
      </c>
      <c r="C3166" s="3" t="s">
        <v>808</v>
      </c>
      <c r="D3166" s="3" t="s">
        <v>820</v>
      </c>
      <c r="F3166" s="3" t="s">
        <v>399</v>
      </c>
      <c r="I3166" s="3" t="s">
        <v>824</v>
      </c>
    </row>
    <row r="3167" spans="2:9" hidden="1" x14ac:dyDescent="0.4">
      <c r="B3167" s="8" t="s">
        <v>512</v>
      </c>
      <c r="C3167" s="3" t="s">
        <v>921</v>
      </c>
      <c r="D3167" s="3" t="s">
        <v>820</v>
      </c>
      <c r="F3167" s="3" t="s">
        <v>402</v>
      </c>
      <c r="I3167" s="3" t="s">
        <v>824</v>
      </c>
    </row>
    <row r="3168" spans="2:9" hidden="1" x14ac:dyDescent="0.4">
      <c r="B3168" s="8" t="s">
        <v>517</v>
      </c>
      <c r="C3168" s="8" t="s">
        <v>834</v>
      </c>
      <c r="D3168" s="3" t="s">
        <v>818</v>
      </c>
      <c r="F3168" s="3" t="s">
        <v>399</v>
      </c>
      <c r="I3168" s="3" t="s">
        <v>824</v>
      </c>
    </row>
    <row r="3169" spans="2:9" hidden="1" x14ac:dyDescent="0.4">
      <c r="B3169" s="8" t="s">
        <v>517</v>
      </c>
      <c r="C3169" s="8" t="s">
        <v>932</v>
      </c>
      <c r="D3169" s="3" t="s">
        <v>818</v>
      </c>
      <c r="F3169" s="3" t="s">
        <v>402</v>
      </c>
      <c r="I3169" s="3" t="s">
        <v>824</v>
      </c>
    </row>
    <row r="3170" spans="2:9" hidden="1" x14ac:dyDescent="0.4">
      <c r="B3170" s="8" t="s">
        <v>518</v>
      </c>
      <c r="C3170" s="3" t="s">
        <v>32</v>
      </c>
      <c r="D3170" s="3" t="s">
        <v>95</v>
      </c>
      <c r="F3170" s="3" t="s">
        <v>400</v>
      </c>
      <c r="I3170" s="3" t="s">
        <v>252</v>
      </c>
    </row>
    <row r="3171" spans="2:9" hidden="1" x14ac:dyDescent="0.4">
      <c r="B3171" s="8" t="s">
        <v>773</v>
      </c>
      <c r="C3171" s="3" t="s">
        <v>804</v>
      </c>
      <c r="D3171" s="3" t="s">
        <v>816</v>
      </c>
      <c r="F3171" s="3" t="s">
        <v>399</v>
      </c>
      <c r="I3171" s="3" t="s">
        <v>824</v>
      </c>
    </row>
    <row r="3172" spans="2:9" hidden="1" x14ac:dyDescent="0.4">
      <c r="B3172" s="8" t="s">
        <v>773</v>
      </c>
      <c r="C3172" s="3" t="s">
        <v>917</v>
      </c>
      <c r="D3172" s="3" t="s">
        <v>816</v>
      </c>
      <c r="F3172" s="3" t="s">
        <v>402</v>
      </c>
      <c r="I3172" s="3" t="s">
        <v>824</v>
      </c>
    </row>
    <row r="3173" spans="2:9" hidden="1" x14ac:dyDescent="0.4">
      <c r="B3173" s="8" t="s">
        <v>536</v>
      </c>
      <c r="C3173" s="3" t="s">
        <v>2683</v>
      </c>
      <c r="D3173" s="3">
        <v>7</v>
      </c>
      <c r="F3173" s="3" t="s">
        <v>1124</v>
      </c>
      <c r="I3173" s="3" t="s">
        <v>252</v>
      </c>
    </row>
    <row r="3174" spans="2:9" hidden="1" x14ac:dyDescent="0.4">
      <c r="B3174" s="8">
        <v>0</v>
      </c>
      <c r="C3174" s="3" t="s">
        <v>64</v>
      </c>
      <c r="D3174" s="3" t="s">
        <v>122</v>
      </c>
      <c r="F3174" s="3" t="s">
        <v>825</v>
      </c>
      <c r="I3174" s="3" t="s">
        <v>252</v>
      </c>
    </row>
    <row r="3175" spans="2:9" hidden="1" x14ac:dyDescent="0.4">
      <c r="B3175" s="8">
        <v>1</v>
      </c>
      <c r="C3175" s="3" t="s">
        <v>63</v>
      </c>
      <c r="D3175" s="3" t="s">
        <v>122</v>
      </c>
      <c r="F3175" s="3" t="s">
        <v>400</v>
      </c>
      <c r="I3175" s="3" t="s">
        <v>252</v>
      </c>
    </row>
    <row r="3176" spans="2:9" hidden="1" x14ac:dyDescent="0.4">
      <c r="B3176" s="8" t="s">
        <v>517</v>
      </c>
      <c r="C3176" s="3" t="s">
        <v>3415</v>
      </c>
      <c r="D3176" s="3" t="s">
        <v>3724</v>
      </c>
      <c r="F3176" s="3" t="s">
        <v>399</v>
      </c>
      <c r="G3176" s="3" t="s">
        <v>402</v>
      </c>
      <c r="I3176" s="3" t="s">
        <v>4063</v>
      </c>
    </row>
    <row r="3177" spans="2:9" hidden="1" x14ac:dyDescent="0.4">
      <c r="B3177" s="8" t="s">
        <v>517</v>
      </c>
      <c r="C3177" s="3" t="s">
        <v>3415</v>
      </c>
      <c r="D3177" s="3" t="s">
        <v>3724</v>
      </c>
      <c r="F3177" s="3" t="s">
        <v>399</v>
      </c>
      <c r="G3177" s="3" t="s">
        <v>402</v>
      </c>
      <c r="I3177" s="3" t="s">
        <v>4064</v>
      </c>
    </row>
    <row r="3178" spans="2:9" hidden="1" x14ac:dyDescent="0.4">
      <c r="B3178" s="8" t="s">
        <v>517</v>
      </c>
      <c r="C3178" s="3" t="s">
        <v>5747</v>
      </c>
      <c r="D3178" s="3" t="s">
        <v>4739</v>
      </c>
      <c r="F3178" s="3" t="s">
        <v>399</v>
      </c>
      <c r="I3178" s="3" t="s">
        <v>4063</v>
      </c>
    </row>
    <row r="3179" spans="2:9" hidden="1" x14ac:dyDescent="0.4">
      <c r="B3179" s="8" t="s">
        <v>517</v>
      </c>
      <c r="C3179" s="3" t="s">
        <v>6089</v>
      </c>
      <c r="D3179" s="3" t="s">
        <v>5413</v>
      </c>
      <c r="F3179" s="3" t="s">
        <v>402</v>
      </c>
      <c r="I3179" s="3" t="s">
        <v>4063</v>
      </c>
    </row>
    <row r="3180" spans="2:9" hidden="1" x14ac:dyDescent="0.4">
      <c r="B3180" s="8" t="s">
        <v>517</v>
      </c>
      <c r="C3180" s="3" t="s">
        <v>4567</v>
      </c>
      <c r="D3180" s="3" t="s">
        <v>4739</v>
      </c>
      <c r="F3180" s="3" t="s">
        <v>399</v>
      </c>
      <c r="I3180" s="3" t="s">
        <v>4064</v>
      </c>
    </row>
    <row r="3181" spans="2:9" hidden="1" x14ac:dyDescent="0.4">
      <c r="B3181" s="8" t="s">
        <v>517</v>
      </c>
      <c r="C3181" s="3" t="s">
        <v>5090</v>
      </c>
      <c r="D3181" s="3" t="s">
        <v>5413</v>
      </c>
      <c r="F3181" s="3" t="s">
        <v>402</v>
      </c>
      <c r="I3181" s="3" t="s">
        <v>4064</v>
      </c>
    </row>
    <row r="3182" spans="2:9" hidden="1" x14ac:dyDescent="0.4">
      <c r="B3182" s="8" t="s">
        <v>531</v>
      </c>
      <c r="C3182" s="3" t="s">
        <v>3100</v>
      </c>
      <c r="D3182" s="3" t="s">
        <v>3332</v>
      </c>
      <c r="E3182" s="3">
        <v>1</v>
      </c>
      <c r="F3182" s="3" t="s">
        <v>402</v>
      </c>
      <c r="G3182" s="3" t="s">
        <v>988</v>
      </c>
      <c r="I3182" s="3" t="s">
        <v>245</v>
      </c>
    </row>
    <row r="3183" spans="2:9" hidden="1" x14ac:dyDescent="0.4">
      <c r="B3183" s="8" t="s">
        <v>536</v>
      </c>
      <c r="C3183" s="3" t="s">
        <v>2673</v>
      </c>
      <c r="D3183" s="3" t="s">
        <v>2714</v>
      </c>
      <c r="F3183" s="3" t="s">
        <v>1124</v>
      </c>
      <c r="I3183" s="3" t="s">
        <v>252</v>
      </c>
    </row>
    <row r="3184" spans="2:9" hidden="1" x14ac:dyDescent="0.4">
      <c r="B3184" s="8" t="s">
        <v>517</v>
      </c>
      <c r="C3184" s="3" t="s">
        <v>1906</v>
      </c>
      <c r="D3184" s="3" t="s">
        <v>1939</v>
      </c>
      <c r="F3184" s="3" t="s">
        <v>399</v>
      </c>
      <c r="I3184" s="3" t="s">
        <v>1865</v>
      </c>
    </row>
    <row r="3185" spans="2:9" hidden="1" x14ac:dyDescent="0.4">
      <c r="B3185" s="8" t="s">
        <v>517</v>
      </c>
      <c r="C3185" s="3" t="s">
        <v>3037</v>
      </c>
      <c r="D3185" s="3" t="s">
        <v>3273</v>
      </c>
      <c r="E3185" s="3">
        <v>1</v>
      </c>
      <c r="F3185" s="3" t="s">
        <v>399</v>
      </c>
      <c r="G3185" s="3" t="s">
        <v>402</v>
      </c>
      <c r="I3185" s="3" t="s">
        <v>1335</v>
      </c>
    </row>
    <row r="3186" spans="2:9" hidden="1" x14ac:dyDescent="0.4">
      <c r="B3186" s="8" t="s">
        <v>517</v>
      </c>
      <c r="C3186" s="3" t="s">
        <v>1328</v>
      </c>
      <c r="D3186" s="3" t="s">
        <v>1342</v>
      </c>
      <c r="E3186" s="3" t="s">
        <v>1272</v>
      </c>
      <c r="F3186" s="3" t="s">
        <v>399</v>
      </c>
      <c r="I3186" s="3" t="s">
        <v>1317</v>
      </c>
    </row>
    <row r="3187" spans="2:9" hidden="1" x14ac:dyDescent="0.4">
      <c r="B3187" s="8" t="s">
        <v>517</v>
      </c>
      <c r="C3187" s="3" t="s">
        <v>1360</v>
      </c>
      <c r="D3187" s="3" t="s">
        <v>1342</v>
      </c>
      <c r="E3187" s="3" t="s">
        <v>1272</v>
      </c>
      <c r="F3187" s="3" t="s">
        <v>402</v>
      </c>
      <c r="I3187" s="3" t="s">
        <v>1317</v>
      </c>
    </row>
    <row r="3188" spans="2:9" hidden="1" x14ac:dyDescent="0.4">
      <c r="B3188" s="8" t="s">
        <v>517</v>
      </c>
      <c r="C3188" s="3" t="s">
        <v>3026</v>
      </c>
      <c r="D3188" s="3" t="s">
        <v>3263</v>
      </c>
      <c r="E3188" s="3">
        <v>1</v>
      </c>
      <c r="F3188" s="3" t="s">
        <v>402</v>
      </c>
      <c r="G3188" s="3" t="s">
        <v>988</v>
      </c>
      <c r="I3188" s="3" t="s">
        <v>245</v>
      </c>
    </row>
    <row r="3189" spans="2:9" hidden="1" x14ac:dyDescent="0.4">
      <c r="B3189" s="8" t="s">
        <v>518</v>
      </c>
      <c r="C3189" s="3" t="s">
        <v>4283</v>
      </c>
      <c r="D3189" s="3" t="s">
        <v>4041</v>
      </c>
      <c r="F3189" s="3" t="s">
        <v>399</v>
      </c>
      <c r="G3189" s="3" t="s">
        <v>402</v>
      </c>
      <c r="I3189" s="3" t="s">
        <v>4064</v>
      </c>
    </row>
    <row r="3190" spans="2:9" hidden="1" x14ac:dyDescent="0.4">
      <c r="B3190" s="8" t="s">
        <v>518</v>
      </c>
      <c r="C3190" s="3" t="s">
        <v>4680</v>
      </c>
      <c r="D3190" s="3" t="s">
        <v>4988</v>
      </c>
      <c r="F3190" s="3" t="s">
        <v>399</v>
      </c>
      <c r="I3190" s="3" t="s">
        <v>4064</v>
      </c>
    </row>
    <row r="3191" spans="2:9" hidden="1" x14ac:dyDescent="0.4">
      <c r="B3191" s="8" t="s">
        <v>518</v>
      </c>
      <c r="C3191" s="3" t="s">
        <v>5275</v>
      </c>
      <c r="D3191" s="3" t="s">
        <v>5595</v>
      </c>
      <c r="F3191" s="3" t="s">
        <v>402</v>
      </c>
      <c r="I3191" s="3" t="s">
        <v>4064</v>
      </c>
    </row>
    <row r="3192" spans="2:9" hidden="1" x14ac:dyDescent="0.4">
      <c r="B3192" s="8" t="s">
        <v>518</v>
      </c>
      <c r="C3192" s="3" t="s">
        <v>3601</v>
      </c>
      <c r="D3192" s="3" t="s">
        <v>4041</v>
      </c>
      <c r="F3192" s="3" t="s">
        <v>399</v>
      </c>
      <c r="G3192" s="3" t="s">
        <v>402</v>
      </c>
      <c r="I3192" s="3" t="s">
        <v>4063</v>
      </c>
    </row>
    <row r="3193" spans="2:9" hidden="1" x14ac:dyDescent="0.4">
      <c r="B3193" s="8" t="s">
        <v>518</v>
      </c>
      <c r="C3193" s="3" t="s">
        <v>5902</v>
      </c>
      <c r="D3193" s="3" t="s">
        <v>4988</v>
      </c>
      <c r="F3193" s="3" t="s">
        <v>399</v>
      </c>
      <c r="I3193" s="3" t="s">
        <v>4063</v>
      </c>
    </row>
    <row r="3194" spans="2:9" hidden="1" x14ac:dyDescent="0.4">
      <c r="B3194" s="8" t="s">
        <v>518</v>
      </c>
      <c r="C3194" s="3" t="s">
        <v>6248</v>
      </c>
      <c r="D3194" s="3" t="s">
        <v>5595</v>
      </c>
      <c r="F3194" s="3" t="s">
        <v>402</v>
      </c>
      <c r="I3194" s="3" t="s">
        <v>4063</v>
      </c>
    </row>
    <row r="3195" spans="2:9" hidden="1" x14ac:dyDescent="0.4">
      <c r="B3195" s="8" t="s">
        <v>536</v>
      </c>
      <c r="C3195" s="3" t="s">
        <v>465</v>
      </c>
      <c r="D3195" s="3" t="s">
        <v>742</v>
      </c>
      <c r="E3195" s="3" t="s">
        <v>432</v>
      </c>
      <c r="F3195" s="3" t="s">
        <v>12779</v>
      </c>
      <c r="G3195" s="3" t="s">
        <v>430</v>
      </c>
      <c r="I3195" s="3" t="s">
        <v>472</v>
      </c>
    </row>
    <row r="3196" spans="2:9" hidden="1" x14ac:dyDescent="0.4">
      <c r="B3196" s="8" t="s">
        <v>517</v>
      </c>
      <c r="C3196" s="3" t="s">
        <v>3110</v>
      </c>
      <c r="D3196" s="3" t="s">
        <v>3126</v>
      </c>
      <c r="E3196" s="3">
        <v>1</v>
      </c>
      <c r="F3196" s="3" t="s">
        <v>402</v>
      </c>
      <c r="I3196" s="3" t="s">
        <v>245</v>
      </c>
    </row>
    <row r="3197" spans="2:9" hidden="1" x14ac:dyDescent="0.4">
      <c r="B3197" s="8" t="s">
        <v>517</v>
      </c>
      <c r="C3197" s="3" t="s">
        <v>221</v>
      </c>
      <c r="D3197" s="3" t="s">
        <v>256</v>
      </c>
      <c r="F3197" s="3" t="s">
        <v>399</v>
      </c>
      <c r="I3197" s="3" t="s">
        <v>420</v>
      </c>
    </row>
    <row r="3198" spans="2:9" hidden="1" x14ac:dyDescent="0.4">
      <c r="B3198" s="8" t="s">
        <v>517</v>
      </c>
      <c r="C3198" s="3" t="s">
        <v>197</v>
      </c>
      <c r="D3198" s="3" t="s">
        <v>556</v>
      </c>
      <c r="F3198" s="3" t="s">
        <v>399</v>
      </c>
      <c r="I3198" s="3" t="s">
        <v>267</v>
      </c>
    </row>
    <row r="3199" spans="2:9" hidden="1" x14ac:dyDescent="0.4">
      <c r="B3199" s="8" t="s">
        <v>518</v>
      </c>
      <c r="C3199" s="3" t="s">
        <v>1393</v>
      </c>
      <c r="D3199" s="3" t="s">
        <v>1427</v>
      </c>
      <c r="F3199" s="3" t="s">
        <v>399</v>
      </c>
      <c r="G3199" s="3" t="s">
        <v>402</v>
      </c>
      <c r="H3199" s="3" t="s">
        <v>1279</v>
      </c>
      <c r="I3199" s="3" t="s">
        <v>1414</v>
      </c>
    </row>
    <row r="3200" spans="2:9" hidden="1" x14ac:dyDescent="0.4">
      <c r="B3200" s="8" t="s">
        <v>517</v>
      </c>
      <c r="C3200" s="3" t="s">
        <v>2925</v>
      </c>
      <c r="D3200" s="3" t="s">
        <v>3345</v>
      </c>
      <c r="E3200" s="3">
        <v>1</v>
      </c>
      <c r="F3200" s="3" t="s">
        <v>399</v>
      </c>
      <c r="G3200" s="3" t="s">
        <v>402</v>
      </c>
      <c r="H3200" s="3" t="s">
        <v>988</v>
      </c>
      <c r="I3200" s="3" t="s">
        <v>1335</v>
      </c>
    </row>
    <row r="3201" spans="2:9" hidden="1" x14ac:dyDescent="0.4">
      <c r="B3201" s="8" t="s">
        <v>517</v>
      </c>
      <c r="C3201" s="3" t="s">
        <v>1395</v>
      </c>
      <c r="D3201" s="3" t="s">
        <v>1429</v>
      </c>
      <c r="F3201" s="3" t="s">
        <v>399</v>
      </c>
      <c r="G3201" s="3" t="s">
        <v>402</v>
      </c>
      <c r="H3201" s="3" t="s">
        <v>1279</v>
      </c>
      <c r="I3201" s="3" t="s">
        <v>1414</v>
      </c>
    </row>
    <row r="3202" spans="2:9" hidden="1" x14ac:dyDescent="0.4">
      <c r="B3202" s="8" t="s">
        <v>517</v>
      </c>
      <c r="C3202" s="3" t="s">
        <v>1539</v>
      </c>
      <c r="D3202" s="3" t="s">
        <v>1429</v>
      </c>
      <c r="F3202" s="3" t="s">
        <v>402</v>
      </c>
      <c r="I3202" s="3" t="s">
        <v>1414</v>
      </c>
    </row>
    <row r="3203" spans="2:9" hidden="1" x14ac:dyDescent="0.4">
      <c r="B3203" s="8" t="s">
        <v>517</v>
      </c>
      <c r="C3203" s="3" t="s">
        <v>331</v>
      </c>
      <c r="D3203" s="3" t="s">
        <v>600</v>
      </c>
      <c r="F3203" s="3" t="s">
        <v>399</v>
      </c>
      <c r="I3203" s="3" t="s">
        <v>267</v>
      </c>
    </row>
    <row r="3204" spans="2:9" hidden="1" x14ac:dyDescent="0.4">
      <c r="B3204" s="8" t="s">
        <v>518</v>
      </c>
      <c r="C3204" s="3" t="s">
        <v>1537</v>
      </c>
      <c r="D3204" s="3" t="s">
        <v>1427</v>
      </c>
      <c r="F3204" s="3" t="s">
        <v>402</v>
      </c>
      <c r="I3204" s="3" t="s">
        <v>1414</v>
      </c>
    </row>
    <row r="3205" spans="2:9" hidden="1" x14ac:dyDescent="0.4">
      <c r="B3205" s="8" t="s">
        <v>517</v>
      </c>
      <c r="C3205" s="3" t="s">
        <v>3104</v>
      </c>
      <c r="D3205" s="3" t="s">
        <v>3167</v>
      </c>
      <c r="E3205" s="3">
        <v>1</v>
      </c>
      <c r="F3205" s="3" t="s">
        <v>402</v>
      </c>
      <c r="G3205" s="3" t="s">
        <v>988</v>
      </c>
      <c r="I3205" s="3" t="s">
        <v>245</v>
      </c>
    </row>
    <row r="3206" spans="2:9" hidden="1" x14ac:dyDescent="0.4">
      <c r="B3206" s="8" t="s">
        <v>518</v>
      </c>
      <c r="C3206" s="3" t="s">
        <v>2877</v>
      </c>
      <c r="D3206" s="3" t="s">
        <v>3119</v>
      </c>
      <c r="E3206" s="3">
        <v>1</v>
      </c>
      <c r="F3206" s="3" t="s">
        <v>402</v>
      </c>
      <c r="I3206" s="3" t="s">
        <v>245</v>
      </c>
    </row>
    <row r="3207" spans="2:9" hidden="1" x14ac:dyDescent="0.4">
      <c r="B3207" s="8" t="s">
        <v>536</v>
      </c>
      <c r="C3207" s="3" t="s">
        <v>414</v>
      </c>
      <c r="D3207" s="3" t="s">
        <v>428</v>
      </c>
      <c r="E3207" s="3" t="s">
        <v>432</v>
      </c>
      <c r="F3207" s="3" t="s">
        <v>430</v>
      </c>
      <c r="I3207" s="3" t="s">
        <v>431</v>
      </c>
    </row>
    <row r="3208" spans="2:9" hidden="1" x14ac:dyDescent="0.4">
      <c r="B3208" s="8" t="s">
        <v>517</v>
      </c>
      <c r="C3208" s="3" t="s">
        <v>868</v>
      </c>
      <c r="D3208" s="3" t="s">
        <v>879</v>
      </c>
      <c r="E3208" s="3" t="s">
        <v>425</v>
      </c>
      <c r="F3208" s="3" t="s">
        <v>399</v>
      </c>
      <c r="I3208" s="3" t="s">
        <v>824</v>
      </c>
    </row>
    <row r="3209" spans="2:9" hidden="1" x14ac:dyDescent="0.4">
      <c r="B3209" s="8" t="s">
        <v>517</v>
      </c>
      <c r="C3209" s="3" t="s">
        <v>868</v>
      </c>
      <c r="D3209" s="3" t="s">
        <v>905</v>
      </c>
      <c r="E3209" s="3" t="s">
        <v>425</v>
      </c>
      <c r="F3209" s="3" t="s">
        <v>399</v>
      </c>
      <c r="I3209" s="3" t="s">
        <v>523</v>
      </c>
    </row>
    <row r="3210" spans="2:9" hidden="1" x14ac:dyDescent="0.4">
      <c r="B3210" s="8" t="s">
        <v>517</v>
      </c>
      <c r="C3210" s="3" t="s">
        <v>868</v>
      </c>
      <c r="D3210" s="3" t="s">
        <v>892</v>
      </c>
      <c r="E3210" s="3" t="s">
        <v>425</v>
      </c>
      <c r="F3210" s="3" t="s">
        <v>399</v>
      </c>
      <c r="I3210" s="3" t="s">
        <v>898</v>
      </c>
    </row>
    <row r="3211" spans="2:9" hidden="1" x14ac:dyDescent="0.4">
      <c r="B3211" s="8" t="s">
        <v>517</v>
      </c>
      <c r="C3211" s="3" t="s">
        <v>958</v>
      </c>
      <c r="D3211" s="3" t="s">
        <v>879</v>
      </c>
      <c r="E3211" s="3" t="s">
        <v>425</v>
      </c>
      <c r="F3211" s="3" t="s">
        <v>402</v>
      </c>
      <c r="I3211" s="3" t="s">
        <v>824</v>
      </c>
    </row>
    <row r="3212" spans="2:9" hidden="1" x14ac:dyDescent="0.4">
      <c r="B3212" s="8" t="s">
        <v>517</v>
      </c>
      <c r="C3212" s="3" t="s">
        <v>958</v>
      </c>
      <c r="D3212" s="3" t="s">
        <v>905</v>
      </c>
      <c r="E3212" s="3" t="s">
        <v>425</v>
      </c>
      <c r="F3212" s="3" t="s">
        <v>402</v>
      </c>
      <c r="I3212" s="3" t="s">
        <v>523</v>
      </c>
    </row>
    <row r="3213" spans="2:9" hidden="1" x14ac:dyDescent="0.4">
      <c r="B3213" s="8" t="s">
        <v>517</v>
      </c>
      <c r="C3213" s="3" t="s">
        <v>958</v>
      </c>
      <c r="D3213" s="3" t="s">
        <v>892</v>
      </c>
      <c r="E3213" s="3" t="s">
        <v>425</v>
      </c>
      <c r="F3213" s="3" t="s">
        <v>402</v>
      </c>
      <c r="I3213" s="3" t="s">
        <v>898</v>
      </c>
    </row>
    <row r="3214" spans="2:9" hidden="1" x14ac:dyDescent="0.4">
      <c r="B3214" s="8" t="s">
        <v>520</v>
      </c>
      <c r="C3214" s="3" t="s">
        <v>4194</v>
      </c>
      <c r="D3214" s="3" t="s">
        <v>3798</v>
      </c>
      <c r="F3214" s="3" t="s">
        <v>399</v>
      </c>
      <c r="G3214" s="3" t="s">
        <v>402</v>
      </c>
      <c r="I3214" s="3" t="s">
        <v>4064</v>
      </c>
    </row>
    <row r="3215" spans="2:9" hidden="1" x14ac:dyDescent="0.4">
      <c r="B3215" s="8" t="s">
        <v>520</v>
      </c>
      <c r="C3215" s="3" t="s">
        <v>4429</v>
      </c>
      <c r="D3215" s="3" t="s">
        <v>4777</v>
      </c>
      <c r="F3215" s="3" t="s">
        <v>399</v>
      </c>
      <c r="I3215" s="3" t="s">
        <v>4064</v>
      </c>
    </row>
    <row r="3216" spans="2:9" hidden="1" x14ac:dyDescent="0.4">
      <c r="B3216" s="8" t="s">
        <v>520</v>
      </c>
      <c r="C3216" s="3" t="s">
        <v>5166</v>
      </c>
      <c r="D3216" s="3" t="s">
        <v>5487</v>
      </c>
      <c r="F3216" s="3" t="s">
        <v>402</v>
      </c>
      <c r="I3216" s="3" t="s">
        <v>4064</v>
      </c>
    </row>
    <row r="3217" spans="2:9" hidden="1" x14ac:dyDescent="0.4">
      <c r="B3217" s="8" t="s">
        <v>520</v>
      </c>
      <c r="C3217" s="3" t="s">
        <v>3493</v>
      </c>
      <c r="D3217" s="3" t="s">
        <v>3798</v>
      </c>
      <c r="F3217" s="3" t="s">
        <v>399</v>
      </c>
      <c r="G3217" s="3" t="s">
        <v>402</v>
      </c>
      <c r="I3217" s="3" t="s">
        <v>4063</v>
      </c>
    </row>
    <row r="3218" spans="2:9" hidden="1" x14ac:dyDescent="0.4">
      <c r="B3218" s="8" t="s">
        <v>520</v>
      </c>
      <c r="C3218" s="3" t="s">
        <v>5993</v>
      </c>
      <c r="D3218" s="3" t="s">
        <v>4777</v>
      </c>
      <c r="F3218" s="3" t="s">
        <v>399</v>
      </c>
      <c r="I3218" s="3" t="s">
        <v>4063</v>
      </c>
    </row>
    <row r="3219" spans="2:9" hidden="1" x14ac:dyDescent="0.4">
      <c r="B3219" s="8" t="s">
        <v>520</v>
      </c>
      <c r="C3219" s="3" t="s">
        <v>6342</v>
      </c>
      <c r="D3219" s="3" t="s">
        <v>5487</v>
      </c>
      <c r="F3219" s="3" t="s">
        <v>402</v>
      </c>
      <c r="I3219" s="3" t="s">
        <v>4063</v>
      </c>
    </row>
    <row r="3220" spans="2:9" hidden="1" x14ac:dyDescent="0.4">
      <c r="B3220" s="8" t="s">
        <v>520</v>
      </c>
      <c r="C3220" s="3" t="s">
        <v>4353</v>
      </c>
      <c r="D3220" s="3" t="s">
        <v>4009</v>
      </c>
      <c r="F3220" s="3" t="s">
        <v>399</v>
      </c>
      <c r="G3220" s="3" t="s">
        <v>402</v>
      </c>
      <c r="I3220" s="3" t="s">
        <v>4064</v>
      </c>
    </row>
    <row r="3221" spans="2:9" hidden="1" x14ac:dyDescent="0.4">
      <c r="B3221" s="8" t="s">
        <v>520</v>
      </c>
      <c r="C3221" s="3" t="s">
        <v>4006</v>
      </c>
      <c r="D3221" s="3" t="s">
        <v>4009</v>
      </c>
      <c r="F3221" s="3" t="s">
        <v>399</v>
      </c>
      <c r="G3221" s="3" t="s">
        <v>402</v>
      </c>
      <c r="I3221" s="3" t="s">
        <v>4063</v>
      </c>
    </row>
    <row r="3222" spans="2:9" hidden="1" x14ac:dyDescent="0.4">
      <c r="B3222" s="8" t="s">
        <v>520</v>
      </c>
      <c r="C3222" s="3" t="s">
        <v>5971</v>
      </c>
      <c r="D3222" s="3" t="s">
        <v>5017</v>
      </c>
      <c r="F3222" s="3" t="s">
        <v>399</v>
      </c>
      <c r="I3222" s="3" t="s">
        <v>4063</v>
      </c>
    </row>
    <row r="3223" spans="2:9" hidden="1" x14ac:dyDescent="0.4">
      <c r="B3223" s="8" t="s">
        <v>520</v>
      </c>
      <c r="C3223" s="3" t="s">
        <v>6319</v>
      </c>
      <c r="D3223" s="3" t="s">
        <v>5670</v>
      </c>
      <c r="F3223" s="3" t="s">
        <v>402</v>
      </c>
      <c r="I3223" s="3" t="s">
        <v>4063</v>
      </c>
    </row>
    <row r="3224" spans="2:9" hidden="1" x14ac:dyDescent="0.4">
      <c r="B3224" s="8" t="s">
        <v>520</v>
      </c>
      <c r="C3224" s="3" t="s">
        <v>4537</v>
      </c>
      <c r="D3224" s="3" t="s">
        <v>5017</v>
      </c>
      <c r="F3224" s="3" t="s">
        <v>399</v>
      </c>
      <c r="I3224" s="3" t="s">
        <v>4064</v>
      </c>
    </row>
    <row r="3225" spans="2:9" hidden="1" x14ac:dyDescent="0.4">
      <c r="B3225" s="8" t="s">
        <v>520</v>
      </c>
      <c r="C3225" s="3" t="s">
        <v>5351</v>
      </c>
      <c r="D3225" s="3" t="s">
        <v>5670</v>
      </c>
      <c r="F3225" s="3" t="s">
        <v>402</v>
      </c>
      <c r="I3225" s="3" t="s">
        <v>4064</v>
      </c>
    </row>
    <row r="3226" spans="2:9" hidden="1" x14ac:dyDescent="0.4">
      <c r="B3226" s="8">
        <v>1</v>
      </c>
      <c r="C3226" s="3" t="s">
        <v>175</v>
      </c>
      <c r="D3226" s="3" t="s">
        <v>651</v>
      </c>
      <c r="F3226" s="3" t="s">
        <v>399</v>
      </c>
      <c r="I3226" s="3" t="s">
        <v>267</v>
      </c>
    </row>
    <row r="3227" spans="2:9" hidden="1" x14ac:dyDescent="0.4">
      <c r="B3227" s="8" t="s">
        <v>531</v>
      </c>
      <c r="C3227" s="3" t="s">
        <v>4084</v>
      </c>
      <c r="D3227" s="3" t="s">
        <v>3686</v>
      </c>
      <c r="F3227" s="3" t="s">
        <v>399</v>
      </c>
      <c r="G3227" s="3" t="s">
        <v>402</v>
      </c>
      <c r="I3227" s="3" t="s">
        <v>4064</v>
      </c>
    </row>
    <row r="3228" spans="2:9" hidden="1" x14ac:dyDescent="0.4">
      <c r="B3228" s="8" t="s">
        <v>531</v>
      </c>
      <c r="C3228" s="3" t="s">
        <v>4085</v>
      </c>
      <c r="D3228" s="3" t="s">
        <v>3686</v>
      </c>
      <c r="F3228" s="3" t="s">
        <v>399</v>
      </c>
      <c r="G3228" s="3" t="s">
        <v>402</v>
      </c>
      <c r="I3228" s="3" t="s">
        <v>4063</v>
      </c>
    </row>
    <row r="3229" spans="2:9" hidden="1" x14ac:dyDescent="0.4">
      <c r="B3229" s="8" t="s">
        <v>531</v>
      </c>
      <c r="C3229" s="3" t="s">
        <v>5713</v>
      </c>
      <c r="D3229" s="3" t="s">
        <v>4711</v>
      </c>
      <c r="F3229" s="3" t="s">
        <v>399</v>
      </c>
      <c r="I3229" s="3" t="s">
        <v>4063</v>
      </c>
    </row>
    <row r="3230" spans="2:9" hidden="1" x14ac:dyDescent="0.4">
      <c r="B3230" s="8" t="s">
        <v>531</v>
      </c>
      <c r="C3230" s="3" t="s">
        <v>6054</v>
      </c>
      <c r="D3230" s="3" t="s">
        <v>5379</v>
      </c>
      <c r="F3230" s="3" t="s">
        <v>402</v>
      </c>
      <c r="I3230" s="3" t="s">
        <v>4063</v>
      </c>
    </row>
    <row r="3231" spans="2:9" hidden="1" x14ac:dyDescent="0.4">
      <c r="B3231" s="8" t="s">
        <v>531</v>
      </c>
      <c r="C3231" s="3" t="s">
        <v>4373</v>
      </c>
      <c r="D3231" s="3" t="s">
        <v>4711</v>
      </c>
      <c r="F3231" s="3" t="s">
        <v>399</v>
      </c>
      <c r="I3231" s="3" t="s">
        <v>4064</v>
      </c>
    </row>
    <row r="3232" spans="2:9" hidden="1" x14ac:dyDescent="0.4">
      <c r="B3232" s="8" t="s">
        <v>531</v>
      </c>
      <c r="C3232" s="3" t="s">
        <v>5045</v>
      </c>
      <c r="D3232" s="3" t="s">
        <v>5379</v>
      </c>
      <c r="F3232" s="3" t="s">
        <v>402</v>
      </c>
      <c r="I3232" s="3" t="s">
        <v>4064</v>
      </c>
    </row>
    <row r="3233" spans="2:9" hidden="1" x14ac:dyDescent="0.4">
      <c r="B3233" s="8" t="s">
        <v>531</v>
      </c>
      <c r="C3233" s="3" t="s">
        <v>200</v>
      </c>
      <c r="D3233" s="3" t="s">
        <v>557</v>
      </c>
      <c r="F3233" s="3" t="s">
        <v>399</v>
      </c>
      <c r="I3233" s="3" t="s">
        <v>267</v>
      </c>
    </row>
    <row r="3234" spans="2:9" hidden="1" x14ac:dyDescent="0.4">
      <c r="B3234" s="8" t="s">
        <v>531</v>
      </c>
      <c r="C3234" s="3" t="s">
        <v>308</v>
      </c>
      <c r="D3234" s="3" t="s">
        <v>601</v>
      </c>
      <c r="F3234" s="3" t="s">
        <v>399</v>
      </c>
      <c r="I3234" s="3" t="s">
        <v>267</v>
      </c>
    </row>
    <row r="3235" spans="2:9" hidden="1" x14ac:dyDescent="0.4">
      <c r="B3235" s="8" t="s">
        <v>517</v>
      </c>
      <c r="C3235" s="3" t="s">
        <v>4201</v>
      </c>
      <c r="D3235" s="3" t="s">
        <v>3803</v>
      </c>
      <c r="F3235" s="3" t="s">
        <v>399</v>
      </c>
      <c r="G3235" s="3" t="s">
        <v>402</v>
      </c>
      <c r="I3235" s="3" t="s">
        <v>4064</v>
      </c>
    </row>
    <row r="3236" spans="2:9" hidden="1" x14ac:dyDescent="0.4">
      <c r="B3236" s="8" t="s">
        <v>517</v>
      </c>
      <c r="C3236" s="3" t="s">
        <v>3500</v>
      </c>
      <c r="D3236" s="3" t="s">
        <v>3803</v>
      </c>
      <c r="F3236" s="3" t="s">
        <v>399</v>
      </c>
      <c r="G3236" s="3" t="s">
        <v>402</v>
      </c>
      <c r="I3236" s="3" t="s">
        <v>4063</v>
      </c>
    </row>
    <row r="3237" spans="2:9" hidden="1" x14ac:dyDescent="0.4">
      <c r="B3237" s="8" t="s">
        <v>517</v>
      </c>
      <c r="C3237" s="3" t="s">
        <v>5818</v>
      </c>
      <c r="D3237" s="3" t="s">
        <v>4917</v>
      </c>
      <c r="F3237" s="3" t="s">
        <v>399</v>
      </c>
      <c r="I3237" s="3" t="s">
        <v>4063</v>
      </c>
    </row>
    <row r="3238" spans="2:9" hidden="1" x14ac:dyDescent="0.4">
      <c r="B3238" s="8" t="s">
        <v>517</v>
      </c>
      <c r="C3238" s="3" t="s">
        <v>6161</v>
      </c>
      <c r="D3238" s="3" t="s">
        <v>5494</v>
      </c>
      <c r="F3238" s="3" t="s">
        <v>402</v>
      </c>
      <c r="I3238" s="3" t="s">
        <v>4063</v>
      </c>
    </row>
    <row r="3239" spans="2:9" hidden="1" x14ac:dyDescent="0.4">
      <c r="B3239" s="8" t="s">
        <v>517</v>
      </c>
      <c r="C3239" s="3" t="s">
        <v>4657</v>
      </c>
      <c r="D3239" s="3" t="s">
        <v>4917</v>
      </c>
      <c r="F3239" s="3" t="s">
        <v>399</v>
      </c>
      <c r="I3239" s="3" t="s">
        <v>4064</v>
      </c>
    </row>
    <row r="3240" spans="2:9" hidden="1" x14ac:dyDescent="0.4">
      <c r="B3240" s="8" t="s">
        <v>517</v>
      </c>
      <c r="C3240" s="3" t="s">
        <v>5173</v>
      </c>
      <c r="D3240" s="3" t="s">
        <v>5494</v>
      </c>
      <c r="F3240" s="3" t="s">
        <v>402</v>
      </c>
      <c r="I3240" s="3" t="s">
        <v>4064</v>
      </c>
    </row>
    <row r="3241" spans="2:9" hidden="1" x14ac:dyDescent="0.4">
      <c r="B3241" s="8" t="s">
        <v>516</v>
      </c>
      <c r="C3241" s="3" t="s">
        <v>4263</v>
      </c>
      <c r="D3241" s="3" t="s">
        <v>4050</v>
      </c>
      <c r="F3241" s="3" t="s">
        <v>399</v>
      </c>
      <c r="G3241" s="3" t="s">
        <v>402</v>
      </c>
      <c r="I3241" s="3" t="s">
        <v>4064</v>
      </c>
    </row>
    <row r="3242" spans="2:9" hidden="1" x14ac:dyDescent="0.4">
      <c r="B3242" s="8" t="s">
        <v>516</v>
      </c>
      <c r="C3242" s="3" t="s">
        <v>4474</v>
      </c>
      <c r="D3242" s="3" t="s">
        <v>4970</v>
      </c>
      <c r="F3242" s="3" t="s">
        <v>399</v>
      </c>
      <c r="I3242" s="3" t="s">
        <v>4064</v>
      </c>
    </row>
    <row r="3243" spans="2:9" hidden="1" x14ac:dyDescent="0.4">
      <c r="B3243" s="8" t="s">
        <v>516</v>
      </c>
      <c r="C3243" s="3" t="s">
        <v>5244</v>
      </c>
      <c r="D3243" s="3" t="s">
        <v>5566</v>
      </c>
      <c r="F3243" s="3" t="s">
        <v>402</v>
      </c>
      <c r="I3243" s="3" t="s">
        <v>4064</v>
      </c>
    </row>
    <row r="3244" spans="2:9" hidden="1" x14ac:dyDescent="0.4">
      <c r="B3244" s="8" t="s">
        <v>516</v>
      </c>
      <c r="C3244" s="3" t="s">
        <v>3570</v>
      </c>
      <c r="D3244" s="3" t="s">
        <v>4050</v>
      </c>
      <c r="F3244" s="3" t="s">
        <v>399</v>
      </c>
      <c r="G3244" s="3" t="s">
        <v>402</v>
      </c>
      <c r="I3244" s="3" t="s">
        <v>4063</v>
      </c>
    </row>
    <row r="3245" spans="2:9" ht="29.25" hidden="1" x14ac:dyDescent="0.4">
      <c r="B3245" s="8" t="s">
        <v>516</v>
      </c>
      <c r="C3245" s="3" t="s">
        <v>6225</v>
      </c>
      <c r="D3245" s="3" t="s">
        <v>5566</v>
      </c>
      <c r="F3245" s="3" t="s">
        <v>402</v>
      </c>
      <c r="I3245" s="3" t="s">
        <v>4063</v>
      </c>
    </row>
    <row r="3246" spans="2:9" hidden="1" x14ac:dyDescent="0.4">
      <c r="B3246" s="8" t="s">
        <v>516</v>
      </c>
      <c r="C3246" s="3" t="s">
        <v>5879</v>
      </c>
      <c r="D3246" s="3" t="s">
        <v>4970</v>
      </c>
      <c r="F3246" s="3" t="s">
        <v>399</v>
      </c>
      <c r="I3246" s="3" t="s">
        <v>4063</v>
      </c>
    </row>
    <row r="3247" spans="2:9" hidden="1" x14ac:dyDescent="0.4">
      <c r="B3247" s="8" t="s">
        <v>517</v>
      </c>
      <c r="C3247" s="3" t="s">
        <v>361</v>
      </c>
      <c r="D3247" s="3" t="s">
        <v>385</v>
      </c>
      <c r="F3247" s="3" t="s">
        <v>399</v>
      </c>
      <c r="I3247" s="3" t="s">
        <v>267</v>
      </c>
    </row>
    <row r="3248" spans="2:9" hidden="1" x14ac:dyDescent="0.4">
      <c r="B3248" s="8" t="s">
        <v>517</v>
      </c>
      <c r="C3248" s="3" t="s">
        <v>498</v>
      </c>
      <c r="D3248" s="3" t="s">
        <v>669</v>
      </c>
      <c r="E3248" s="3" t="s">
        <v>425</v>
      </c>
      <c r="F3248" s="3" t="s">
        <v>522</v>
      </c>
      <c r="I3248" s="3" t="s">
        <v>510</v>
      </c>
    </row>
    <row r="3249" spans="2:9" hidden="1" x14ac:dyDescent="0.4">
      <c r="B3249" s="8" t="s">
        <v>517</v>
      </c>
      <c r="C3249" s="3" t="s">
        <v>498</v>
      </c>
      <c r="D3249" s="3" t="s">
        <v>3180</v>
      </c>
      <c r="E3249" s="3">
        <v>1</v>
      </c>
      <c r="F3249" s="3" t="s">
        <v>402</v>
      </c>
      <c r="G3249" s="3" t="s">
        <v>988</v>
      </c>
      <c r="I3249" s="3" t="s">
        <v>245</v>
      </c>
    </row>
    <row r="3250" spans="2:9" hidden="1" x14ac:dyDescent="0.4">
      <c r="B3250" s="8" t="s">
        <v>517</v>
      </c>
      <c r="C3250" s="3" t="s">
        <v>705</v>
      </c>
      <c r="D3250" s="3" t="s">
        <v>669</v>
      </c>
      <c r="E3250" s="3" t="s">
        <v>425</v>
      </c>
      <c r="F3250" s="3" t="s">
        <v>684</v>
      </c>
      <c r="I3250" s="3" t="s">
        <v>510</v>
      </c>
    </row>
    <row r="3251" spans="2:9" hidden="1" x14ac:dyDescent="0.4">
      <c r="B3251" s="8" t="s">
        <v>517</v>
      </c>
      <c r="C3251" s="3" t="s">
        <v>4649</v>
      </c>
      <c r="D3251" s="3" t="s">
        <v>4774</v>
      </c>
      <c r="F3251" s="3" t="s">
        <v>399</v>
      </c>
      <c r="I3251" s="3" t="s">
        <v>4064</v>
      </c>
    </row>
    <row r="3252" spans="2:9" hidden="1" x14ac:dyDescent="0.4">
      <c r="B3252" s="8" t="s">
        <v>517</v>
      </c>
      <c r="C3252" s="3" t="s">
        <v>5157</v>
      </c>
      <c r="D3252" s="3" t="s">
        <v>5478</v>
      </c>
      <c r="F3252" s="3" t="s">
        <v>402</v>
      </c>
      <c r="I3252" s="3" t="s">
        <v>4064</v>
      </c>
    </row>
    <row r="3253" spans="2:9" hidden="1" x14ac:dyDescent="0.4">
      <c r="B3253" s="8" t="s">
        <v>517</v>
      </c>
      <c r="C3253" s="3" t="s">
        <v>3484</v>
      </c>
      <c r="D3253" s="3" t="s">
        <v>3789</v>
      </c>
      <c r="F3253" s="3" t="s">
        <v>399</v>
      </c>
      <c r="G3253" s="3" t="s">
        <v>402</v>
      </c>
      <c r="I3253" s="3" t="s">
        <v>4063</v>
      </c>
    </row>
    <row r="3254" spans="2:9" hidden="1" x14ac:dyDescent="0.4">
      <c r="B3254" s="8" t="s">
        <v>517</v>
      </c>
      <c r="C3254" s="3" t="s">
        <v>3484</v>
      </c>
      <c r="D3254" s="3" t="s">
        <v>3789</v>
      </c>
      <c r="F3254" s="3" t="s">
        <v>399</v>
      </c>
      <c r="G3254" s="3" t="s">
        <v>402</v>
      </c>
      <c r="I3254" s="3" t="s">
        <v>4064</v>
      </c>
    </row>
    <row r="3255" spans="2:9" hidden="1" x14ac:dyDescent="0.4">
      <c r="B3255" s="8" t="s">
        <v>517</v>
      </c>
      <c r="C3255" s="3" t="s">
        <v>5806</v>
      </c>
      <c r="D3255" s="3" t="s">
        <v>4774</v>
      </c>
      <c r="F3255" s="3" t="s">
        <v>399</v>
      </c>
      <c r="I3255" s="3" t="s">
        <v>4063</v>
      </c>
    </row>
    <row r="3256" spans="2:9" hidden="1" x14ac:dyDescent="0.4">
      <c r="B3256" s="8" t="s">
        <v>517</v>
      </c>
      <c r="C3256" s="3" t="s">
        <v>6149</v>
      </c>
      <c r="D3256" s="3" t="s">
        <v>5478</v>
      </c>
      <c r="F3256" s="3" t="s">
        <v>402</v>
      </c>
      <c r="I3256" s="3" t="s">
        <v>4063</v>
      </c>
    </row>
    <row r="3257" spans="2:9" hidden="1" x14ac:dyDescent="0.4">
      <c r="B3257" s="8" t="s">
        <v>518</v>
      </c>
      <c r="C3257" s="3" t="s">
        <v>185</v>
      </c>
      <c r="D3257" s="3" t="s">
        <v>558</v>
      </c>
      <c r="F3257" s="3" t="s">
        <v>399</v>
      </c>
      <c r="I3257" s="3" t="s">
        <v>267</v>
      </c>
    </row>
    <row r="3258" spans="2:9" hidden="1" x14ac:dyDescent="0.4">
      <c r="B3258" s="8" t="s">
        <v>529</v>
      </c>
      <c r="C3258" s="3" t="s">
        <v>2233</v>
      </c>
      <c r="D3258" s="3" t="s">
        <v>2391</v>
      </c>
      <c r="E3258" s="3" t="s">
        <v>1272</v>
      </c>
      <c r="F3258" s="3" t="s">
        <v>399</v>
      </c>
      <c r="I3258" s="3" t="s">
        <v>1833</v>
      </c>
    </row>
    <row r="3259" spans="2:9" hidden="1" x14ac:dyDescent="0.4">
      <c r="B3259" s="8" t="s">
        <v>529</v>
      </c>
      <c r="C3259" s="3" t="s">
        <v>2552</v>
      </c>
      <c r="D3259" s="3" t="s">
        <v>2391</v>
      </c>
      <c r="E3259" s="3" t="s">
        <v>1272</v>
      </c>
      <c r="F3259" s="3" t="s">
        <v>402</v>
      </c>
      <c r="I3259" s="3" t="s">
        <v>1833</v>
      </c>
    </row>
    <row r="3260" spans="2:9" hidden="1" x14ac:dyDescent="0.4">
      <c r="B3260" s="8" t="s">
        <v>529</v>
      </c>
      <c r="C3260" s="3" t="s">
        <v>2651</v>
      </c>
      <c r="D3260" s="3" t="s">
        <v>2662</v>
      </c>
      <c r="E3260" s="3" t="s">
        <v>1272</v>
      </c>
      <c r="F3260" s="3" t="s">
        <v>399</v>
      </c>
      <c r="I3260" s="3" t="s">
        <v>2370</v>
      </c>
    </row>
    <row r="3261" spans="2:9" hidden="1" x14ac:dyDescent="0.4">
      <c r="B3261" s="8" t="s">
        <v>517</v>
      </c>
      <c r="C3261" s="3" t="s">
        <v>2905</v>
      </c>
      <c r="D3261" s="3" t="s">
        <v>3146</v>
      </c>
      <c r="E3261" s="3">
        <v>1</v>
      </c>
      <c r="F3261" s="3" t="s">
        <v>402</v>
      </c>
      <c r="G3261" s="3" t="s">
        <v>988</v>
      </c>
      <c r="I3261" s="3" t="s">
        <v>245</v>
      </c>
    </row>
    <row r="3262" spans="2:9" hidden="1" x14ac:dyDescent="0.4">
      <c r="B3262" s="8" t="s">
        <v>520</v>
      </c>
      <c r="C3262" s="3" t="s">
        <v>3373</v>
      </c>
      <c r="D3262" s="3" t="s">
        <v>3681</v>
      </c>
      <c r="F3262" s="3" t="s">
        <v>399</v>
      </c>
      <c r="G3262" s="3" t="s">
        <v>402</v>
      </c>
      <c r="I3262" s="3" t="s">
        <v>4063</v>
      </c>
    </row>
    <row r="3263" spans="2:9" hidden="1" x14ac:dyDescent="0.4">
      <c r="B3263" s="8" t="s">
        <v>520</v>
      </c>
      <c r="C3263" s="3" t="s">
        <v>5708</v>
      </c>
      <c r="D3263" s="3" t="s">
        <v>4707</v>
      </c>
      <c r="F3263" s="3" t="s">
        <v>399</v>
      </c>
      <c r="I3263" s="3" t="s">
        <v>4063</v>
      </c>
    </row>
    <row r="3264" spans="2:9" hidden="1" x14ac:dyDescent="0.4">
      <c r="B3264" s="8" t="s">
        <v>520</v>
      </c>
      <c r="C3264" s="3" t="s">
        <v>6049</v>
      </c>
      <c r="D3264" s="3" t="s">
        <v>5375</v>
      </c>
      <c r="F3264" s="3" t="s">
        <v>402</v>
      </c>
      <c r="I3264" s="3" t="s">
        <v>4063</v>
      </c>
    </row>
    <row r="3265" spans="2:9" hidden="1" x14ac:dyDescent="0.4">
      <c r="B3265" s="8" t="s">
        <v>520</v>
      </c>
      <c r="C3265" s="3" t="s">
        <v>4075</v>
      </c>
      <c r="D3265" s="3" t="s">
        <v>3681</v>
      </c>
      <c r="F3265" s="3" t="s">
        <v>399</v>
      </c>
      <c r="G3265" s="3" t="s">
        <v>402</v>
      </c>
      <c r="I3265" s="3" t="s">
        <v>4064</v>
      </c>
    </row>
    <row r="3266" spans="2:9" hidden="1" x14ac:dyDescent="0.4">
      <c r="B3266" s="8" t="s">
        <v>520</v>
      </c>
      <c r="C3266" s="3" t="s">
        <v>4370</v>
      </c>
      <c r="D3266" s="3" t="s">
        <v>4707</v>
      </c>
      <c r="F3266" s="3" t="s">
        <v>399</v>
      </c>
      <c r="I3266" s="3" t="s">
        <v>4064</v>
      </c>
    </row>
    <row r="3267" spans="2:9" hidden="1" x14ac:dyDescent="0.4">
      <c r="B3267" s="8" t="s">
        <v>520</v>
      </c>
      <c r="C3267" s="3" t="s">
        <v>5040</v>
      </c>
      <c r="D3267" s="3" t="s">
        <v>5375</v>
      </c>
      <c r="F3267" s="3" t="s">
        <v>402</v>
      </c>
      <c r="I3267" s="3" t="s">
        <v>4064</v>
      </c>
    </row>
    <row r="3268" spans="2:9" hidden="1" x14ac:dyDescent="0.4">
      <c r="B3268" s="8" t="s">
        <v>517</v>
      </c>
      <c r="C3268" s="3" t="s">
        <v>2971</v>
      </c>
      <c r="D3268" s="3" t="s">
        <v>3210</v>
      </c>
      <c r="E3268" s="3">
        <v>1</v>
      </c>
      <c r="F3268" s="3" t="s">
        <v>402</v>
      </c>
      <c r="G3268" s="3" t="s">
        <v>399</v>
      </c>
      <c r="I3268" s="3" t="s">
        <v>245</v>
      </c>
    </row>
    <row r="3269" spans="2:9" hidden="1" x14ac:dyDescent="0.4">
      <c r="B3269" s="8" t="s">
        <v>517</v>
      </c>
      <c r="C3269" s="3" t="s">
        <v>1778</v>
      </c>
      <c r="D3269" s="3" t="s">
        <v>1852</v>
      </c>
      <c r="F3269" s="3" t="s">
        <v>402</v>
      </c>
      <c r="I3269" s="3" t="s">
        <v>1838</v>
      </c>
    </row>
    <row r="3270" spans="2:9" hidden="1" x14ac:dyDescent="0.4">
      <c r="B3270" s="8" t="s">
        <v>517</v>
      </c>
      <c r="C3270" s="3" t="s">
        <v>2153</v>
      </c>
      <c r="D3270" s="3" t="s">
        <v>2168</v>
      </c>
      <c r="F3270" s="3" t="s">
        <v>399</v>
      </c>
      <c r="I3270" s="3" t="s">
        <v>1838</v>
      </c>
    </row>
    <row r="3271" spans="2:9" hidden="1" x14ac:dyDescent="0.4">
      <c r="B3271" s="8" t="s">
        <v>516</v>
      </c>
      <c r="C3271" s="3" t="s">
        <v>2183</v>
      </c>
      <c r="D3271" s="3" t="s">
        <v>2168</v>
      </c>
      <c r="F3271" s="3" t="s">
        <v>399</v>
      </c>
      <c r="I3271" s="3" t="s">
        <v>1838</v>
      </c>
    </row>
    <row r="3272" spans="2:9" hidden="1" x14ac:dyDescent="0.4">
      <c r="B3272" s="8" t="s">
        <v>517</v>
      </c>
      <c r="C3272" s="3" t="s">
        <v>1777</v>
      </c>
      <c r="D3272" s="3" t="s">
        <v>1851</v>
      </c>
      <c r="F3272" s="3" t="s">
        <v>399</v>
      </c>
      <c r="I3272" s="3" t="s">
        <v>1842</v>
      </c>
    </row>
    <row r="3273" spans="2:9" hidden="1" x14ac:dyDescent="0.4">
      <c r="B3273" s="8" t="s">
        <v>517</v>
      </c>
      <c r="C3273" s="3" t="s">
        <v>4315</v>
      </c>
      <c r="D3273" s="3" t="s">
        <v>3929</v>
      </c>
      <c r="F3273" s="3" t="s">
        <v>399</v>
      </c>
      <c r="G3273" s="3" t="s">
        <v>402</v>
      </c>
      <c r="I3273" s="3" t="s">
        <v>4064</v>
      </c>
    </row>
    <row r="3274" spans="2:9" hidden="1" x14ac:dyDescent="0.4">
      <c r="B3274" s="8" t="s">
        <v>517</v>
      </c>
      <c r="C3274" s="3" t="s">
        <v>3636</v>
      </c>
      <c r="D3274" s="3" t="s">
        <v>3929</v>
      </c>
      <c r="F3274" s="3" t="s">
        <v>399</v>
      </c>
      <c r="G3274" s="3" t="s">
        <v>402</v>
      </c>
      <c r="I3274" s="3" t="s">
        <v>4063</v>
      </c>
    </row>
    <row r="3275" spans="2:9" hidden="1" x14ac:dyDescent="0.4">
      <c r="B3275" s="8" t="s">
        <v>517</v>
      </c>
      <c r="C3275" s="3" t="s">
        <v>5939</v>
      </c>
      <c r="D3275" s="3" t="s">
        <v>4856</v>
      </c>
      <c r="F3275" s="3" t="s">
        <v>399</v>
      </c>
      <c r="I3275" s="3" t="s">
        <v>4063</v>
      </c>
    </row>
    <row r="3276" spans="2:9" hidden="1" x14ac:dyDescent="0.4">
      <c r="B3276" s="8" t="s">
        <v>517</v>
      </c>
      <c r="C3276" s="3" t="s">
        <v>6285</v>
      </c>
      <c r="D3276" s="3" t="s">
        <v>5635</v>
      </c>
      <c r="F3276" s="3" t="s">
        <v>402</v>
      </c>
      <c r="I3276" s="3" t="s">
        <v>4063</v>
      </c>
    </row>
    <row r="3277" spans="2:9" hidden="1" x14ac:dyDescent="0.4">
      <c r="B3277" s="8" t="s">
        <v>517</v>
      </c>
      <c r="C3277" s="3" t="s">
        <v>4691</v>
      </c>
      <c r="D3277" s="3" t="s">
        <v>4856</v>
      </c>
      <c r="F3277" s="3" t="s">
        <v>399</v>
      </c>
      <c r="I3277" s="3" t="s">
        <v>4064</v>
      </c>
    </row>
    <row r="3278" spans="2:9" hidden="1" x14ac:dyDescent="0.4">
      <c r="B3278" s="8" t="s">
        <v>517</v>
      </c>
      <c r="C3278" s="3" t="s">
        <v>5315</v>
      </c>
      <c r="D3278" s="3" t="s">
        <v>5635</v>
      </c>
      <c r="F3278" s="3" t="s">
        <v>402</v>
      </c>
      <c r="I3278" s="3" t="s">
        <v>4064</v>
      </c>
    </row>
    <row r="3279" spans="2:9" hidden="1" x14ac:dyDescent="0.4">
      <c r="B3279" s="8" t="s">
        <v>529</v>
      </c>
      <c r="C3279" s="3" t="s">
        <v>2957</v>
      </c>
      <c r="D3279" s="3" t="s">
        <v>3196</v>
      </c>
      <c r="E3279" s="3">
        <v>1</v>
      </c>
      <c r="F3279" s="3" t="s">
        <v>402</v>
      </c>
      <c r="G3279" s="3" t="s">
        <v>399</v>
      </c>
      <c r="I3279" s="3" t="s">
        <v>245</v>
      </c>
    </row>
    <row r="3280" spans="2:9" hidden="1" x14ac:dyDescent="0.4">
      <c r="B3280" s="8" t="s">
        <v>536</v>
      </c>
      <c r="C3280" s="3" t="s">
        <v>2681</v>
      </c>
      <c r="D3280" s="3">
        <v>6</v>
      </c>
      <c r="F3280" s="3" t="s">
        <v>1124</v>
      </c>
      <c r="I3280" s="3" t="s">
        <v>252</v>
      </c>
    </row>
    <row r="3281" spans="2:9" hidden="1" x14ac:dyDescent="0.4">
      <c r="B3281" s="8">
        <v>0</v>
      </c>
      <c r="C3281" s="3" t="s">
        <v>62</v>
      </c>
      <c r="D3281" s="3" t="s">
        <v>121</v>
      </c>
      <c r="F3281" s="3" t="s">
        <v>825</v>
      </c>
      <c r="I3281" s="3" t="s">
        <v>252</v>
      </c>
    </row>
    <row r="3282" spans="2:9" hidden="1" x14ac:dyDescent="0.4">
      <c r="B3282" s="8">
        <v>1</v>
      </c>
      <c r="C3282" s="3" t="s">
        <v>61</v>
      </c>
      <c r="D3282" s="3" t="s">
        <v>121</v>
      </c>
      <c r="F3282" s="3" t="s">
        <v>400</v>
      </c>
      <c r="I3282" s="3" t="s">
        <v>252</v>
      </c>
    </row>
    <row r="3283" spans="2:9" hidden="1" x14ac:dyDescent="0.4">
      <c r="B3283" s="8" t="s">
        <v>531</v>
      </c>
      <c r="C3283" s="3" t="s">
        <v>1807</v>
      </c>
      <c r="D3283" s="3" t="s">
        <v>1876</v>
      </c>
      <c r="F3283" s="3" t="s">
        <v>399</v>
      </c>
      <c r="I3283" s="3" t="s">
        <v>1865</v>
      </c>
    </row>
    <row r="3284" spans="2:9" hidden="1" x14ac:dyDescent="0.4">
      <c r="B3284" s="8" t="s">
        <v>517</v>
      </c>
      <c r="C3284" s="3" t="s">
        <v>237</v>
      </c>
      <c r="D3284" s="3" t="s">
        <v>274</v>
      </c>
      <c r="F3284" s="3" t="s">
        <v>399</v>
      </c>
      <c r="G3284" s="3" t="s">
        <v>402</v>
      </c>
      <c r="I3284" s="3" t="s">
        <v>1314</v>
      </c>
    </row>
    <row r="3285" spans="2:9" hidden="1" x14ac:dyDescent="0.4">
      <c r="B3285" s="8" t="s">
        <v>516</v>
      </c>
      <c r="C3285" s="3" t="s">
        <v>1320</v>
      </c>
      <c r="D3285" s="3" t="s">
        <v>1332</v>
      </c>
      <c r="E3285" s="3" t="s">
        <v>1272</v>
      </c>
      <c r="F3285" s="3" t="s">
        <v>399</v>
      </c>
      <c r="I3285" s="3" t="s">
        <v>1317</v>
      </c>
    </row>
    <row r="3286" spans="2:9" hidden="1" x14ac:dyDescent="0.4">
      <c r="B3286" s="8" t="s">
        <v>515</v>
      </c>
      <c r="C3286" s="3" t="s">
        <v>1316</v>
      </c>
      <c r="D3286" s="3" t="s">
        <v>1318</v>
      </c>
      <c r="E3286" s="3" t="s">
        <v>1272</v>
      </c>
      <c r="F3286" s="3" t="s">
        <v>399</v>
      </c>
      <c r="I3286" s="3" t="s">
        <v>1317</v>
      </c>
    </row>
    <row r="3287" spans="2:9" hidden="1" x14ac:dyDescent="0.4">
      <c r="B3287" s="8" t="s">
        <v>517</v>
      </c>
      <c r="C3287" s="3" t="s">
        <v>1125</v>
      </c>
      <c r="D3287" s="3" t="s">
        <v>274</v>
      </c>
      <c r="F3287" s="3" t="s">
        <v>399</v>
      </c>
      <c r="G3287" s="3" t="s">
        <v>402</v>
      </c>
      <c r="I3287" s="3" t="s">
        <v>1314</v>
      </c>
    </row>
    <row r="3288" spans="2:9" hidden="1" x14ac:dyDescent="0.4">
      <c r="B3288" s="8" t="s">
        <v>516</v>
      </c>
      <c r="C3288" s="3" t="s">
        <v>1321</v>
      </c>
      <c r="D3288" s="3" t="s">
        <v>1332</v>
      </c>
      <c r="E3288" s="3" t="s">
        <v>1272</v>
      </c>
      <c r="F3288" s="3" t="s">
        <v>399</v>
      </c>
      <c r="I3288" s="3" t="s">
        <v>1317</v>
      </c>
    </row>
    <row r="3289" spans="2:9" hidden="1" x14ac:dyDescent="0.4">
      <c r="B3289" s="8" t="s">
        <v>515</v>
      </c>
      <c r="C3289" s="3" t="s">
        <v>1315</v>
      </c>
      <c r="D3289" s="3" t="s">
        <v>1318</v>
      </c>
      <c r="E3289" s="3" t="s">
        <v>1272</v>
      </c>
      <c r="F3289" s="3" t="s">
        <v>399</v>
      </c>
      <c r="I3289" s="3" t="s">
        <v>1317</v>
      </c>
    </row>
    <row r="3290" spans="2:9" hidden="1" x14ac:dyDescent="0.4">
      <c r="B3290" s="8" t="s">
        <v>518</v>
      </c>
      <c r="C3290" s="3" t="s">
        <v>31</v>
      </c>
      <c r="D3290" s="3" t="s">
        <v>94</v>
      </c>
      <c r="F3290" s="3" t="s">
        <v>400</v>
      </c>
      <c r="I3290" s="3" t="s">
        <v>252</v>
      </c>
    </row>
    <row r="3291" spans="2:9" hidden="1" x14ac:dyDescent="0.4">
      <c r="B3291" s="8" t="s">
        <v>773</v>
      </c>
      <c r="C3291" s="3" t="s">
        <v>803</v>
      </c>
      <c r="D3291" s="3" t="s">
        <v>815</v>
      </c>
      <c r="F3291" s="3" t="s">
        <v>399</v>
      </c>
      <c r="I3291" s="3" t="s">
        <v>824</v>
      </c>
    </row>
    <row r="3292" spans="2:9" hidden="1" x14ac:dyDescent="0.4">
      <c r="B3292" s="8" t="s">
        <v>773</v>
      </c>
      <c r="C3292" s="3" t="s">
        <v>916</v>
      </c>
      <c r="D3292" s="3" t="s">
        <v>815</v>
      </c>
      <c r="F3292" s="3" t="s">
        <v>402</v>
      </c>
      <c r="I3292" s="3" t="s">
        <v>824</v>
      </c>
    </row>
    <row r="3293" spans="2:9" hidden="1" x14ac:dyDescent="0.4">
      <c r="B3293" s="8" t="s">
        <v>518</v>
      </c>
      <c r="C3293" s="3" t="s">
        <v>1400</v>
      </c>
      <c r="D3293" s="3" t="s">
        <v>1434</v>
      </c>
      <c r="F3293" s="3" t="s">
        <v>399</v>
      </c>
      <c r="G3293" s="3" t="s">
        <v>402</v>
      </c>
      <c r="H3293" s="3" t="s">
        <v>1279</v>
      </c>
      <c r="I3293" s="3" t="s">
        <v>1414</v>
      </c>
    </row>
    <row r="3294" spans="2:9" hidden="1" x14ac:dyDescent="0.4">
      <c r="B3294" s="8" t="s">
        <v>518</v>
      </c>
      <c r="C3294" s="3" t="s">
        <v>1544</v>
      </c>
      <c r="D3294" s="3" t="s">
        <v>1434</v>
      </c>
      <c r="F3294" s="3" t="s">
        <v>402</v>
      </c>
      <c r="I3294" s="3" t="s">
        <v>1414</v>
      </c>
    </row>
    <row r="3295" spans="2:9" hidden="1" x14ac:dyDescent="0.4">
      <c r="B3295" s="8" t="s">
        <v>518</v>
      </c>
      <c r="C3295" s="3" t="s">
        <v>159</v>
      </c>
      <c r="D3295" s="3" t="s">
        <v>652</v>
      </c>
      <c r="F3295" s="3" t="s">
        <v>399</v>
      </c>
      <c r="I3295" s="3" t="s">
        <v>267</v>
      </c>
    </row>
    <row r="3296" spans="2:9" hidden="1" x14ac:dyDescent="0.4">
      <c r="B3296" s="8" t="s">
        <v>517</v>
      </c>
      <c r="C3296" s="3" t="s">
        <v>3403</v>
      </c>
      <c r="D3296" s="3" t="s">
        <v>3713</v>
      </c>
      <c r="F3296" s="3" t="s">
        <v>399</v>
      </c>
      <c r="G3296" s="3" t="s">
        <v>402</v>
      </c>
      <c r="I3296" s="3" t="s">
        <v>4063</v>
      </c>
    </row>
    <row r="3297" spans="2:9" hidden="1" x14ac:dyDescent="0.4">
      <c r="B3297" s="8" t="s">
        <v>517</v>
      </c>
      <c r="C3297" s="3" t="s">
        <v>5736</v>
      </c>
      <c r="D3297" s="3" t="s">
        <v>4732</v>
      </c>
      <c r="F3297" s="3" t="s">
        <v>399</v>
      </c>
      <c r="I3297" s="3" t="s">
        <v>4063</v>
      </c>
    </row>
    <row r="3298" spans="2:9" hidden="1" x14ac:dyDescent="0.4">
      <c r="B3298" s="8" t="s">
        <v>517</v>
      </c>
      <c r="C3298" s="3" t="s">
        <v>6078</v>
      </c>
      <c r="D3298" s="3" t="s">
        <v>5403</v>
      </c>
      <c r="F3298" s="3" t="s">
        <v>402</v>
      </c>
      <c r="I3298" s="3" t="s">
        <v>4063</v>
      </c>
    </row>
    <row r="3299" spans="2:9" hidden="1" x14ac:dyDescent="0.4">
      <c r="B3299" s="8" t="s">
        <v>517</v>
      </c>
      <c r="C3299" s="3" t="s">
        <v>3417</v>
      </c>
      <c r="D3299" s="3" t="s">
        <v>3726</v>
      </c>
      <c r="F3299" s="3" t="s">
        <v>399</v>
      </c>
      <c r="G3299" s="3" t="s">
        <v>402</v>
      </c>
      <c r="I3299" s="3" t="s">
        <v>4063</v>
      </c>
    </row>
    <row r="3300" spans="2:9" hidden="1" x14ac:dyDescent="0.4">
      <c r="B3300" s="8" t="s">
        <v>517</v>
      </c>
      <c r="C3300" s="3" t="s">
        <v>5749</v>
      </c>
      <c r="D3300" s="3" t="s">
        <v>4741</v>
      </c>
      <c r="F3300" s="3" t="s">
        <v>399</v>
      </c>
      <c r="I3300" s="3" t="s">
        <v>4063</v>
      </c>
    </row>
    <row r="3301" spans="2:9" hidden="1" x14ac:dyDescent="0.4">
      <c r="B3301" s="8" t="s">
        <v>517</v>
      </c>
      <c r="C3301" s="3" t="s">
        <v>6091</v>
      </c>
      <c r="D3301" s="3" t="s">
        <v>5415</v>
      </c>
      <c r="F3301" s="3" t="s">
        <v>402</v>
      </c>
      <c r="I3301" s="3" t="s">
        <v>4063</v>
      </c>
    </row>
    <row r="3302" spans="2:9" hidden="1" x14ac:dyDescent="0.4">
      <c r="B3302" s="8" t="s">
        <v>517</v>
      </c>
      <c r="C3302" s="3" t="s">
        <v>4129</v>
      </c>
      <c r="D3302" s="3" t="s">
        <v>3726</v>
      </c>
      <c r="F3302" s="3" t="s">
        <v>399</v>
      </c>
      <c r="G3302" s="3" t="s">
        <v>402</v>
      </c>
      <c r="I3302" s="3" t="s">
        <v>4064</v>
      </c>
    </row>
    <row r="3303" spans="2:9" hidden="1" x14ac:dyDescent="0.4">
      <c r="B3303" s="8" t="s">
        <v>517</v>
      </c>
      <c r="C3303" s="3" t="s">
        <v>4622</v>
      </c>
      <c r="D3303" s="3" t="s">
        <v>4741</v>
      </c>
      <c r="F3303" s="3" t="s">
        <v>399</v>
      </c>
      <c r="I3303" s="3" t="s">
        <v>4064</v>
      </c>
    </row>
    <row r="3304" spans="2:9" hidden="1" x14ac:dyDescent="0.4">
      <c r="B3304" s="8" t="s">
        <v>517</v>
      </c>
      <c r="C3304" s="3" t="s">
        <v>5092</v>
      </c>
      <c r="D3304" s="3" t="s">
        <v>5415</v>
      </c>
      <c r="F3304" s="3" t="s">
        <v>402</v>
      </c>
      <c r="I3304" s="3" t="s">
        <v>4064</v>
      </c>
    </row>
    <row r="3305" spans="2:9" hidden="1" x14ac:dyDescent="0.4">
      <c r="B3305" s="8" t="s">
        <v>517</v>
      </c>
      <c r="C3305" s="3" t="s">
        <v>4111</v>
      </c>
      <c r="D3305" s="3" t="s">
        <v>3713</v>
      </c>
      <c r="F3305" s="3" t="s">
        <v>399</v>
      </c>
      <c r="G3305" s="3" t="s">
        <v>402</v>
      </c>
      <c r="I3305" s="3" t="s">
        <v>4064</v>
      </c>
    </row>
    <row r="3306" spans="2:9" hidden="1" x14ac:dyDescent="0.4">
      <c r="B3306" s="8" t="s">
        <v>517</v>
      </c>
      <c r="C3306" s="3" t="s">
        <v>4388</v>
      </c>
      <c r="D3306" s="3" t="s">
        <v>4732</v>
      </c>
      <c r="F3306" s="3" t="s">
        <v>399</v>
      </c>
      <c r="I3306" s="3" t="s">
        <v>4064</v>
      </c>
    </row>
    <row r="3307" spans="2:9" hidden="1" x14ac:dyDescent="0.4">
      <c r="B3307" s="8" t="s">
        <v>517</v>
      </c>
      <c r="C3307" s="3" t="s">
        <v>5074</v>
      </c>
      <c r="D3307" s="3" t="s">
        <v>5403</v>
      </c>
      <c r="F3307" s="3" t="s">
        <v>402</v>
      </c>
      <c r="I3307" s="3" t="s">
        <v>4064</v>
      </c>
    </row>
    <row r="3308" spans="2:9" hidden="1" x14ac:dyDescent="0.4">
      <c r="B3308" s="8" t="s">
        <v>529</v>
      </c>
      <c r="C3308" s="3" t="s">
        <v>1394</v>
      </c>
      <c r="D3308" s="3" t="s">
        <v>1428</v>
      </c>
      <c r="F3308" s="3" t="s">
        <v>399</v>
      </c>
      <c r="G3308" s="3" t="s">
        <v>402</v>
      </c>
      <c r="H3308" s="3" t="s">
        <v>1279</v>
      </c>
      <c r="I3308" s="3" t="s">
        <v>1414</v>
      </c>
    </row>
    <row r="3309" spans="2:9" hidden="1" x14ac:dyDescent="0.4">
      <c r="B3309" s="8" t="s">
        <v>529</v>
      </c>
      <c r="C3309" s="3" t="s">
        <v>1401</v>
      </c>
      <c r="D3309" s="3" t="s">
        <v>1435</v>
      </c>
      <c r="F3309" s="3" t="s">
        <v>399</v>
      </c>
      <c r="G3309" s="3" t="s">
        <v>402</v>
      </c>
      <c r="H3309" s="3" t="s">
        <v>1279</v>
      </c>
      <c r="I3309" s="3" t="s">
        <v>1414</v>
      </c>
    </row>
    <row r="3310" spans="2:9" hidden="1" x14ac:dyDescent="0.4">
      <c r="B3310" s="8" t="s">
        <v>529</v>
      </c>
      <c r="C3310" s="3" t="s">
        <v>1545</v>
      </c>
      <c r="D3310" s="3" t="s">
        <v>1435</v>
      </c>
      <c r="F3310" s="3" t="s">
        <v>402</v>
      </c>
      <c r="I3310" s="3" t="s">
        <v>1414</v>
      </c>
    </row>
    <row r="3311" spans="2:9" hidden="1" x14ac:dyDescent="0.4">
      <c r="B3311" s="8" t="s">
        <v>529</v>
      </c>
      <c r="C3311" s="3" t="s">
        <v>1481</v>
      </c>
      <c r="D3311" s="3" t="s">
        <v>1524</v>
      </c>
      <c r="F3311" s="3" t="s">
        <v>399</v>
      </c>
      <c r="G3311" s="3" t="s">
        <v>402</v>
      </c>
      <c r="I3311" s="3" t="s">
        <v>1489</v>
      </c>
    </row>
    <row r="3312" spans="2:9" hidden="1" x14ac:dyDescent="0.4">
      <c r="B3312" s="8" t="s">
        <v>529</v>
      </c>
      <c r="C3312" s="3" t="s">
        <v>1589</v>
      </c>
      <c r="D3312" s="3" t="s">
        <v>1524</v>
      </c>
      <c r="F3312" s="3" t="s">
        <v>402</v>
      </c>
      <c r="I3312" s="3" t="s">
        <v>1489</v>
      </c>
    </row>
    <row r="3313" spans="2:9" hidden="1" x14ac:dyDescent="0.4">
      <c r="B3313" s="8" t="s">
        <v>529</v>
      </c>
      <c r="C3313" s="3" t="s">
        <v>1538</v>
      </c>
      <c r="D3313" s="3" t="s">
        <v>1428</v>
      </c>
      <c r="F3313" s="3" t="s">
        <v>402</v>
      </c>
      <c r="I3313" s="3" t="s">
        <v>1414</v>
      </c>
    </row>
    <row r="3314" spans="2:9" hidden="1" x14ac:dyDescent="0.4">
      <c r="B3314" s="8" t="s">
        <v>518</v>
      </c>
      <c r="C3314" s="3" t="s">
        <v>2887</v>
      </c>
      <c r="D3314" s="3" t="s">
        <v>3130</v>
      </c>
      <c r="E3314" s="3">
        <v>1</v>
      </c>
      <c r="F3314" s="3" t="s">
        <v>402</v>
      </c>
      <c r="G3314" s="3" t="s">
        <v>988</v>
      </c>
      <c r="I3314" s="3" t="s">
        <v>245</v>
      </c>
    </row>
    <row r="3315" spans="2:9" hidden="1" x14ac:dyDescent="0.4">
      <c r="B3315" s="8" t="s">
        <v>518</v>
      </c>
      <c r="C3315" s="3" t="s">
        <v>2226</v>
      </c>
      <c r="D3315" s="3" t="s">
        <v>2365</v>
      </c>
      <c r="E3315" s="3" t="s">
        <v>1272</v>
      </c>
      <c r="F3315" s="3" t="s">
        <v>399</v>
      </c>
      <c r="I3315" s="3" t="s">
        <v>2371</v>
      </c>
    </row>
    <row r="3316" spans="2:9" hidden="1" x14ac:dyDescent="0.4">
      <c r="B3316" s="8" t="s">
        <v>529</v>
      </c>
      <c r="C3316" s="3" t="s">
        <v>2097</v>
      </c>
      <c r="D3316" s="3" t="s">
        <v>2099</v>
      </c>
      <c r="F3316" s="3" t="s">
        <v>399</v>
      </c>
      <c r="I3316" s="3" t="s">
        <v>1700</v>
      </c>
    </row>
    <row r="3317" spans="2:9" hidden="1" x14ac:dyDescent="0.4">
      <c r="B3317" s="8" t="s">
        <v>529</v>
      </c>
      <c r="C3317" s="3" t="s">
        <v>2098</v>
      </c>
      <c r="D3317" s="3" t="s">
        <v>2102</v>
      </c>
      <c r="E3317" s="3" t="s">
        <v>1272</v>
      </c>
      <c r="F3317" s="3" t="s">
        <v>402</v>
      </c>
      <c r="G3317" s="3" t="s">
        <v>399</v>
      </c>
      <c r="I3317" s="3" t="s">
        <v>1700</v>
      </c>
    </row>
    <row r="3318" spans="2:9" hidden="1" x14ac:dyDescent="0.4">
      <c r="B3318" s="8" t="s">
        <v>529</v>
      </c>
      <c r="C3318" s="3" t="s">
        <v>2103</v>
      </c>
      <c r="D3318" s="3" t="s">
        <v>2102</v>
      </c>
      <c r="E3318" s="3" t="s">
        <v>1272</v>
      </c>
      <c r="F3318" s="3" t="s">
        <v>399</v>
      </c>
      <c r="I3318" s="3" t="s">
        <v>1700</v>
      </c>
    </row>
    <row r="3319" spans="2:9" hidden="1" x14ac:dyDescent="0.4">
      <c r="B3319" s="8" t="s">
        <v>529</v>
      </c>
      <c r="C3319" s="3" t="s">
        <v>2101</v>
      </c>
      <c r="D3319" s="3" t="s">
        <v>2099</v>
      </c>
      <c r="E3319" s="3" t="s">
        <v>1272</v>
      </c>
      <c r="F3319" s="3" t="s">
        <v>402</v>
      </c>
      <c r="I3319" s="3" t="s">
        <v>1700</v>
      </c>
    </row>
    <row r="3320" spans="2:9" hidden="1" x14ac:dyDescent="0.4">
      <c r="B3320" s="8" t="s">
        <v>529</v>
      </c>
      <c r="C3320" s="3" t="s">
        <v>2100</v>
      </c>
      <c r="D3320" s="3" t="s">
        <v>2099</v>
      </c>
      <c r="E3320" s="3" t="s">
        <v>1272</v>
      </c>
      <c r="F3320" s="3" t="s">
        <v>399</v>
      </c>
      <c r="I3320" s="3" t="s">
        <v>1700</v>
      </c>
    </row>
    <row r="3321" spans="2:9" hidden="1" x14ac:dyDescent="0.4">
      <c r="B3321" s="8" t="s">
        <v>529</v>
      </c>
      <c r="C3321" s="3" t="s">
        <v>2104</v>
      </c>
      <c r="D3321" s="3" t="s">
        <v>2105</v>
      </c>
      <c r="E3321" s="3" t="s">
        <v>2038</v>
      </c>
      <c r="F3321" s="3" t="s">
        <v>399</v>
      </c>
      <c r="G3321" s="3" t="s">
        <v>402</v>
      </c>
      <c r="H3321" s="3" t="s">
        <v>988</v>
      </c>
      <c r="I3321" s="3" t="s">
        <v>1700</v>
      </c>
    </row>
    <row r="3322" spans="2:9" hidden="1" x14ac:dyDescent="0.4">
      <c r="B3322" s="8" t="s">
        <v>517</v>
      </c>
      <c r="C3322" s="3" t="s">
        <v>2231</v>
      </c>
      <c r="D3322" s="3" t="s">
        <v>2389</v>
      </c>
      <c r="E3322" s="3" t="s">
        <v>1272</v>
      </c>
      <c r="F3322" s="3" t="s">
        <v>399</v>
      </c>
      <c r="I3322" s="3" t="s">
        <v>1833</v>
      </c>
    </row>
    <row r="3323" spans="2:9" hidden="1" x14ac:dyDescent="0.4">
      <c r="B3323" s="8" t="s">
        <v>517</v>
      </c>
      <c r="C3323" s="3" t="s">
        <v>2515</v>
      </c>
      <c r="D3323" s="3" t="s">
        <v>2389</v>
      </c>
      <c r="E3323" s="3" t="s">
        <v>1272</v>
      </c>
      <c r="F3323" s="3" t="s">
        <v>402</v>
      </c>
      <c r="I3323" s="3" t="s">
        <v>1833</v>
      </c>
    </row>
    <row r="3324" spans="2:9" hidden="1" x14ac:dyDescent="0.4">
      <c r="B3324" s="8" t="s">
        <v>517</v>
      </c>
      <c r="C3324" s="3" t="s">
        <v>4319</v>
      </c>
      <c r="D3324" s="3" t="s">
        <v>3934</v>
      </c>
      <c r="F3324" s="3" t="s">
        <v>399</v>
      </c>
      <c r="G3324" s="3" t="s">
        <v>402</v>
      </c>
      <c r="I3324" s="3" t="s">
        <v>4064</v>
      </c>
    </row>
    <row r="3325" spans="2:9" hidden="1" x14ac:dyDescent="0.4">
      <c r="B3325" s="8" t="s">
        <v>517</v>
      </c>
      <c r="C3325" s="3" t="s">
        <v>4514</v>
      </c>
      <c r="D3325" s="3" t="s">
        <v>4932</v>
      </c>
      <c r="F3325" s="3" t="s">
        <v>399</v>
      </c>
      <c r="I3325" s="3" t="s">
        <v>4064</v>
      </c>
    </row>
    <row r="3326" spans="2:9" hidden="1" x14ac:dyDescent="0.4">
      <c r="B3326" s="8" t="s">
        <v>517</v>
      </c>
      <c r="C3326" s="3" t="s">
        <v>5320</v>
      </c>
      <c r="D3326" s="3" t="s">
        <v>5640</v>
      </c>
      <c r="F3326" s="3" t="s">
        <v>402</v>
      </c>
      <c r="I3326" s="3" t="s">
        <v>4064</v>
      </c>
    </row>
    <row r="3327" spans="2:9" hidden="1" x14ac:dyDescent="0.4">
      <c r="B3327" s="8" t="s">
        <v>517</v>
      </c>
      <c r="C3327" s="3" t="s">
        <v>3641</v>
      </c>
      <c r="D3327" s="3" t="s">
        <v>3934</v>
      </c>
      <c r="F3327" s="3" t="s">
        <v>399</v>
      </c>
      <c r="G3327" s="3" t="s">
        <v>402</v>
      </c>
      <c r="I3327" s="3" t="s">
        <v>4063</v>
      </c>
    </row>
    <row r="3328" spans="2:9" hidden="1" x14ac:dyDescent="0.4">
      <c r="B3328" s="8" t="s">
        <v>517</v>
      </c>
      <c r="C3328" s="3" t="s">
        <v>6024</v>
      </c>
      <c r="D3328" s="3" t="s">
        <v>4932</v>
      </c>
      <c r="F3328" s="3" t="s">
        <v>399</v>
      </c>
      <c r="I3328" s="3" t="s">
        <v>4063</v>
      </c>
    </row>
    <row r="3329" spans="2:9" hidden="1" x14ac:dyDescent="0.4">
      <c r="B3329" s="8" t="s">
        <v>517</v>
      </c>
      <c r="C3329" s="3" t="s">
        <v>6291</v>
      </c>
      <c r="D3329" s="3" t="s">
        <v>5640</v>
      </c>
      <c r="F3329" s="3" t="s">
        <v>402</v>
      </c>
      <c r="I3329" s="3" t="s">
        <v>4063</v>
      </c>
    </row>
    <row r="3330" spans="2:9" hidden="1" x14ac:dyDescent="0.4">
      <c r="B3330" s="8" t="s">
        <v>517</v>
      </c>
      <c r="C3330" s="3" t="s">
        <v>2913</v>
      </c>
      <c r="D3330" s="3" t="s">
        <v>3154</v>
      </c>
      <c r="E3330" s="3">
        <v>1</v>
      </c>
      <c r="F3330" s="3" t="s">
        <v>402</v>
      </c>
      <c r="G3330" s="3" t="s">
        <v>988</v>
      </c>
      <c r="I3330" s="3" t="s">
        <v>245</v>
      </c>
    </row>
    <row r="3331" spans="2:9" hidden="1" x14ac:dyDescent="0.4">
      <c r="B3331" s="8" t="s">
        <v>756</v>
      </c>
      <c r="C3331" s="3" t="s">
        <v>772</v>
      </c>
      <c r="D3331" s="3" t="s">
        <v>780</v>
      </c>
      <c r="E3331" s="3" t="s">
        <v>425</v>
      </c>
      <c r="F3331" s="3" t="s">
        <v>399</v>
      </c>
      <c r="G3331" s="3" t="s">
        <v>402</v>
      </c>
      <c r="I3331" s="3" t="s">
        <v>781</v>
      </c>
    </row>
    <row r="3332" spans="2:9" hidden="1" x14ac:dyDescent="0.4">
      <c r="B3332" s="8" t="s">
        <v>756</v>
      </c>
      <c r="C3332" s="3" t="s">
        <v>797</v>
      </c>
      <c r="D3332" s="3" t="s">
        <v>780</v>
      </c>
      <c r="E3332" s="3" t="s">
        <v>425</v>
      </c>
      <c r="F3332" s="3" t="s">
        <v>402</v>
      </c>
      <c r="I3332" s="3" t="s">
        <v>781</v>
      </c>
    </row>
    <row r="3333" spans="2:9" hidden="1" x14ac:dyDescent="0.4">
      <c r="B3333" s="8" t="s">
        <v>518</v>
      </c>
      <c r="C3333" s="3" t="s">
        <v>3593</v>
      </c>
      <c r="D3333" s="3" t="s">
        <v>4038</v>
      </c>
      <c r="F3333" s="3" t="s">
        <v>399</v>
      </c>
      <c r="G3333" s="3" t="s">
        <v>402</v>
      </c>
      <c r="I3333" s="3" t="s">
        <v>4063</v>
      </c>
    </row>
    <row r="3334" spans="2:9" hidden="1" x14ac:dyDescent="0.4">
      <c r="B3334" s="8" t="s">
        <v>518</v>
      </c>
      <c r="C3334" s="3" t="s">
        <v>3593</v>
      </c>
      <c r="D3334" s="3" t="s">
        <v>4038</v>
      </c>
      <c r="F3334" s="3" t="s">
        <v>399</v>
      </c>
      <c r="G3334" s="3" t="s">
        <v>402</v>
      </c>
      <c r="I3334" s="3" t="s">
        <v>4064</v>
      </c>
    </row>
    <row r="3335" spans="2:9" hidden="1" x14ac:dyDescent="0.4">
      <c r="B3335" s="8" t="s">
        <v>518</v>
      </c>
      <c r="C3335" s="3" t="s">
        <v>5895</v>
      </c>
      <c r="D3335" s="3" t="s">
        <v>4982</v>
      </c>
      <c r="F3335" s="3" t="s">
        <v>399</v>
      </c>
      <c r="I3335" s="3" t="s">
        <v>4063</v>
      </c>
    </row>
    <row r="3336" spans="2:9" hidden="1" x14ac:dyDescent="0.4">
      <c r="B3336" s="8" t="s">
        <v>518</v>
      </c>
      <c r="C3336" s="3" t="s">
        <v>6241</v>
      </c>
      <c r="D3336" s="3" t="s">
        <v>5588</v>
      </c>
      <c r="F3336" s="3" t="s">
        <v>402</v>
      </c>
      <c r="I3336" s="3" t="s">
        <v>4063</v>
      </c>
    </row>
    <row r="3337" spans="2:9" hidden="1" x14ac:dyDescent="0.4">
      <c r="B3337" s="8" t="s">
        <v>518</v>
      </c>
      <c r="C3337" s="3" t="s">
        <v>4587</v>
      </c>
      <c r="D3337" s="3" t="s">
        <v>4982</v>
      </c>
      <c r="F3337" s="3" t="s">
        <v>399</v>
      </c>
      <c r="I3337" s="3" t="s">
        <v>4064</v>
      </c>
    </row>
    <row r="3338" spans="2:9" hidden="1" x14ac:dyDescent="0.4">
      <c r="B3338" s="8" t="s">
        <v>518</v>
      </c>
      <c r="C3338" s="3" t="s">
        <v>5267</v>
      </c>
      <c r="D3338" s="3" t="s">
        <v>5588</v>
      </c>
      <c r="F3338" s="3" t="s">
        <v>402</v>
      </c>
      <c r="I3338" s="3" t="s">
        <v>4064</v>
      </c>
    </row>
    <row r="3339" spans="2:9" hidden="1" x14ac:dyDescent="0.4">
      <c r="B3339" s="8" t="s">
        <v>517</v>
      </c>
      <c r="C3339" s="3" t="s">
        <v>4279</v>
      </c>
      <c r="D3339" s="3" t="s">
        <v>3893</v>
      </c>
      <c r="F3339" s="3" t="s">
        <v>399</v>
      </c>
      <c r="G3339" s="3" t="s">
        <v>402</v>
      </c>
      <c r="I3339" s="3" t="s">
        <v>4064</v>
      </c>
    </row>
    <row r="3340" spans="2:9" hidden="1" x14ac:dyDescent="0.4">
      <c r="B3340" s="8" t="s">
        <v>517</v>
      </c>
      <c r="C3340" s="3" t="s">
        <v>3594</v>
      </c>
      <c r="D3340" s="3" t="s">
        <v>3893</v>
      </c>
      <c r="F3340" s="3" t="s">
        <v>399</v>
      </c>
      <c r="G3340" s="3" t="s">
        <v>402</v>
      </c>
      <c r="I3340" s="3" t="s">
        <v>4063</v>
      </c>
    </row>
    <row r="3341" spans="2:9" hidden="1" x14ac:dyDescent="0.4">
      <c r="B3341" s="8" t="s">
        <v>517</v>
      </c>
      <c r="C3341" s="3" t="s">
        <v>5896</v>
      </c>
      <c r="D3341" s="3" t="s">
        <v>4957</v>
      </c>
      <c r="F3341" s="3" t="s">
        <v>399</v>
      </c>
      <c r="I3341" s="3" t="s">
        <v>4063</v>
      </c>
    </row>
    <row r="3342" spans="2:9" hidden="1" x14ac:dyDescent="0.4">
      <c r="B3342" s="8" t="s">
        <v>517</v>
      </c>
      <c r="C3342" s="3" t="s">
        <v>6242</v>
      </c>
      <c r="D3342" s="3" t="s">
        <v>5589</v>
      </c>
      <c r="F3342" s="3" t="s">
        <v>402</v>
      </c>
      <c r="I3342" s="3" t="s">
        <v>4063</v>
      </c>
    </row>
    <row r="3343" spans="2:9" hidden="1" x14ac:dyDescent="0.4">
      <c r="B3343" s="8" t="s">
        <v>517</v>
      </c>
      <c r="C3343" s="3" t="s">
        <v>4490</v>
      </c>
      <c r="D3343" s="3" t="s">
        <v>4957</v>
      </c>
      <c r="F3343" s="3" t="s">
        <v>399</v>
      </c>
      <c r="I3343" s="3" t="s">
        <v>4064</v>
      </c>
    </row>
    <row r="3344" spans="2:9" hidden="1" x14ac:dyDescent="0.4">
      <c r="B3344" s="8" t="s">
        <v>517</v>
      </c>
      <c r="C3344" s="3" t="s">
        <v>5268</v>
      </c>
      <c r="D3344" s="3" t="s">
        <v>5589</v>
      </c>
      <c r="F3344" s="3" t="s">
        <v>402</v>
      </c>
      <c r="I3344" s="3" t="s">
        <v>4064</v>
      </c>
    </row>
    <row r="3345" spans="2:9" hidden="1" x14ac:dyDescent="0.4">
      <c r="B3345" s="8" t="s">
        <v>517</v>
      </c>
      <c r="C3345" s="3" t="s">
        <v>2967</v>
      </c>
      <c r="D3345" s="3" t="s">
        <v>3206</v>
      </c>
      <c r="E3345" s="3">
        <v>1</v>
      </c>
      <c r="F3345" s="3" t="s">
        <v>402</v>
      </c>
      <c r="G3345" s="3" t="s">
        <v>988</v>
      </c>
      <c r="I3345" s="3" t="s">
        <v>245</v>
      </c>
    </row>
    <row r="3346" spans="2:9" hidden="1" x14ac:dyDescent="0.4">
      <c r="B3346" s="8" t="s">
        <v>517</v>
      </c>
      <c r="C3346" s="3" t="s">
        <v>1908</v>
      </c>
      <c r="D3346" s="3" t="s">
        <v>1941</v>
      </c>
      <c r="F3346" s="3" t="s">
        <v>399</v>
      </c>
      <c r="I3346" s="3" t="s">
        <v>1865</v>
      </c>
    </row>
    <row r="3347" spans="2:9" hidden="1" x14ac:dyDescent="0.4">
      <c r="B3347" s="8" t="s">
        <v>517</v>
      </c>
      <c r="C3347" s="3" t="s">
        <v>493</v>
      </c>
      <c r="D3347" s="3" t="s">
        <v>668</v>
      </c>
      <c r="E3347" s="3" t="s">
        <v>425</v>
      </c>
      <c r="F3347" s="3" t="s">
        <v>522</v>
      </c>
      <c r="I3347" s="3" t="s">
        <v>510</v>
      </c>
    </row>
    <row r="3348" spans="2:9" hidden="1" x14ac:dyDescent="0.4">
      <c r="B3348" s="8" t="s">
        <v>517</v>
      </c>
      <c r="C3348" s="3" t="s">
        <v>493</v>
      </c>
      <c r="D3348" s="3" t="s">
        <v>3255</v>
      </c>
      <c r="E3348" s="3">
        <v>1</v>
      </c>
      <c r="F3348" s="3" t="s">
        <v>402</v>
      </c>
      <c r="G3348" s="3" t="s">
        <v>399</v>
      </c>
      <c r="I3348" s="3" t="s">
        <v>245</v>
      </c>
    </row>
    <row r="3349" spans="2:9" hidden="1" x14ac:dyDescent="0.4">
      <c r="B3349" s="8" t="s">
        <v>517</v>
      </c>
      <c r="C3349" s="3" t="s">
        <v>706</v>
      </c>
      <c r="D3349" s="3" t="s">
        <v>668</v>
      </c>
      <c r="E3349" s="3" t="s">
        <v>425</v>
      </c>
      <c r="F3349" s="3" t="s">
        <v>684</v>
      </c>
      <c r="I3349" s="3" t="s">
        <v>510</v>
      </c>
    </row>
    <row r="3350" spans="2:9" hidden="1" x14ac:dyDescent="0.4">
      <c r="B3350" s="8" t="s">
        <v>518</v>
      </c>
      <c r="C3350" s="3" t="s">
        <v>2225</v>
      </c>
      <c r="D3350" s="3" t="s">
        <v>2365</v>
      </c>
      <c r="F3350" s="3" t="s">
        <v>399</v>
      </c>
      <c r="I3350" s="3" t="s">
        <v>2371</v>
      </c>
    </row>
    <row r="3351" spans="2:9" hidden="1" x14ac:dyDescent="0.4">
      <c r="B3351" s="8" t="s">
        <v>517</v>
      </c>
      <c r="C3351" s="3" t="s">
        <v>2917</v>
      </c>
      <c r="D3351" s="3" t="s">
        <v>3157</v>
      </c>
      <c r="E3351" s="3">
        <v>1</v>
      </c>
      <c r="F3351" s="3" t="s">
        <v>402</v>
      </c>
      <c r="I3351" s="3" t="s">
        <v>245</v>
      </c>
    </row>
    <row r="3352" spans="2:9" hidden="1" x14ac:dyDescent="0.4">
      <c r="B3352" s="8" t="s">
        <v>517</v>
      </c>
      <c r="C3352" s="3" t="s">
        <v>3108</v>
      </c>
      <c r="D3352" s="3" t="s">
        <v>3336</v>
      </c>
      <c r="E3352" s="3">
        <v>1</v>
      </c>
      <c r="F3352" s="3" t="s">
        <v>402</v>
      </c>
      <c r="I3352" s="3" t="s">
        <v>245</v>
      </c>
    </row>
    <row r="3353" spans="2:9" hidden="1" x14ac:dyDescent="0.4">
      <c r="B3353" s="8" t="s">
        <v>518</v>
      </c>
      <c r="C3353" s="3" t="s">
        <v>1403</v>
      </c>
      <c r="D3353" s="3" t="s">
        <v>1437</v>
      </c>
      <c r="F3353" s="3" t="s">
        <v>399</v>
      </c>
      <c r="G3353" s="3" t="s">
        <v>402</v>
      </c>
      <c r="H3353" s="3" t="s">
        <v>1279</v>
      </c>
      <c r="I3353" s="3" t="s">
        <v>1414</v>
      </c>
    </row>
    <row r="3354" spans="2:9" hidden="1" x14ac:dyDescent="0.4">
      <c r="B3354" s="8" t="s">
        <v>518</v>
      </c>
      <c r="C3354" s="3" t="s">
        <v>1547</v>
      </c>
      <c r="D3354" s="3" t="s">
        <v>1437</v>
      </c>
      <c r="F3354" s="3" t="s">
        <v>402</v>
      </c>
      <c r="I3354" s="3" t="s">
        <v>1414</v>
      </c>
    </row>
    <row r="3355" spans="2:9" hidden="1" x14ac:dyDescent="0.4">
      <c r="B3355" s="8" t="s">
        <v>1658</v>
      </c>
      <c r="C3355" s="3" t="s">
        <v>1655</v>
      </c>
      <c r="D3355" s="3" t="s">
        <v>1663</v>
      </c>
      <c r="E3355" s="3" t="s">
        <v>1272</v>
      </c>
      <c r="F3355" s="3" t="s">
        <v>399</v>
      </c>
      <c r="I3355" s="3" t="s">
        <v>1414</v>
      </c>
    </row>
    <row r="3356" spans="2:9" hidden="1" x14ac:dyDescent="0.4">
      <c r="B3356" s="8" t="s">
        <v>1658</v>
      </c>
      <c r="C3356" s="3" t="s">
        <v>1669</v>
      </c>
      <c r="D3356" s="3" t="s">
        <v>1663</v>
      </c>
      <c r="E3356" s="3" t="s">
        <v>1272</v>
      </c>
      <c r="F3356" s="3" t="s">
        <v>402</v>
      </c>
      <c r="I3356" s="3" t="s">
        <v>1414</v>
      </c>
    </row>
    <row r="3357" spans="2:9" hidden="1" x14ac:dyDescent="0.4">
      <c r="B3357" s="8" t="s">
        <v>517</v>
      </c>
      <c r="C3357" s="3" t="s">
        <v>4198</v>
      </c>
      <c r="D3357" s="3" t="s">
        <v>3801</v>
      </c>
      <c r="F3357" s="3" t="s">
        <v>399</v>
      </c>
      <c r="G3357" s="3" t="s">
        <v>402</v>
      </c>
      <c r="I3357" s="3" t="s">
        <v>4064</v>
      </c>
    </row>
    <row r="3358" spans="2:9" hidden="1" x14ac:dyDescent="0.4">
      <c r="B3358" s="8" t="s">
        <v>517</v>
      </c>
      <c r="C3358" s="3" t="s">
        <v>4432</v>
      </c>
      <c r="D3358" s="3" t="s">
        <v>4945</v>
      </c>
      <c r="F3358" s="3" t="s">
        <v>399</v>
      </c>
      <c r="I3358" s="3" t="s">
        <v>4064</v>
      </c>
    </row>
    <row r="3359" spans="2:9" hidden="1" x14ac:dyDescent="0.4">
      <c r="B3359" s="8" t="s">
        <v>517</v>
      </c>
      <c r="C3359" s="3" t="s">
        <v>5170</v>
      </c>
      <c r="D3359" s="3" t="s">
        <v>5491</v>
      </c>
      <c r="F3359" s="3" t="s">
        <v>402</v>
      </c>
      <c r="I3359" s="3" t="s">
        <v>4064</v>
      </c>
    </row>
    <row r="3360" spans="2:9" hidden="1" x14ac:dyDescent="0.4">
      <c r="B3360" s="8" t="s">
        <v>517</v>
      </c>
      <c r="C3360" s="3" t="s">
        <v>3497</v>
      </c>
      <c r="D3360" s="3" t="s">
        <v>3801</v>
      </c>
      <c r="F3360" s="3" t="s">
        <v>399</v>
      </c>
      <c r="G3360" s="3" t="s">
        <v>402</v>
      </c>
      <c r="I3360" s="3" t="s">
        <v>4063</v>
      </c>
    </row>
    <row r="3361" spans="2:9" hidden="1" x14ac:dyDescent="0.4">
      <c r="B3361" s="8" t="s">
        <v>517</v>
      </c>
      <c r="C3361" s="3" t="s">
        <v>5816</v>
      </c>
      <c r="D3361" s="3" t="s">
        <v>4945</v>
      </c>
      <c r="F3361" s="3" t="s">
        <v>399</v>
      </c>
      <c r="I3361" s="3" t="s">
        <v>4063</v>
      </c>
    </row>
    <row r="3362" spans="2:9" hidden="1" x14ac:dyDescent="0.4">
      <c r="B3362" s="8" t="s">
        <v>517</v>
      </c>
      <c r="C3362" s="3" t="s">
        <v>6159</v>
      </c>
      <c r="D3362" s="3" t="s">
        <v>5491</v>
      </c>
      <c r="F3362" s="3" t="s">
        <v>402</v>
      </c>
      <c r="I3362" s="3" t="s">
        <v>4063</v>
      </c>
    </row>
    <row r="3363" spans="2:9" hidden="1" x14ac:dyDescent="0.4">
      <c r="B3363" s="8" t="s">
        <v>517</v>
      </c>
      <c r="C3363" s="3" t="s">
        <v>4187</v>
      </c>
      <c r="D3363" s="3" t="s">
        <v>3794</v>
      </c>
      <c r="F3363" s="3" t="s">
        <v>399</v>
      </c>
      <c r="G3363" s="3" t="s">
        <v>402</v>
      </c>
      <c r="I3363" s="3" t="s">
        <v>4063</v>
      </c>
    </row>
    <row r="3364" spans="2:9" hidden="1" x14ac:dyDescent="0.4">
      <c r="B3364" s="8" t="s">
        <v>517</v>
      </c>
      <c r="C3364" s="3" t="s">
        <v>4187</v>
      </c>
      <c r="D3364" s="3" t="s">
        <v>3794</v>
      </c>
      <c r="F3364" s="3" t="s">
        <v>399</v>
      </c>
      <c r="G3364" s="3" t="s">
        <v>402</v>
      </c>
      <c r="I3364" s="3" t="s">
        <v>4064</v>
      </c>
    </row>
    <row r="3365" spans="2:9" hidden="1" x14ac:dyDescent="0.4">
      <c r="B3365" s="8" t="s">
        <v>517</v>
      </c>
      <c r="C3365" s="3" t="s">
        <v>6019</v>
      </c>
      <c r="D3365" s="3" t="s">
        <v>4941</v>
      </c>
      <c r="F3365" s="3" t="s">
        <v>399</v>
      </c>
      <c r="I3365" s="3" t="s">
        <v>4063</v>
      </c>
    </row>
    <row r="3366" spans="2:9" hidden="1" x14ac:dyDescent="0.4">
      <c r="B3366" s="8" t="s">
        <v>517</v>
      </c>
      <c r="C3366" s="3" t="s">
        <v>6368</v>
      </c>
      <c r="D3366" s="3" t="s">
        <v>5483</v>
      </c>
      <c r="F3366" s="3" t="s">
        <v>402</v>
      </c>
      <c r="I3366" s="3" t="s">
        <v>4063</v>
      </c>
    </row>
    <row r="3367" spans="2:9" hidden="1" x14ac:dyDescent="0.4">
      <c r="B3367" s="8" t="s">
        <v>517</v>
      </c>
      <c r="C3367" s="3" t="s">
        <v>4542</v>
      </c>
      <c r="D3367" s="3" t="s">
        <v>4941</v>
      </c>
      <c r="F3367" s="3" t="s">
        <v>399</v>
      </c>
      <c r="I3367" s="3" t="s">
        <v>4064</v>
      </c>
    </row>
    <row r="3368" spans="2:9" hidden="1" x14ac:dyDescent="0.4">
      <c r="B3368" s="8" t="s">
        <v>517</v>
      </c>
      <c r="C3368" s="3" t="s">
        <v>5359</v>
      </c>
      <c r="D3368" s="3" t="s">
        <v>5483</v>
      </c>
      <c r="F3368" s="3" t="s">
        <v>402</v>
      </c>
      <c r="I3368" s="3" t="s">
        <v>4064</v>
      </c>
    </row>
    <row r="3369" spans="2:9" hidden="1" x14ac:dyDescent="0.4">
      <c r="B3369" s="8" t="s">
        <v>517</v>
      </c>
      <c r="C3369" s="3" t="s">
        <v>1926</v>
      </c>
      <c r="D3369" s="3" t="s">
        <v>1958</v>
      </c>
      <c r="F3369" s="3" t="s">
        <v>399</v>
      </c>
      <c r="I3369" s="3" t="s">
        <v>1968</v>
      </c>
    </row>
    <row r="3370" spans="2:9" hidden="1" x14ac:dyDescent="0.4">
      <c r="B3370" s="8" t="s">
        <v>517</v>
      </c>
      <c r="C3370" s="3" t="s">
        <v>2006</v>
      </c>
      <c r="D3370" s="3" t="s">
        <v>2012</v>
      </c>
      <c r="F3370" s="3" t="s">
        <v>402</v>
      </c>
      <c r="I3370" s="3" t="s">
        <v>1968</v>
      </c>
    </row>
    <row r="3371" spans="2:9" hidden="1" x14ac:dyDescent="0.4">
      <c r="B3371" s="8" t="s">
        <v>517</v>
      </c>
      <c r="C3371" s="3" t="s">
        <v>2192</v>
      </c>
      <c r="D3371" s="3" t="s">
        <v>2344</v>
      </c>
      <c r="F3371" s="3" t="s">
        <v>399</v>
      </c>
      <c r="I3371" s="3" t="s">
        <v>1335</v>
      </c>
    </row>
    <row r="3372" spans="2:9" hidden="1" x14ac:dyDescent="0.4">
      <c r="B3372" s="8" t="s">
        <v>517</v>
      </c>
      <c r="C3372" s="3" t="s">
        <v>2255</v>
      </c>
      <c r="D3372" s="3" t="s">
        <v>2412</v>
      </c>
      <c r="E3372" s="3" t="s">
        <v>1272</v>
      </c>
      <c r="F3372" s="3" t="s">
        <v>399</v>
      </c>
      <c r="I3372" s="3" t="s">
        <v>1833</v>
      </c>
    </row>
    <row r="3373" spans="2:9" hidden="1" x14ac:dyDescent="0.4">
      <c r="B3373" s="8" t="s">
        <v>517</v>
      </c>
      <c r="C3373" s="3" t="s">
        <v>2564</v>
      </c>
      <c r="D3373" s="3" t="s">
        <v>2412</v>
      </c>
      <c r="E3373" s="3" t="s">
        <v>1272</v>
      </c>
      <c r="F3373" s="3" t="s">
        <v>402</v>
      </c>
      <c r="I3373" s="3" t="s">
        <v>1833</v>
      </c>
    </row>
    <row r="3374" spans="2:9" hidden="1" x14ac:dyDescent="0.4">
      <c r="B3374" s="8" t="s">
        <v>517</v>
      </c>
      <c r="C3374" s="3" t="s">
        <v>2939</v>
      </c>
      <c r="D3374" s="3" t="s">
        <v>3177</v>
      </c>
      <c r="E3374" s="3">
        <v>1</v>
      </c>
      <c r="F3374" s="3" t="s">
        <v>402</v>
      </c>
      <c r="G3374" s="3" t="s">
        <v>988</v>
      </c>
      <c r="H3374" s="3" t="s">
        <v>399</v>
      </c>
      <c r="I3374" s="3" t="s">
        <v>245</v>
      </c>
    </row>
    <row r="3375" spans="2:9" hidden="1" x14ac:dyDescent="0.4">
      <c r="B3375" s="8" t="s">
        <v>517</v>
      </c>
      <c r="C3375" s="3" t="s">
        <v>491</v>
      </c>
      <c r="D3375" s="3" t="s">
        <v>682</v>
      </c>
      <c r="F3375" s="3" t="s">
        <v>399</v>
      </c>
      <c r="I3375" s="3" t="s">
        <v>510</v>
      </c>
    </row>
    <row r="3376" spans="2:9" hidden="1" x14ac:dyDescent="0.4">
      <c r="B3376" s="8" t="s">
        <v>517</v>
      </c>
      <c r="C3376" s="3" t="s">
        <v>707</v>
      </c>
      <c r="D3376" s="3" t="s">
        <v>682</v>
      </c>
      <c r="F3376" s="3" t="s">
        <v>684</v>
      </c>
      <c r="I3376" s="3" t="s">
        <v>510</v>
      </c>
    </row>
    <row r="3377" spans="2:9" hidden="1" x14ac:dyDescent="0.4">
      <c r="B3377" s="8" t="s">
        <v>518</v>
      </c>
      <c r="C3377" s="3" t="s">
        <v>2956</v>
      </c>
      <c r="D3377" s="3" t="s">
        <v>3195</v>
      </c>
      <c r="E3377" s="3">
        <v>1</v>
      </c>
      <c r="F3377" s="3" t="s">
        <v>402</v>
      </c>
      <c r="G3377" s="3" t="s">
        <v>399</v>
      </c>
      <c r="I3377" s="3" t="s">
        <v>245</v>
      </c>
    </row>
    <row r="3378" spans="2:9" hidden="1" x14ac:dyDescent="0.4">
      <c r="B3378" s="8" t="s">
        <v>517</v>
      </c>
      <c r="C3378" s="3" t="s">
        <v>488</v>
      </c>
      <c r="D3378" s="3" t="s">
        <v>683</v>
      </c>
      <c r="F3378" s="3" t="s">
        <v>399</v>
      </c>
      <c r="I3378" s="3" t="s">
        <v>510</v>
      </c>
    </row>
    <row r="3379" spans="2:9" hidden="1" x14ac:dyDescent="0.4">
      <c r="B3379" s="8" t="s">
        <v>517</v>
      </c>
      <c r="C3379" s="3" t="s">
        <v>505</v>
      </c>
      <c r="D3379" s="3" t="s">
        <v>675</v>
      </c>
      <c r="F3379" s="3" t="s">
        <v>522</v>
      </c>
      <c r="I3379" s="3" t="s">
        <v>510</v>
      </c>
    </row>
    <row r="3380" spans="2:9" hidden="1" x14ac:dyDescent="0.4">
      <c r="B3380" s="8" t="s">
        <v>517</v>
      </c>
      <c r="C3380" s="3" t="s">
        <v>709</v>
      </c>
      <c r="D3380" s="3" t="s">
        <v>675</v>
      </c>
      <c r="F3380" s="3" t="s">
        <v>684</v>
      </c>
      <c r="I3380" s="3" t="s">
        <v>510</v>
      </c>
    </row>
    <row r="3381" spans="2:9" hidden="1" x14ac:dyDescent="0.4">
      <c r="B3381" s="8" t="s">
        <v>517</v>
      </c>
      <c r="C3381" s="3" t="s">
        <v>708</v>
      </c>
      <c r="D3381" s="3" t="s">
        <v>683</v>
      </c>
      <c r="F3381" s="3" t="s">
        <v>684</v>
      </c>
      <c r="I3381" s="3" t="s">
        <v>510</v>
      </c>
    </row>
    <row r="3382" spans="2:9" hidden="1" x14ac:dyDescent="0.4">
      <c r="B3382" s="8" t="s">
        <v>518</v>
      </c>
      <c r="C3382" s="3" t="s">
        <v>4294</v>
      </c>
      <c r="D3382" s="3" t="s">
        <v>4040</v>
      </c>
      <c r="F3382" s="3" t="s">
        <v>399</v>
      </c>
      <c r="G3382" s="3" t="s">
        <v>402</v>
      </c>
      <c r="I3382" s="3" t="s">
        <v>4064</v>
      </c>
    </row>
    <row r="3383" spans="2:9" hidden="1" x14ac:dyDescent="0.4">
      <c r="B3383" s="8" t="s">
        <v>518</v>
      </c>
      <c r="C3383" s="3" t="s">
        <v>3610</v>
      </c>
      <c r="D3383" s="3" t="s">
        <v>4040</v>
      </c>
      <c r="F3383" s="3" t="s">
        <v>399</v>
      </c>
      <c r="G3383" s="3" t="s">
        <v>402</v>
      </c>
      <c r="I3383" s="3" t="s">
        <v>4063</v>
      </c>
    </row>
    <row r="3384" spans="2:9" hidden="1" x14ac:dyDescent="0.4">
      <c r="B3384" s="8" t="s">
        <v>518</v>
      </c>
      <c r="C3384" s="3" t="s">
        <v>5916</v>
      </c>
      <c r="D3384" s="3" t="s">
        <v>4998</v>
      </c>
      <c r="F3384" s="3" t="s">
        <v>399</v>
      </c>
      <c r="I3384" s="3" t="s">
        <v>4063</v>
      </c>
    </row>
    <row r="3385" spans="2:9" hidden="1" x14ac:dyDescent="0.4">
      <c r="B3385" s="8" t="s">
        <v>518</v>
      </c>
      <c r="C3385" s="3" t="s">
        <v>6262</v>
      </c>
      <c r="D3385" s="3" t="s">
        <v>5609</v>
      </c>
      <c r="F3385" s="3" t="s">
        <v>402</v>
      </c>
      <c r="I3385" s="3" t="s">
        <v>4063</v>
      </c>
    </row>
    <row r="3386" spans="2:9" hidden="1" x14ac:dyDescent="0.4">
      <c r="B3386" s="8" t="s">
        <v>518</v>
      </c>
      <c r="C3386" s="3" t="s">
        <v>4556</v>
      </c>
      <c r="D3386" s="3" t="s">
        <v>4998</v>
      </c>
      <c r="F3386" s="3" t="s">
        <v>399</v>
      </c>
      <c r="I3386" s="3" t="s">
        <v>4064</v>
      </c>
    </row>
    <row r="3387" spans="2:9" hidden="1" x14ac:dyDescent="0.4">
      <c r="B3387" s="8" t="s">
        <v>518</v>
      </c>
      <c r="C3387" s="3" t="s">
        <v>5289</v>
      </c>
      <c r="D3387" s="3" t="s">
        <v>5609</v>
      </c>
      <c r="F3387" s="3" t="s">
        <v>402</v>
      </c>
      <c r="I3387" s="3" t="s">
        <v>4064</v>
      </c>
    </row>
    <row r="3388" spans="2:9" hidden="1" x14ac:dyDescent="0.4">
      <c r="B3388" s="8" t="s">
        <v>517</v>
      </c>
      <c r="C3388" s="3" t="s">
        <v>1717</v>
      </c>
      <c r="D3388" s="3" t="s">
        <v>1725</v>
      </c>
      <c r="F3388" s="3" t="s">
        <v>402</v>
      </c>
      <c r="G3388" s="3" t="s">
        <v>399</v>
      </c>
      <c r="I3388" s="3" t="s">
        <v>1728</v>
      </c>
    </row>
    <row r="3389" spans="2:9" hidden="1" x14ac:dyDescent="0.4">
      <c r="B3389" s="8" t="s">
        <v>518</v>
      </c>
      <c r="C3389" s="3" t="s">
        <v>1721</v>
      </c>
      <c r="D3389" s="3" t="s">
        <v>1730</v>
      </c>
      <c r="F3389" s="3" t="s">
        <v>402</v>
      </c>
      <c r="G3389" s="3" t="s">
        <v>399</v>
      </c>
      <c r="I3389" s="3" t="s">
        <v>1728</v>
      </c>
    </row>
    <row r="3390" spans="2:9" hidden="1" x14ac:dyDescent="0.4">
      <c r="B3390" s="8" t="s">
        <v>516</v>
      </c>
      <c r="C3390" s="3" t="s">
        <v>4292</v>
      </c>
      <c r="D3390" s="3" t="s">
        <v>3904</v>
      </c>
      <c r="F3390" s="3" t="s">
        <v>399</v>
      </c>
      <c r="G3390" s="3" t="s">
        <v>402</v>
      </c>
      <c r="I3390" s="3" t="s">
        <v>4064</v>
      </c>
    </row>
    <row r="3391" spans="2:9" hidden="1" x14ac:dyDescent="0.4">
      <c r="B3391" s="8" t="s">
        <v>516</v>
      </c>
      <c r="C3391" s="3" t="s">
        <v>4499</v>
      </c>
      <c r="D3391" s="3" t="s">
        <v>4847</v>
      </c>
      <c r="F3391" s="3" t="s">
        <v>399</v>
      </c>
      <c r="I3391" s="3" t="s">
        <v>4064</v>
      </c>
    </row>
    <row r="3392" spans="2:9" hidden="1" x14ac:dyDescent="0.4">
      <c r="B3392" s="8" t="s">
        <v>516</v>
      </c>
      <c r="C3392" s="3" t="s">
        <v>5287</v>
      </c>
      <c r="D3392" s="3" t="s">
        <v>5607</v>
      </c>
      <c r="F3392" s="3" t="s">
        <v>402</v>
      </c>
      <c r="I3392" s="3" t="s">
        <v>4064</v>
      </c>
    </row>
    <row r="3393" spans="2:9" hidden="1" x14ac:dyDescent="0.4">
      <c r="B3393" s="8" t="s">
        <v>516</v>
      </c>
      <c r="C3393" s="3" t="s">
        <v>3608</v>
      </c>
      <c r="D3393" s="3" t="s">
        <v>3904</v>
      </c>
      <c r="F3393" s="3" t="s">
        <v>399</v>
      </c>
      <c r="G3393" s="3" t="s">
        <v>402</v>
      </c>
      <c r="I3393" s="3" t="s">
        <v>4063</v>
      </c>
    </row>
    <row r="3394" spans="2:9" hidden="1" x14ac:dyDescent="0.4">
      <c r="B3394" s="8" t="s">
        <v>516</v>
      </c>
      <c r="C3394" s="3" t="s">
        <v>5914</v>
      </c>
      <c r="D3394" s="3" t="s">
        <v>4847</v>
      </c>
      <c r="F3394" s="3" t="s">
        <v>399</v>
      </c>
      <c r="I3394" s="3" t="s">
        <v>4063</v>
      </c>
    </row>
    <row r="3395" spans="2:9" hidden="1" x14ac:dyDescent="0.4">
      <c r="B3395" s="8" t="s">
        <v>516</v>
      </c>
      <c r="C3395" s="3" t="s">
        <v>6260</v>
      </c>
      <c r="D3395" s="3" t="s">
        <v>5607</v>
      </c>
      <c r="F3395" s="3" t="s">
        <v>402</v>
      </c>
      <c r="I3395" s="3" t="s">
        <v>4063</v>
      </c>
    </row>
    <row r="3396" spans="2:9" hidden="1" x14ac:dyDescent="0.4">
      <c r="B3396" s="8" t="s">
        <v>519</v>
      </c>
      <c r="C3396" s="3" t="s">
        <v>3657</v>
      </c>
      <c r="D3396" s="3" t="s">
        <v>3950</v>
      </c>
      <c r="E3396" s="3" t="s">
        <v>1272</v>
      </c>
      <c r="F3396" s="3" t="s">
        <v>399</v>
      </c>
      <c r="G3396" s="3" t="s">
        <v>402</v>
      </c>
      <c r="I3396" s="3" t="s">
        <v>4362</v>
      </c>
    </row>
    <row r="3397" spans="2:9" hidden="1" x14ac:dyDescent="0.4">
      <c r="B3397" s="8" t="s">
        <v>517</v>
      </c>
      <c r="C3397" s="3" t="s">
        <v>4276</v>
      </c>
      <c r="D3397" s="3" t="s">
        <v>3890</v>
      </c>
      <c r="F3397" s="3" t="s">
        <v>399</v>
      </c>
      <c r="G3397" s="3" t="s">
        <v>402</v>
      </c>
      <c r="I3397" s="3" t="s">
        <v>4064</v>
      </c>
    </row>
    <row r="3398" spans="2:9" hidden="1" x14ac:dyDescent="0.4">
      <c r="B3398" s="8" t="s">
        <v>517</v>
      </c>
      <c r="C3398" s="3" t="s">
        <v>4486</v>
      </c>
      <c r="D3398" s="3" t="s">
        <v>4841</v>
      </c>
      <c r="F3398" s="3" t="s">
        <v>399</v>
      </c>
      <c r="I3398" s="3" t="s">
        <v>4064</v>
      </c>
    </row>
    <row r="3399" spans="2:9" hidden="1" x14ac:dyDescent="0.4">
      <c r="B3399" s="8" t="s">
        <v>517</v>
      </c>
      <c r="C3399" s="3" t="s">
        <v>5261</v>
      </c>
      <c r="D3399" s="3" t="s">
        <v>5582</v>
      </c>
      <c r="F3399" s="3" t="s">
        <v>402</v>
      </c>
      <c r="I3399" s="3" t="s">
        <v>4064</v>
      </c>
    </row>
    <row r="3400" spans="2:9" hidden="1" x14ac:dyDescent="0.4">
      <c r="B3400" s="8" t="s">
        <v>518</v>
      </c>
      <c r="C3400" s="3" t="s">
        <v>1741</v>
      </c>
      <c r="D3400" s="3" t="s">
        <v>1745</v>
      </c>
      <c r="F3400" s="3" t="s">
        <v>402</v>
      </c>
      <c r="G3400" s="3" t="s">
        <v>399</v>
      </c>
      <c r="I3400" s="3" t="s">
        <v>1728</v>
      </c>
    </row>
    <row r="3401" spans="2:9" hidden="1" x14ac:dyDescent="0.4">
      <c r="B3401" s="8" t="s">
        <v>517</v>
      </c>
      <c r="C3401" s="3" t="s">
        <v>1743</v>
      </c>
      <c r="D3401" s="3" t="s">
        <v>1747</v>
      </c>
      <c r="F3401" s="3" t="s">
        <v>402</v>
      </c>
      <c r="G3401" s="3" t="s">
        <v>399</v>
      </c>
      <c r="I3401" s="3" t="s">
        <v>1728</v>
      </c>
    </row>
    <row r="3402" spans="2:9" hidden="1" x14ac:dyDescent="0.4">
      <c r="B3402" s="8" t="s">
        <v>517</v>
      </c>
      <c r="C3402" s="3" t="s">
        <v>1750</v>
      </c>
      <c r="D3402" s="3" t="s">
        <v>1754</v>
      </c>
      <c r="F3402" s="3" t="s">
        <v>402</v>
      </c>
      <c r="G3402" s="3" t="s">
        <v>399</v>
      </c>
      <c r="I3402" s="3" t="s">
        <v>1728</v>
      </c>
    </row>
    <row r="3403" spans="2:9" hidden="1" x14ac:dyDescent="0.4">
      <c r="B3403" s="8" t="s">
        <v>517</v>
      </c>
      <c r="C3403" s="3" t="s">
        <v>1758</v>
      </c>
      <c r="D3403" s="3" t="s">
        <v>1754</v>
      </c>
      <c r="F3403" s="3" t="s">
        <v>399</v>
      </c>
      <c r="I3403" s="3" t="s">
        <v>1728</v>
      </c>
    </row>
    <row r="3404" spans="2:9" hidden="1" x14ac:dyDescent="0.4">
      <c r="B3404" s="8" t="s">
        <v>515</v>
      </c>
      <c r="C3404" s="3" t="s">
        <v>4072</v>
      </c>
      <c r="D3404" s="3" t="s">
        <v>3678</v>
      </c>
      <c r="F3404" s="3" t="s">
        <v>399</v>
      </c>
      <c r="G3404" s="3" t="s">
        <v>402</v>
      </c>
      <c r="I3404" s="3" t="s">
        <v>4064</v>
      </c>
    </row>
    <row r="3405" spans="2:9" hidden="1" x14ac:dyDescent="0.4">
      <c r="B3405" s="8" t="s">
        <v>515</v>
      </c>
      <c r="C3405" s="3" t="s">
        <v>4367</v>
      </c>
      <c r="D3405" s="3" t="s">
        <v>4912</v>
      </c>
      <c r="F3405" s="3" t="s">
        <v>399</v>
      </c>
      <c r="I3405" s="3" t="s">
        <v>4064</v>
      </c>
    </row>
    <row r="3406" spans="2:9" hidden="1" x14ac:dyDescent="0.4">
      <c r="B3406" s="8" t="s">
        <v>515</v>
      </c>
      <c r="C3406" s="3" t="s">
        <v>5037</v>
      </c>
      <c r="D3406" s="3" t="s">
        <v>5372</v>
      </c>
      <c r="F3406" s="3" t="s">
        <v>402</v>
      </c>
      <c r="I3406" s="3" t="s">
        <v>4064</v>
      </c>
    </row>
    <row r="3407" spans="2:9" hidden="1" x14ac:dyDescent="0.4">
      <c r="B3407" s="8" t="s">
        <v>515</v>
      </c>
      <c r="C3407" s="3" t="s">
        <v>3370</v>
      </c>
      <c r="D3407" s="3" t="s">
        <v>3678</v>
      </c>
      <c r="F3407" s="3" t="s">
        <v>399</v>
      </c>
      <c r="G3407" s="3" t="s">
        <v>402</v>
      </c>
      <c r="I3407" s="3" t="s">
        <v>4063</v>
      </c>
    </row>
    <row r="3408" spans="2:9" hidden="1" x14ac:dyDescent="0.4">
      <c r="B3408" s="8" t="s">
        <v>515</v>
      </c>
      <c r="C3408" s="3" t="s">
        <v>5705</v>
      </c>
      <c r="D3408" s="3" t="s">
        <v>4912</v>
      </c>
      <c r="F3408" s="3" t="s">
        <v>399</v>
      </c>
      <c r="I3408" s="3" t="s">
        <v>4063</v>
      </c>
    </row>
    <row r="3409" spans="2:9" hidden="1" x14ac:dyDescent="0.4">
      <c r="B3409" s="8" t="s">
        <v>515</v>
      </c>
      <c r="C3409" s="3" t="s">
        <v>6046</v>
      </c>
      <c r="D3409" s="3" t="s">
        <v>5372</v>
      </c>
      <c r="F3409" s="3" t="s">
        <v>402</v>
      </c>
      <c r="I3409" s="3" t="s">
        <v>4063</v>
      </c>
    </row>
    <row r="3410" spans="2:9" hidden="1" x14ac:dyDescent="0.4">
      <c r="B3410" s="8" t="s">
        <v>517</v>
      </c>
      <c r="C3410" s="3" t="s">
        <v>3587</v>
      </c>
      <c r="D3410" s="3" t="s">
        <v>3890</v>
      </c>
      <c r="F3410" s="3" t="s">
        <v>399</v>
      </c>
      <c r="G3410" s="3" t="s">
        <v>402</v>
      </c>
      <c r="I3410" s="3" t="s">
        <v>4063</v>
      </c>
    </row>
    <row r="3411" spans="2:9" hidden="1" x14ac:dyDescent="0.4">
      <c r="B3411" s="8" t="s">
        <v>517</v>
      </c>
      <c r="C3411" s="3" t="s">
        <v>5890</v>
      </c>
      <c r="D3411" s="3" t="s">
        <v>4841</v>
      </c>
      <c r="F3411" s="3" t="s">
        <v>399</v>
      </c>
      <c r="I3411" s="3" t="s">
        <v>4063</v>
      </c>
    </row>
    <row r="3412" spans="2:9" hidden="1" x14ac:dyDescent="0.4">
      <c r="B3412" s="8" t="s">
        <v>517</v>
      </c>
      <c r="C3412" s="3" t="s">
        <v>6237</v>
      </c>
      <c r="D3412" s="3" t="s">
        <v>5582</v>
      </c>
      <c r="F3412" s="3" t="s">
        <v>402</v>
      </c>
      <c r="I3412" s="3" t="s">
        <v>4063</v>
      </c>
    </row>
    <row r="3413" spans="2:9" hidden="1" x14ac:dyDescent="0.4">
      <c r="B3413" s="8" t="s">
        <v>517</v>
      </c>
      <c r="C3413" s="3" t="s">
        <v>1723</v>
      </c>
      <c r="D3413" s="3" t="s">
        <v>1732</v>
      </c>
      <c r="F3413" s="3" t="s">
        <v>402</v>
      </c>
      <c r="G3413" s="3" t="s">
        <v>399</v>
      </c>
      <c r="I3413" s="3" t="s">
        <v>1728</v>
      </c>
    </row>
    <row r="3414" spans="2:9" hidden="1" x14ac:dyDescent="0.4">
      <c r="B3414" s="8" t="s">
        <v>518</v>
      </c>
      <c r="C3414" s="3" t="s">
        <v>1742</v>
      </c>
      <c r="D3414" s="3" t="s">
        <v>1746</v>
      </c>
      <c r="F3414" s="3" t="s">
        <v>402</v>
      </c>
      <c r="G3414" s="3" t="s">
        <v>399</v>
      </c>
      <c r="I3414" s="3" t="s">
        <v>1728</v>
      </c>
    </row>
    <row r="3415" spans="2:9" hidden="1" x14ac:dyDescent="0.4">
      <c r="B3415" s="8" t="s">
        <v>516</v>
      </c>
      <c r="C3415" s="3" t="s">
        <v>4277</v>
      </c>
      <c r="D3415" s="3" t="s">
        <v>3891</v>
      </c>
      <c r="F3415" s="3" t="s">
        <v>399</v>
      </c>
      <c r="G3415" s="3" t="s">
        <v>402</v>
      </c>
      <c r="I3415" s="3" t="s">
        <v>4064</v>
      </c>
    </row>
    <row r="3416" spans="2:9" hidden="1" x14ac:dyDescent="0.4">
      <c r="B3416" s="8" t="s">
        <v>516</v>
      </c>
      <c r="C3416" s="3" t="s">
        <v>4487</v>
      </c>
      <c r="D3416" s="3" t="s">
        <v>4842</v>
      </c>
      <c r="F3416" s="3" t="s">
        <v>399</v>
      </c>
      <c r="I3416" s="3" t="s">
        <v>4064</v>
      </c>
    </row>
    <row r="3417" spans="2:9" hidden="1" x14ac:dyDescent="0.4">
      <c r="B3417" s="8" t="s">
        <v>516</v>
      </c>
      <c r="C3417" s="3" t="s">
        <v>5262</v>
      </c>
      <c r="D3417" s="3" t="s">
        <v>5583</v>
      </c>
      <c r="F3417" s="3" t="s">
        <v>402</v>
      </c>
      <c r="I3417" s="3" t="s">
        <v>4064</v>
      </c>
    </row>
    <row r="3418" spans="2:9" hidden="1" x14ac:dyDescent="0.4">
      <c r="B3418" s="8" t="s">
        <v>516</v>
      </c>
      <c r="C3418" s="3" t="s">
        <v>3588</v>
      </c>
      <c r="D3418" s="3" t="s">
        <v>3891</v>
      </c>
      <c r="F3418" s="3" t="s">
        <v>399</v>
      </c>
      <c r="G3418" s="3" t="s">
        <v>402</v>
      </c>
      <c r="I3418" s="3" t="s">
        <v>4063</v>
      </c>
    </row>
    <row r="3419" spans="2:9" hidden="1" x14ac:dyDescent="0.4">
      <c r="B3419" s="8" t="s">
        <v>516</v>
      </c>
      <c r="C3419" s="3" t="s">
        <v>5891</v>
      </c>
      <c r="D3419" s="3" t="s">
        <v>4842</v>
      </c>
      <c r="F3419" s="3" t="s">
        <v>399</v>
      </c>
      <c r="I3419" s="3" t="s">
        <v>4063</v>
      </c>
    </row>
    <row r="3420" spans="2:9" hidden="1" x14ac:dyDescent="0.4">
      <c r="B3420" s="8" t="s">
        <v>516</v>
      </c>
      <c r="C3420" s="3" t="s">
        <v>6238</v>
      </c>
      <c r="D3420" s="3" t="s">
        <v>5583</v>
      </c>
      <c r="F3420" s="3" t="s">
        <v>402</v>
      </c>
      <c r="I3420" s="3" t="s">
        <v>4063</v>
      </c>
    </row>
    <row r="3421" spans="2:9" hidden="1" x14ac:dyDescent="0.4">
      <c r="B3421" s="8" t="s">
        <v>517</v>
      </c>
      <c r="C3421" s="3" t="s">
        <v>1744</v>
      </c>
      <c r="D3421" s="3" t="s">
        <v>1748</v>
      </c>
      <c r="F3421" s="3" t="s">
        <v>402</v>
      </c>
      <c r="G3421" s="3" t="s">
        <v>399</v>
      </c>
      <c r="I3421" s="3" t="s">
        <v>1728</v>
      </c>
    </row>
    <row r="3422" spans="2:9" hidden="1" x14ac:dyDescent="0.4">
      <c r="B3422" s="8" t="s">
        <v>517</v>
      </c>
      <c r="C3422" s="3" t="s">
        <v>873</v>
      </c>
      <c r="D3422" s="3" t="s">
        <v>885</v>
      </c>
      <c r="E3422" s="3" t="s">
        <v>425</v>
      </c>
      <c r="F3422" s="3" t="s">
        <v>399</v>
      </c>
      <c r="I3422" s="3" t="s">
        <v>824</v>
      </c>
    </row>
    <row r="3423" spans="2:9" hidden="1" x14ac:dyDescent="0.4">
      <c r="B3423" s="8" t="s">
        <v>517</v>
      </c>
      <c r="C3423" s="3" t="s">
        <v>873</v>
      </c>
      <c r="D3423" s="3" t="s">
        <v>910</v>
      </c>
      <c r="E3423" s="3" t="s">
        <v>425</v>
      </c>
      <c r="F3423" s="3" t="s">
        <v>399</v>
      </c>
      <c r="I3423" s="3" t="s">
        <v>523</v>
      </c>
    </row>
    <row r="3424" spans="2:9" hidden="1" x14ac:dyDescent="0.4">
      <c r="B3424" s="8" t="s">
        <v>517</v>
      </c>
      <c r="C3424" s="3" t="s">
        <v>873</v>
      </c>
      <c r="D3424" s="3" t="s">
        <v>897</v>
      </c>
      <c r="E3424" s="3" t="s">
        <v>425</v>
      </c>
      <c r="F3424" s="3" t="s">
        <v>399</v>
      </c>
      <c r="I3424" s="3" t="s">
        <v>898</v>
      </c>
    </row>
    <row r="3425" spans="2:9" hidden="1" x14ac:dyDescent="0.4">
      <c r="B3425" s="8" t="s">
        <v>517</v>
      </c>
      <c r="C3425" s="3" t="s">
        <v>964</v>
      </c>
      <c r="D3425" s="3" t="s">
        <v>885</v>
      </c>
      <c r="E3425" s="3" t="s">
        <v>425</v>
      </c>
      <c r="F3425" s="3" t="s">
        <v>402</v>
      </c>
      <c r="I3425" s="3" t="s">
        <v>824</v>
      </c>
    </row>
    <row r="3426" spans="2:9" hidden="1" x14ac:dyDescent="0.4">
      <c r="B3426" s="8" t="s">
        <v>517</v>
      </c>
      <c r="C3426" s="3" t="s">
        <v>964</v>
      </c>
      <c r="D3426" s="3" t="s">
        <v>910</v>
      </c>
      <c r="E3426" s="3" t="s">
        <v>425</v>
      </c>
      <c r="F3426" s="3" t="s">
        <v>402</v>
      </c>
      <c r="I3426" s="3" t="s">
        <v>523</v>
      </c>
    </row>
    <row r="3427" spans="2:9" hidden="1" x14ac:dyDescent="0.4">
      <c r="B3427" s="8" t="s">
        <v>517</v>
      </c>
      <c r="C3427" s="3" t="s">
        <v>964</v>
      </c>
      <c r="D3427" s="3" t="s">
        <v>897</v>
      </c>
      <c r="E3427" s="3" t="s">
        <v>425</v>
      </c>
      <c r="F3427" s="3" t="s">
        <v>402</v>
      </c>
      <c r="I3427" s="3" t="s">
        <v>898</v>
      </c>
    </row>
    <row r="3428" spans="2:9" hidden="1" x14ac:dyDescent="0.4">
      <c r="B3428" s="8" t="s">
        <v>531</v>
      </c>
      <c r="C3428" s="3" t="s">
        <v>2206</v>
      </c>
      <c r="D3428" s="3" t="s">
        <v>2355</v>
      </c>
      <c r="E3428" s="3" t="s">
        <v>432</v>
      </c>
      <c r="F3428" s="3" t="s">
        <v>399</v>
      </c>
      <c r="I3428" s="3" t="s">
        <v>1833</v>
      </c>
    </row>
    <row r="3429" spans="2:9" ht="29.25" hidden="1" x14ac:dyDescent="0.4">
      <c r="B3429" s="8" t="s">
        <v>531</v>
      </c>
      <c r="C3429" s="3" t="s">
        <v>1347</v>
      </c>
      <c r="D3429" s="3" t="s">
        <v>1339</v>
      </c>
      <c r="E3429" s="3" t="s">
        <v>433</v>
      </c>
      <c r="F3429" s="3" t="s">
        <v>399</v>
      </c>
      <c r="I3429" s="3" t="s">
        <v>1317</v>
      </c>
    </row>
    <row r="3430" spans="2:9" ht="29.25" hidden="1" x14ac:dyDescent="0.4">
      <c r="B3430" s="8" t="s">
        <v>531</v>
      </c>
      <c r="C3430" s="3" t="s">
        <v>1365</v>
      </c>
      <c r="D3430" s="3" t="s">
        <v>1339</v>
      </c>
      <c r="E3430" s="3" t="s">
        <v>433</v>
      </c>
      <c r="F3430" s="3" t="s">
        <v>402</v>
      </c>
      <c r="I3430" s="3" t="s">
        <v>1317</v>
      </c>
    </row>
    <row r="3431" spans="2:9" hidden="1" x14ac:dyDescent="0.4">
      <c r="B3431" s="8" t="s">
        <v>531</v>
      </c>
      <c r="C3431" s="3" t="s">
        <v>2542</v>
      </c>
      <c r="D3431" s="3" t="s">
        <v>2355</v>
      </c>
      <c r="E3431" s="3" t="s">
        <v>432</v>
      </c>
      <c r="F3431" s="3" t="s">
        <v>402</v>
      </c>
      <c r="I3431" s="3" t="s">
        <v>1833</v>
      </c>
    </row>
    <row r="3432" spans="2:9" ht="29.25" hidden="1" x14ac:dyDescent="0.4">
      <c r="B3432" s="8" t="s">
        <v>531</v>
      </c>
      <c r="C3432" s="3" t="s">
        <v>1352</v>
      </c>
      <c r="D3432" s="3" t="s">
        <v>1339</v>
      </c>
      <c r="E3432" s="3" t="s">
        <v>433</v>
      </c>
      <c r="F3432" s="3" t="s">
        <v>399</v>
      </c>
      <c r="I3432" s="3" t="s">
        <v>1317</v>
      </c>
    </row>
    <row r="3433" spans="2:9" ht="29.25" hidden="1" x14ac:dyDescent="0.4">
      <c r="B3433" s="8" t="s">
        <v>531</v>
      </c>
      <c r="C3433" s="3" t="s">
        <v>1370</v>
      </c>
      <c r="D3433" s="3" t="s">
        <v>1339</v>
      </c>
      <c r="E3433" s="3" t="s">
        <v>433</v>
      </c>
      <c r="F3433" s="3" t="s">
        <v>402</v>
      </c>
      <c r="I3433" s="3" t="s">
        <v>1317</v>
      </c>
    </row>
    <row r="3434" spans="2:9" hidden="1" x14ac:dyDescent="0.4">
      <c r="B3434" s="8" t="s">
        <v>517</v>
      </c>
      <c r="C3434" s="3" t="s">
        <v>2235</v>
      </c>
      <c r="D3434" s="3" t="s">
        <v>2393</v>
      </c>
      <c r="E3434" s="3" t="s">
        <v>1272</v>
      </c>
      <c r="F3434" s="3" t="s">
        <v>399</v>
      </c>
      <c r="I3434" s="3" t="s">
        <v>1833</v>
      </c>
    </row>
    <row r="3435" spans="2:9" hidden="1" x14ac:dyDescent="0.4">
      <c r="B3435" s="8" t="s">
        <v>517</v>
      </c>
      <c r="C3435" s="3" t="s">
        <v>2518</v>
      </c>
      <c r="D3435" s="3" t="s">
        <v>2393</v>
      </c>
      <c r="E3435" s="3" t="s">
        <v>1272</v>
      </c>
      <c r="F3435" s="3" t="s">
        <v>402</v>
      </c>
      <c r="I3435" s="3" t="s">
        <v>1833</v>
      </c>
    </row>
    <row r="3436" spans="2:9" hidden="1" x14ac:dyDescent="0.4">
      <c r="B3436" s="8" t="s">
        <v>517</v>
      </c>
      <c r="C3436" s="3" t="s">
        <v>2652</v>
      </c>
      <c r="D3436" s="3" t="s">
        <v>2663</v>
      </c>
      <c r="E3436" s="3" t="s">
        <v>1272</v>
      </c>
      <c r="F3436" s="3" t="s">
        <v>399</v>
      </c>
      <c r="I3436" s="3" t="s">
        <v>2370</v>
      </c>
    </row>
    <row r="3437" spans="2:9" hidden="1" x14ac:dyDescent="0.4">
      <c r="B3437" s="8" t="s">
        <v>517</v>
      </c>
      <c r="C3437" s="3" t="s">
        <v>4296</v>
      </c>
      <c r="D3437" s="3" t="s">
        <v>3909</v>
      </c>
      <c r="F3437" s="3" t="s">
        <v>399</v>
      </c>
      <c r="G3437" s="3" t="s">
        <v>402</v>
      </c>
      <c r="I3437" s="3" t="s">
        <v>4064</v>
      </c>
    </row>
    <row r="3438" spans="2:9" hidden="1" x14ac:dyDescent="0.4">
      <c r="B3438" s="8" t="s">
        <v>517</v>
      </c>
      <c r="C3438" s="3" t="s">
        <v>4501</v>
      </c>
      <c r="D3438" s="3" t="s">
        <v>4926</v>
      </c>
      <c r="F3438" s="3" t="s">
        <v>399</v>
      </c>
      <c r="I3438" s="3" t="s">
        <v>4064</v>
      </c>
    </row>
    <row r="3439" spans="2:9" hidden="1" x14ac:dyDescent="0.4">
      <c r="B3439" s="8" t="s">
        <v>517</v>
      </c>
      <c r="C3439" s="3" t="s">
        <v>5294</v>
      </c>
      <c r="D3439" s="3" t="s">
        <v>5614</v>
      </c>
      <c r="F3439" s="3" t="s">
        <v>402</v>
      </c>
      <c r="I3439" s="3" t="s">
        <v>4064</v>
      </c>
    </row>
    <row r="3440" spans="2:9" hidden="1" x14ac:dyDescent="0.4">
      <c r="B3440" s="8" t="s">
        <v>517</v>
      </c>
      <c r="C3440" s="3" t="s">
        <v>3615</v>
      </c>
      <c r="D3440" s="3" t="s">
        <v>3909</v>
      </c>
      <c r="F3440" s="3" t="s">
        <v>399</v>
      </c>
      <c r="G3440" s="3" t="s">
        <v>402</v>
      </c>
      <c r="I3440" s="3" t="s">
        <v>4063</v>
      </c>
    </row>
    <row r="3441" spans="2:9" hidden="1" x14ac:dyDescent="0.4">
      <c r="B3441" s="8" t="s">
        <v>517</v>
      </c>
      <c r="C3441" s="3" t="s">
        <v>5921</v>
      </c>
      <c r="D3441" s="3" t="s">
        <v>4926</v>
      </c>
      <c r="F3441" s="3" t="s">
        <v>399</v>
      </c>
      <c r="I3441" s="3" t="s">
        <v>4063</v>
      </c>
    </row>
    <row r="3442" spans="2:9" hidden="1" x14ac:dyDescent="0.4">
      <c r="B3442" s="8" t="s">
        <v>517</v>
      </c>
      <c r="C3442" s="3" t="s">
        <v>6267</v>
      </c>
      <c r="D3442" s="3" t="s">
        <v>5614</v>
      </c>
      <c r="F3442" s="3" t="s">
        <v>402</v>
      </c>
      <c r="I3442" s="3" t="s">
        <v>4063</v>
      </c>
    </row>
    <row r="3443" spans="2:9" hidden="1" x14ac:dyDescent="0.4">
      <c r="B3443" s="8" t="s">
        <v>518</v>
      </c>
      <c r="C3443" s="3" t="s">
        <v>2838</v>
      </c>
      <c r="D3443" s="3" t="s">
        <v>2841</v>
      </c>
      <c r="E3443" s="3" t="s">
        <v>1272</v>
      </c>
      <c r="F3443" s="3" t="s">
        <v>399</v>
      </c>
      <c r="I3443" s="3" t="s">
        <v>2370</v>
      </c>
    </row>
    <row r="3444" spans="2:9" hidden="1" x14ac:dyDescent="0.4">
      <c r="B3444" s="8" t="s">
        <v>517</v>
      </c>
      <c r="C3444" s="3" t="s">
        <v>4242</v>
      </c>
      <c r="D3444" s="3" t="s">
        <v>3856</v>
      </c>
      <c r="F3444" s="3" t="s">
        <v>399</v>
      </c>
      <c r="G3444" s="3" t="s">
        <v>402</v>
      </c>
      <c r="I3444" s="3" t="s">
        <v>4064</v>
      </c>
    </row>
    <row r="3445" spans="2:9" hidden="1" x14ac:dyDescent="0.4">
      <c r="B3445" s="8" t="s">
        <v>517</v>
      </c>
      <c r="C3445" s="3" t="s">
        <v>3549</v>
      </c>
      <c r="D3445" s="3" t="s">
        <v>3856</v>
      </c>
      <c r="F3445" s="3" t="s">
        <v>399</v>
      </c>
      <c r="G3445" s="3" t="s">
        <v>402</v>
      </c>
      <c r="I3445" s="3" t="s">
        <v>4063</v>
      </c>
    </row>
    <row r="3446" spans="2:9" hidden="1" x14ac:dyDescent="0.4">
      <c r="B3446" s="8" t="s">
        <v>517</v>
      </c>
      <c r="C3446" s="3" t="s">
        <v>5859</v>
      </c>
      <c r="D3446" s="3" t="s">
        <v>4820</v>
      </c>
      <c r="F3446" s="3" t="s">
        <v>399</v>
      </c>
      <c r="I3446" s="3" t="s">
        <v>4063</v>
      </c>
    </row>
    <row r="3447" spans="2:9" hidden="1" x14ac:dyDescent="0.4">
      <c r="B3447" s="8" t="s">
        <v>517</v>
      </c>
      <c r="C3447" s="3" t="s">
        <v>6204</v>
      </c>
      <c r="D3447" s="3" t="s">
        <v>5545</v>
      </c>
      <c r="F3447" s="3" t="s">
        <v>402</v>
      </c>
      <c r="I3447" s="3" t="s">
        <v>4063</v>
      </c>
    </row>
    <row r="3448" spans="2:9" hidden="1" x14ac:dyDescent="0.4">
      <c r="B3448" s="8" t="s">
        <v>517</v>
      </c>
      <c r="C3448" s="3" t="s">
        <v>4667</v>
      </c>
      <c r="D3448" s="3" t="s">
        <v>4820</v>
      </c>
      <c r="F3448" s="3" t="s">
        <v>399</v>
      </c>
      <c r="I3448" s="3" t="s">
        <v>4064</v>
      </c>
    </row>
    <row r="3449" spans="2:9" hidden="1" x14ac:dyDescent="0.4">
      <c r="B3449" s="8" t="s">
        <v>517</v>
      </c>
      <c r="C3449" s="3" t="s">
        <v>5223</v>
      </c>
      <c r="D3449" s="3" t="s">
        <v>5545</v>
      </c>
      <c r="F3449" s="3" t="s">
        <v>402</v>
      </c>
      <c r="I3449" s="3" t="s">
        <v>4064</v>
      </c>
    </row>
    <row r="3450" spans="2:9" hidden="1" x14ac:dyDescent="0.4">
      <c r="B3450" s="8" t="s">
        <v>531</v>
      </c>
      <c r="C3450" s="3" t="s">
        <v>2207</v>
      </c>
      <c r="D3450" s="3" t="s">
        <v>2355</v>
      </c>
      <c r="E3450" s="3" t="s">
        <v>432</v>
      </c>
      <c r="F3450" s="3" t="s">
        <v>399</v>
      </c>
      <c r="I3450" s="3" t="s">
        <v>1833</v>
      </c>
    </row>
    <row r="3451" spans="2:9" hidden="1" x14ac:dyDescent="0.4">
      <c r="B3451" s="8" t="s">
        <v>531</v>
      </c>
      <c r="C3451" s="3" t="s">
        <v>2543</v>
      </c>
      <c r="D3451" s="3" t="s">
        <v>2355</v>
      </c>
      <c r="E3451" s="3" t="s">
        <v>432</v>
      </c>
      <c r="F3451" s="3" t="s">
        <v>402</v>
      </c>
      <c r="I3451" s="3" t="s">
        <v>1833</v>
      </c>
    </row>
    <row r="3452" spans="2:9" hidden="1" x14ac:dyDescent="0.4">
      <c r="B3452" s="8" t="s">
        <v>517</v>
      </c>
      <c r="C3452" s="3" t="s">
        <v>3386</v>
      </c>
      <c r="D3452" s="3" t="s">
        <v>3695</v>
      </c>
      <c r="F3452" s="3" t="s">
        <v>399</v>
      </c>
      <c r="G3452" s="3" t="s">
        <v>402</v>
      </c>
      <c r="I3452" s="3" t="s">
        <v>4063</v>
      </c>
    </row>
    <row r="3453" spans="2:9" hidden="1" x14ac:dyDescent="0.4">
      <c r="B3453" s="8" t="s">
        <v>517</v>
      </c>
      <c r="C3453" s="3" t="s">
        <v>5720</v>
      </c>
      <c r="D3453" s="3" t="s">
        <v>4718</v>
      </c>
      <c r="F3453" s="3" t="s">
        <v>399</v>
      </c>
      <c r="I3453" s="3" t="s">
        <v>4063</v>
      </c>
    </row>
    <row r="3454" spans="2:9" hidden="1" x14ac:dyDescent="0.4">
      <c r="B3454" s="8" t="s">
        <v>517</v>
      </c>
      <c r="C3454" s="3" t="s">
        <v>6061</v>
      </c>
      <c r="D3454" s="3" t="s">
        <v>5386</v>
      </c>
      <c r="F3454" s="3" t="s">
        <v>402</v>
      </c>
      <c r="I3454" s="3" t="s">
        <v>4063</v>
      </c>
    </row>
    <row r="3455" spans="2:9" hidden="1" x14ac:dyDescent="0.4">
      <c r="B3455" s="8" t="s">
        <v>518</v>
      </c>
      <c r="C3455" s="3" t="s">
        <v>4609</v>
      </c>
      <c r="D3455" s="3" t="s">
        <v>4718</v>
      </c>
      <c r="F3455" s="3" t="s">
        <v>399</v>
      </c>
      <c r="I3455" s="3" t="s">
        <v>4064</v>
      </c>
    </row>
    <row r="3456" spans="2:9" hidden="1" x14ac:dyDescent="0.4">
      <c r="B3456" s="8" t="s">
        <v>518</v>
      </c>
      <c r="C3456" s="3" t="s">
        <v>5054</v>
      </c>
      <c r="D3456" s="3" t="s">
        <v>5386</v>
      </c>
      <c r="F3456" s="3" t="s">
        <v>402</v>
      </c>
      <c r="I3456" s="3" t="s">
        <v>4064</v>
      </c>
    </row>
    <row r="3457" spans="2:9" hidden="1" x14ac:dyDescent="0.4">
      <c r="B3457" s="8" t="s">
        <v>518</v>
      </c>
      <c r="C3457" s="3" t="s">
        <v>4095</v>
      </c>
      <c r="D3457" s="3" t="s">
        <v>3695</v>
      </c>
      <c r="F3457" s="3" t="s">
        <v>399</v>
      </c>
      <c r="G3457" s="3" t="s">
        <v>402</v>
      </c>
      <c r="I3457" s="3" t="s">
        <v>4064</v>
      </c>
    </row>
    <row r="3458" spans="2:9" hidden="1" x14ac:dyDescent="0.4">
      <c r="B3458" s="8" t="s">
        <v>517</v>
      </c>
      <c r="C3458" s="3" t="s">
        <v>3384</v>
      </c>
      <c r="D3458" s="3" t="s">
        <v>3693</v>
      </c>
      <c r="F3458" s="3" t="s">
        <v>399</v>
      </c>
      <c r="G3458" s="3" t="s">
        <v>402</v>
      </c>
      <c r="I3458" s="3" t="s">
        <v>4063</v>
      </c>
    </row>
    <row r="3459" spans="2:9" hidden="1" x14ac:dyDescent="0.4">
      <c r="B3459" s="8" t="s">
        <v>517</v>
      </c>
      <c r="C3459" s="3" t="s">
        <v>5982</v>
      </c>
      <c r="D3459" s="3" t="s">
        <v>4716</v>
      </c>
      <c r="F3459" s="3" t="s">
        <v>399</v>
      </c>
      <c r="I3459" s="3" t="s">
        <v>4063</v>
      </c>
    </row>
    <row r="3460" spans="2:9" hidden="1" x14ac:dyDescent="0.4">
      <c r="B3460" s="8" t="s">
        <v>517</v>
      </c>
      <c r="C3460" s="3" t="s">
        <v>6330</v>
      </c>
      <c r="D3460" s="3" t="s">
        <v>5384</v>
      </c>
      <c r="F3460" s="3" t="s">
        <v>402</v>
      </c>
      <c r="I3460" s="3" t="s">
        <v>4063</v>
      </c>
    </row>
    <row r="3461" spans="2:9" hidden="1" x14ac:dyDescent="0.4">
      <c r="B3461" s="8" t="s">
        <v>518</v>
      </c>
      <c r="C3461" s="3" t="s">
        <v>4093</v>
      </c>
      <c r="D3461" s="3" t="s">
        <v>3693</v>
      </c>
      <c r="F3461" s="3" t="s">
        <v>399</v>
      </c>
      <c r="G3461" s="3" t="s">
        <v>402</v>
      </c>
      <c r="I3461" s="3" t="s">
        <v>4064</v>
      </c>
    </row>
    <row r="3462" spans="2:9" hidden="1" x14ac:dyDescent="0.4">
      <c r="B3462" s="8" t="s">
        <v>518</v>
      </c>
      <c r="C3462" s="3" t="s">
        <v>4378</v>
      </c>
      <c r="D3462" s="3" t="s">
        <v>4716</v>
      </c>
      <c r="F3462" s="3" t="s">
        <v>399</v>
      </c>
      <c r="I3462" s="3" t="s">
        <v>4064</v>
      </c>
    </row>
    <row r="3463" spans="2:9" hidden="1" x14ac:dyDescent="0.4">
      <c r="B3463" s="8" t="s">
        <v>518</v>
      </c>
      <c r="C3463" s="3" t="s">
        <v>5052</v>
      </c>
      <c r="D3463" s="3" t="s">
        <v>5384</v>
      </c>
      <c r="F3463" s="3" t="s">
        <v>402</v>
      </c>
      <c r="I3463" s="3" t="s">
        <v>4064</v>
      </c>
    </row>
    <row r="3464" spans="2:9" hidden="1" x14ac:dyDescent="0.4">
      <c r="B3464" s="8" t="s">
        <v>517</v>
      </c>
      <c r="C3464" s="3" t="s">
        <v>2834</v>
      </c>
      <c r="D3464" s="3" t="s">
        <v>2835</v>
      </c>
      <c r="E3464" s="3" t="s">
        <v>1272</v>
      </c>
      <c r="F3464" s="3" t="s">
        <v>399</v>
      </c>
      <c r="I3464" s="3" t="s">
        <v>2370</v>
      </c>
    </row>
    <row r="3465" spans="2:9" hidden="1" x14ac:dyDescent="0.4">
      <c r="B3465" s="8" t="s">
        <v>518</v>
      </c>
      <c r="C3465" s="3" t="s">
        <v>1323</v>
      </c>
      <c r="D3465" s="3" t="s">
        <v>1337</v>
      </c>
      <c r="E3465" s="3" t="s">
        <v>1272</v>
      </c>
      <c r="F3465" s="3" t="s">
        <v>399</v>
      </c>
      <c r="I3465" s="3" t="s">
        <v>1317</v>
      </c>
    </row>
    <row r="3466" spans="2:9" hidden="1" x14ac:dyDescent="0.4">
      <c r="B3466" s="8" t="s">
        <v>518</v>
      </c>
      <c r="C3466" s="3" t="s">
        <v>1355</v>
      </c>
      <c r="D3466" s="3" t="s">
        <v>1337</v>
      </c>
      <c r="E3466" s="3" t="s">
        <v>1272</v>
      </c>
      <c r="F3466" s="3" t="s">
        <v>402</v>
      </c>
      <c r="I3466" s="3" t="s">
        <v>1317</v>
      </c>
    </row>
    <row r="3467" spans="2:9" ht="29.25" hidden="1" x14ac:dyDescent="0.4">
      <c r="B3467" s="8" t="s">
        <v>518</v>
      </c>
      <c r="C3467" s="3" t="s">
        <v>1379</v>
      </c>
      <c r="D3467" s="3" t="s">
        <v>1337</v>
      </c>
      <c r="E3467" s="3" t="s">
        <v>433</v>
      </c>
      <c r="F3467" s="3" t="s">
        <v>399</v>
      </c>
      <c r="I3467" s="3" t="s">
        <v>1317</v>
      </c>
    </row>
    <row r="3468" spans="2:9" hidden="1" x14ac:dyDescent="0.4">
      <c r="B3468" s="8" t="s">
        <v>517</v>
      </c>
      <c r="C3468" s="3" t="s">
        <v>1379</v>
      </c>
      <c r="D3468" s="3" t="s">
        <v>1418</v>
      </c>
      <c r="F3468" s="3" t="s">
        <v>399</v>
      </c>
      <c r="G3468" s="3" t="s">
        <v>402</v>
      </c>
      <c r="H3468" s="3" t="s">
        <v>1279</v>
      </c>
      <c r="I3468" s="3" t="s">
        <v>1414</v>
      </c>
    </row>
    <row r="3469" spans="2:9" hidden="1" x14ac:dyDescent="0.4">
      <c r="B3469" s="8" t="s">
        <v>517</v>
      </c>
      <c r="C3469" s="3" t="s">
        <v>1379</v>
      </c>
      <c r="D3469" s="3" t="s">
        <v>1417</v>
      </c>
      <c r="F3469" s="3" t="s">
        <v>1279</v>
      </c>
      <c r="I3469" s="3" t="s">
        <v>1414</v>
      </c>
    </row>
    <row r="3470" spans="2:9" ht="29.25" hidden="1" x14ac:dyDescent="0.4">
      <c r="B3470" s="8" t="s">
        <v>518</v>
      </c>
      <c r="C3470" s="3" t="s">
        <v>1381</v>
      </c>
      <c r="D3470" s="3" t="s">
        <v>1337</v>
      </c>
      <c r="E3470" s="3" t="s">
        <v>433</v>
      </c>
      <c r="F3470" s="3" t="s">
        <v>402</v>
      </c>
      <c r="I3470" s="3" t="s">
        <v>1317</v>
      </c>
    </row>
    <row r="3471" spans="2:9" hidden="1" x14ac:dyDescent="0.4">
      <c r="B3471" s="8" t="s">
        <v>517</v>
      </c>
      <c r="C3471" s="3" t="s">
        <v>1381</v>
      </c>
      <c r="D3471" s="3" t="s">
        <v>1418</v>
      </c>
      <c r="F3471" s="3" t="s">
        <v>402</v>
      </c>
      <c r="I3471" s="3" t="s">
        <v>1414</v>
      </c>
    </row>
    <row r="3472" spans="2:9" hidden="1" x14ac:dyDescent="0.4">
      <c r="B3472" s="8" t="s">
        <v>518</v>
      </c>
      <c r="C3472" s="3" t="s">
        <v>502</v>
      </c>
      <c r="D3472" s="3" t="s">
        <v>672</v>
      </c>
      <c r="E3472" s="3" t="s">
        <v>425</v>
      </c>
      <c r="F3472" s="3" t="s">
        <v>522</v>
      </c>
      <c r="I3472" s="3" t="s">
        <v>510</v>
      </c>
    </row>
    <row r="3473" spans="2:9" hidden="1" x14ac:dyDescent="0.4">
      <c r="B3473" s="8" t="s">
        <v>518</v>
      </c>
      <c r="C3473" s="3" t="s">
        <v>710</v>
      </c>
      <c r="D3473" s="3" t="s">
        <v>672</v>
      </c>
      <c r="E3473" s="3" t="s">
        <v>425</v>
      </c>
      <c r="F3473" s="3" t="s">
        <v>684</v>
      </c>
      <c r="I3473" s="3" t="s">
        <v>510</v>
      </c>
    </row>
    <row r="3474" spans="2:9" hidden="1" x14ac:dyDescent="0.4">
      <c r="B3474" s="8" t="s">
        <v>518</v>
      </c>
      <c r="C3474" s="3" t="s">
        <v>501</v>
      </c>
      <c r="D3474" s="3" t="s">
        <v>671</v>
      </c>
      <c r="E3474" s="3" t="s">
        <v>425</v>
      </c>
      <c r="F3474" s="3" t="s">
        <v>522</v>
      </c>
      <c r="I3474" s="3" t="s">
        <v>510</v>
      </c>
    </row>
    <row r="3475" spans="2:9" hidden="1" x14ac:dyDescent="0.4">
      <c r="B3475" s="8" t="s">
        <v>518</v>
      </c>
      <c r="C3475" s="3" t="s">
        <v>501</v>
      </c>
      <c r="D3475" s="3" t="s">
        <v>1528</v>
      </c>
      <c r="F3475" s="3" t="s">
        <v>399</v>
      </c>
      <c r="G3475" s="3" t="s">
        <v>402</v>
      </c>
      <c r="I3475" s="3" t="s">
        <v>1489</v>
      </c>
    </row>
    <row r="3476" spans="2:9" hidden="1" x14ac:dyDescent="0.4">
      <c r="B3476" s="8" t="s">
        <v>518</v>
      </c>
      <c r="C3476" s="3" t="s">
        <v>711</v>
      </c>
      <c r="D3476" s="3" t="s">
        <v>671</v>
      </c>
      <c r="E3476" s="3" t="s">
        <v>425</v>
      </c>
      <c r="F3476" s="3" t="s">
        <v>684</v>
      </c>
      <c r="I3476" s="3" t="s">
        <v>510</v>
      </c>
    </row>
    <row r="3477" spans="2:9" hidden="1" x14ac:dyDescent="0.4">
      <c r="B3477" s="8" t="s">
        <v>518</v>
      </c>
      <c r="C3477" s="3" t="s">
        <v>711</v>
      </c>
      <c r="D3477" s="3" t="s">
        <v>1528</v>
      </c>
      <c r="F3477" s="3" t="s">
        <v>402</v>
      </c>
      <c r="I3477" s="3" t="s">
        <v>1489</v>
      </c>
    </row>
    <row r="3478" spans="2:9" hidden="1" x14ac:dyDescent="0.4">
      <c r="B3478" s="8" t="s">
        <v>518</v>
      </c>
      <c r="C3478" s="3" t="s">
        <v>3444</v>
      </c>
      <c r="D3478" s="3" t="s">
        <v>3754</v>
      </c>
      <c r="F3478" s="3" t="s">
        <v>399</v>
      </c>
      <c r="G3478" s="3" t="s">
        <v>402</v>
      </c>
      <c r="I3478" s="3" t="s">
        <v>4063</v>
      </c>
    </row>
    <row r="3479" spans="2:9" hidden="1" x14ac:dyDescent="0.4">
      <c r="B3479" s="8" t="s">
        <v>518</v>
      </c>
      <c r="C3479" s="3" t="s">
        <v>3444</v>
      </c>
      <c r="D3479" s="3" t="s">
        <v>3754</v>
      </c>
      <c r="F3479" s="3" t="s">
        <v>399</v>
      </c>
      <c r="G3479" s="3" t="s">
        <v>402</v>
      </c>
      <c r="I3479" s="3" t="s">
        <v>4064</v>
      </c>
    </row>
    <row r="3480" spans="2:9" hidden="1" x14ac:dyDescent="0.4">
      <c r="B3480" s="8" t="s">
        <v>518</v>
      </c>
      <c r="C3480" s="3" t="s">
        <v>5774</v>
      </c>
      <c r="D3480" s="3" t="s">
        <v>4761</v>
      </c>
      <c r="F3480" s="3" t="s">
        <v>399</v>
      </c>
      <c r="I3480" s="3" t="s">
        <v>4063</v>
      </c>
    </row>
    <row r="3481" spans="2:9" hidden="1" x14ac:dyDescent="0.4">
      <c r="B3481" s="8" t="s">
        <v>518</v>
      </c>
      <c r="C3481" s="3" t="s">
        <v>6116</v>
      </c>
      <c r="D3481" s="3" t="s">
        <v>5441</v>
      </c>
      <c r="F3481" s="3" t="s">
        <v>402</v>
      </c>
      <c r="I3481" s="3" t="s">
        <v>4063</v>
      </c>
    </row>
    <row r="3482" spans="2:9" hidden="1" x14ac:dyDescent="0.4">
      <c r="B3482" s="8" t="s">
        <v>518</v>
      </c>
      <c r="C3482" s="3" t="s">
        <v>4630</v>
      </c>
      <c r="D3482" s="3" t="s">
        <v>4761</v>
      </c>
      <c r="F3482" s="3" t="s">
        <v>399</v>
      </c>
      <c r="I3482" s="3" t="s">
        <v>4064</v>
      </c>
    </row>
    <row r="3483" spans="2:9" hidden="1" x14ac:dyDescent="0.4">
      <c r="B3483" s="8" t="s">
        <v>518</v>
      </c>
      <c r="C3483" s="3" t="s">
        <v>5118</v>
      </c>
      <c r="D3483" s="3" t="s">
        <v>5441</v>
      </c>
      <c r="F3483" s="3" t="s">
        <v>402</v>
      </c>
      <c r="I3483" s="3" t="s">
        <v>4064</v>
      </c>
    </row>
    <row r="3484" spans="2:9" hidden="1" x14ac:dyDescent="0.4">
      <c r="B3484" s="8" t="s">
        <v>517</v>
      </c>
      <c r="C3484" s="3" t="s">
        <v>1915</v>
      </c>
      <c r="D3484" s="3" t="s">
        <v>1948</v>
      </c>
      <c r="F3484" s="3" t="s">
        <v>399</v>
      </c>
      <c r="I3484" s="3" t="s">
        <v>1865</v>
      </c>
    </row>
    <row r="3485" spans="2:9" hidden="1" x14ac:dyDescent="0.4">
      <c r="B3485" s="8" t="s">
        <v>517</v>
      </c>
      <c r="C3485" s="3" t="s">
        <v>1916</v>
      </c>
      <c r="D3485" s="3" t="s">
        <v>1949</v>
      </c>
      <c r="F3485" s="3" t="s">
        <v>399</v>
      </c>
      <c r="I3485" s="3" t="s">
        <v>1865</v>
      </c>
    </row>
    <row r="3486" spans="2:9" hidden="1" x14ac:dyDescent="0.4">
      <c r="B3486" s="8" t="s">
        <v>518</v>
      </c>
      <c r="C3486" s="3" t="s">
        <v>865</v>
      </c>
      <c r="D3486" s="3" t="s">
        <v>877</v>
      </c>
      <c r="E3486" s="3" t="s">
        <v>425</v>
      </c>
      <c r="F3486" s="3" t="s">
        <v>399</v>
      </c>
      <c r="I3486" s="3" t="s">
        <v>824</v>
      </c>
    </row>
    <row r="3487" spans="2:9" hidden="1" x14ac:dyDescent="0.4">
      <c r="B3487" s="8" t="s">
        <v>518</v>
      </c>
      <c r="C3487" s="3" t="s">
        <v>865</v>
      </c>
      <c r="D3487" s="3" t="s">
        <v>902</v>
      </c>
      <c r="E3487" s="3" t="s">
        <v>425</v>
      </c>
      <c r="F3487" s="3" t="s">
        <v>399</v>
      </c>
      <c r="I3487" s="3" t="s">
        <v>523</v>
      </c>
    </row>
    <row r="3488" spans="2:9" hidden="1" x14ac:dyDescent="0.4">
      <c r="B3488" s="8" t="s">
        <v>518</v>
      </c>
      <c r="C3488" s="3" t="s">
        <v>865</v>
      </c>
      <c r="D3488" s="3" t="s">
        <v>889</v>
      </c>
      <c r="E3488" s="3" t="s">
        <v>425</v>
      </c>
      <c r="F3488" s="3" t="s">
        <v>399</v>
      </c>
      <c r="I3488" s="3" t="s">
        <v>898</v>
      </c>
    </row>
    <row r="3489" spans="2:9" hidden="1" x14ac:dyDescent="0.4">
      <c r="B3489" s="8" t="s">
        <v>518</v>
      </c>
      <c r="C3489" s="3" t="s">
        <v>954</v>
      </c>
      <c r="D3489" s="3" t="s">
        <v>877</v>
      </c>
      <c r="E3489" s="3" t="s">
        <v>425</v>
      </c>
      <c r="F3489" s="3" t="s">
        <v>402</v>
      </c>
      <c r="I3489" s="3" t="s">
        <v>824</v>
      </c>
    </row>
    <row r="3490" spans="2:9" hidden="1" x14ac:dyDescent="0.4">
      <c r="B3490" s="8" t="s">
        <v>518</v>
      </c>
      <c r="C3490" s="3" t="s">
        <v>954</v>
      </c>
      <c r="D3490" s="3" t="s">
        <v>902</v>
      </c>
      <c r="E3490" s="3" t="s">
        <v>425</v>
      </c>
      <c r="F3490" s="3" t="s">
        <v>402</v>
      </c>
      <c r="I3490" s="3" t="s">
        <v>523</v>
      </c>
    </row>
    <row r="3491" spans="2:9" hidden="1" x14ac:dyDescent="0.4">
      <c r="B3491" s="8" t="s">
        <v>518</v>
      </c>
      <c r="C3491" s="3" t="s">
        <v>954</v>
      </c>
      <c r="D3491" s="3" t="s">
        <v>889</v>
      </c>
      <c r="E3491" s="3" t="s">
        <v>425</v>
      </c>
      <c r="F3491" s="3" t="s">
        <v>402</v>
      </c>
      <c r="I3491" s="3" t="s">
        <v>898</v>
      </c>
    </row>
    <row r="3492" spans="2:9" hidden="1" x14ac:dyDescent="0.4">
      <c r="B3492" s="8" t="s">
        <v>518</v>
      </c>
      <c r="C3492" s="3" t="s">
        <v>953</v>
      </c>
      <c r="D3492" s="3" t="s">
        <v>877</v>
      </c>
      <c r="E3492" s="3" t="s">
        <v>425</v>
      </c>
      <c r="F3492" s="3" t="s">
        <v>402</v>
      </c>
      <c r="I3492" s="3" t="s">
        <v>824</v>
      </c>
    </row>
    <row r="3493" spans="2:9" hidden="1" x14ac:dyDescent="0.4">
      <c r="B3493" s="8" t="s">
        <v>518</v>
      </c>
      <c r="C3493" s="3" t="s">
        <v>953</v>
      </c>
      <c r="D3493" s="3" t="s">
        <v>902</v>
      </c>
      <c r="E3493" s="3" t="s">
        <v>425</v>
      </c>
      <c r="F3493" s="3" t="s">
        <v>402</v>
      </c>
      <c r="I3493" s="3" t="s">
        <v>523</v>
      </c>
    </row>
    <row r="3494" spans="2:9" hidden="1" x14ac:dyDescent="0.4">
      <c r="B3494" s="8" t="s">
        <v>518</v>
      </c>
      <c r="C3494" s="3" t="s">
        <v>953</v>
      </c>
      <c r="D3494" s="3" t="s">
        <v>889</v>
      </c>
      <c r="E3494" s="3" t="s">
        <v>425</v>
      </c>
      <c r="F3494" s="3" t="s">
        <v>402</v>
      </c>
      <c r="I3494" s="3" t="s">
        <v>898</v>
      </c>
    </row>
    <row r="3495" spans="2:9" hidden="1" x14ac:dyDescent="0.4">
      <c r="B3495" s="8" t="s">
        <v>517</v>
      </c>
      <c r="C3495" s="3" t="s">
        <v>2974</v>
      </c>
      <c r="D3495" s="3" t="s">
        <v>3212</v>
      </c>
      <c r="E3495" s="3">
        <v>1</v>
      </c>
      <c r="F3495" s="3" t="s">
        <v>402</v>
      </c>
      <c r="G3495" s="3" t="s">
        <v>988</v>
      </c>
      <c r="H3495" s="3" t="s">
        <v>399</v>
      </c>
      <c r="I3495" s="3" t="s">
        <v>245</v>
      </c>
    </row>
    <row r="3496" spans="2:9" hidden="1" x14ac:dyDescent="0.4">
      <c r="B3496" s="8" t="s">
        <v>517</v>
      </c>
      <c r="C3496" s="3" t="s">
        <v>2973</v>
      </c>
      <c r="D3496" s="3" t="s">
        <v>3212</v>
      </c>
      <c r="E3496" s="3">
        <v>1</v>
      </c>
      <c r="F3496" s="3" t="s">
        <v>402</v>
      </c>
      <c r="G3496" s="3" t="s">
        <v>988</v>
      </c>
      <c r="H3496" s="3" t="s">
        <v>399</v>
      </c>
      <c r="I3496" s="3" t="s">
        <v>245</v>
      </c>
    </row>
    <row r="3497" spans="2:9" hidden="1" x14ac:dyDescent="0.4">
      <c r="B3497" s="8" t="s">
        <v>518</v>
      </c>
      <c r="C3497" s="3" t="s">
        <v>1407</v>
      </c>
      <c r="D3497" s="3" t="s">
        <v>1441</v>
      </c>
      <c r="F3497" s="3" t="s">
        <v>399</v>
      </c>
      <c r="G3497" s="3" t="s">
        <v>402</v>
      </c>
      <c r="H3497" s="3" t="s">
        <v>1279</v>
      </c>
      <c r="I3497" s="3" t="s">
        <v>1414</v>
      </c>
    </row>
    <row r="3498" spans="2:9" hidden="1" x14ac:dyDescent="0.4">
      <c r="B3498" s="8" t="s">
        <v>512</v>
      </c>
      <c r="C3498" s="3" t="s">
        <v>1656</v>
      </c>
      <c r="D3498" s="3" t="s">
        <v>1664</v>
      </c>
      <c r="F3498" s="3" t="s">
        <v>399</v>
      </c>
      <c r="I3498" s="3" t="s">
        <v>1414</v>
      </c>
    </row>
    <row r="3499" spans="2:9" hidden="1" x14ac:dyDescent="0.4">
      <c r="B3499" s="8" t="s">
        <v>512</v>
      </c>
      <c r="C3499" s="3" t="s">
        <v>1670</v>
      </c>
      <c r="D3499" s="3" t="s">
        <v>1664</v>
      </c>
      <c r="F3499" s="3" t="s">
        <v>402</v>
      </c>
      <c r="I3499" s="3" t="s">
        <v>1414</v>
      </c>
    </row>
    <row r="3500" spans="2:9" hidden="1" x14ac:dyDescent="0.4">
      <c r="B3500" s="8" t="s">
        <v>518</v>
      </c>
      <c r="C3500" s="3" t="s">
        <v>1551</v>
      </c>
      <c r="D3500" s="3" t="s">
        <v>1441</v>
      </c>
      <c r="F3500" s="3" t="s">
        <v>402</v>
      </c>
      <c r="I3500" s="3" t="s">
        <v>1414</v>
      </c>
    </row>
    <row r="3501" spans="2:9" hidden="1" x14ac:dyDescent="0.4">
      <c r="B3501" s="8" t="s">
        <v>531</v>
      </c>
      <c r="C3501" s="3" t="s">
        <v>3057</v>
      </c>
      <c r="D3501" s="3" t="s">
        <v>3302</v>
      </c>
      <c r="E3501" s="3">
        <v>1</v>
      </c>
      <c r="F3501" s="3" t="s">
        <v>402</v>
      </c>
      <c r="I3501" s="3" t="s">
        <v>245</v>
      </c>
    </row>
    <row r="3502" spans="2:9" hidden="1" x14ac:dyDescent="0.4">
      <c r="B3502" s="8" t="s">
        <v>517</v>
      </c>
      <c r="C3502" s="3" t="s">
        <v>4121</v>
      </c>
      <c r="D3502" s="3" t="s">
        <v>4022</v>
      </c>
      <c r="F3502" s="3" t="s">
        <v>399</v>
      </c>
      <c r="G3502" s="3" t="s">
        <v>402</v>
      </c>
      <c r="I3502" s="3" t="s">
        <v>4063</v>
      </c>
    </row>
    <row r="3503" spans="2:9" hidden="1" x14ac:dyDescent="0.4">
      <c r="B3503" s="8" t="s">
        <v>517</v>
      </c>
      <c r="C3503" s="3" t="s">
        <v>4121</v>
      </c>
      <c r="D3503" s="3" t="s">
        <v>4022</v>
      </c>
      <c r="F3503" s="3" t="s">
        <v>399</v>
      </c>
      <c r="G3503" s="3" t="s">
        <v>402</v>
      </c>
      <c r="I3503" s="3" t="s">
        <v>4064</v>
      </c>
    </row>
    <row r="3504" spans="2:9" hidden="1" x14ac:dyDescent="0.4">
      <c r="B3504" s="8" t="s">
        <v>517</v>
      </c>
      <c r="C3504" s="3" t="s">
        <v>5941</v>
      </c>
      <c r="D3504" s="3" t="s">
        <v>4873</v>
      </c>
      <c r="F3504" s="3" t="s">
        <v>399</v>
      </c>
      <c r="I3504" s="3" t="s">
        <v>4063</v>
      </c>
    </row>
    <row r="3505" spans="2:9" hidden="1" x14ac:dyDescent="0.4">
      <c r="B3505" s="8" t="s">
        <v>517</v>
      </c>
      <c r="C3505" s="3" t="s">
        <v>6287</v>
      </c>
      <c r="D3505" s="3" t="s">
        <v>5679</v>
      </c>
      <c r="F3505" s="3" t="s">
        <v>402</v>
      </c>
      <c r="I3505" s="3" t="s">
        <v>4063</v>
      </c>
    </row>
    <row r="3506" spans="2:9" hidden="1" x14ac:dyDescent="0.4">
      <c r="B3506" s="8" t="s">
        <v>517</v>
      </c>
      <c r="C3506" s="3" t="s">
        <v>4565</v>
      </c>
      <c r="D3506" s="3" t="s">
        <v>4873</v>
      </c>
      <c r="F3506" s="3" t="s">
        <v>399</v>
      </c>
      <c r="I3506" s="3" t="s">
        <v>4064</v>
      </c>
    </row>
    <row r="3507" spans="2:9" hidden="1" x14ac:dyDescent="0.4">
      <c r="B3507" s="8" t="s">
        <v>517</v>
      </c>
      <c r="C3507" s="3" t="s">
        <v>5081</v>
      </c>
      <c r="D3507" s="3" t="s">
        <v>5680</v>
      </c>
      <c r="F3507" s="3" t="s">
        <v>402</v>
      </c>
      <c r="I3507" s="3" t="s">
        <v>4064</v>
      </c>
    </row>
    <row r="3508" spans="2:9" hidden="1" x14ac:dyDescent="0.4">
      <c r="B3508" s="8" t="s">
        <v>517</v>
      </c>
      <c r="C3508" s="3" t="s">
        <v>3461</v>
      </c>
      <c r="D3508" s="3" t="s">
        <v>3769</v>
      </c>
      <c r="F3508" s="3" t="s">
        <v>399</v>
      </c>
      <c r="G3508" s="3" t="s">
        <v>402</v>
      </c>
      <c r="I3508" s="3" t="s">
        <v>4063</v>
      </c>
    </row>
    <row r="3509" spans="2:9" hidden="1" x14ac:dyDescent="0.4">
      <c r="B3509" s="8" t="s">
        <v>517</v>
      </c>
      <c r="C3509" s="3" t="s">
        <v>5785</v>
      </c>
      <c r="D3509" s="3" t="s">
        <v>4889</v>
      </c>
      <c r="F3509" s="3" t="s">
        <v>399</v>
      </c>
      <c r="I3509" s="3" t="s">
        <v>4063</v>
      </c>
    </row>
    <row r="3510" spans="2:9" hidden="1" x14ac:dyDescent="0.4">
      <c r="B3510" s="8" t="s">
        <v>517</v>
      </c>
      <c r="C3510" s="3" t="s">
        <v>6128</v>
      </c>
      <c r="D3510" s="3" t="s">
        <v>5457</v>
      </c>
      <c r="F3510" s="3" t="s">
        <v>402</v>
      </c>
      <c r="I3510" s="3" t="s">
        <v>4063</v>
      </c>
    </row>
    <row r="3511" spans="2:9" hidden="1" x14ac:dyDescent="0.4">
      <c r="B3511" s="8" t="s">
        <v>517</v>
      </c>
      <c r="C3511" s="3" t="s">
        <v>4163</v>
      </c>
      <c r="D3511" s="3" t="s">
        <v>3769</v>
      </c>
      <c r="F3511" s="3" t="s">
        <v>399</v>
      </c>
      <c r="G3511" s="3" t="s">
        <v>402</v>
      </c>
      <c r="I3511" s="3" t="s">
        <v>4064</v>
      </c>
    </row>
    <row r="3512" spans="2:9" hidden="1" x14ac:dyDescent="0.4">
      <c r="B3512" s="8" t="s">
        <v>517</v>
      </c>
      <c r="C3512" s="3" t="s">
        <v>4638</v>
      </c>
      <c r="D3512" s="3" t="s">
        <v>4889</v>
      </c>
      <c r="F3512" s="3" t="s">
        <v>399</v>
      </c>
      <c r="I3512" s="3" t="s">
        <v>4064</v>
      </c>
    </row>
    <row r="3513" spans="2:9" hidden="1" x14ac:dyDescent="0.4">
      <c r="B3513" s="8" t="s">
        <v>517</v>
      </c>
      <c r="C3513" s="3" t="s">
        <v>5134</v>
      </c>
      <c r="D3513" s="3" t="s">
        <v>5457</v>
      </c>
      <c r="F3513" s="3" t="s">
        <v>402</v>
      </c>
      <c r="I3513" s="3" t="s">
        <v>4064</v>
      </c>
    </row>
    <row r="3514" spans="2:9" hidden="1" x14ac:dyDescent="0.4">
      <c r="B3514" s="8" t="s">
        <v>517</v>
      </c>
      <c r="C3514" s="3" t="s">
        <v>1799</v>
      </c>
      <c r="D3514" s="3" t="s">
        <v>1868</v>
      </c>
      <c r="F3514" s="3" t="s">
        <v>399</v>
      </c>
      <c r="I3514" s="3" t="s">
        <v>1865</v>
      </c>
    </row>
    <row r="3515" spans="2:9" hidden="1" x14ac:dyDescent="0.4">
      <c r="B3515" s="8" t="s">
        <v>532</v>
      </c>
      <c r="C3515" s="3" t="s">
        <v>1396</v>
      </c>
      <c r="D3515" s="3" t="s">
        <v>1430</v>
      </c>
      <c r="F3515" s="3" t="s">
        <v>399</v>
      </c>
      <c r="G3515" s="3" t="s">
        <v>402</v>
      </c>
      <c r="H3515" s="3" t="s">
        <v>1279</v>
      </c>
      <c r="I3515" s="3" t="s">
        <v>1414</v>
      </c>
    </row>
    <row r="3516" spans="2:9" hidden="1" x14ac:dyDescent="0.4">
      <c r="B3516" s="8" t="s">
        <v>1658</v>
      </c>
      <c r="C3516" s="3" t="s">
        <v>1654</v>
      </c>
      <c r="D3516" s="3" t="s">
        <v>1662</v>
      </c>
      <c r="F3516" s="3" t="s">
        <v>399</v>
      </c>
      <c r="I3516" s="3" t="s">
        <v>1414</v>
      </c>
    </row>
    <row r="3517" spans="2:9" hidden="1" x14ac:dyDescent="0.4">
      <c r="B3517" s="8" t="s">
        <v>1657</v>
      </c>
      <c r="C3517" s="3" t="s">
        <v>1652</v>
      </c>
      <c r="D3517" s="3" t="s">
        <v>1661</v>
      </c>
      <c r="F3517" s="3" t="s">
        <v>399</v>
      </c>
      <c r="I3517" s="3" t="s">
        <v>1414</v>
      </c>
    </row>
    <row r="3518" spans="2:9" hidden="1" x14ac:dyDescent="0.4">
      <c r="B3518" s="8" t="s">
        <v>1657</v>
      </c>
      <c r="C3518" s="3" t="s">
        <v>1653</v>
      </c>
      <c r="D3518" s="3" t="s">
        <v>1661</v>
      </c>
      <c r="F3518" s="3" t="s">
        <v>399</v>
      </c>
      <c r="I3518" s="3" t="s">
        <v>1414</v>
      </c>
    </row>
    <row r="3519" spans="2:9" hidden="1" x14ac:dyDescent="0.4">
      <c r="B3519" s="8" t="s">
        <v>532</v>
      </c>
      <c r="C3519" s="3" t="s">
        <v>1540</v>
      </c>
      <c r="D3519" s="3" t="s">
        <v>1430</v>
      </c>
      <c r="F3519" s="3" t="s">
        <v>402</v>
      </c>
      <c r="I3519" s="3" t="s">
        <v>1414</v>
      </c>
    </row>
    <row r="3520" spans="2:9" hidden="1" x14ac:dyDescent="0.4">
      <c r="B3520" s="8" t="s">
        <v>520</v>
      </c>
      <c r="C3520" s="3" t="s">
        <v>2286</v>
      </c>
      <c r="D3520" s="3" t="s">
        <v>2444</v>
      </c>
      <c r="E3520" s="3" t="s">
        <v>1272</v>
      </c>
      <c r="F3520" s="3" t="s">
        <v>399</v>
      </c>
      <c r="I3520" s="3" t="s">
        <v>1833</v>
      </c>
    </row>
    <row r="3521" spans="2:9" hidden="1" x14ac:dyDescent="0.4">
      <c r="B3521" s="8" t="s">
        <v>520</v>
      </c>
      <c r="C3521" s="3" t="s">
        <v>2592</v>
      </c>
      <c r="D3521" s="3" t="s">
        <v>2444</v>
      </c>
      <c r="E3521" s="3" t="s">
        <v>1272</v>
      </c>
      <c r="F3521" s="3" t="s">
        <v>402</v>
      </c>
      <c r="I3521" s="3" t="s">
        <v>1833</v>
      </c>
    </row>
    <row r="3522" spans="2:9" hidden="1" x14ac:dyDescent="0.4">
      <c r="B3522" s="8" t="s">
        <v>529</v>
      </c>
      <c r="C3522" s="3" t="s">
        <v>3600</v>
      </c>
      <c r="D3522" s="3" t="s">
        <v>4043</v>
      </c>
      <c r="F3522" s="3" t="s">
        <v>399</v>
      </c>
      <c r="G3522" s="3" t="s">
        <v>402</v>
      </c>
      <c r="I3522" s="3" t="s">
        <v>4063</v>
      </c>
    </row>
    <row r="3523" spans="2:9" hidden="1" x14ac:dyDescent="0.4">
      <c r="B3523" s="8" t="s">
        <v>529</v>
      </c>
      <c r="C3523" s="3" t="s">
        <v>3600</v>
      </c>
      <c r="D3523" s="3" t="s">
        <v>4043</v>
      </c>
      <c r="F3523" s="3" t="s">
        <v>399</v>
      </c>
      <c r="G3523" s="3" t="s">
        <v>402</v>
      </c>
      <c r="I3523" s="3" t="s">
        <v>4064</v>
      </c>
    </row>
    <row r="3524" spans="2:9" hidden="1" x14ac:dyDescent="0.4">
      <c r="B3524" s="8" t="s">
        <v>529</v>
      </c>
      <c r="C3524" s="3" t="s">
        <v>5901</v>
      </c>
      <c r="D3524" s="3" t="s">
        <v>4987</v>
      </c>
      <c r="F3524" s="3" t="s">
        <v>399</v>
      </c>
      <c r="I3524" s="3" t="s">
        <v>4063</v>
      </c>
    </row>
    <row r="3525" spans="2:9" hidden="1" x14ac:dyDescent="0.4">
      <c r="B3525" s="8" t="s">
        <v>529</v>
      </c>
      <c r="C3525" s="3" t="s">
        <v>6247</v>
      </c>
      <c r="D3525" s="3" t="s">
        <v>5594</v>
      </c>
      <c r="F3525" s="3" t="s">
        <v>402</v>
      </c>
      <c r="I3525" s="3" t="s">
        <v>4063</v>
      </c>
    </row>
    <row r="3526" spans="2:9" hidden="1" x14ac:dyDescent="0.4">
      <c r="B3526" s="8" t="s">
        <v>529</v>
      </c>
      <c r="C3526" s="3" t="s">
        <v>4588</v>
      </c>
      <c r="D3526" s="3" t="s">
        <v>4987</v>
      </c>
      <c r="F3526" s="3" t="s">
        <v>399</v>
      </c>
      <c r="I3526" s="3" t="s">
        <v>4064</v>
      </c>
    </row>
    <row r="3527" spans="2:9" hidden="1" x14ac:dyDescent="0.4">
      <c r="B3527" s="8" t="s">
        <v>529</v>
      </c>
      <c r="C3527" s="3" t="s">
        <v>5274</v>
      </c>
      <c r="D3527" s="3" t="s">
        <v>5594</v>
      </c>
      <c r="F3527" s="3" t="s">
        <v>402</v>
      </c>
      <c r="I3527" s="3" t="s">
        <v>4064</v>
      </c>
    </row>
    <row r="3528" spans="2:9" hidden="1" x14ac:dyDescent="0.4">
      <c r="B3528" s="8" t="s">
        <v>517</v>
      </c>
      <c r="C3528" s="3" t="s">
        <v>758</v>
      </c>
      <c r="D3528" s="3" t="s">
        <v>775</v>
      </c>
      <c r="F3528" s="3" t="s">
        <v>399</v>
      </c>
      <c r="G3528" s="3" t="s">
        <v>402</v>
      </c>
      <c r="I3528" s="3" t="s">
        <v>781</v>
      </c>
    </row>
    <row r="3529" spans="2:9" hidden="1" x14ac:dyDescent="0.4">
      <c r="B3529" s="8" t="s">
        <v>517</v>
      </c>
      <c r="C3529" s="3" t="s">
        <v>783</v>
      </c>
      <c r="D3529" s="3" t="s">
        <v>775</v>
      </c>
      <c r="F3529" s="3" t="s">
        <v>402</v>
      </c>
      <c r="I3529" s="3" t="s">
        <v>781</v>
      </c>
    </row>
    <row r="3530" spans="2:9" hidden="1" x14ac:dyDescent="0.4">
      <c r="B3530" s="8" t="s">
        <v>517</v>
      </c>
      <c r="C3530" s="3" t="s">
        <v>1484</v>
      </c>
      <c r="D3530" s="3" t="s">
        <v>1527</v>
      </c>
      <c r="F3530" s="3" t="s">
        <v>399</v>
      </c>
      <c r="G3530" s="3" t="s">
        <v>402</v>
      </c>
      <c r="I3530" s="3" t="s">
        <v>1489</v>
      </c>
    </row>
    <row r="3531" spans="2:9" hidden="1" x14ac:dyDescent="0.4">
      <c r="B3531" s="8" t="s">
        <v>517</v>
      </c>
      <c r="C3531" s="3" t="s">
        <v>1592</v>
      </c>
      <c r="D3531" s="3" t="s">
        <v>1527</v>
      </c>
      <c r="F3531" s="3" t="s">
        <v>402</v>
      </c>
      <c r="I3531" s="3" t="s">
        <v>1489</v>
      </c>
    </row>
    <row r="3532" spans="2:9" hidden="1" x14ac:dyDescent="0.4">
      <c r="B3532" s="8" t="s">
        <v>536</v>
      </c>
      <c r="C3532" s="3" t="s">
        <v>2678</v>
      </c>
      <c r="D3532" s="3">
        <v>4</v>
      </c>
      <c r="F3532" s="3" t="s">
        <v>1124</v>
      </c>
      <c r="I3532" s="3" t="s">
        <v>252</v>
      </c>
    </row>
    <row r="3533" spans="2:9" hidden="1" x14ac:dyDescent="0.4">
      <c r="B3533" s="8" t="s">
        <v>536</v>
      </c>
      <c r="C3533" s="3" t="s">
        <v>2728</v>
      </c>
      <c r="D3533" s="3">
        <v>400</v>
      </c>
      <c r="F3533" s="3" t="s">
        <v>1124</v>
      </c>
      <c r="I3533" s="3" t="s">
        <v>252</v>
      </c>
    </row>
    <row r="3534" spans="2:9" hidden="1" x14ac:dyDescent="0.4">
      <c r="B3534" s="8" t="s">
        <v>536</v>
      </c>
      <c r="C3534" s="3" t="s">
        <v>2720</v>
      </c>
      <c r="D3534" s="3">
        <v>40</v>
      </c>
      <c r="F3534" s="3" t="s">
        <v>1124</v>
      </c>
      <c r="I3534" s="3" t="s">
        <v>252</v>
      </c>
    </row>
    <row r="3535" spans="2:9" hidden="1" x14ac:dyDescent="0.4">
      <c r="B3535" s="8" t="s">
        <v>536</v>
      </c>
      <c r="C3535" s="3" t="s">
        <v>2700</v>
      </c>
      <c r="D3535" s="3">
        <v>24</v>
      </c>
      <c r="F3535" s="3" t="s">
        <v>1124</v>
      </c>
      <c r="I3535" s="3" t="s">
        <v>252</v>
      </c>
    </row>
    <row r="3536" spans="2:9" hidden="1" x14ac:dyDescent="0.4">
      <c r="B3536" s="8" t="s">
        <v>536</v>
      </c>
      <c r="C3536" s="3" t="s">
        <v>2690</v>
      </c>
      <c r="D3536" s="3">
        <v>14</v>
      </c>
      <c r="F3536" s="3" t="s">
        <v>1124</v>
      </c>
      <c r="I3536" s="3" t="s">
        <v>252</v>
      </c>
    </row>
    <row r="3537" spans="2:9" hidden="1" x14ac:dyDescent="0.4">
      <c r="B3537" s="8" t="s">
        <v>536</v>
      </c>
      <c r="C3537" s="3" t="s">
        <v>2736</v>
      </c>
      <c r="D3537" s="3">
        <v>4000</v>
      </c>
      <c r="F3537" s="3" t="s">
        <v>1124</v>
      </c>
      <c r="I3537" s="3" t="s">
        <v>252</v>
      </c>
    </row>
    <row r="3538" spans="2:9" hidden="1" x14ac:dyDescent="0.4">
      <c r="B3538" s="8" t="s">
        <v>536</v>
      </c>
      <c r="C3538" s="3" t="s">
        <v>2710</v>
      </c>
      <c r="D3538" s="3">
        <v>34</v>
      </c>
      <c r="F3538" s="3" t="s">
        <v>1124</v>
      </c>
      <c r="I3538" s="3" t="s">
        <v>252</v>
      </c>
    </row>
    <row r="3539" spans="2:9" hidden="1" x14ac:dyDescent="0.4">
      <c r="B3539" s="8" t="s">
        <v>536</v>
      </c>
      <c r="C3539" s="3" t="s">
        <v>2744</v>
      </c>
      <c r="D3539" s="3">
        <v>40000</v>
      </c>
      <c r="F3539" s="3" t="s">
        <v>1124</v>
      </c>
      <c r="I3539" s="3" t="s">
        <v>252</v>
      </c>
    </row>
    <row r="3540" spans="2:9" hidden="1" x14ac:dyDescent="0.4">
      <c r="B3540" s="8" t="s">
        <v>518</v>
      </c>
      <c r="C3540" s="3" t="s">
        <v>362</v>
      </c>
      <c r="D3540" s="3" t="s">
        <v>386</v>
      </c>
      <c r="F3540" s="3" t="s">
        <v>399</v>
      </c>
      <c r="I3540" s="3" t="s">
        <v>267</v>
      </c>
    </row>
    <row r="3541" spans="2:9" hidden="1" x14ac:dyDescent="0.4">
      <c r="B3541" s="8" t="s">
        <v>517</v>
      </c>
      <c r="C3541" s="3" t="s">
        <v>309</v>
      </c>
      <c r="D3541" s="3" t="s">
        <v>602</v>
      </c>
      <c r="F3541" s="3" t="s">
        <v>399</v>
      </c>
      <c r="I3541" s="3" t="s">
        <v>267</v>
      </c>
    </row>
    <row r="3542" spans="2:9" hidden="1" x14ac:dyDescent="0.4">
      <c r="B3542" s="8" t="s">
        <v>536</v>
      </c>
      <c r="C3542" s="3" t="s">
        <v>2677</v>
      </c>
      <c r="D3542" s="3">
        <v>3</v>
      </c>
      <c r="F3542" s="3" t="s">
        <v>1124</v>
      </c>
      <c r="I3542" s="3" t="s">
        <v>252</v>
      </c>
    </row>
    <row r="3543" spans="2:9" hidden="1" x14ac:dyDescent="0.4">
      <c r="B3543" s="8" t="s">
        <v>517</v>
      </c>
      <c r="C3543" s="3" t="s">
        <v>2260</v>
      </c>
      <c r="D3543" s="3" t="s">
        <v>2417</v>
      </c>
      <c r="E3543" s="3" t="s">
        <v>1272</v>
      </c>
      <c r="F3543" s="3" t="s">
        <v>399</v>
      </c>
      <c r="I3543" s="3" t="s">
        <v>1833</v>
      </c>
    </row>
    <row r="3544" spans="2:9" hidden="1" x14ac:dyDescent="0.4">
      <c r="B3544" s="8" t="s">
        <v>517</v>
      </c>
      <c r="C3544" s="3" t="s">
        <v>2527</v>
      </c>
      <c r="D3544" s="3" t="s">
        <v>2417</v>
      </c>
      <c r="E3544" s="3" t="s">
        <v>1272</v>
      </c>
      <c r="F3544" s="3" t="s">
        <v>402</v>
      </c>
      <c r="I3544" s="3" t="s">
        <v>1833</v>
      </c>
    </row>
    <row r="3545" spans="2:9" ht="29.25" hidden="1" x14ac:dyDescent="0.4">
      <c r="B3545" s="8" t="s">
        <v>517</v>
      </c>
      <c r="C3545" s="3" t="s">
        <v>1263</v>
      </c>
      <c r="D3545" s="3" t="s">
        <v>1270</v>
      </c>
      <c r="E3545" s="3" t="s">
        <v>7805</v>
      </c>
      <c r="F3545" s="3" t="s">
        <v>399</v>
      </c>
      <c r="G3545" s="3" t="s">
        <v>1277</v>
      </c>
      <c r="I3545" s="3" t="s">
        <v>510</v>
      </c>
    </row>
    <row r="3546" spans="2:9" hidden="1" x14ac:dyDescent="0.4">
      <c r="B3546" s="8" t="s">
        <v>517</v>
      </c>
      <c r="C3546" s="3" t="s">
        <v>1287</v>
      </c>
      <c r="D3546" s="3" t="s">
        <v>1291</v>
      </c>
      <c r="E3546" s="3" t="s">
        <v>7805</v>
      </c>
      <c r="F3546" s="3" t="s">
        <v>402</v>
      </c>
      <c r="I3546" s="3" t="s">
        <v>510</v>
      </c>
    </row>
    <row r="3547" spans="2:9" hidden="1" x14ac:dyDescent="0.4">
      <c r="B3547" s="8" t="s">
        <v>517</v>
      </c>
      <c r="C3547" s="3" t="s">
        <v>1283</v>
      </c>
      <c r="D3547" s="3" t="s">
        <v>1270</v>
      </c>
      <c r="E3547" s="3" t="s">
        <v>7805</v>
      </c>
      <c r="F3547" s="3" t="s">
        <v>402</v>
      </c>
      <c r="I3547" s="3" t="s">
        <v>510</v>
      </c>
    </row>
    <row r="3548" spans="2:9" hidden="1" x14ac:dyDescent="0.4">
      <c r="B3548" s="8" t="s">
        <v>517</v>
      </c>
      <c r="C3548" s="3" t="s">
        <v>1299</v>
      </c>
      <c r="D3548" s="3" t="s">
        <v>1309</v>
      </c>
      <c r="E3548" s="3" t="s">
        <v>7805</v>
      </c>
      <c r="F3548" s="3" t="s">
        <v>402</v>
      </c>
      <c r="G3548" s="3" t="s">
        <v>399</v>
      </c>
      <c r="H3548" s="3" t="s">
        <v>988</v>
      </c>
      <c r="I3548" s="3" t="s">
        <v>510</v>
      </c>
    </row>
    <row r="3549" spans="2:9" hidden="1" x14ac:dyDescent="0.4">
      <c r="B3549" s="8" t="s">
        <v>517</v>
      </c>
      <c r="C3549" s="3" t="s">
        <v>1304</v>
      </c>
      <c r="D3549" s="3" t="s">
        <v>1309</v>
      </c>
      <c r="E3549" s="3" t="s">
        <v>7805</v>
      </c>
      <c r="F3549" s="3" t="s">
        <v>399</v>
      </c>
      <c r="I3549" s="3" t="s">
        <v>510</v>
      </c>
    </row>
    <row r="3550" spans="2:9" hidden="1" x14ac:dyDescent="0.4">
      <c r="B3550" s="8" t="s">
        <v>517</v>
      </c>
      <c r="C3550" s="3" t="s">
        <v>1295</v>
      </c>
      <c r="D3550" s="3" t="s">
        <v>1270</v>
      </c>
      <c r="E3550" s="3" t="s">
        <v>7805</v>
      </c>
      <c r="F3550" s="3" t="s">
        <v>399</v>
      </c>
      <c r="I3550" s="3" t="s">
        <v>510</v>
      </c>
    </row>
    <row r="3551" spans="2:9" hidden="1" x14ac:dyDescent="0.4">
      <c r="B3551" s="8" t="s">
        <v>517</v>
      </c>
      <c r="C3551" s="3" t="s">
        <v>2930</v>
      </c>
      <c r="D3551" s="3" t="s">
        <v>3348</v>
      </c>
      <c r="E3551" s="3">
        <v>1</v>
      </c>
      <c r="F3551" s="3" t="s">
        <v>399</v>
      </c>
      <c r="G3551" s="3" t="s">
        <v>402</v>
      </c>
      <c r="I3551" s="3" t="s">
        <v>1335</v>
      </c>
    </row>
    <row r="3552" spans="2:9" hidden="1" x14ac:dyDescent="0.4">
      <c r="B3552" s="8">
        <v>1</v>
      </c>
      <c r="C3552" s="3" t="s">
        <v>176</v>
      </c>
      <c r="D3552" s="3" t="s">
        <v>653</v>
      </c>
      <c r="F3552" s="3" t="s">
        <v>399</v>
      </c>
      <c r="I3552" s="3" t="s">
        <v>267</v>
      </c>
    </row>
    <row r="3553" spans="2:9" hidden="1" x14ac:dyDescent="0.4">
      <c r="B3553" s="8" t="s">
        <v>517</v>
      </c>
      <c r="C3553" s="3" t="s">
        <v>2267</v>
      </c>
      <c r="D3553" s="3" t="s">
        <v>2424</v>
      </c>
      <c r="E3553" s="3" t="s">
        <v>1272</v>
      </c>
      <c r="F3553" s="3" t="s">
        <v>399</v>
      </c>
      <c r="I3553" s="3" t="s">
        <v>1833</v>
      </c>
    </row>
    <row r="3554" spans="2:9" hidden="1" x14ac:dyDescent="0.4">
      <c r="B3554" s="8" t="s">
        <v>517</v>
      </c>
      <c r="C3554" s="3" t="s">
        <v>2575</v>
      </c>
      <c r="D3554" s="3" t="s">
        <v>2424</v>
      </c>
      <c r="E3554" s="3" t="s">
        <v>1272</v>
      </c>
      <c r="F3554" s="3" t="s">
        <v>402</v>
      </c>
      <c r="I3554" s="3" t="s">
        <v>1833</v>
      </c>
    </row>
    <row r="3555" spans="2:9" hidden="1" x14ac:dyDescent="0.4">
      <c r="B3555" s="8" t="s">
        <v>532</v>
      </c>
      <c r="C3555" s="3" t="s">
        <v>2799</v>
      </c>
      <c r="D3555" s="3" t="s">
        <v>2817</v>
      </c>
      <c r="E3555" s="3" t="s">
        <v>1272</v>
      </c>
      <c r="F3555" s="3" t="s">
        <v>399</v>
      </c>
      <c r="I3555" s="3" t="s">
        <v>2370</v>
      </c>
    </row>
    <row r="3556" spans="2:9" hidden="1" x14ac:dyDescent="0.4">
      <c r="B3556" s="8" t="s">
        <v>517</v>
      </c>
      <c r="C3556" s="3" t="s">
        <v>1313</v>
      </c>
      <c r="D3556" s="3" t="s">
        <v>510</v>
      </c>
      <c r="F3556" s="3" t="s">
        <v>399</v>
      </c>
      <c r="I3556" s="3" t="s">
        <v>1314</v>
      </c>
    </row>
    <row r="3557" spans="2:9" hidden="1" x14ac:dyDescent="0.4">
      <c r="B3557" s="8" t="s">
        <v>517</v>
      </c>
      <c r="C3557" s="3" t="s">
        <v>2336</v>
      </c>
      <c r="D3557" s="3" t="s">
        <v>2492</v>
      </c>
      <c r="E3557" s="3" t="s">
        <v>1272</v>
      </c>
      <c r="F3557" s="3" t="s">
        <v>399</v>
      </c>
      <c r="I3557" s="3" t="s">
        <v>1833</v>
      </c>
    </row>
    <row r="3558" spans="2:9" hidden="1" x14ac:dyDescent="0.4">
      <c r="B3558" s="8" t="s">
        <v>517</v>
      </c>
      <c r="C3558" s="3" t="s">
        <v>2636</v>
      </c>
      <c r="D3558" s="3" t="s">
        <v>2492</v>
      </c>
      <c r="E3558" s="3" t="s">
        <v>1272</v>
      </c>
      <c r="F3558" s="3" t="s">
        <v>402</v>
      </c>
      <c r="I3558" s="3" t="s">
        <v>1833</v>
      </c>
    </row>
    <row r="3559" spans="2:9" hidden="1" x14ac:dyDescent="0.4">
      <c r="B3559" s="8" t="s">
        <v>517</v>
      </c>
      <c r="C3559" s="3" t="s">
        <v>2278</v>
      </c>
      <c r="D3559" s="3" t="s">
        <v>2436</v>
      </c>
      <c r="E3559" s="3" t="s">
        <v>1272</v>
      </c>
      <c r="F3559" s="3" t="s">
        <v>399</v>
      </c>
      <c r="I3559" s="3" t="s">
        <v>1833</v>
      </c>
    </row>
    <row r="3560" spans="2:9" hidden="1" x14ac:dyDescent="0.4">
      <c r="B3560" s="8" t="s">
        <v>517</v>
      </c>
      <c r="C3560" s="3" t="s">
        <v>2584</v>
      </c>
      <c r="D3560" s="3" t="s">
        <v>2436</v>
      </c>
      <c r="E3560" s="3" t="s">
        <v>1272</v>
      </c>
      <c r="F3560" s="3" t="s">
        <v>402</v>
      </c>
      <c r="I3560" s="3" t="s">
        <v>1833</v>
      </c>
    </row>
    <row r="3561" spans="2:9" hidden="1" x14ac:dyDescent="0.4">
      <c r="B3561" s="8" t="s">
        <v>517</v>
      </c>
      <c r="C3561" s="3" t="s">
        <v>1409</v>
      </c>
      <c r="D3561" s="3" t="s">
        <v>1443</v>
      </c>
      <c r="F3561" s="3" t="s">
        <v>399</v>
      </c>
      <c r="G3561" s="3" t="s">
        <v>402</v>
      </c>
      <c r="H3561" s="3" t="s">
        <v>1279</v>
      </c>
      <c r="I3561" s="3" t="s">
        <v>1414</v>
      </c>
    </row>
    <row r="3562" spans="2:9" hidden="1" x14ac:dyDescent="0.4">
      <c r="B3562" s="8" t="s">
        <v>517</v>
      </c>
      <c r="C3562" s="3" t="s">
        <v>1553</v>
      </c>
      <c r="D3562" s="3" t="s">
        <v>1443</v>
      </c>
      <c r="F3562" s="3" t="s">
        <v>402</v>
      </c>
      <c r="I3562" s="3" t="s">
        <v>1414</v>
      </c>
    </row>
    <row r="3563" spans="2:9" hidden="1" x14ac:dyDescent="0.4">
      <c r="B3563" s="8" t="s">
        <v>529</v>
      </c>
      <c r="C3563" s="3" t="s">
        <v>2205</v>
      </c>
      <c r="D3563" s="3" t="s">
        <v>2358</v>
      </c>
      <c r="E3563" s="3" t="s">
        <v>432</v>
      </c>
      <c r="F3563" s="3" t="s">
        <v>399</v>
      </c>
      <c r="I3563" s="3" t="s">
        <v>1833</v>
      </c>
    </row>
    <row r="3564" spans="2:9" ht="29.25" hidden="1" x14ac:dyDescent="0.4">
      <c r="B3564" s="8" t="s">
        <v>529</v>
      </c>
      <c r="C3564" s="3" t="s">
        <v>1375</v>
      </c>
      <c r="D3564" s="3" t="s">
        <v>1341</v>
      </c>
      <c r="E3564" s="3" t="s">
        <v>433</v>
      </c>
      <c r="F3564" s="3" t="s">
        <v>402</v>
      </c>
      <c r="I3564" s="3" t="s">
        <v>1317</v>
      </c>
    </row>
    <row r="3565" spans="2:9" hidden="1" x14ac:dyDescent="0.4">
      <c r="B3565" s="8" t="s">
        <v>529</v>
      </c>
      <c r="C3565" s="3" t="s">
        <v>2506</v>
      </c>
      <c r="D3565" s="3" t="s">
        <v>2358</v>
      </c>
      <c r="E3565" s="3" t="s">
        <v>432</v>
      </c>
      <c r="F3565" s="3" t="s">
        <v>402</v>
      </c>
      <c r="I3565" s="3" t="s">
        <v>1833</v>
      </c>
    </row>
    <row r="3566" spans="2:9" ht="29.25" hidden="1" x14ac:dyDescent="0.4">
      <c r="B3566" s="8" t="s">
        <v>529</v>
      </c>
      <c r="C3566" s="3" t="s">
        <v>1349</v>
      </c>
      <c r="D3566" s="3" t="s">
        <v>1341</v>
      </c>
      <c r="E3566" s="3" t="s">
        <v>433</v>
      </c>
      <c r="F3566" s="3" t="s">
        <v>399</v>
      </c>
      <c r="I3566" s="3" t="s">
        <v>1317</v>
      </c>
    </row>
    <row r="3567" spans="2:9" ht="29.25" hidden="1" x14ac:dyDescent="0.4">
      <c r="B3567" s="8" t="s">
        <v>529</v>
      </c>
      <c r="C3567" s="3" t="s">
        <v>1367</v>
      </c>
      <c r="D3567" s="3" t="s">
        <v>1341</v>
      </c>
      <c r="E3567" s="3" t="s">
        <v>433</v>
      </c>
      <c r="F3567" s="3" t="s">
        <v>402</v>
      </c>
      <c r="I3567" s="3" t="s">
        <v>1317</v>
      </c>
    </row>
    <row r="3568" spans="2:9" hidden="1" x14ac:dyDescent="0.4">
      <c r="B3568" s="8" t="s">
        <v>520</v>
      </c>
      <c r="C3568" s="3" t="s">
        <v>2855</v>
      </c>
      <c r="D3568" s="3" t="s">
        <v>2856</v>
      </c>
      <c r="E3568" s="3" t="s">
        <v>1272</v>
      </c>
      <c r="F3568" s="3" t="s">
        <v>399</v>
      </c>
      <c r="I3568" s="3" t="s">
        <v>2370</v>
      </c>
    </row>
    <row r="3569" spans="2:9" hidden="1" x14ac:dyDescent="0.4">
      <c r="B3569" s="8" t="s">
        <v>518</v>
      </c>
      <c r="C3569" s="3" t="s">
        <v>2295</v>
      </c>
      <c r="D3569" s="3" t="s">
        <v>2452</v>
      </c>
      <c r="E3569" s="3" t="s">
        <v>1272</v>
      </c>
      <c r="F3569" s="3" t="s">
        <v>399</v>
      </c>
      <c r="I3569" s="3" t="s">
        <v>1833</v>
      </c>
    </row>
    <row r="3570" spans="2:9" hidden="1" x14ac:dyDescent="0.4">
      <c r="B3570" s="8" t="s">
        <v>518</v>
      </c>
      <c r="C3570" s="3" t="s">
        <v>2599</v>
      </c>
      <c r="D3570" s="3" t="s">
        <v>2452</v>
      </c>
      <c r="E3570" s="3" t="s">
        <v>1272</v>
      </c>
      <c r="F3570" s="3" t="s">
        <v>402</v>
      </c>
      <c r="I3570" s="3" t="s">
        <v>1833</v>
      </c>
    </row>
    <row r="3571" spans="2:9" hidden="1" x14ac:dyDescent="0.4">
      <c r="B3571" s="8" t="s">
        <v>518</v>
      </c>
      <c r="C3571" s="3" t="s">
        <v>847</v>
      </c>
      <c r="D3571" s="3" t="s">
        <v>860</v>
      </c>
      <c r="E3571" s="3" t="s">
        <v>425</v>
      </c>
      <c r="F3571" s="3" t="s">
        <v>399</v>
      </c>
      <c r="I3571" s="3" t="s">
        <v>824</v>
      </c>
    </row>
    <row r="3572" spans="2:9" hidden="1" x14ac:dyDescent="0.4">
      <c r="B3572" s="8" t="s">
        <v>518</v>
      </c>
      <c r="C3572" s="3" t="s">
        <v>946</v>
      </c>
      <c r="D3572" s="3" t="s">
        <v>860</v>
      </c>
      <c r="E3572" s="3" t="s">
        <v>425</v>
      </c>
      <c r="F3572" s="3" t="s">
        <v>402</v>
      </c>
      <c r="I3572" s="3" t="s">
        <v>824</v>
      </c>
    </row>
    <row r="3573" spans="2:9" hidden="1" x14ac:dyDescent="0.4">
      <c r="B3573" s="8" t="s">
        <v>518</v>
      </c>
      <c r="C3573" s="3" t="s">
        <v>4348</v>
      </c>
      <c r="D3573" s="3" t="s">
        <v>4001</v>
      </c>
      <c r="F3573" s="3" t="s">
        <v>399</v>
      </c>
      <c r="G3573" s="3" t="s">
        <v>402</v>
      </c>
      <c r="I3573" s="3" t="s">
        <v>4064</v>
      </c>
    </row>
    <row r="3574" spans="2:9" hidden="1" x14ac:dyDescent="0.4">
      <c r="B3574" s="8" t="s">
        <v>518</v>
      </c>
      <c r="C3574" s="3" t="s">
        <v>3998</v>
      </c>
      <c r="D3574" s="3" t="s">
        <v>4001</v>
      </c>
      <c r="F3574" s="3" t="s">
        <v>399</v>
      </c>
      <c r="G3574" s="3" t="s">
        <v>402</v>
      </c>
      <c r="I3574" s="3" t="s">
        <v>4063</v>
      </c>
    </row>
    <row r="3575" spans="2:9" hidden="1" x14ac:dyDescent="0.4">
      <c r="B3575" s="8" t="s">
        <v>518</v>
      </c>
      <c r="C3575" s="3" t="s">
        <v>5966</v>
      </c>
      <c r="D3575" s="3" t="s">
        <v>5013</v>
      </c>
      <c r="F3575" s="3" t="s">
        <v>399</v>
      </c>
      <c r="I3575" s="3" t="s">
        <v>4063</v>
      </c>
    </row>
    <row r="3576" spans="2:9" hidden="1" x14ac:dyDescent="0.4">
      <c r="B3576" s="8" t="s">
        <v>518</v>
      </c>
      <c r="C3576" s="3" t="s">
        <v>6314</v>
      </c>
      <c r="D3576" s="3" t="s">
        <v>5665</v>
      </c>
      <c r="F3576" s="3" t="s">
        <v>402</v>
      </c>
      <c r="I3576" s="3" t="s">
        <v>4063</v>
      </c>
    </row>
    <row r="3577" spans="2:9" hidden="1" x14ac:dyDescent="0.4">
      <c r="B3577" s="8" t="s">
        <v>518</v>
      </c>
      <c r="C3577" s="3" t="s">
        <v>4697</v>
      </c>
      <c r="D3577" s="3" t="s">
        <v>5013</v>
      </c>
      <c r="F3577" s="3" t="s">
        <v>399</v>
      </c>
      <c r="I3577" s="3" t="s">
        <v>4064</v>
      </c>
    </row>
    <row r="3578" spans="2:9" hidden="1" x14ac:dyDescent="0.4">
      <c r="B3578" s="8" t="s">
        <v>518</v>
      </c>
      <c r="C3578" s="3" t="s">
        <v>5346</v>
      </c>
      <c r="D3578" s="3" t="s">
        <v>5665</v>
      </c>
      <c r="F3578" s="3" t="s">
        <v>402</v>
      </c>
      <c r="I3578" s="3" t="s">
        <v>4064</v>
      </c>
    </row>
    <row r="3579" spans="2:9" hidden="1" x14ac:dyDescent="0.4">
      <c r="B3579" s="8" t="s">
        <v>518</v>
      </c>
      <c r="C3579" s="3" t="s">
        <v>330</v>
      </c>
      <c r="D3579" s="3" t="s">
        <v>603</v>
      </c>
      <c r="F3579" s="3" t="s">
        <v>399</v>
      </c>
      <c r="I3579" s="3" t="s">
        <v>267</v>
      </c>
    </row>
    <row r="3580" spans="2:9" hidden="1" x14ac:dyDescent="0.4">
      <c r="B3580" s="8" t="s">
        <v>518</v>
      </c>
      <c r="C3580" s="3" t="s">
        <v>351</v>
      </c>
      <c r="D3580" s="3" t="s">
        <v>375</v>
      </c>
      <c r="F3580" s="3" t="s">
        <v>399</v>
      </c>
      <c r="I3580" s="3" t="s">
        <v>267</v>
      </c>
    </row>
    <row r="3581" spans="2:9" hidden="1" x14ac:dyDescent="0.4">
      <c r="B3581" s="8" t="s">
        <v>517</v>
      </c>
      <c r="C3581" s="3" t="s">
        <v>2843</v>
      </c>
      <c r="D3581" s="3" t="s">
        <v>2847</v>
      </c>
      <c r="E3581" s="3" t="s">
        <v>1272</v>
      </c>
      <c r="F3581" s="3" t="s">
        <v>399</v>
      </c>
      <c r="I3581" s="3" t="s">
        <v>2370</v>
      </c>
    </row>
    <row r="3582" spans="2:9" hidden="1" x14ac:dyDescent="0.4">
      <c r="B3582" s="8" t="s">
        <v>532</v>
      </c>
      <c r="C3582" s="3" t="s">
        <v>2303</v>
      </c>
      <c r="D3582" s="3" t="s">
        <v>2460</v>
      </c>
      <c r="E3582" s="3" t="s">
        <v>1272</v>
      </c>
      <c r="F3582" s="3" t="s">
        <v>399</v>
      </c>
      <c r="I3582" s="3" t="s">
        <v>1833</v>
      </c>
    </row>
    <row r="3583" spans="2:9" hidden="1" x14ac:dyDescent="0.4">
      <c r="B3583" s="8" t="s">
        <v>532</v>
      </c>
      <c r="C3583" s="3" t="s">
        <v>2605</v>
      </c>
      <c r="D3583" s="3" t="s">
        <v>2460</v>
      </c>
      <c r="E3583" s="3" t="s">
        <v>1272</v>
      </c>
      <c r="F3583" s="3" t="s">
        <v>402</v>
      </c>
      <c r="I3583" s="3" t="s">
        <v>1833</v>
      </c>
    </row>
    <row r="3584" spans="2:9" hidden="1" x14ac:dyDescent="0.4">
      <c r="B3584" s="8" t="s">
        <v>518</v>
      </c>
      <c r="C3584" s="3" t="s">
        <v>190</v>
      </c>
      <c r="D3584" s="3" t="s">
        <v>559</v>
      </c>
      <c r="F3584" s="3" t="s">
        <v>399</v>
      </c>
      <c r="I3584" s="3" t="s">
        <v>267</v>
      </c>
    </row>
    <row r="3585" spans="2:9" hidden="1" x14ac:dyDescent="0.4">
      <c r="B3585" s="8" t="s">
        <v>518</v>
      </c>
      <c r="C3585" s="3" t="s">
        <v>190</v>
      </c>
      <c r="D3585" s="3" t="s">
        <v>604</v>
      </c>
      <c r="F3585" s="3" t="s">
        <v>399</v>
      </c>
      <c r="I3585" s="3" t="s">
        <v>267</v>
      </c>
    </row>
    <row r="3586" spans="2:9" hidden="1" x14ac:dyDescent="0.4">
      <c r="B3586" s="8" t="s">
        <v>529</v>
      </c>
      <c r="C3586" s="3" t="s">
        <v>2900</v>
      </c>
      <c r="D3586" s="3" t="s">
        <v>3141</v>
      </c>
      <c r="E3586" s="3">
        <v>1</v>
      </c>
      <c r="F3586" s="3" t="s">
        <v>402</v>
      </c>
      <c r="G3586" s="3" t="s">
        <v>988</v>
      </c>
      <c r="I3586" s="3" t="s">
        <v>245</v>
      </c>
    </row>
    <row r="3587" spans="2:9" hidden="1" x14ac:dyDescent="0.4">
      <c r="B3587" s="8" t="s">
        <v>517</v>
      </c>
      <c r="C3587" s="3" t="s">
        <v>10</v>
      </c>
      <c r="D3587" s="3" t="s">
        <v>78</v>
      </c>
      <c r="F3587" s="3" t="s">
        <v>401</v>
      </c>
      <c r="I3587" s="3" t="s">
        <v>421</v>
      </c>
    </row>
    <row r="3588" spans="2:9" hidden="1" x14ac:dyDescent="0.4">
      <c r="B3588" s="8" t="s">
        <v>518</v>
      </c>
      <c r="C3588" s="3" t="s">
        <v>1820</v>
      </c>
      <c r="D3588" s="3" t="s">
        <v>1889</v>
      </c>
      <c r="F3588" s="3" t="s">
        <v>399</v>
      </c>
      <c r="I3588" s="3" t="s">
        <v>1865</v>
      </c>
    </row>
    <row r="3589" spans="2:9" hidden="1" x14ac:dyDescent="0.4">
      <c r="B3589" s="8" t="s">
        <v>517</v>
      </c>
      <c r="C3589" s="3" t="s">
        <v>3071</v>
      </c>
      <c r="D3589" s="3" t="s">
        <v>3304</v>
      </c>
      <c r="E3589" s="3">
        <v>1</v>
      </c>
      <c r="F3589" s="3" t="s">
        <v>402</v>
      </c>
      <c r="I3589" s="3" t="s">
        <v>245</v>
      </c>
    </row>
    <row r="3590" spans="2:9" hidden="1" x14ac:dyDescent="0.4">
      <c r="B3590" s="8" t="s">
        <v>517</v>
      </c>
      <c r="C3590" s="3" t="s">
        <v>2040</v>
      </c>
      <c r="D3590" s="3" t="s">
        <v>2049</v>
      </c>
      <c r="E3590" s="3" t="s">
        <v>2038</v>
      </c>
      <c r="F3590" s="3" t="s">
        <v>399</v>
      </c>
      <c r="I3590" s="3" t="s">
        <v>1865</v>
      </c>
    </row>
    <row r="3591" spans="2:9" hidden="1" x14ac:dyDescent="0.4">
      <c r="B3591" s="8" t="s">
        <v>517</v>
      </c>
      <c r="C3591" s="3" t="s">
        <v>1821</v>
      </c>
      <c r="D3591" s="3" t="s">
        <v>1890</v>
      </c>
      <c r="F3591" s="3" t="s">
        <v>399</v>
      </c>
      <c r="I3591" s="3" t="s">
        <v>1865</v>
      </c>
    </row>
    <row r="3592" spans="2:9" hidden="1" x14ac:dyDescent="0.4">
      <c r="B3592" s="8" t="s">
        <v>517</v>
      </c>
      <c r="C3592" s="3" t="s">
        <v>1822</v>
      </c>
      <c r="D3592" s="3" t="s">
        <v>1891</v>
      </c>
      <c r="F3592" s="3" t="s">
        <v>399</v>
      </c>
      <c r="I3592" s="3" t="s">
        <v>1865</v>
      </c>
    </row>
    <row r="3593" spans="2:9" hidden="1" x14ac:dyDescent="0.4">
      <c r="B3593" s="8" t="s">
        <v>517</v>
      </c>
      <c r="C3593" s="3" t="s">
        <v>4182</v>
      </c>
      <c r="D3593" s="3" t="s">
        <v>3790</v>
      </c>
      <c r="F3593" s="3" t="s">
        <v>399</v>
      </c>
      <c r="G3593" s="3" t="s">
        <v>402</v>
      </c>
      <c r="I3593" s="3" t="s">
        <v>4064</v>
      </c>
    </row>
    <row r="3594" spans="2:9" hidden="1" x14ac:dyDescent="0.4">
      <c r="B3594" s="8" t="s">
        <v>517</v>
      </c>
      <c r="C3594" s="3" t="s">
        <v>4183</v>
      </c>
      <c r="D3594" s="3" t="s">
        <v>3790</v>
      </c>
      <c r="F3594" s="3" t="s">
        <v>399</v>
      </c>
      <c r="G3594" s="3" t="s">
        <v>402</v>
      </c>
      <c r="I3594" s="3" t="s">
        <v>4063</v>
      </c>
    </row>
    <row r="3595" spans="2:9" hidden="1" x14ac:dyDescent="0.4">
      <c r="B3595" s="8" t="s">
        <v>517</v>
      </c>
      <c r="C3595" s="3" t="s">
        <v>5807</v>
      </c>
      <c r="D3595" s="3" t="s">
        <v>4905</v>
      </c>
      <c r="F3595" s="3" t="s">
        <v>399</v>
      </c>
      <c r="I3595" s="3" t="s">
        <v>4063</v>
      </c>
    </row>
    <row r="3596" spans="2:9" hidden="1" x14ac:dyDescent="0.4">
      <c r="B3596" s="8" t="s">
        <v>517</v>
      </c>
      <c r="C3596" s="3" t="s">
        <v>6150</v>
      </c>
      <c r="D3596" s="3" t="s">
        <v>5479</v>
      </c>
      <c r="F3596" s="3" t="s">
        <v>402</v>
      </c>
      <c r="I3596" s="3" t="s">
        <v>4063</v>
      </c>
    </row>
    <row r="3597" spans="2:9" hidden="1" x14ac:dyDescent="0.4">
      <c r="B3597" s="8" t="s">
        <v>517</v>
      </c>
      <c r="C3597" s="3" t="s">
        <v>4650</v>
      </c>
      <c r="D3597" s="3" t="s">
        <v>4905</v>
      </c>
      <c r="F3597" s="3" t="s">
        <v>399</v>
      </c>
      <c r="I3597" s="3" t="s">
        <v>4064</v>
      </c>
    </row>
    <row r="3598" spans="2:9" hidden="1" x14ac:dyDescent="0.4">
      <c r="B3598" s="8" t="s">
        <v>517</v>
      </c>
      <c r="C3598" s="3" t="s">
        <v>5158</v>
      </c>
      <c r="D3598" s="3" t="s">
        <v>5479</v>
      </c>
      <c r="F3598" s="3" t="s">
        <v>402</v>
      </c>
      <c r="I3598" s="3" t="s">
        <v>4064</v>
      </c>
    </row>
    <row r="3599" spans="2:9" hidden="1" x14ac:dyDescent="0.4">
      <c r="B3599" s="8" t="s">
        <v>517</v>
      </c>
      <c r="C3599" s="3" t="s">
        <v>11</v>
      </c>
      <c r="D3599" s="3" t="s">
        <v>79</v>
      </c>
      <c r="F3599" s="3" t="s">
        <v>401</v>
      </c>
      <c r="I3599" s="3" t="s">
        <v>421</v>
      </c>
    </row>
    <row r="3600" spans="2:9" hidden="1" x14ac:dyDescent="0.4">
      <c r="B3600" s="8" t="s">
        <v>517</v>
      </c>
      <c r="C3600" s="3" t="s">
        <v>1411</v>
      </c>
      <c r="D3600" s="3" t="s">
        <v>1445</v>
      </c>
      <c r="F3600" s="3" t="s">
        <v>399</v>
      </c>
      <c r="G3600" s="3" t="s">
        <v>402</v>
      </c>
      <c r="H3600" s="3" t="s">
        <v>1279</v>
      </c>
      <c r="I3600" s="3" t="s">
        <v>1414</v>
      </c>
    </row>
    <row r="3601" spans="2:9" hidden="1" x14ac:dyDescent="0.4">
      <c r="B3601" s="8" t="s">
        <v>517</v>
      </c>
      <c r="C3601" s="3" t="s">
        <v>1555</v>
      </c>
      <c r="D3601" s="3" t="s">
        <v>1445</v>
      </c>
      <c r="F3601" s="3" t="s">
        <v>402</v>
      </c>
      <c r="I3601" s="3" t="s">
        <v>1414</v>
      </c>
    </row>
    <row r="3602" spans="2:9" hidden="1" x14ac:dyDescent="0.4">
      <c r="B3602" s="8" t="s">
        <v>517</v>
      </c>
      <c r="C3602" s="3" t="s">
        <v>23</v>
      </c>
      <c r="D3602" s="3" t="s">
        <v>88</v>
      </c>
      <c r="F3602" s="3" t="s">
        <v>401</v>
      </c>
      <c r="I3602" s="3" t="s">
        <v>421</v>
      </c>
    </row>
    <row r="3603" spans="2:9" hidden="1" x14ac:dyDescent="0.4">
      <c r="B3603" s="8" t="s">
        <v>518</v>
      </c>
      <c r="C3603" s="3" t="s">
        <v>1819</v>
      </c>
      <c r="D3603" s="3" t="s">
        <v>1888</v>
      </c>
      <c r="F3603" s="3" t="s">
        <v>399</v>
      </c>
      <c r="I3603" s="3" t="s">
        <v>1865</v>
      </c>
    </row>
    <row r="3604" spans="2:9" hidden="1" x14ac:dyDescent="0.4">
      <c r="B3604" s="8" t="s">
        <v>517</v>
      </c>
      <c r="C3604" s="3" t="s">
        <v>22</v>
      </c>
      <c r="D3604" s="3" t="s">
        <v>87</v>
      </c>
      <c r="F3604" s="3" t="s">
        <v>401</v>
      </c>
      <c r="I3604" s="3" t="s">
        <v>421</v>
      </c>
    </row>
    <row r="3605" spans="2:9" hidden="1" x14ac:dyDescent="0.4">
      <c r="B3605" s="8" t="s">
        <v>517</v>
      </c>
      <c r="C3605" s="3" t="s">
        <v>2242</v>
      </c>
      <c r="D3605" s="3" t="s">
        <v>2399</v>
      </c>
      <c r="E3605" s="3" t="s">
        <v>1272</v>
      </c>
      <c r="F3605" s="3" t="s">
        <v>399</v>
      </c>
      <c r="I3605" s="3" t="s">
        <v>1833</v>
      </c>
    </row>
    <row r="3606" spans="2:9" hidden="1" x14ac:dyDescent="0.4">
      <c r="B3606" s="8" t="s">
        <v>517</v>
      </c>
      <c r="C3606" s="3" t="s">
        <v>2523</v>
      </c>
      <c r="D3606" s="3" t="s">
        <v>2399</v>
      </c>
      <c r="E3606" s="3" t="s">
        <v>1272</v>
      </c>
      <c r="F3606" s="3" t="s">
        <v>402</v>
      </c>
      <c r="I3606" s="3" t="s">
        <v>1833</v>
      </c>
    </row>
    <row r="3607" spans="2:9" hidden="1" x14ac:dyDescent="0.4">
      <c r="B3607" s="8" t="s">
        <v>517</v>
      </c>
      <c r="C3607" s="3" t="s">
        <v>759</v>
      </c>
      <c r="D3607" s="3" t="s">
        <v>775</v>
      </c>
      <c r="E3607" s="3" t="s">
        <v>425</v>
      </c>
      <c r="F3607" s="3" t="s">
        <v>399</v>
      </c>
      <c r="G3607" s="3" t="s">
        <v>402</v>
      </c>
      <c r="I3607" s="3" t="s">
        <v>781</v>
      </c>
    </row>
    <row r="3608" spans="2:9" hidden="1" x14ac:dyDescent="0.4">
      <c r="B3608" s="8" t="s">
        <v>517</v>
      </c>
      <c r="C3608" s="3" t="s">
        <v>784</v>
      </c>
      <c r="D3608" s="3" t="s">
        <v>775</v>
      </c>
      <c r="E3608" s="3" t="s">
        <v>425</v>
      </c>
      <c r="F3608" s="3" t="s">
        <v>402</v>
      </c>
      <c r="I3608" s="3" t="s">
        <v>781</v>
      </c>
    </row>
    <row r="3609" spans="2:9" hidden="1" x14ac:dyDescent="0.4">
      <c r="B3609" s="8" t="s">
        <v>518</v>
      </c>
      <c r="C3609" s="3" t="s">
        <v>3027</v>
      </c>
      <c r="D3609" s="3" t="s">
        <v>3264</v>
      </c>
      <c r="E3609" s="3">
        <v>1</v>
      </c>
      <c r="F3609" s="3" t="s">
        <v>402</v>
      </c>
      <c r="I3609" s="3" t="s">
        <v>245</v>
      </c>
    </row>
    <row r="3610" spans="2:9" hidden="1" x14ac:dyDescent="0.4">
      <c r="B3610" s="8" t="s">
        <v>517</v>
      </c>
      <c r="C3610" s="3" t="s">
        <v>4323</v>
      </c>
      <c r="D3610" s="3" t="s">
        <v>3937</v>
      </c>
      <c r="F3610" s="3" t="s">
        <v>399</v>
      </c>
      <c r="G3610" s="3" t="s">
        <v>402</v>
      </c>
      <c r="I3610" s="3" t="s">
        <v>4064</v>
      </c>
    </row>
    <row r="3611" spans="2:9" hidden="1" x14ac:dyDescent="0.4">
      <c r="B3611" s="8" t="s">
        <v>517</v>
      </c>
      <c r="C3611" s="3" t="s">
        <v>3646</v>
      </c>
      <c r="D3611" s="3" t="s">
        <v>3937</v>
      </c>
      <c r="F3611" s="3" t="s">
        <v>399</v>
      </c>
      <c r="G3611" s="3" t="s">
        <v>402</v>
      </c>
      <c r="I3611" s="3" t="s">
        <v>4063</v>
      </c>
    </row>
    <row r="3612" spans="2:9" hidden="1" x14ac:dyDescent="0.4">
      <c r="B3612" s="8" t="s">
        <v>517</v>
      </c>
      <c r="C3612" s="3" t="s">
        <v>5948</v>
      </c>
      <c r="D3612" s="3" t="s">
        <v>4934</v>
      </c>
      <c r="F3612" s="3" t="s">
        <v>399</v>
      </c>
      <c r="I3612" s="3" t="s">
        <v>4063</v>
      </c>
    </row>
    <row r="3613" spans="2:9" hidden="1" x14ac:dyDescent="0.4">
      <c r="B3613" s="8" t="s">
        <v>517</v>
      </c>
      <c r="C3613" s="3" t="s">
        <v>6295</v>
      </c>
      <c r="D3613" s="3" t="s">
        <v>5645</v>
      </c>
      <c r="F3613" s="3" t="s">
        <v>402</v>
      </c>
      <c r="I3613" s="3" t="s">
        <v>4063</v>
      </c>
    </row>
    <row r="3614" spans="2:9" hidden="1" x14ac:dyDescent="0.4">
      <c r="B3614" s="8" t="s">
        <v>517</v>
      </c>
      <c r="C3614" s="3" t="s">
        <v>4519</v>
      </c>
      <c r="D3614" s="3" t="s">
        <v>4934</v>
      </c>
      <c r="F3614" s="3" t="s">
        <v>399</v>
      </c>
      <c r="I3614" s="3" t="s">
        <v>4064</v>
      </c>
    </row>
    <row r="3615" spans="2:9" hidden="1" x14ac:dyDescent="0.4">
      <c r="B3615" s="8" t="s">
        <v>517</v>
      </c>
      <c r="C3615" s="3" t="s">
        <v>5325</v>
      </c>
      <c r="D3615" s="3" t="s">
        <v>5645</v>
      </c>
      <c r="F3615" s="3" t="s">
        <v>402</v>
      </c>
      <c r="I3615" s="3" t="s">
        <v>4064</v>
      </c>
    </row>
    <row r="3616" spans="2:9" hidden="1" x14ac:dyDescent="0.4">
      <c r="B3616" s="8" t="s">
        <v>518</v>
      </c>
      <c r="C3616" s="3" t="s">
        <v>3577</v>
      </c>
      <c r="D3616" s="3" t="s">
        <v>3882</v>
      </c>
      <c r="F3616" s="3" t="s">
        <v>399</v>
      </c>
      <c r="G3616" s="3" t="s">
        <v>402</v>
      </c>
      <c r="I3616" s="3" t="s">
        <v>4063</v>
      </c>
    </row>
    <row r="3617" spans="2:9" hidden="1" x14ac:dyDescent="0.4">
      <c r="B3617" s="8" t="s">
        <v>518</v>
      </c>
      <c r="C3617" s="3" t="s">
        <v>5882</v>
      </c>
      <c r="D3617" s="3" t="s">
        <v>4835</v>
      </c>
      <c r="F3617" s="3" t="s">
        <v>399</v>
      </c>
      <c r="I3617" s="3" t="s">
        <v>4063</v>
      </c>
    </row>
    <row r="3618" spans="2:9" hidden="1" x14ac:dyDescent="0.4">
      <c r="B3618" s="8" t="s">
        <v>518</v>
      </c>
      <c r="C3618" s="3" t="s">
        <v>6229</v>
      </c>
      <c r="D3618" s="3" t="s">
        <v>5571</v>
      </c>
      <c r="F3618" s="3" t="s">
        <v>402</v>
      </c>
      <c r="I3618" s="3" t="s">
        <v>4063</v>
      </c>
    </row>
    <row r="3619" spans="2:9" hidden="1" x14ac:dyDescent="0.4">
      <c r="B3619" s="8" t="s">
        <v>518</v>
      </c>
      <c r="C3619" s="3" t="s">
        <v>4266</v>
      </c>
      <c r="D3619" s="3" t="s">
        <v>3882</v>
      </c>
      <c r="F3619" s="3" t="s">
        <v>399</v>
      </c>
      <c r="G3619" s="3" t="s">
        <v>402</v>
      </c>
      <c r="I3619" s="3" t="s">
        <v>4064</v>
      </c>
    </row>
    <row r="3620" spans="2:9" hidden="1" x14ac:dyDescent="0.4">
      <c r="B3620" s="8" t="s">
        <v>518</v>
      </c>
      <c r="C3620" s="3" t="s">
        <v>4479</v>
      </c>
      <c r="D3620" s="3" t="s">
        <v>4835</v>
      </c>
      <c r="F3620" s="3" t="s">
        <v>399</v>
      </c>
      <c r="I3620" s="3" t="s">
        <v>4064</v>
      </c>
    </row>
    <row r="3621" spans="2:9" hidden="1" x14ac:dyDescent="0.4">
      <c r="B3621" s="8" t="s">
        <v>518</v>
      </c>
      <c r="C3621" s="3" t="s">
        <v>5250</v>
      </c>
      <c r="D3621" s="3" t="s">
        <v>5571</v>
      </c>
      <c r="F3621" s="3" t="s">
        <v>402</v>
      </c>
      <c r="I3621" s="3" t="s">
        <v>4064</v>
      </c>
    </row>
    <row r="3622" spans="2:9" hidden="1" x14ac:dyDescent="0.4">
      <c r="B3622" s="8" t="s">
        <v>516</v>
      </c>
      <c r="C3622" s="3" t="s">
        <v>1312</v>
      </c>
      <c r="D3622" s="3" t="s">
        <v>472</v>
      </c>
      <c r="E3622" s="3" t="s">
        <v>1272</v>
      </c>
      <c r="F3622" s="3" t="s">
        <v>399</v>
      </c>
      <c r="I3622" s="3" t="s">
        <v>420</v>
      </c>
    </row>
    <row r="3623" spans="2:9" hidden="1" x14ac:dyDescent="0.4">
      <c r="B3623" s="8" t="s">
        <v>517</v>
      </c>
      <c r="C3623" s="3" t="s">
        <v>4217</v>
      </c>
      <c r="D3623" s="3" t="s">
        <v>3826</v>
      </c>
      <c r="F3623" s="3" t="s">
        <v>399</v>
      </c>
      <c r="G3623" s="3" t="s">
        <v>402</v>
      </c>
      <c r="I3623" s="3" t="s">
        <v>4064</v>
      </c>
    </row>
    <row r="3624" spans="2:9" hidden="1" x14ac:dyDescent="0.4">
      <c r="B3624" s="8" t="s">
        <v>517</v>
      </c>
      <c r="C3624" s="3" t="s">
        <v>4445</v>
      </c>
      <c r="D3624" s="3" t="s">
        <v>4794</v>
      </c>
      <c r="F3624" s="3" t="s">
        <v>399</v>
      </c>
      <c r="I3624" s="3" t="s">
        <v>4064</v>
      </c>
    </row>
    <row r="3625" spans="2:9" hidden="1" x14ac:dyDescent="0.4">
      <c r="B3625" s="8" t="s">
        <v>517</v>
      </c>
      <c r="C3625" s="3" t="s">
        <v>5195</v>
      </c>
      <c r="D3625" s="3" t="s">
        <v>5516</v>
      </c>
      <c r="F3625" s="3" t="s">
        <v>402</v>
      </c>
      <c r="I3625" s="3" t="s">
        <v>4064</v>
      </c>
    </row>
    <row r="3626" spans="2:9" hidden="1" x14ac:dyDescent="0.4">
      <c r="B3626" s="8" t="s">
        <v>517</v>
      </c>
      <c r="C3626" s="3" t="s">
        <v>3477</v>
      </c>
      <c r="D3626" s="3" t="s">
        <v>3784</v>
      </c>
      <c r="F3626" s="3" t="s">
        <v>399</v>
      </c>
      <c r="G3626" s="3" t="s">
        <v>402</v>
      </c>
      <c r="I3626" s="3" t="s">
        <v>4063</v>
      </c>
    </row>
    <row r="3627" spans="2:9" hidden="1" x14ac:dyDescent="0.4">
      <c r="B3627" s="8" t="s">
        <v>517</v>
      </c>
      <c r="C3627" s="3" t="s">
        <v>3477</v>
      </c>
      <c r="D3627" s="3" t="s">
        <v>3826</v>
      </c>
      <c r="F3627" s="3" t="s">
        <v>399</v>
      </c>
      <c r="G3627" s="3" t="s">
        <v>402</v>
      </c>
      <c r="I3627" s="3" t="s">
        <v>4063</v>
      </c>
    </row>
    <row r="3628" spans="2:9" hidden="1" x14ac:dyDescent="0.4">
      <c r="B3628" s="8" t="s">
        <v>517</v>
      </c>
      <c r="C3628" s="3" t="s">
        <v>5799</v>
      </c>
      <c r="D3628" s="3" t="s">
        <v>4899</v>
      </c>
      <c r="F3628" s="3" t="s">
        <v>399</v>
      </c>
      <c r="I3628" s="3" t="s">
        <v>4063</v>
      </c>
    </row>
    <row r="3629" spans="2:9" hidden="1" x14ac:dyDescent="0.4">
      <c r="B3629" s="8" t="s">
        <v>517</v>
      </c>
      <c r="C3629" s="3" t="s">
        <v>5799</v>
      </c>
      <c r="D3629" s="3" t="s">
        <v>4794</v>
      </c>
      <c r="F3629" s="3" t="s">
        <v>399</v>
      </c>
      <c r="I3629" s="3" t="s">
        <v>4063</v>
      </c>
    </row>
    <row r="3630" spans="2:9" hidden="1" x14ac:dyDescent="0.4">
      <c r="B3630" s="8" t="s">
        <v>517</v>
      </c>
      <c r="C3630" s="3" t="s">
        <v>6142</v>
      </c>
      <c r="D3630" s="3" t="s">
        <v>5472</v>
      </c>
      <c r="F3630" s="3" t="s">
        <v>402</v>
      </c>
      <c r="I3630" s="3" t="s">
        <v>4063</v>
      </c>
    </row>
    <row r="3631" spans="2:9" hidden="1" x14ac:dyDescent="0.4">
      <c r="B3631" s="8" t="s">
        <v>517</v>
      </c>
      <c r="C3631" s="3" t="s">
        <v>6142</v>
      </c>
      <c r="D3631" s="3" t="s">
        <v>5516</v>
      </c>
      <c r="F3631" s="3" t="s">
        <v>402</v>
      </c>
      <c r="I3631" s="3" t="s">
        <v>4063</v>
      </c>
    </row>
    <row r="3632" spans="2:9" hidden="1" x14ac:dyDescent="0.4">
      <c r="B3632" s="8" t="s">
        <v>517</v>
      </c>
      <c r="C3632" s="3" t="s">
        <v>4178</v>
      </c>
      <c r="D3632" s="3" t="s">
        <v>3784</v>
      </c>
      <c r="F3632" s="3" t="s">
        <v>399</v>
      </c>
      <c r="G3632" s="3" t="s">
        <v>402</v>
      </c>
      <c r="I3632" s="3" t="s">
        <v>4064</v>
      </c>
    </row>
    <row r="3633" spans="2:9" hidden="1" x14ac:dyDescent="0.4">
      <c r="B3633" s="8" t="s">
        <v>517</v>
      </c>
      <c r="C3633" s="3" t="s">
        <v>4419</v>
      </c>
      <c r="D3633" s="3" t="s">
        <v>4899</v>
      </c>
      <c r="F3633" s="3" t="s">
        <v>399</v>
      </c>
      <c r="I3633" s="3" t="s">
        <v>4064</v>
      </c>
    </row>
    <row r="3634" spans="2:9" hidden="1" x14ac:dyDescent="0.4">
      <c r="B3634" s="8" t="s">
        <v>517</v>
      </c>
      <c r="C3634" s="3" t="s">
        <v>5150</v>
      </c>
      <c r="D3634" s="3" t="s">
        <v>5472</v>
      </c>
      <c r="F3634" s="3" t="s">
        <v>402</v>
      </c>
      <c r="I3634" s="3" t="s">
        <v>4064</v>
      </c>
    </row>
    <row r="3635" spans="2:9" hidden="1" x14ac:dyDescent="0.4">
      <c r="B3635" s="8" t="s">
        <v>823</v>
      </c>
      <c r="C3635" s="3" t="s">
        <v>2068</v>
      </c>
      <c r="D3635" s="3" t="s">
        <v>2076</v>
      </c>
      <c r="F3635" s="3" t="s">
        <v>2065</v>
      </c>
      <c r="I3635" s="3" t="s">
        <v>248</v>
      </c>
    </row>
    <row r="3636" spans="2:9" hidden="1" x14ac:dyDescent="0.4">
      <c r="B3636" s="8" t="s">
        <v>518</v>
      </c>
      <c r="C3636" s="3" t="s">
        <v>2068</v>
      </c>
      <c r="D3636" s="3" t="s">
        <v>2076</v>
      </c>
      <c r="F3636" s="3" t="s">
        <v>402</v>
      </c>
      <c r="I3636" s="3" t="s">
        <v>1728</v>
      </c>
    </row>
    <row r="3637" spans="2:9" hidden="1" x14ac:dyDescent="0.4">
      <c r="B3637" s="8" t="s">
        <v>518</v>
      </c>
      <c r="C3637" s="3" t="s">
        <v>4345</v>
      </c>
      <c r="D3637" s="3" t="s">
        <v>3993</v>
      </c>
      <c r="F3637" s="3" t="s">
        <v>399</v>
      </c>
      <c r="G3637" s="3" t="s">
        <v>402</v>
      </c>
      <c r="I3637" s="3" t="s">
        <v>4064</v>
      </c>
    </row>
    <row r="3638" spans="2:9" hidden="1" x14ac:dyDescent="0.4">
      <c r="B3638" s="8" t="s">
        <v>518</v>
      </c>
      <c r="C3638" s="3" t="s">
        <v>3992</v>
      </c>
      <c r="D3638" s="3" t="s">
        <v>3993</v>
      </c>
      <c r="F3638" s="3" t="s">
        <v>399</v>
      </c>
      <c r="G3638" s="3" t="s">
        <v>402</v>
      </c>
      <c r="I3638" s="3" t="s">
        <v>4063</v>
      </c>
    </row>
    <row r="3639" spans="2:9" hidden="1" x14ac:dyDescent="0.4">
      <c r="B3639" s="8" t="s">
        <v>518</v>
      </c>
      <c r="C3639" s="3" t="s">
        <v>5963</v>
      </c>
      <c r="D3639" s="3" t="s">
        <v>4965</v>
      </c>
      <c r="F3639" s="3" t="s">
        <v>399</v>
      </c>
      <c r="I3639" s="3" t="s">
        <v>4063</v>
      </c>
    </row>
    <row r="3640" spans="2:9" hidden="1" x14ac:dyDescent="0.4">
      <c r="B3640" s="8" t="s">
        <v>518</v>
      </c>
      <c r="C3640" s="3" t="s">
        <v>6311</v>
      </c>
      <c r="D3640" s="3" t="s">
        <v>5662</v>
      </c>
      <c r="F3640" s="3" t="s">
        <v>402</v>
      </c>
      <c r="I3640" s="3" t="s">
        <v>4063</v>
      </c>
    </row>
    <row r="3641" spans="2:9" hidden="1" x14ac:dyDescent="0.4">
      <c r="B3641" s="8" t="s">
        <v>518</v>
      </c>
      <c r="C3641" s="3" t="s">
        <v>4694</v>
      </c>
      <c r="D3641" s="3" t="s">
        <v>4965</v>
      </c>
      <c r="F3641" s="3" t="s">
        <v>399</v>
      </c>
      <c r="I3641" s="3" t="s">
        <v>4064</v>
      </c>
    </row>
    <row r="3642" spans="2:9" hidden="1" x14ac:dyDescent="0.4">
      <c r="B3642" s="8" t="s">
        <v>518</v>
      </c>
      <c r="C3642" s="3" t="s">
        <v>5343</v>
      </c>
      <c r="D3642" s="3" t="s">
        <v>5662</v>
      </c>
      <c r="F3642" s="3" t="s">
        <v>402</v>
      </c>
      <c r="I3642" s="3" t="s">
        <v>4064</v>
      </c>
    </row>
    <row r="3643" spans="2:9" hidden="1" x14ac:dyDescent="0.4">
      <c r="B3643" s="8" t="s">
        <v>536</v>
      </c>
      <c r="C3643" s="3" t="s">
        <v>2676</v>
      </c>
      <c r="D3643" s="3">
        <v>3</v>
      </c>
      <c r="F3643" s="3" t="s">
        <v>1124</v>
      </c>
      <c r="I3643" s="3" t="s">
        <v>252</v>
      </c>
    </row>
    <row r="3644" spans="2:9" hidden="1" x14ac:dyDescent="0.4">
      <c r="B3644" s="8" t="s">
        <v>517</v>
      </c>
      <c r="C3644" s="3" t="s">
        <v>2795</v>
      </c>
      <c r="D3644" s="3" t="s">
        <v>2812</v>
      </c>
      <c r="E3644" s="3" t="s">
        <v>1272</v>
      </c>
      <c r="F3644" s="3" t="s">
        <v>399</v>
      </c>
      <c r="I3644" s="3" t="s">
        <v>2370</v>
      </c>
    </row>
    <row r="3645" spans="2:9" hidden="1" x14ac:dyDescent="0.4">
      <c r="B3645" s="8" t="s">
        <v>536</v>
      </c>
      <c r="C3645" s="3" t="s">
        <v>2727</v>
      </c>
      <c r="D3645" s="3">
        <v>300</v>
      </c>
      <c r="F3645" s="3" t="s">
        <v>1124</v>
      </c>
      <c r="I3645" s="3" t="s">
        <v>252</v>
      </c>
    </row>
    <row r="3646" spans="2:9" hidden="1" x14ac:dyDescent="0.4">
      <c r="B3646" s="8" t="s">
        <v>517</v>
      </c>
      <c r="C3646" s="3" t="s">
        <v>2770</v>
      </c>
      <c r="D3646" s="3" t="s">
        <v>2786</v>
      </c>
      <c r="E3646" s="3" t="s">
        <v>1272</v>
      </c>
      <c r="F3646" s="3" t="s">
        <v>399</v>
      </c>
      <c r="I3646" s="3" t="s">
        <v>2370</v>
      </c>
    </row>
    <row r="3647" spans="2:9" hidden="1" x14ac:dyDescent="0.4">
      <c r="B3647" s="8" t="s">
        <v>536</v>
      </c>
      <c r="C3647" s="3" t="s">
        <v>2706</v>
      </c>
      <c r="D3647" s="3">
        <v>30</v>
      </c>
      <c r="F3647" s="3" t="s">
        <v>1124</v>
      </c>
      <c r="I3647" s="3" t="s">
        <v>252</v>
      </c>
    </row>
    <row r="3648" spans="2:9" hidden="1" x14ac:dyDescent="0.4">
      <c r="B3648" s="8" t="s">
        <v>536</v>
      </c>
      <c r="C3648" s="3" t="s">
        <v>2699</v>
      </c>
      <c r="D3648" s="3">
        <v>23</v>
      </c>
      <c r="F3648" s="3" t="s">
        <v>1124</v>
      </c>
      <c r="I3648" s="3" t="s">
        <v>252</v>
      </c>
    </row>
    <row r="3649" spans="2:9" hidden="1" x14ac:dyDescent="0.4">
      <c r="B3649" s="8" t="s">
        <v>536</v>
      </c>
      <c r="C3649" s="3" t="s">
        <v>2689</v>
      </c>
      <c r="D3649" s="3">
        <v>13</v>
      </c>
      <c r="F3649" s="3" t="s">
        <v>1124</v>
      </c>
      <c r="I3649" s="3" t="s">
        <v>252</v>
      </c>
    </row>
    <row r="3650" spans="2:9" hidden="1" x14ac:dyDescent="0.4">
      <c r="B3650" s="8" t="s">
        <v>518</v>
      </c>
      <c r="C3650" s="3" t="s">
        <v>2760</v>
      </c>
      <c r="D3650" s="3" t="s">
        <v>2778</v>
      </c>
      <c r="E3650" s="3" t="s">
        <v>1272</v>
      </c>
      <c r="F3650" s="3" t="s">
        <v>399</v>
      </c>
      <c r="I3650" s="3" t="s">
        <v>2370</v>
      </c>
    </row>
    <row r="3651" spans="2:9" hidden="1" x14ac:dyDescent="0.4">
      <c r="B3651" s="8" t="s">
        <v>536</v>
      </c>
      <c r="C3651" s="3" t="s">
        <v>2735</v>
      </c>
      <c r="D3651" s="3">
        <v>3000</v>
      </c>
      <c r="F3651" s="3" t="s">
        <v>1124</v>
      </c>
      <c r="I3651" s="3" t="s">
        <v>252</v>
      </c>
    </row>
    <row r="3652" spans="2:9" hidden="1" x14ac:dyDescent="0.4">
      <c r="B3652" s="8" t="s">
        <v>1711</v>
      </c>
      <c r="C3652" s="3" t="s">
        <v>4250</v>
      </c>
      <c r="D3652" s="3" t="s">
        <v>3866</v>
      </c>
      <c r="F3652" s="3" t="s">
        <v>399</v>
      </c>
      <c r="G3652" s="3" t="s">
        <v>402</v>
      </c>
      <c r="I3652" s="3" t="s">
        <v>4064</v>
      </c>
    </row>
    <row r="3653" spans="2:9" hidden="1" x14ac:dyDescent="0.4">
      <c r="B3653" s="8" t="s">
        <v>1711</v>
      </c>
      <c r="C3653" s="3" t="s">
        <v>4672</v>
      </c>
      <c r="D3653" s="3" t="s">
        <v>4828</v>
      </c>
      <c r="F3653" s="3" t="s">
        <v>399</v>
      </c>
      <c r="I3653" s="3" t="s">
        <v>4064</v>
      </c>
    </row>
    <row r="3654" spans="2:9" hidden="1" x14ac:dyDescent="0.4">
      <c r="B3654" s="8" t="s">
        <v>1711</v>
      </c>
      <c r="C3654" s="3" t="s">
        <v>5233</v>
      </c>
      <c r="D3654" s="3" t="s">
        <v>5555</v>
      </c>
      <c r="F3654" s="3" t="s">
        <v>402</v>
      </c>
      <c r="I3654" s="3" t="s">
        <v>4064</v>
      </c>
    </row>
    <row r="3655" spans="2:9" hidden="1" x14ac:dyDescent="0.4">
      <c r="B3655" s="8" t="s">
        <v>1711</v>
      </c>
      <c r="C3655" s="3" t="s">
        <v>3559</v>
      </c>
      <c r="D3655" s="3" t="s">
        <v>3866</v>
      </c>
      <c r="F3655" s="3" t="s">
        <v>399</v>
      </c>
      <c r="G3655" s="3" t="s">
        <v>402</v>
      </c>
      <c r="I3655" s="3" t="s">
        <v>4063</v>
      </c>
    </row>
    <row r="3656" spans="2:9" hidden="1" x14ac:dyDescent="0.4">
      <c r="B3656" s="8" t="s">
        <v>1711</v>
      </c>
      <c r="C3656" s="3" t="s">
        <v>6029</v>
      </c>
      <c r="D3656" s="3" t="s">
        <v>4828</v>
      </c>
      <c r="F3656" s="3" t="s">
        <v>399</v>
      </c>
      <c r="I3656" s="3" t="s">
        <v>4063</v>
      </c>
    </row>
    <row r="3657" spans="2:9" ht="29.25" hidden="1" x14ac:dyDescent="0.4">
      <c r="B3657" s="8" t="s">
        <v>1711</v>
      </c>
      <c r="C3657" s="3" t="s">
        <v>6214</v>
      </c>
      <c r="D3657" s="3" t="s">
        <v>5555</v>
      </c>
      <c r="F3657" s="3" t="s">
        <v>402</v>
      </c>
      <c r="I3657" s="3" t="s">
        <v>4063</v>
      </c>
    </row>
    <row r="3658" spans="2:9" hidden="1" x14ac:dyDescent="0.4">
      <c r="B3658" s="8" t="s">
        <v>518</v>
      </c>
      <c r="C3658" s="3" t="s">
        <v>28</v>
      </c>
      <c r="D3658" s="3" t="s">
        <v>92</v>
      </c>
      <c r="F3658" s="3" t="s">
        <v>400</v>
      </c>
      <c r="I3658" s="3" t="s">
        <v>252</v>
      </c>
    </row>
    <row r="3659" spans="2:9" hidden="1" x14ac:dyDescent="0.4">
      <c r="B3659" s="8" t="s">
        <v>773</v>
      </c>
      <c r="C3659" s="3" t="s">
        <v>800</v>
      </c>
      <c r="D3659" s="3" t="s">
        <v>812</v>
      </c>
      <c r="F3659" s="3" t="s">
        <v>399</v>
      </c>
      <c r="I3659" s="3" t="s">
        <v>824</v>
      </c>
    </row>
    <row r="3660" spans="2:9" hidden="1" x14ac:dyDescent="0.4">
      <c r="B3660" s="8" t="s">
        <v>773</v>
      </c>
      <c r="C3660" s="3" t="s">
        <v>913</v>
      </c>
      <c r="D3660" s="3" t="s">
        <v>812</v>
      </c>
      <c r="F3660" s="3" t="s">
        <v>402</v>
      </c>
      <c r="I3660" s="3" t="s">
        <v>824</v>
      </c>
    </row>
    <row r="3661" spans="2:9" hidden="1" x14ac:dyDescent="0.4">
      <c r="B3661" s="8" t="s">
        <v>518</v>
      </c>
      <c r="C3661" s="3" t="s">
        <v>2758</v>
      </c>
      <c r="D3661" s="3" t="s">
        <v>2776</v>
      </c>
      <c r="E3661" s="3" t="s">
        <v>1272</v>
      </c>
      <c r="F3661" s="3" t="s">
        <v>399</v>
      </c>
      <c r="I3661" s="3" t="s">
        <v>2370</v>
      </c>
    </row>
    <row r="3662" spans="2:9" hidden="1" x14ac:dyDescent="0.4">
      <c r="B3662" s="8" t="s">
        <v>517</v>
      </c>
      <c r="C3662" s="3" t="s">
        <v>2768</v>
      </c>
      <c r="D3662" s="3" t="s">
        <v>2784</v>
      </c>
      <c r="E3662" s="3" t="s">
        <v>1272</v>
      </c>
      <c r="F3662" s="3" t="s">
        <v>399</v>
      </c>
      <c r="I3662" s="3" t="s">
        <v>2370</v>
      </c>
    </row>
    <row r="3663" spans="2:9" hidden="1" x14ac:dyDescent="0.4">
      <c r="B3663" s="8" t="s">
        <v>518</v>
      </c>
      <c r="C3663" s="3" t="s">
        <v>3020</v>
      </c>
      <c r="D3663" s="3" t="s">
        <v>3257</v>
      </c>
      <c r="E3663" s="3">
        <v>1</v>
      </c>
      <c r="F3663" s="3" t="s">
        <v>402</v>
      </c>
      <c r="I3663" s="3" t="s">
        <v>245</v>
      </c>
    </row>
    <row r="3664" spans="2:9" hidden="1" x14ac:dyDescent="0.4">
      <c r="B3664" s="8" t="s">
        <v>536</v>
      </c>
      <c r="C3664" s="3" t="s">
        <v>2709</v>
      </c>
      <c r="D3664" s="3">
        <v>33</v>
      </c>
      <c r="F3664" s="3" t="s">
        <v>1124</v>
      </c>
      <c r="I3664" s="3" t="s">
        <v>252</v>
      </c>
    </row>
    <row r="3665" spans="2:9" hidden="1" x14ac:dyDescent="0.4">
      <c r="B3665" s="8" t="s">
        <v>536</v>
      </c>
      <c r="C3665" s="3" t="s">
        <v>2743</v>
      </c>
      <c r="D3665" s="3">
        <v>30000</v>
      </c>
      <c r="F3665" s="3" t="s">
        <v>1124</v>
      </c>
      <c r="I3665" s="3" t="s">
        <v>252</v>
      </c>
    </row>
    <row r="3666" spans="2:9" hidden="1" x14ac:dyDescent="0.4">
      <c r="B3666" s="8" t="s">
        <v>517</v>
      </c>
      <c r="C3666" s="3" t="s">
        <v>2853</v>
      </c>
      <c r="D3666" s="3" t="s">
        <v>2854</v>
      </c>
      <c r="E3666" s="3" t="s">
        <v>1272</v>
      </c>
      <c r="F3666" s="3" t="s">
        <v>399</v>
      </c>
      <c r="I3666" s="3" t="s">
        <v>2370</v>
      </c>
    </row>
    <row r="3667" spans="2:9" hidden="1" x14ac:dyDescent="0.4">
      <c r="B3667" s="8" t="s">
        <v>532</v>
      </c>
      <c r="C3667" s="3" t="s">
        <v>335</v>
      </c>
      <c r="D3667" s="3" t="s">
        <v>605</v>
      </c>
      <c r="F3667" s="3" t="s">
        <v>399</v>
      </c>
      <c r="I3667" s="3" t="s">
        <v>267</v>
      </c>
    </row>
    <row r="3668" spans="2:9" hidden="1" x14ac:dyDescent="0.4">
      <c r="B3668" s="8" t="s">
        <v>823</v>
      </c>
      <c r="C3668" s="3" t="s">
        <v>2070</v>
      </c>
      <c r="D3668" s="3" t="s">
        <v>2078</v>
      </c>
      <c r="F3668" s="3" t="s">
        <v>2065</v>
      </c>
      <c r="I3668" s="3" t="s">
        <v>248</v>
      </c>
    </row>
    <row r="3669" spans="2:9" hidden="1" x14ac:dyDescent="0.4">
      <c r="B3669" s="8" t="s">
        <v>518</v>
      </c>
      <c r="C3669" s="3" t="s">
        <v>2070</v>
      </c>
      <c r="D3669" s="3" t="s">
        <v>2078</v>
      </c>
      <c r="F3669" s="3" t="s">
        <v>402</v>
      </c>
      <c r="I3669" s="3" t="s">
        <v>1728</v>
      </c>
    </row>
    <row r="3670" spans="2:9" hidden="1" x14ac:dyDescent="0.4">
      <c r="B3670" s="8" t="s">
        <v>1008</v>
      </c>
      <c r="C3670" s="3" t="s">
        <v>1029</v>
      </c>
      <c r="D3670" s="3" t="s">
        <v>1044</v>
      </c>
      <c r="F3670" s="3" t="s">
        <v>399</v>
      </c>
      <c r="I3670" s="3" t="s">
        <v>510</v>
      </c>
    </row>
    <row r="3671" spans="2:9" hidden="1" x14ac:dyDescent="0.4">
      <c r="B3671" s="8" t="s">
        <v>1002</v>
      </c>
      <c r="C3671" s="3" t="s">
        <v>1019</v>
      </c>
      <c r="D3671" s="3" t="s">
        <v>1022</v>
      </c>
      <c r="F3671" s="3" t="s">
        <v>399</v>
      </c>
      <c r="I3671" s="3" t="s">
        <v>510</v>
      </c>
    </row>
    <row r="3672" spans="2:9" hidden="1" x14ac:dyDescent="0.4">
      <c r="B3672" s="8" t="s">
        <v>1006</v>
      </c>
      <c r="C3672" s="3" t="s">
        <v>1023</v>
      </c>
      <c r="D3672" s="3" t="s">
        <v>1038</v>
      </c>
      <c r="F3672" s="3" t="s">
        <v>399</v>
      </c>
      <c r="I3672" s="3" t="s">
        <v>510</v>
      </c>
    </row>
    <row r="3673" spans="2:9" hidden="1" x14ac:dyDescent="0.4">
      <c r="B3673" s="8" t="s">
        <v>1006</v>
      </c>
      <c r="C3673" s="3" t="s">
        <v>1031</v>
      </c>
      <c r="D3673" s="3" t="s">
        <v>1046</v>
      </c>
      <c r="F3673" s="3" t="s">
        <v>399</v>
      </c>
      <c r="I3673" s="3" t="s">
        <v>510</v>
      </c>
    </row>
    <row r="3674" spans="2:9" hidden="1" x14ac:dyDescent="0.4">
      <c r="B3674" s="8" t="s">
        <v>1002</v>
      </c>
      <c r="C3674" s="3" t="s">
        <v>1025</v>
      </c>
      <c r="D3674" s="3" t="s">
        <v>1040</v>
      </c>
      <c r="F3674" s="3" t="s">
        <v>399</v>
      </c>
      <c r="I3674" s="3" t="s">
        <v>510</v>
      </c>
    </row>
    <row r="3675" spans="2:9" hidden="1" x14ac:dyDescent="0.4">
      <c r="B3675" s="8" t="s">
        <v>1007</v>
      </c>
      <c r="C3675" s="3" t="s">
        <v>1035</v>
      </c>
      <c r="D3675" s="3" t="s">
        <v>1050</v>
      </c>
      <c r="F3675" s="3" t="s">
        <v>399</v>
      </c>
      <c r="I3675" s="3" t="s">
        <v>510</v>
      </c>
    </row>
    <row r="3676" spans="2:9" hidden="1" x14ac:dyDescent="0.4">
      <c r="B3676" s="8" t="s">
        <v>1002</v>
      </c>
      <c r="C3676" s="3" t="s">
        <v>1027</v>
      </c>
      <c r="D3676" s="3" t="s">
        <v>1042</v>
      </c>
      <c r="F3676" s="3" t="s">
        <v>399</v>
      </c>
      <c r="I3676" s="3" t="s">
        <v>510</v>
      </c>
    </row>
    <row r="3677" spans="2:9" hidden="1" x14ac:dyDescent="0.4">
      <c r="B3677" s="8" t="s">
        <v>1002</v>
      </c>
      <c r="C3677" s="3" t="s">
        <v>1033</v>
      </c>
      <c r="D3677" s="3" t="s">
        <v>1048</v>
      </c>
      <c r="F3677" s="3" t="s">
        <v>399</v>
      </c>
      <c r="I3677" s="3" t="s">
        <v>510</v>
      </c>
    </row>
    <row r="3678" spans="2:9" hidden="1" x14ac:dyDescent="0.4">
      <c r="B3678" s="8" t="s">
        <v>530</v>
      </c>
      <c r="C3678" s="3" t="s">
        <v>1058</v>
      </c>
      <c r="D3678" s="3" t="s">
        <v>1044</v>
      </c>
      <c r="F3678" s="3" t="s">
        <v>399</v>
      </c>
      <c r="I3678" s="3" t="s">
        <v>510</v>
      </c>
    </row>
    <row r="3679" spans="2:9" hidden="1" x14ac:dyDescent="0.4">
      <c r="B3679" s="8" t="s">
        <v>530</v>
      </c>
      <c r="C3679" s="3" t="s">
        <v>1072</v>
      </c>
      <c r="D3679" s="3" t="s">
        <v>1044</v>
      </c>
      <c r="F3679" s="3" t="s">
        <v>402</v>
      </c>
      <c r="I3679" s="3" t="s">
        <v>510</v>
      </c>
    </row>
    <row r="3680" spans="2:9" hidden="1" x14ac:dyDescent="0.4">
      <c r="B3680" s="8" t="s">
        <v>518</v>
      </c>
      <c r="C3680" s="3" t="s">
        <v>1018</v>
      </c>
      <c r="D3680" s="3" t="s">
        <v>1022</v>
      </c>
      <c r="F3680" s="3" t="s">
        <v>399</v>
      </c>
      <c r="I3680" s="3" t="s">
        <v>510</v>
      </c>
    </row>
    <row r="3681" spans="2:9" hidden="1" x14ac:dyDescent="0.4">
      <c r="B3681" s="8" t="s">
        <v>518</v>
      </c>
      <c r="C3681" s="3" t="s">
        <v>1080</v>
      </c>
      <c r="D3681" s="3" t="s">
        <v>1022</v>
      </c>
      <c r="F3681" s="3" t="s">
        <v>402</v>
      </c>
      <c r="I3681" s="3" t="s">
        <v>510</v>
      </c>
    </row>
    <row r="3682" spans="2:9" hidden="1" x14ac:dyDescent="0.4">
      <c r="B3682" s="8" t="s">
        <v>1006</v>
      </c>
      <c r="C3682" s="3" t="s">
        <v>1267</v>
      </c>
      <c r="D3682" s="3" t="s">
        <v>1276</v>
      </c>
      <c r="E3682" s="3" t="s">
        <v>425</v>
      </c>
      <c r="F3682" s="3" t="s">
        <v>399</v>
      </c>
      <c r="I3682" s="3" t="s">
        <v>510</v>
      </c>
    </row>
    <row r="3683" spans="2:9" hidden="1" x14ac:dyDescent="0.4">
      <c r="B3683" s="8" t="s">
        <v>517</v>
      </c>
      <c r="C3683" s="3" t="s">
        <v>1052</v>
      </c>
      <c r="D3683" s="3" t="s">
        <v>1038</v>
      </c>
      <c r="F3683" s="3" t="s">
        <v>399</v>
      </c>
      <c r="I3683" s="3" t="s">
        <v>510</v>
      </c>
    </row>
    <row r="3684" spans="2:9" hidden="1" x14ac:dyDescent="0.4">
      <c r="B3684" s="8" t="s">
        <v>517</v>
      </c>
      <c r="C3684" s="3" t="s">
        <v>1066</v>
      </c>
      <c r="D3684" s="3" t="s">
        <v>1038</v>
      </c>
      <c r="F3684" s="3" t="s">
        <v>402</v>
      </c>
      <c r="I3684" s="3" t="s">
        <v>510</v>
      </c>
    </row>
    <row r="3685" spans="2:9" hidden="1" x14ac:dyDescent="0.4">
      <c r="B3685" s="8" t="s">
        <v>517</v>
      </c>
      <c r="C3685" s="3" t="s">
        <v>1060</v>
      </c>
      <c r="D3685" s="3" t="s">
        <v>1046</v>
      </c>
      <c r="F3685" s="3" t="s">
        <v>399</v>
      </c>
      <c r="I3685" s="3" t="s">
        <v>510</v>
      </c>
    </row>
    <row r="3686" spans="2:9" hidden="1" x14ac:dyDescent="0.4">
      <c r="B3686" s="8" t="s">
        <v>517</v>
      </c>
      <c r="C3686" s="3" t="s">
        <v>1074</v>
      </c>
      <c r="D3686" s="3" t="s">
        <v>1046</v>
      </c>
      <c r="F3686" s="3" t="s">
        <v>402</v>
      </c>
      <c r="I3686" s="3" t="s">
        <v>510</v>
      </c>
    </row>
    <row r="3687" spans="2:9" hidden="1" x14ac:dyDescent="0.4">
      <c r="B3687" s="8" t="s">
        <v>518</v>
      </c>
      <c r="C3687" s="3" t="s">
        <v>1054</v>
      </c>
      <c r="D3687" s="3" t="s">
        <v>1040</v>
      </c>
      <c r="F3687" s="3" t="s">
        <v>399</v>
      </c>
      <c r="I3687" s="3" t="s">
        <v>510</v>
      </c>
    </row>
    <row r="3688" spans="2:9" hidden="1" x14ac:dyDescent="0.4">
      <c r="B3688" s="8" t="s">
        <v>518</v>
      </c>
      <c r="C3688" s="3" t="s">
        <v>1068</v>
      </c>
      <c r="D3688" s="3" t="s">
        <v>1040</v>
      </c>
      <c r="F3688" s="3" t="s">
        <v>402</v>
      </c>
      <c r="I3688" s="3" t="s">
        <v>510</v>
      </c>
    </row>
    <row r="3689" spans="2:9" hidden="1" x14ac:dyDescent="0.4">
      <c r="B3689" s="8" t="s">
        <v>520</v>
      </c>
      <c r="C3689" s="3" t="s">
        <v>1064</v>
      </c>
      <c r="D3689" s="3" t="s">
        <v>1050</v>
      </c>
      <c r="F3689" s="3" t="s">
        <v>399</v>
      </c>
      <c r="I3689" s="3" t="s">
        <v>510</v>
      </c>
    </row>
    <row r="3690" spans="2:9" hidden="1" x14ac:dyDescent="0.4">
      <c r="B3690" s="8" t="s">
        <v>520</v>
      </c>
      <c r="C3690" s="3" t="s">
        <v>1078</v>
      </c>
      <c r="D3690" s="3" t="s">
        <v>1050</v>
      </c>
      <c r="F3690" s="3" t="s">
        <v>402</v>
      </c>
      <c r="I3690" s="3" t="s">
        <v>510</v>
      </c>
    </row>
    <row r="3691" spans="2:9" hidden="1" x14ac:dyDescent="0.4">
      <c r="B3691" s="8" t="s">
        <v>518</v>
      </c>
      <c r="C3691" s="3" t="s">
        <v>1056</v>
      </c>
      <c r="D3691" s="3" t="s">
        <v>1042</v>
      </c>
      <c r="F3691" s="3" t="s">
        <v>399</v>
      </c>
      <c r="I3691" s="3" t="s">
        <v>510</v>
      </c>
    </row>
    <row r="3692" spans="2:9" hidden="1" x14ac:dyDescent="0.4">
      <c r="B3692" s="8" t="s">
        <v>518</v>
      </c>
      <c r="C3692" s="3" t="s">
        <v>1070</v>
      </c>
      <c r="D3692" s="3" t="s">
        <v>1042</v>
      </c>
      <c r="F3692" s="3" t="s">
        <v>402</v>
      </c>
      <c r="I3692" s="3" t="s">
        <v>510</v>
      </c>
    </row>
    <row r="3693" spans="2:9" hidden="1" x14ac:dyDescent="0.4">
      <c r="B3693" s="8" t="s">
        <v>518</v>
      </c>
      <c r="C3693" s="3" t="s">
        <v>1062</v>
      </c>
      <c r="D3693" s="3" t="s">
        <v>1048</v>
      </c>
      <c r="F3693" s="3" t="s">
        <v>399</v>
      </c>
      <c r="I3693" s="3" t="s">
        <v>510</v>
      </c>
    </row>
    <row r="3694" spans="2:9" hidden="1" x14ac:dyDescent="0.4">
      <c r="B3694" s="8" t="s">
        <v>518</v>
      </c>
      <c r="C3694" s="3" t="s">
        <v>1076</v>
      </c>
      <c r="D3694" s="3" t="s">
        <v>1048</v>
      </c>
      <c r="F3694" s="3" t="s">
        <v>402</v>
      </c>
      <c r="I3694" s="3" t="s">
        <v>510</v>
      </c>
    </row>
    <row r="3695" spans="2:9" hidden="1" x14ac:dyDescent="0.4">
      <c r="B3695" s="8" t="s">
        <v>518</v>
      </c>
      <c r="C3695" s="3" t="s">
        <v>3053</v>
      </c>
      <c r="D3695" s="3" t="s">
        <v>3288</v>
      </c>
      <c r="E3695" s="3">
        <v>1</v>
      </c>
      <c r="F3695" s="3" t="s">
        <v>402</v>
      </c>
      <c r="I3695" s="3" t="s">
        <v>245</v>
      </c>
    </row>
    <row r="3696" spans="2:9" hidden="1" x14ac:dyDescent="0.4">
      <c r="B3696" s="8" t="s">
        <v>518</v>
      </c>
      <c r="C3696" s="3" t="s">
        <v>128</v>
      </c>
      <c r="D3696" s="3" t="s">
        <v>407</v>
      </c>
      <c r="E3696" s="3" t="s">
        <v>425</v>
      </c>
      <c r="F3696" s="3" t="s">
        <v>400</v>
      </c>
      <c r="I3696" s="3" t="s">
        <v>252</v>
      </c>
    </row>
    <row r="3697" spans="2:9" hidden="1" x14ac:dyDescent="0.4">
      <c r="B3697" s="8">
        <v>0</v>
      </c>
      <c r="C3697" s="3" t="s">
        <v>129</v>
      </c>
      <c r="D3697" s="3" t="s">
        <v>407</v>
      </c>
      <c r="E3697" s="3" t="s">
        <v>425</v>
      </c>
      <c r="F3697" s="3" t="s">
        <v>825</v>
      </c>
      <c r="I3697" s="3" t="s">
        <v>252</v>
      </c>
    </row>
    <row r="3698" spans="2:9" hidden="1" x14ac:dyDescent="0.4">
      <c r="B3698" s="8" t="s">
        <v>531</v>
      </c>
      <c r="C3698" s="3" t="s">
        <v>140</v>
      </c>
      <c r="D3698" s="3" t="s">
        <v>152</v>
      </c>
      <c r="E3698" s="3" t="s">
        <v>425</v>
      </c>
      <c r="F3698" s="3" t="s">
        <v>400</v>
      </c>
      <c r="I3698" s="3" t="s">
        <v>252</v>
      </c>
    </row>
    <row r="3699" spans="2:9" hidden="1" x14ac:dyDescent="0.4">
      <c r="B3699" s="8" t="s">
        <v>517</v>
      </c>
      <c r="C3699" s="3" t="s">
        <v>281</v>
      </c>
      <c r="D3699" s="3" t="s">
        <v>606</v>
      </c>
      <c r="F3699" s="3" t="s">
        <v>399</v>
      </c>
      <c r="I3699" s="3" t="s">
        <v>267</v>
      </c>
    </row>
    <row r="3700" spans="2:9" hidden="1" x14ac:dyDescent="0.4">
      <c r="B3700" s="8" t="s">
        <v>518</v>
      </c>
      <c r="C3700" s="3" t="s">
        <v>2269</v>
      </c>
      <c r="D3700" s="3" t="s">
        <v>2427</v>
      </c>
      <c r="E3700" s="3" t="s">
        <v>1272</v>
      </c>
      <c r="F3700" s="3" t="s">
        <v>399</v>
      </c>
      <c r="I3700" s="3" t="s">
        <v>1833</v>
      </c>
    </row>
    <row r="3701" spans="2:9" hidden="1" x14ac:dyDescent="0.4">
      <c r="B3701" s="8" t="s">
        <v>518</v>
      </c>
      <c r="C3701" s="3" t="s">
        <v>2577</v>
      </c>
      <c r="D3701" s="3" t="s">
        <v>2427</v>
      </c>
      <c r="E3701" s="3" t="s">
        <v>1272</v>
      </c>
      <c r="F3701" s="3" t="s">
        <v>402</v>
      </c>
      <c r="I3701" s="3" t="s">
        <v>1833</v>
      </c>
    </row>
    <row r="3702" spans="2:9" hidden="1" x14ac:dyDescent="0.4">
      <c r="B3702" s="8" t="s">
        <v>518</v>
      </c>
      <c r="C3702" s="3" t="s">
        <v>2272</v>
      </c>
      <c r="D3702" s="3" t="s">
        <v>2430</v>
      </c>
      <c r="E3702" s="3" t="s">
        <v>1272</v>
      </c>
      <c r="F3702" s="3" t="s">
        <v>399</v>
      </c>
      <c r="I3702" s="3" t="s">
        <v>1833</v>
      </c>
    </row>
    <row r="3703" spans="2:9" hidden="1" x14ac:dyDescent="0.4">
      <c r="B3703" s="8" t="s">
        <v>518</v>
      </c>
      <c r="C3703" s="3" t="s">
        <v>2579</v>
      </c>
      <c r="D3703" s="3" t="s">
        <v>2430</v>
      </c>
      <c r="E3703" s="3" t="s">
        <v>1272</v>
      </c>
      <c r="F3703" s="3" t="s">
        <v>402</v>
      </c>
      <c r="I3703" s="3" t="s">
        <v>1833</v>
      </c>
    </row>
    <row r="3704" spans="2:9" hidden="1" x14ac:dyDescent="0.4">
      <c r="B3704" s="8" t="s">
        <v>517</v>
      </c>
      <c r="C3704" s="3" t="s">
        <v>1404</v>
      </c>
      <c r="D3704" s="3" t="s">
        <v>1438</v>
      </c>
      <c r="F3704" s="3" t="s">
        <v>399</v>
      </c>
      <c r="G3704" s="3" t="s">
        <v>402</v>
      </c>
      <c r="H3704" s="3" t="s">
        <v>1279</v>
      </c>
      <c r="I3704" s="3" t="s">
        <v>1414</v>
      </c>
    </row>
    <row r="3705" spans="2:9" hidden="1" x14ac:dyDescent="0.4">
      <c r="B3705" s="8" t="s">
        <v>517</v>
      </c>
      <c r="C3705" s="3" t="s">
        <v>1548</v>
      </c>
      <c r="D3705" s="3" t="s">
        <v>1438</v>
      </c>
      <c r="F3705" s="3" t="s">
        <v>402</v>
      </c>
      <c r="I3705" s="3" t="s">
        <v>1414</v>
      </c>
    </row>
    <row r="3706" spans="2:9" hidden="1" x14ac:dyDescent="0.4">
      <c r="B3706" s="8" t="s">
        <v>517</v>
      </c>
      <c r="C3706" s="3" t="s">
        <v>137</v>
      </c>
      <c r="D3706" s="3" t="s">
        <v>149</v>
      </c>
      <c r="F3706" s="3" t="s">
        <v>403</v>
      </c>
      <c r="I3706" s="3" t="s">
        <v>252</v>
      </c>
    </row>
    <row r="3707" spans="2:9" ht="29.25" hidden="1" x14ac:dyDescent="0.4">
      <c r="B3707" s="8" t="s">
        <v>518</v>
      </c>
      <c r="C3707" s="3" t="s">
        <v>1376</v>
      </c>
      <c r="D3707" s="3" t="s">
        <v>1342</v>
      </c>
      <c r="E3707" s="3" t="s">
        <v>433</v>
      </c>
      <c r="F3707" s="3" t="s">
        <v>402</v>
      </c>
      <c r="I3707" s="3" t="s">
        <v>1317</v>
      </c>
    </row>
    <row r="3708" spans="2:9" ht="29.25" hidden="1" x14ac:dyDescent="0.4">
      <c r="B3708" s="8" t="s">
        <v>518</v>
      </c>
      <c r="C3708" s="3" t="s">
        <v>1350</v>
      </c>
      <c r="D3708" s="3" t="s">
        <v>1342</v>
      </c>
      <c r="E3708" s="3" t="s">
        <v>433</v>
      </c>
      <c r="F3708" s="3" t="s">
        <v>399</v>
      </c>
      <c r="I3708" s="3" t="s">
        <v>1317</v>
      </c>
    </row>
    <row r="3709" spans="2:9" ht="29.25" hidden="1" x14ac:dyDescent="0.4">
      <c r="B3709" s="8" t="s">
        <v>518</v>
      </c>
      <c r="C3709" s="3" t="s">
        <v>1368</v>
      </c>
      <c r="D3709" s="3" t="s">
        <v>1342</v>
      </c>
      <c r="E3709" s="3" t="s">
        <v>433</v>
      </c>
      <c r="F3709" s="3" t="s">
        <v>402</v>
      </c>
      <c r="I3709" s="3" t="s">
        <v>1317</v>
      </c>
    </row>
    <row r="3710" spans="2:9" hidden="1" x14ac:dyDescent="0.4">
      <c r="B3710" s="8" t="s">
        <v>518</v>
      </c>
      <c r="C3710" s="3" t="s">
        <v>1412</v>
      </c>
      <c r="D3710" s="3" t="s">
        <v>1446</v>
      </c>
      <c r="F3710" s="3" t="s">
        <v>399</v>
      </c>
      <c r="G3710" s="3" t="s">
        <v>402</v>
      </c>
      <c r="H3710" s="3" t="s">
        <v>1279</v>
      </c>
      <c r="I3710" s="3" t="s">
        <v>1414</v>
      </c>
    </row>
    <row r="3711" spans="2:9" hidden="1" x14ac:dyDescent="0.4">
      <c r="B3711" s="8" t="s">
        <v>518</v>
      </c>
      <c r="C3711" s="3" t="s">
        <v>1556</v>
      </c>
      <c r="D3711" s="3" t="s">
        <v>1446</v>
      </c>
      <c r="F3711" s="3" t="s">
        <v>402</v>
      </c>
      <c r="I3711" s="3" t="s">
        <v>1414</v>
      </c>
    </row>
    <row r="3712" spans="2:9" hidden="1" x14ac:dyDescent="0.4">
      <c r="B3712" s="8" t="s">
        <v>517</v>
      </c>
      <c r="C3712" s="3" t="s">
        <v>2287</v>
      </c>
      <c r="D3712" s="3" t="s">
        <v>2445</v>
      </c>
      <c r="E3712" s="3" t="s">
        <v>1272</v>
      </c>
      <c r="F3712" s="3" t="s">
        <v>399</v>
      </c>
      <c r="I3712" s="3" t="s">
        <v>1833</v>
      </c>
    </row>
    <row r="3713" spans="2:9" hidden="1" x14ac:dyDescent="0.4">
      <c r="B3713" s="8" t="s">
        <v>517</v>
      </c>
      <c r="C3713" s="3" t="s">
        <v>2531</v>
      </c>
      <c r="D3713" s="3" t="s">
        <v>2445</v>
      </c>
      <c r="E3713" s="3" t="s">
        <v>1272</v>
      </c>
      <c r="F3713" s="3" t="s">
        <v>402</v>
      </c>
      <c r="I3713" s="3" t="s">
        <v>1833</v>
      </c>
    </row>
    <row r="3714" spans="2:9" hidden="1" x14ac:dyDescent="0.4">
      <c r="B3714" s="8" t="s">
        <v>517</v>
      </c>
      <c r="C3714" s="3" t="s">
        <v>1469</v>
      </c>
      <c r="D3714" s="3" t="s">
        <v>1510</v>
      </c>
      <c r="F3714" s="3" t="s">
        <v>399</v>
      </c>
      <c r="G3714" s="3" t="s">
        <v>402</v>
      </c>
      <c r="I3714" s="3" t="s">
        <v>1489</v>
      </c>
    </row>
    <row r="3715" spans="2:9" hidden="1" x14ac:dyDescent="0.4">
      <c r="B3715" s="8" t="s">
        <v>517</v>
      </c>
      <c r="C3715" s="3" t="s">
        <v>1579</v>
      </c>
      <c r="D3715" s="3" t="s">
        <v>1510</v>
      </c>
      <c r="F3715" s="3" t="s">
        <v>402</v>
      </c>
      <c r="I3715" s="3" t="s">
        <v>1489</v>
      </c>
    </row>
    <row r="3716" spans="2:9" hidden="1" x14ac:dyDescent="0.4">
      <c r="B3716" s="8" t="s">
        <v>517</v>
      </c>
      <c r="C3716" s="3" t="s">
        <v>2282</v>
      </c>
      <c r="D3716" s="3" t="s">
        <v>2440</v>
      </c>
      <c r="E3716" s="3" t="s">
        <v>1272</v>
      </c>
      <c r="F3716" s="3" t="s">
        <v>399</v>
      </c>
      <c r="I3716" s="3" t="s">
        <v>1833</v>
      </c>
    </row>
    <row r="3717" spans="2:9" hidden="1" x14ac:dyDescent="0.4">
      <c r="B3717" s="8" t="s">
        <v>517</v>
      </c>
      <c r="C3717" s="3" t="s">
        <v>2588</v>
      </c>
      <c r="D3717" s="3" t="s">
        <v>2440</v>
      </c>
      <c r="E3717" s="3" t="s">
        <v>1272</v>
      </c>
      <c r="F3717" s="3" t="s">
        <v>402</v>
      </c>
      <c r="I3717" s="3" t="s">
        <v>1833</v>
      </c>
    </row>
    <row r="3718" spans="2:9" hidden="1" x14ac:dyDescent="0.4">
      <c r="B3718" s="8" t="s">
        <v>518</v>
      </c>
      <c r="C3718" s="3" t="s">
        <v>3555</v>
      </c>
      <c r="D3718" s="3" t="s">
        <v>3862</v>
      </c>
      <c r="F3718" s="3" t="s">
        <v>399</v>
      </c>
      <c r="G3718" s="3" t="s">
        <v>402</v>
      </c>
      <c r="I3718" s="3" t="s">
        <v>4063</v>
      </c>
    </row>
    <row r="3719" spans="2:9" hidden="1" x14ac:dyDescent="0.4">
      <c r="B3719" s="8" t="s">
        <v>518</v>
      </c>
      <c r="C3719" s="3" t="s">
        <v>3555</v>
      </c>
      <c r="D3719" s="3" t="s">
        <v>3862</v>
      </c>
      <c r="F3719" s="3" t="s">
        <v>399</v>
      </c>
      <c r="G3719" s="3" t="s">
        <v>402</v>
      </c>
      <c r="I3719" s="3" t="s">
        <v>4064</v>
      </c>
    </row>
    <row r="3720" spans="2:9" hidden="1" x14ac:dyDescent="0.4">
      <c r="B3720" s="8" t="s">
        <v>518</v>
      </c>
      <c r="C3720" s="3" t="s">
        <v>5865</v>
      </c>
      <c r="D3720" s="3" t="s">
        <v>4826</v>
      </c>
      <c r="F3720" s="3" t="s">
        <v>399</v>
      </c>
      <c r="I3720" s="3" t="s">
        <v>4063</v>
      </c>
    </row>
    <row r="3721" spans="2:9" hidden="1" x14ac:dyDescent="0.4">
      <c r="B3721" s="8" t="s">
        <v>518</v>
      </c>
      <c r="C3721" s="3" t="s">
        <v>6210</v>
      </c>
      <c r="D3721" s="3" t="s">
        <v>5551</v>
      </c>
      <c r="F3721" s="3" t="s">
        <v>402</v>
      </c>
      <c r="I3721" s="3" t="s">
        <v>4063</v>
      </c>
    </row>
    <row r="3722" spans="2:9" hidden="1" x14ac:dyDescent="0.4">
      <c r="B3722" s="8" t="s">
        <v>518</v>
      </c>
      <c r="C3722" s="3" t="s">
        <v>4580</v>
      </c>
      <c r="D3722" s="3" t="s">
        <v>4826</v>
      </c>
      <c r="F3722" s="3" t="s">
        <v>399</v>
      </c>
      <c r="I3722" s="3" t="s">
        <v>4064</v>
      </c>
    </row>
    <row r="3723" spans="2:9" hidden="1" x14ac:dyDescent="0.4">
      <c r="B3723" s="8" t="s">
        <v>518</v>
      </c>
      <c r="C3723" s="3" t="s">
        <v>5229</v>
      </c>
      <c r="D3723" s="3" t="s">
        <v>5551</v>
      </c>
      <c r="F3723" s="3" t="s">
        <v>402</v>
      </c>
      <c r="I3723" s="3" t="s">
        <v>4064</v>
      </c>
    </row>
    <row r="3724" spans="2:9" hidden="1" x14ac:dyDescent="0.4">
      <c r="B3724" s="8" t="s">
        <v>532</v>
      </c>
      <c r="C3724" s="3" t="s">
        <v>3455</v>
      </c>
      <c r="D3724" s="3" t="s">
        <v>3763</v>
      </c>
      <c r="F3724" s="3" t="s">
        <v>399</v>
      </c>
      <c r="G3724" s="3" t="s">
        <v>402</v>
      </c>
      <c r="I3724" s="3" t="s">
        <v>4064</v>
      </c>
    </row>
    <row r="3725" spans="2:9" hidden="1" x14ac:dyDescent="0.4">
      <c r="B3725" s="8" t="s">
        <v>532</v>
      </c>
      <c r="C3725" s="3" t="s">
        <v>4363</v>
      </c>
      <c r="D3725" s="3" t="s">
        <v>4700</v>
      </c>
      <c r="F3725" s="3" t="s">
        <v>399</v>
      </c>
      <c r="I3725" s="3" t="s">
        <v>4064</v>
      </c>
    </row>
    <row r="3726" spans="2:9" hidden="1" x14ac:dyDescent="0.4">
      <c r="B3726" s="8" t="s">
        <v>532</v>
      </c>
      <c r="C3726" s="3" t="s">
        <v>5025</v>
      </c>
      <c r="D3726" s="3" t="s">
        <v>5362</v>
      </c>
      <c r="F3726" s="3" t="s">
        <v>402</v>
      </c>
      <c r="I3726" s="3" t="s">
        <v>4064</v>
      </c>
    </row>
    <row r="3727" spans="2:9" hidden="1" x14ac:dyDescent="0.4">
      <c r="B3727" s="8" t="s">
        <v>518</v>
      </c>
      <c r="C3727" s="3" t="s">
        <v>2210</v>
      </c>
      <c r="D3727" s="3" t="s">
        <v>2354</v>
      </c>
      <c r="E3727" s="3" t="s">
        <v>432</v>
      </c>
      <c r="F3727" s="3" t="s">
        <v>399</v>
      </c>
      <c r="I3727" s="3" t="s">
        <v>1833</v>
      </c>
    </row>
    <row r="3728" spans="2:9" hidden="1" x14ac:dyDescent="0.4">
      <c r="B3728" s="8" t="s">
        <v>518</v>
      </c>
      <c r="C3728" s="3" t="s">
        <v>2545</v>
      </c>
      <c r="D3728" s="3" t="s">
        <v>2354</v>
      </c>
      <c r="E3728" s="3" t="s">
        <v>432</v>
      </c>
      <c r="F3728" s="3" t="s">
        <v>402</v>
      </c>
      <c r="I3728" s="3" t="s">
        <v>1833</v>
      </c>
    </row>
    <row r="3729" spans="2:9" hidden="1" x14ac:dyDescent="0.4">
      <c r="B3729" s="8" t="s">
        <v>518</v>
      </c>
      <c r="C3729" s="3" t="s">
        <v>1480</v>
      </c>
      <c r="D3729" s="3" t="s">
        <v>1522</v>
      </c>
      <c r="F3729" s="3" t="s">
        <v>399</v>
      </c>
      <c r="G3729" s="3" t="s">
        <v>402</v>
      </c>
      <c r="I3729" s="3" t="s">
        <v>1489</v>
      </c>
    </row>
    <row r="3730" spans="2:9" hidden="1" x14ac:dyDescent="0.4">
      <c r="B3730" s="8" t="s">
        <v>518</v>
      </c>
      <c r="C3730" s="3" t="s">
        <v>1588</v>
      </c>
      <c r="D3730" s="3" t="s">
        <v>1522</v>
      </c>
      <c r="F3730" s="3" t="s">
        <v>402</v>
      </c>
      <c r="I3730" s="3" t="s">
        <v>1489</v>
      </c>
    </row>
    <row r="3731" spans="2:9" hidden="1" x14ac:dyDescent="0.4">
      <c r="B3731" s="8" t="s">
        <v>520</v>
      </c>
      <c r="C3731" s="3" t="s">
        <v>4109</v>
      </c>
      <c r="D3731" s="3" t="s">
        <v>3710</v>
      </c>
      <c r="F3731" s="3" t="s">
        <v>399</v>
      </c>
      <c r="G3731" s="3" t="s">
        <v>402</v>
      </c>
      <c r="I3731" s="3" t="s">
        <v>4064</v>
      </c>
    </row>
    <row r="3732" spans="2:9" hidden="1" x14ac:dyDescent="0.4">
      <c r="B3732" s="8" t="s">
        <v>520</v>
      </c>
      <c r="C3732" s="3" t="s">
        <v>4615</v>
      </c>
      <c r="D3732" s="3" t="s">
        <v>4730</v>
      </c>
      <c r="F3732" s="3" t="s">
        <v>399</v>
      </c>
      <c r="I3732" s="3" t="s">
        <v>4064</v>
      </c>
    </row>
    <row r="3733" spans="2:9" hidden="1" x14ac:dyDescent="0.4">
      <c r="B3733" s="8" t="s">
        <v>520</v>
      </c>
      <c r="C3733" s="3" t="s">
        <v>5069</v>
      </c>
      <c r="D3733" s="3" t="s">
        <v>5400</v>
      </c>
      <c r="F3733" s="3" t="s">
        <v>402</v>
      </c>
      <c r="I3733" s="3" t="s">
        <v>4064</v>
      </c>
    </row>
    <row r="3734" spans="2:9" hidden="1" x14ac:dyDescent="0.4">
      <c r="B3734" s="8" t="s">
        <v>517</v>
      </c>
      <c r="C3734" s="3" t="s">
        <v>4180</v>
      </c>
      <c r="D3734" s="3" t="s">
        <v>3788</v>
      </c>
      <c r="F3734" s="3" t="s">
        <v>399</v>
      </c>
      <c r="G3734" s="3" t="s">
        <v>402</v>
      </c>
      <c r="I3734" s="3" t="s">
        <v>4064</v>
      </c>
    </row>
    <row r="3735" spans="2:9" hidden="1" x14ac:dyDescent="0.4">
      <c r="B3735" s="8" t="s">
        <v>517</v>
      </c>
      <c r="C3735" s="3" t="s">
        <v>4423</v>
      </c>
      <c r="D3735" s="3" t="s">
        <v>4904</v>
      </c>
      <c r="F3735" s="3" t="s">
        <v>399</v>
      </c>
      <c r="I3735" s="3" t="s">
        <v>4064</v>
      </c>
    </row>
    <row r="3736" spans="2:9" hidden="1" x14ac:dyDescent="0.4">
      <c r="B3736" s="8" t="s">
        <v>517</v>
      </c>
      <c r="C3736" s="3" t="s">
        <v>5155</v>
      </c>
      <c r="D3736" s="3" t="s">
        <v>5476</v>
      </c>
      <c r="F3736" s="3" t="s">
        <v>402</v>
      </c>
      <c r="I3736" s="3" t="s">
        <v>4064</v>
      </c>
    </row>
    <row r="3737" spans="2:9" hidden="1" x14ac:dyDescent="0.4">
      <c r="B3737" s="8" t="s">
        <v>517</v>
      </c>
      <c r="C3737" s="3" t="s">
        <v>3482</v>
      </c>
      <c r="D3737" s="3" t="s">
        <v>3788</v>
      </c>
      <c r="F3737" s="3" t="s">
        <v>399</v>
      </c>
      <c r="G3737" s="3" t="s">
        <v>402</v>
      </c>
      <c r="I3737" s="3" t="s">
        <v>4063</v>
      </c>
    </row>
    <row r="3738" spans="2:9" hidden="1" x14ac:dyDescent="0.4">
      <c r="B3738" s="8" t="s">
        <v>517</v>
      </c>
      <c r="C3738" s="3" t="s">
        <v>5804</v>
      </c>
      <c r="D3738" s="3" t="s">
        <v>4904</v>
      </c>
      <c r="F3738" s="3" t="s">
        <v>399</v>
      </c>
      <c r="I3738" s="3" t="s">
        <v>4063</v>
      </c>
    </row>
    <row r="3739" spans="2:9" hidden="1" x14ac:dyDescent="0.4">
      <c r="B3739" s="8" t="s">
        <v>517</v>
      </c>
      <c r="C3739" s="3" t="s">
        <v>6147</v>
      </c>
      <c r="D3739" s="3" t="s">
        <v>5476</v>
      </c>
      <c r="F3739" s="3" t="s">
        <v>402</v>
      </c>
      <c r="I3739" s="3" t="s">
        <v>4063</v>
      </c>
    </row>
    <row r="3740" spans="2:9" hidden="1" x14ac:dyDescent="0.4">
      <c r="B3740" s="8" t="s">
        <v>518</v>
      </c>
      <c r="C3740" s="3" t="s">
        <v>4335</v>
      </c>
      <c r="D3740" s="3" t="s">
        <v>3973</v>
      </c>
      <c r="F3740" s="3" t="s">
        <v>399</v>
      </c>
      <c r="G3740" s="3" t="s">
        <v>402</v>
      </c>
      <c r="I3740" s="3" t="s">
        <v>4064</v>
      </c>
    </row>
    <row r="3741" spans="2:9" hidden="1" x14ac:dyDescent="0.4">
      <c r="B3741" s="8" t="s">
        <v>518</v>
      </c>
      <c r="C3741" s="3" t="s">
        <v>4528</v>
      </c>
      <c r="D3741" s="3" t="s">
        <v>4909</v>
      </c>
      <c r="F3741" s="3" t="s">
        <v>399</v>
      </c>
      <c r="I3741" s="3" t="s">
        <v>4064</v>
      </c>
    </row>
    <row r="3742" spans="2:9" hidden="1" x14ac:dyDescent="0.4">
      <c r="B3742" s="8" t="s">
        <v>518</v>
      </c>
      <c r="C3742" s="3" t="s">
        <v>5336</v>
      </c>
      <c r="D3742" s="3" t="s">
        <v>5655</v>
      </c>
      <c r="F3742" s="3" t="s">
        <v>402</v>
      </c>
      <c r="I3742" s="3" t="s">
        <v>4064</v>
      </c>
    </row>
    <row r="3743" spans="2:9" hidden="1" x14ac:dyDescent="0.4">
      <c r="B3743" s="8" t="s">
        <v>518</v>
      </c>
      <c r="C3743" s="3" t="s">
        <v>3972</v>
      </c>
      <c r="D3743" s="3" t="s">
        <v>3973</v>
      </c>
      <c r="F3743" s="3" t="s">
        <v>399</v>
      </c>
      <c r="G3743" s="3" t="s">
        <v>402</v>
      </c>
      <c r="I3743" s="3" t="s">
        <v>4063</v>
      </c>
    </row>
    <row r="3744" spans="2:9" hidden="1" x14ac:dyDescent="0.4">
      <c r="B3744" s="8" t="s">
        <v>518</v>
      </c>
      <c r="C3744" s="3" t="s">
        <v>6014</v>
      </c>
      <c r="D3744" s="3" t="s">
        <v>4909</v>
      </c>
      <c r="F3744" s="3" t="s">
        <v>399</v>
      </c>
      <c r="I3744" s="3" t="s">
        <v>4063</v>
      </c>
    </row>
    <row r="3745" spans="2:9" hidden="1" x14ac:dyDescent="0.4">
      <c r="B3745" s="8" t="s">
        <v>518</v>
      </c>
      <c r="C3745" s="3" t="s">
        <v>6363</v>
      </c>
      <c r="D3745" s="3" t="s">
        <v>5655</v>
      </c>
      <c r="F3745" s="3" t="s">
        <v>402</v>
      </c>
      <c r="I3745" s="3" t="s">
        <v>4063</v>
      </c>
    </row>
    <row r="3746" spans="2:9" hidden="1" x14ac:dyDescent="0.4">
      <c r="B3746" s="8" t="s">
        <v>529</v>
      </c>
      <c r="C3746" s="3" t="s">
        <v>4160</v>
      </c>
      <c r="D3746" s="3" t="s">
        <v>3766</v>
      </c>
      <c r="F3746" s="3" t="s">
        <v>399</v>
      </c>
      <c r="G3746" s="3" t="s">
        <v>402</v>
      </c>
      <c r="I3746" s="3" t="s">
        <v>4064</v>
      </c>
    </row>
    <row r="3747" spans="2:9" hidden="1" x14ac:dyDescent="0.4">
      <c r="B3747" s="8" t="s">
        <v>529</v>
      </c>
      <c r="C3747" s="3" t="s">
        <v>3458</v>
      </c>
      <c r="D3747" s="3" t="s">
        <v>3766</v>
      </c>
      <c r="F3747" s="3" t="s">
        <v>399</v>
      </c>
      <c r="G3747" s="3" t="s">
        <v>402</v>
      </c>
      <c r="I3747" s="3" t="s">
        <v>4063</v>
      </c>
    </row>
    <row r="3748" spans="2:9" hidden="1" x14ac:dyDescent="0.4">
      <c r="B3748" s="8" t="s">
        <v>529</v>
      </c>
      <c r="C3748" s="3" t="s">
        <v>5990</v>
      </c>
      <c r="D3748" s="3" t="s">
        <v>4886</v>
      </c>
      <c r="F3748" s="3" t="s">
        <v>399</v>
      </c>
      <c r="I3748" s="3" t="s">
        <v>4063</v>
      </c>
    </row>
    <row r="3749" spans="2:9" hidden="1" x14ac:dyDescent="0.4">
      <c r="B3749" s="8" t="s">
        <v>529</v>
      </c>
      <c r="C3749" s="3" t="s">
        <v>6338</v>
      </c>
      <c r="D3749" s="3" t="s">
        <v>5454</v>
      </c>
      <c r="F3749" s="3" t="s">
        <v>402</v>
      </c>
      <c r="I3749" s="3" t="s">
        <v>4063</v>
      </c>
    </row>
    <row r="3750" spans="2:9" hidden="1" x14ac:dyDescent="0.4">
      <c r="B3750" s="8" t="s">
        <v>529</v>
      </c>
      <c r="C3750" s="3" t="s">
        <v>4635</v>
      </c>
      <c r="D3750" s="3" t="s">
        <v>4886</v>
      </c>
      <c r="F3750" s="3" t="s">
        <v>399</v>
      </c>
      <c r="I3750" s="3" t="s">
        <v>4064</v>
      </c>
    </row>
    <row r="3751" spans="2:9" hidden="1" x14ac:dyDescent="0.4">
      <c r="B3751" s="8" t="s">
        <v>529</v>
      </c>
      <c r="C3751" s="3" t="s">
        <v>5131</v>
      </c>
      <c r="D3751" s="3" t="s">
        <v>5454</v>
      </c>
      <c r="F3751" s="3" t="s">
        <v>402</v>
      </c>
      <c r="I3751" s="3" t="s">
        <v>4064</v>
      </c>
    </row>
    <row r="3752" spans="2:9" hidden="1" x14ac:dyDescent="0.4">
      <c r="B3752" s="8" t="s">
        <v>517</v>
      </c>
      <c r="C3752" s="3" t="s">
        <v>3516</v>
      </c>
      <c r="D3752" s="3" t="s">
        <v>3819</v>
      </c>
      <c r="F3752" s="3" t="s">
        <v>399</v>
      </c>
      <c r="G3752" s="3" t="s">
        <v>402</v>
      </c>
      <c r="I3752" s="3" t="s">
        <v>4063</v>
      </c>
    </row>
    <row r="3753" spans="2:9" hidden="1" x14ac:dyDescent="0.4">
      <c r="B3753" s="8" t="s">
        <v>517</v>
      </c>
      <c r="C3753" s="3" t="s">
        <v>5830</v>
      </c>
      <c r="D3753" s="3" t="s">
        <v>4788</v>
      </c>
      <c r="F3753" s="3" t="s">
        <v>399</v>
      </c>
      <c r="I3753" s="3" t="s">
        <v>4063</v>
      </c>
    </row>
    <row r="3754" spans="2:9" hidden="1" x14ac:dyDescent="0.4">
      <c r="B3754" s="8" t="s">
        <v>517</v>
      </c>
      <c r="C3754" s="3" t="s">
        <v>6173</v>
      </c>
      <c r="D3754" s="3" t="s">
        <v>5509</v>
      </c>
      <c r="F3754" s="3" t="s">
        <v>402</v>
      </c>
      <c r="I3754" s="3" t="s">
        <v>4063</v>
      </c>
    </row>
    <row r="3755" spans="2:9" hidden="1" x14ac:dyDescent="0.4">
      <c r="B3755" s="8" t="s">
        <v>517</v>
      </c>
      <c r="C3755" s="3" t="s">
        <v>4213</v>
      </c>
      <c r="D3755" s="3" t="s">
        <v>3819</v>
      </c>
      <c r="F3755" s="3" t="s">
        <v>399</v>
      </c>
      <c r="G3755" s="3" t="s">
        <v>402</v>
      </c>
      <c r="I3755" s="3" t="s">
        <v>4064</v>
      </c>
    </row>
    <row r="3756" spans="2:9" hidden="1" x14ac:dyDescent="0.4">
      <c r="B3756" s="8" t="s">
        <v>517</v>
      </c>
      <c r="C3756" s="3" t="s">
        <v>4440</v>
      </c>
      <c r="D3756" s="3" t="s">
        <v>4788</v>
      </c>
      <c r="F3756" s="3" t="s">
        <v>399</v>
      </c>
      <c r="I3756" s="3" t="s">
        <v>4064</v>
      </c>
    </row>
    <row r="3757" spans="2:9" hidden="1" x14ac:dyDescent="0.4">
      <c r="B3757" s="8" t="s">
        <v>517</v>
      </c>
      <c r="C3757" s="3" t="s">
        <v>5188</v>
      </c>
      <c r="D3757" s="3" t="s">
        <v>5509</v>
      </c>
      <c r="F3757" s="3" t="s">
        <v>402</v>
      </c>
      <c r="I3757" s="3" t="s">
        <v>4064</v>
      </c>
    </row>
    <row r="3758" spans="2:9" hidden="1" x14ac:dyDescent="0.4">
      <c r="B3758" s="8" t="s">
        <v>518</v>
      </c>
      <c r="C3758" s="3" t="s">
        <v>4268</v>
      </c>
      <c r="D3758" s="3" t="s">
        <v>4054</v>
      </c>
      <c r="F3758" s="3" t="s">
        <v>399</v>
      </c>
      <c r="G3758" s="3" t="s">
        <v>402</v>
      </c>
      <c r="I3758" s="3" t="s">
        <v>4064</v>
      </c>
    </row>
    <row r="3759" spans="2:9" hidden="1" x14ac:dyDescent="0.4">
      <c r="B3759" s="8" t="s">
        <v>518</v>
      </c>
      <c r="C3759" s="3" t="s">
        <v>4677</v>
      </c>
      <c r="D3759" s="3" t="s">
        <v>4976</v>
      </c>
      <c r="F3759" s="3" t="s">
        <v>399</v>
      </c>
      <c r="I3759" s="3" t="s">
        <v>4064</v>
      </c>
    </row>
    <row r="3760" spans="2:9" hidden="1" x14ac:dyDescent="0.4">
      <c r="B3760" s="8" t="s">
        <v>518</v>
      </c>
      <c r="C3760" s="3" t="s">
        <v>5253</v>
      </c>
      <c r="D3760" s="3" t="s">
        <v>5574</v>
      </c>
      <c r="F3760" s="3" t="s">
        <v>402</v>
      </c>
      <c r="I3760" s="3" t="s">
        <v>4064</v>
      </c>
    </row>
    <row r="3761" spans="2:9" hidden="1" x14ac:dyDescent="0.4">
      <c r="B3761" s="8" t="s">
        <v>518</v>
      </c>
      <c r="C3761" s="3" t="s">
        <v>3580</v>
      </c>
      <c r="D3761" s="3" t="s">
        <v>4054</v>
      </c>
      <c r="F3761" s="3" t="s">
        <v>399</v>
      </c>
      <c r="G3761" s="3" t="s">
        <v>402</v>
      </c>
      <c r="I3761" s="3" t="s">
        <v>4063</v>
      </c>
    </row>
    <row r="3762" spans="2:9" hidden="1" x14ac:dyDescent="0.4">
      <c r="B3762" s="8" t="s">
        <v>518</v>
      </c>
      <c r="C3762" s="3" t="s">
        <v>5885</v>
      </c>
      <c r="D3762" s="3" t="s">
        <v>4976</v>
      </c>
      <c r="F3762" s="3" t="s">
        <v>399</v>
      </c>
      <c r="I3762" s="3" t="s">
        <v>4063</v>
      </c>
    </row>
    <row r="3763" spans="2:9" hidden="1" x14ac:dyDescent="0.4">
      <c r="B3763" s="8" t="s">
        <v>518</v>
      </c>
      <c r="C3763" s="3" t="s">
        <v>6232</v>
      </c>
      <c r="D3763" s="3" t="s">
        <v>5574</v>
      </c>
      <c r="F3763" s="3" t="s">
        <v>402</v>
      </c>
      <c r="I3763" s="3" t="s">
        <v>4063</v>
      </c>
    </row>
    <row r="3764" spans="2:9" hidden="1" x14ac:dyDescent="0.4">
      <c r="B3764" s="8" t="s">
        <v>536</v>
      </c>
      <c r="C3764" s="3" t="s">
        <v>457</v>
      </c>
      <c r="D3764" s="3" t="s">
        <v>733</v>
      </c>
      <c r="E3764" s="3" t="s">
        <v>432</v>
      </c>
      <c r="F3764" s="3" t="s">
        <v>12779</v>
      </c>
      <c r="G3764" s="3" t="s">
        <v>430</v>
      </c>
      <c r="I3764" s="3" t="s">
        <v>472</v>
      </c>
    </row>
    <row r="3765" spans="2:9" hidden="1" x14ac:dyDescent="0.4">
      <c r="B3765" s="8" t="s">
        <v>529</v>
      </c>
      <c r="C3765" s="3" t="s">
        <v>340</v>
      </c>
      <c r="D3765" s="3" t="s">
        <v>607</v>
      </c>
      <c r="F3765" s="3" t="s">
        <v>399</v>
      </c>
      <c r="I3765" s="3" t="s">
        <v>267</v>
      </c>
    </row>
    <row r="3766" spans="2:9" hidden="1" x14ac:dyDescent="0.4">
      <c r="B3766" s="8" t="s">
        <v>517</v>
      </c>
      <c r="C3766" s="3" t="s">
        <v>312</v>
      </c>
      <c r="D3766" s="3" t="s">
        <v>608</v>
      </c>
      <c r="F3766" s="3" t="s">
        <v>399</v>
      </c>
      <c r="I3766" s="3" t="s">
        <v>267</v>
      </c>
    </row>
    <row r="3767" spans="2:9" hidden="1" x14ac:dyDescent="0.4">
      <c r="B3767" s="8" t="s">
        <v>517</v>
      </c>
      <c r="C3767" s="3" t="s">
        <v>2915</v>
      </c>
      <c r="D3767" s="3" t="s">
        <v>3166</v>
      </c>
      <c r="E3767" s="3">
        <v>1</v>
      </c>
      <c r="F3767" s="3" t="s">
        <v>402</v>
      </c>
      <c r="G3767" s="3" t="s">
        <v>988</v>
      </c>
      <c r="I3767" s="3" t="s">
        <v>245</v>
      </c>
    </row>
    <row r="3768" spans="2:9" hidden="1" x14ac:dyDescent="0.4">
      <c r="B3768" s="8" t="s">
        <v>518</v>
      </c>
      <c r="C3768" s="3" t="s">
        <v>320</v>
      </c>
      <c r="D3768" s="3" t="s">
        <v>609</v>
      </c>
      <c r="F3768" s="3" t="s">
        <v>399</v>
      </c>
      <c r="I3768" s="3" t="s">
        <v>267</v>
      </c>
    </row>
    <row r="3769" spans="2:9" hidden="1" x14ac:dyDescent="0.4">
      <c r="B3769" s="8" t="s">
        <v>517</v>
      </c>
      <c r="C3769" s="3" t="s">
        <v>316</v>
      </c>
      <c r="D3769" s="3" t="s">
        <v>610</v>
      </c>
      <c r="F3769" s="3" t="s">
        <v>399</v>
      </c>
      <c r="I3769" s="3" t="s">
        <v>267</v>
      </c>
    </row>
    <row r="3770" spans="2:9" hidden="1" x14ac:dyDescent="0.4">
      <c r="B3770" s="8" t="s">
        <v>518</v>
      </c>
      <c r="C3770" s="3" t="s">
        <v>2201</v>
      </c>
      <c r="D3770" s="3" t="s">
        <v>2351</v>
      </c>
      <c r="F3770" s="3" t="s">
        <v>399</v>
      </c>
      <c r="I3770" s="3" t="s">
        <v>1833</v>
      </c>
    </row>
    <row r="3771" spans="2:9" hidden="1" x14ac:dyDescent="0.4">
      <c r="B3771" s="8" t="s">
        <v>518</v>
      </c>
      <c r="C3771" s="3" t="s">
        <v>2539</v>
      </c>
      <c r="D3771" s="3" t="s">
        <v>2351</v>
      </c>
      <c r="F3771" s="3" t="s">
        <v>402</v>
      </c>
      <c r="I3771" s="3" t="s">
        <v>1833</v>
      </c>
    </row>
    <row r="3772" spans="2:9" hidden="1" x14ac:dyDescent="0.4">
      <c r="B3772" s="8" t="s">
        <v>518</v>
      </c>
      <c r="C3772" s="3" t="s">
        <v>4124</v>
      </c>
      <c r="D3772" s="3" t="s">
        <v>3720</v>
      </c>
      <c r="F3772" s="3" t="s">
        <v>399</v>
      </c>
      <c r="G3772" s="3" t="s">
        <v>402</v>
      </c>
      <c r="I3772" s="3" t="s">
        <v>4064</v>
      </c>
    </row>
    <row r="3773" spans="2:9" hidden="1" x14ac:dyDescent="0.4">
      <c r="B3773" s="8" t="s">
        <v>518</v>
      </c>
      <c r="C3773" s="3" t="s">
        <v>4619</v>
      </c>
      <c r="D3773" s="3" t="s">
        <v>4737</v>
      </c>
      <c r="F3773" s="3" t="s">
        <v>399</v>
      </c>
      <c r="I3773" s="3" t="s">
        <v>4064</v>
      </c>
    </row>
    <row r="3774" spans="2:9" hidden="1" x14ac:dyDescent="0.4">
      <c r="B3774" s="8" t="s">
        <v>518</v>
      </c>
      <c r="C3774" s="3" t="s">
        <v>5086</v>
      </c>
      <c r="D3774" s="3" t="s">
        <v>5409</v>
      </c>
      <c r="F3774" s="3" t="s">
        <v>402</v>
      </c>
      <c r="I3774" s="3" t="s">
        <v>4064</v>
      </c>
    </row>
    <row r="3775" spans="2:9" hidden="1" x14ac:dyDescent="0.4">
      <c r="B3775" s="8" t="s">
        <v>517</v>
      </c>
      <c r="C3775" s="3" t="s">
        <v>3411</v>
      </c>
      <c r="D3775" s="3" t="s">
        <v>3720</v>
      </c>
      <c r="F3775" s="3" t="s">
        <v>399</v>
      </c>
      <c r="G3775" s="3" t="s">
        <v>402</v>
      </c>
      <c r="I3775" s="3" t="s">
        <v>4063</v>
      </c>
    </row>
    <row r="3776" spans="2:9" hidden="1" x14ac:dyDescent="0.4">
      <c r="B3776" s="8" t="s">
        <v>517</v>
      </c>
      <c r="C3776" s="3" t="s">
        <v>5744</v>
      </c>
      <c r="D3776" s="3" t="s">
        <v>4737</v>
      </c>
      <c r="F3776" s="3" t="s">
        <v>399</v>
      </c>
      <c r="I3776" s="3" t="s">
        <v>4063</v>
      </c>
    </row>
    <row r="3777" spans="2:9" hidden="1" x14ac:dyDescent="0.4">
      <c r="B3777" s="8" t="s">
        <v>517</v>
      </c>
      <c r="C3777" s="3" t="s">
        <v>6086</v>
      </c>
      <c r="D3777" s="3" t="s">
        <v>5409</v>
      </c>
      <c r="F3777" s="3" t="s">
        <v>402</v>
      </c>
      <c r="I3777" s="3" t="s">
        <v>4063</v>
      </c>
    </row>
    <row r="3778" spans="2:9" hidden="1" x14ac:dyDescent="0.4">
      <c r="B3778" s="8" t="s">
        <v>517</v>
      </c>
      <c r="C3778" s="3" t="s">
        <v>301</v>
      </c>
      <c r="D3778" s="3" t="s">
        <v>611</v>
      </c>
      <c r="F3778" s="3" t="s">
        <v>399</v>
      </c>
      <c r="I3778" s="3" t="s">
        <v>267</v>
      </c>
    </row>
    <row r="3779" spans="2:9" hidden="1" x14ac:dyDescent="0.4">
      <c r="B3779" s="8" t="s">
        <v>517</v>
      </c>
      <c r="C3779" s="3" t="s">
        <v>323</v>
      </c>
      <c r="D3779" s="3" t="s">
        <v>612</v>
      </c>
      <c r="F3779" s="3" t="s">
        <v>399</v>
      </c>
      <c r="I3779" s="3" t="s">
        <v>267</v>
      </c>
    </row>
    <row r="3780" spans="2:9" hidden="1" x14ac:dyDescent="0.4">
      <c r="B3780" s="8" t="s">
        <v>532</v>
      </c>
      <c r="C3780" s="3" t="s">
        <v>4144</v>
      </c>
      <c r="D3780" s="3" t="s">
        <v>3745</v>
      </c>
      <c r="F3780" s="3" t="s">
        <v>399</v>
      </c>
      <c r="G3780" s="3" t="s">
        <v>402</v>
      </c>
      <c r="I3780" s="3" t="s">
        <v>4064</v>
      </c>
    </row>
    <row r="3781" spans="2:9" hidden="1" x14ac:dyDescent="0.4">
      <c r="B3781" s="8" t="s">
        <v>532</v>
      </c>
      <c r="C3781" s="3" t="s">
        <v>4628</v>
      </c>
      <c r="D3781" s="3" t="s">
        <v>4758</v>
      </c>
      <c r="F3781" s="3" t="s">
        <v>399</v>
      </c>
      <c r="I3781" s="3" t="s">
        <v>4064</v>
      </c>
    </row>
    <row r="3782" spans="2:9" hidden="1" x14ac:dyDescent="0.4">
      <c r="B3782" s="8" t="s">
        <v>532</v>
      </c>
      <c r="C3782" s="3" t="s">
        <v>5112</v>
      </c>
      <c r="D3782" s="3" t="s">
        <v>5435</v>
      </c>
      <c r="F3782" s="3" t="s">
        <v>402</v>
      </c>
      <c r="I3782" s="3" t="s">
        <v>4064</v>
      </c>
    </row>
    <row r="3783" spans="2:9" hidden="1" x14ac:dyDescent="0.4">
      <c r="B3783" s="8" t="s">
        <v>532</v>
      </c>
      <c r="C3783" s="3" t="s">
        <v>3438</v>
      </c>
      <c r="D3783" s="3" t="s">
        <v>3745</v>
      </c>
      <c r="F3783" s="3" t="s">
        <v>399</v>
      </c>
      <c r="G3783" s="3" t="s">
        <v>402</v>
      </c>
      <c r="I3783" s="3" t="s">
        <v>4063</v>
      </c>
    </row>
    <row r="3784" spans="2:9" hidden="1" x14ac:dyDescent="0.4">
      <c r="B3784" s="8" t="s">
        <v>532</v>
      </c>
      <c r="C3784" s="3" t="s">
        <v>5769</v>
      </c>
      <c r="D3784" s="3" t="s">
        <v>4758</v>
      </c>
      <c r="F3784" s="3" t="s">
        <v>399</v>
      </c>
      <c r="I3784" s="3" t="s">
        <v>4063</v>
      </c>
    </row>
    <row r="3785" spans="2:9" hidden="1" x14ac:dyDescent="0.4">
      <c r="B3785" s="8" t="s">
        <v>532</v>
      </c>
      <c r="C3785" s="3" t="s">
        <v>6111</v>
      </c>
      <c r="D3785" s="3" t="s">
        <v>5435</v>
      </c>
      <c r="F3785" s="3" t="s">
        <v>402</v>
      </c>
      <c r="I3785" s="3" t="s">
        <v>4063</v>
      </c>
    </row>
    <row r="3786" spans="2:9" hidden="1" x14ac:dyDescent="0.4">
      <c r="B3786" s="8" t="s">
        <v>517</v>
      </c>
      <c r="C3786" s="3" t="s">
        <v>299</v>
      </c>
      <c r="D3786" s="3" t="s">
        <v>613</v>
      </c>
      <c r="F3786" s="3" t="s">
        <v>399</v>
      </c>
      <c r="I3786" s="3" t="s">
        <v>267</v>
      </c>
    </row>
    <row r="3787" spans="2:9" hidden="1" x14ac:dyDescent="0.4">
      <c r="B3787" s="8" t="s">
        <v>536</v>
      </c>
      <c r="C3787" s="3" t="s">
        <v>470</v>
      </c>
      <c r="D3787" s="3" t="s">
        <v>750</v>
      </c>
      <c r="E3787" s="3" t="s">
        <v>432</v>
      </c>
      <c r="F3787" s="3" t="s">
        <v>12779</v>
      </c>
      <c r="G3787" s="3" t="s">
        <v>430</v>
      </c>
      <c r="I3787" s="3" t="s">
        <v>472</v>
      </c>
    </row>
    <row r="3788" spans="2:9" hidden="1" x14ac:dyDescent="0.4">
      <c r="B3788" s="8" t="s">
        <v>517</v>
      </c>
      <c r="C3788" s="3" t="s">
        <v>1329</v>
      </c>
      <c r="D3788" s="3" t="s">
        <v>1343</v>
      </c>
      <c r="E3788" s="3" t="s">
        <v>1272</v>
      </c>
      <c r="F3788" s="3" t="s">
        <v>399</v>
      </c>
      <c r="I3788" s="3" t="s">
        <v>1317</v>
      </c>
    </row>
    <row r="3789" spans="2:9" hidden="1" x14ac:dyDescent="0.4">
      <c r="B3789" s="8" t="s">
        <v>517</v>
      </c>
      <c r="C3789" s="3" t="s">
        <v>1361</v>
      </c>
      <c r="D3789" s="3" t="s">
        <v>1343</v>
      </c>
      <c r="E3789" s="3" t="s">
        <v>1272</v>
      </c>
      <c r="F3789" s="3" t="s">
        <v>402</v>
      </c>
      <c r="I3789" s="3" t="s">
        <v>1317</v>
      </c>
    </row>
    <row r="3790" spans="2:9" hidden="1" x14ac:dyDescent="0.4">
      <c r="B3790" s="8" t="s">
        <v>518</v>
      </c>
      <c r="C3790" s="3" t="s">
        <v>26</v>
      </c>
      <c r="D3790" s="3" t="s">
        <v>90</v>
      </c>
      <c r="F3790" s="3" t="s">
        <v>400</v>
      </c>
      <c r="G3790" s="3" t="s">
        <v>404</v>
      </c>
      <c r="I3790" s="3" t="s">
        <v>252</v>
      </c>
    </row>
    <row r="3791" spans="2:9" hidden="1" x14ac:dyDescent="0.4">
      <c r="B3791" s="8" t="s">
        <v>517</v>
      </c>
      <c r="C3791" s="3" t="s">
        <v>2341</v>
      </c>
      <c r="D3791" s="3" t="s">
        <v>2496</v>
      </c>
      <c r="E3791" s="3" t="s">
        <v>1272</v>
      </c>
      <c r="F3791" s="3" t="s">
        <v>399</v>
      </c>
      <c r="I3791" s="3" t="s">
        <v>1833</v>
      </c>
    </row>
    <row r="3792" spans="2:9" hidden="1" x14ac:dyDescent="0.4">
      <c r="B3792" s="8" t="s">
        <v>517</v>
      </c>
      <c r="C3792" s="3" t="s">
        <v>2641</v>
      </c>
      <c r="D3792" s="3" t="s">
        <v>2496</v>
      </c>
      <c r="E3792" s="3" t="s">
        <v>1272</v>
      </c>
      <c r="F3792" s="3" t="s">
        <v>402</v>
      </c>
      <c r="I3792" s="3" t="s">
        <v>1833</v>
      </c>
    </row>
    <row r="3793" spans="2:9" hidden="1" x14ac:dyDescent="0.4">
      <c r="B3793" s="8" t="s">
        <v>518</v>
      </c>
      <c r="C3793" s="3" t="s">
        <v>798</v>
      </c>
      <c r="D3793" s="3" t="s">
        <v>810</v>
      </c>
      <c r="F3793" s="3" t="s">
        <v>399</v>
      </c>
      <c r="I3793" s="3" t="s">
        <v>824</v>
      </c>
    </row>
    <row r="3794" spans="2:9" hidden="1" x14ac:dyDescent="0.4">
      <c r="B3794" s="8" t="s">
        <v>518</v>
      </c>
      <c r="C3794" s="3" t="s">
        <v>911</v>
      </c>
      <c r="D3794" s="3" t="s">
        <v>810</v>
      </c>
      <c r="F3794" s="3" t="s">
        <v>402</v>
      </c>
      <c r="I3794" s="3" t="s">
        <v>824</v>
      </c>
    </row>
    <row r="3795" spans="2:9" hidden="1" x14ac:dyDescent="0.4">
      <c r="B3795" s="8" t="s">
        <v>536</v>
      </c>
      <c r="C3795" s="3" t="s">
        <v>2672</v>
      </c>
      <c r="D3795" s="3">
        <v>1</v>
      </c>
      <c r="F3795" s="3" t="s">
        <v>1124</v>
      </c>
      <c r="I3795" s="3" t="s">
        <v>252</v>
      </c>
    </row>
    <row r="3796" spans="2:9" hidden="1" x14ac:dyDescent="0.4">
      <c r="B3796" s="8" t="s">
        <v>517</v>
      </c>
      <c r="C3796" s="3" t="s">
        <v>206</v>
      </c>
      <c r="D3796" s="3" t="s">
        <v>560</v>
      </c>
      <c r="F3796" s="3" t="s">
        <v>399</v>
      </c>
      <c r="I3796" s="3" t="s">
        <v>267</v>
      </c>
    </row>
    <row r="3797" spans="2:9" hidden="1" x14ac:dyDescent="0.4">
      <c r="B3797" s="8" t="s">
        <v>536</v>
      </c>
      <c r="C3797" s="3" t="s">
        <v>429</v>
      </c>
      <c r="D3797" s="3" t="s">
        <v>427</v>
      </c>
      <c r="E3797" s="3" t="s">
        <v>432</v>
      </c>
      <c r="F3797" s="3" t="s">
        <v>430</v>
      </c>
      <c r="G3797" s="3" t="s">
        <v>403</v>
      </c>
      <c r="I3797" s="3" t="s">
        <v>431</v>
      </c>
    </row>
    <row r="3798" spans="2:9" ht="29.25" hidden="1" x14ac:dyDescent="0.4">
      <c r="B3798" s="8" t="s">
        <v>536</v>
      </c>
      <c r="C3798" s="3" t="s">
        <v>415</v>
      </c>
      <c r="D3798" s="3" t="s">
        <v>427</v>
      </c>
      <c r="E3798" s="3" t="s">
        <v>433</v>
      </c>
      <c r="F3798" s="3" t="s">
        <v>430</v>
      </c>
      <c r="I3798" s="3" t="s">
        <v>431</v>
      </c>
    </row>
    <row r="3799" spans="2:9" hidden="1" x14ac:dyDescent="0.4">
      <c r="B3799" s="8" t="s">
        <v>517</v>
      </c>
      <c r="C3799" s="3" t="s">
        <v>527</v>
      </c>
      <c r="D3799" s="3" t="s">
        <v>667</v>
      </c>
      <c r="F3799" s="3" t="s">
        <v>522</v>
      </c>
      <c r="I3799" s="3" t="s">
        <v>510</v>
      </c>
    </row>
    <row r="3800" spans="2:9" hidden="1" x14ac:dyDescent="0.4">
      <c r="B3800" s="8" t="s">
        <v>517</v>
      </c>
      <c r="C3800" s="3" t="s">
        <v>712</v>
      </c>
      <c r="D3800" s="3" t="s">
        <v>667</v>
      </c>
      <c r="F3800" s="3" t="s">
        <v>684</v>
      </c>
      <c r="I3800" s="3" t="s">
        <v>510</v>
      </c>
    </row>
    <row r="3801" spans="2:9" hidden="1" x14ac:dyDescent="0.4">
      <c r="B3801" s="8" t="s">
        <v>531</v>
      </c>
      <c r="C3801" s="3" t="s">
        <v>138</v>
      </c>
      <c r="D3801" s="3" t="s">
        <v>150</v>
      </c>
      <c r="E3801" s="3" t="s">
        <v>425</v>
      </c>
      <c r="F3801" s="3" t="s">
        <v>400</v>
      </c>
      <c r="I3801" s="3" t="s">
        <v>252</v>
      </c>
    </row>
    <row r="3802" spans="2:9" hidden="1" x14ac:dyDescent="0.4">
      <c r="B3802" s="8" t="s">
        <v>531</v>
      </c>
      <c r="C3802" s="3" t="s">
        <v>138</v>
      </c>
      <c r="D3802" s="3" t="s">
        <v>979</v>
      </c>
      <c r="E3802" s="3" t="s">
        <v>432</v>
      </c>
      <c r="F3802" s="3" t="s">
        <v>399</v>
      </c>
      <c r="I3802" s="3" t="s">
        <v>6427</v>
      </c>
    </row>
    <row r="3803" spans="2:9" hidden="1" x14ac:dyDescent="0.4">
      <c r="B3803" s="8" t="s">
        <v>517</v>
      </c>
      <c r="C3803" s="3" t="s">
        <v>2327</v>
      </c>
      <c r="D3803" s="3" t="s">
        <v>2483</v>
      </c>
      <c r="E3803" s="3" t="s">
        <v>1272</v>
      </c>
      <c r="F3803" s="3" t="s">
        <v>399</v>
      </c>
      <c r="I3803" s="3" t="s">
        <v>1833</v>
      </c>
    </row>
    <row r="3804" spans="2:9" hidden="1" x14ac:dyDescent="0.4">
      <c r="B3804" s="8" t="s">
        <v>517</v>
      </c>
      <c r="C3804" s="3" t="s">
        <v>2627</v>
      </c>
      <c r="D3804" s="3" t="s">
        <v>2483</v>
      </c>
      <c r="E3804" s="3" t="s">
        <v>1272</v>
      </c>
      <c r="F3804" s="3" t="s">
        <v>402</v>
      </c>
      <c r="I3804" s="3" t="s">
        <v>1833</v>
      </c>
    </row>
    <row r="3805" spans="2:9" hidden="1" x14ac:dyDescent="0.4">
      <c r="B3805" s="8" t="s">
        <v>517</v>
      </c>
      <c r="C3805" s="3" t="s">
        <v>2335</v>
      </c>
      <c r="D3805" s="3" t="s">
        <v>2491</v>
      </c>
      <c r="E3805" s="3" t="s">
        <v>1272</v>
      </c>
      <c r="F3805" s="3" t="s">
        <v>399</v>
      </c>
      <c r="I3805" s="3" t="s">
        <v>1833</v>
      </c>
    </row>
    <row r="3806" spans="2:9" hidden="1" x14ac:dyDescent="0.4">
      <c r="B3806" s="8" t="s">
        <v>517</v>
      </c>
      <c r="C3806" s="3" t="s">
        <v>2635</v>
      </c>
      <c r="D3806" s="3" t="s">
        <v>2491</v>
      </c>
      <c r="E3806" s="3" t="s">
        <v>1272</v>
      </c>
      <c r="F3806" s="3" t="s">
        <v>402</v>
      </c>
      <c r="I3806" s="3" t="s">
        <v>1833</v>
      </c>
    </row>
    <row r="3807" spans="2:9" hidden="1" x14ac:dyDescent="0.4">
      <c r="B3807" s="8" t="s">
        <v>517</v>
      </c>
      <c r="C3807" s="3" t="s">
        <v>2339</v>
      </c>
      <c r="D3807" s="3" t="s">
        <v>2495</v>
      </c>
      <c r="E3807" s="3" t="s">
        <v>1272</v>
      </c>
      <c r="F3807" s="3" t="s">
        <v>399</v>
      </c>
      <c r="I3807" s="3" t="s">
        <v>1833</v>
      </c>
    </row>
    <row r="3808" spans="2:9" hidden="1" x14ac:dyDescent="0.4">
      <c r="B3808" s="8" t="s">
        <v>517</v>
      </c>
      <c r="C3808" s="3" t="s">
        <v>2340</v>
      </c>
      <c r="D3808" s="3" t="s">
        <v>2495</v>
      </c>
      <c r="E3808" s="3" t="s">
        <v>1272</v>
      </c>
      <c r="F3808" s="3" t="s">
        <v>399</v>
      </c>
      <c r="I3808" s="3" t="s">
        <v>1833</v>
      </c>
    </row>
    <row r="3809" spans="2:9" hidden="1" x14ac:dyDescent="0.4">
      <c r="B3809" s="8" t="s">
        <v>517</v>
      </c>
      <c r="C3809" s="3" t="s">
        <v>2639</v>
      </c>
      <c r="D3809" s="3" t="s">
        <v>2495</v>
      </c>
      <c r="E3809" s="3" t="s">
        <v>1272</v>
      </c>
      <c r="F3809" s="3" t="s">
        <v>402</v>
      </c>
      <c r="I3809" s="3" t="s">
        <v>1833</v>
      </c>
    </row>
    <row r="3810" spans="2:9" hidden="1" x14ac:dyDescent="0.4">
      <c r="B3810" s="8" t="s">
        <v>517</v>
      </c>
      <c r="C3810" s="3" t="s">
        <v>2640</v>
      </c>
      <c r="D3810" s="3" t="s">
        <v>2495</v>
      </c>
      <c r="E3810" s="3" t="s">
        <v>1272</v>
      </c>
      <c r="F3810" s="3" t="s">
        <v>402</v>
      </c>
      <c r="I3810" s="3" t="s">
        <v>1833</v>
      </c>
    </row>
    <row r="3811" spans="2:9" hidden="1" x14ac:dyDescent="0.4">
      <c r="B3811" s="8" t="s">
        <v>517</v>
      </c>
      <c r="C3811" s="3" t="s">
        <v>2333</v>
      </c>
      <c r="D3811" s="3" t="s">
        <v>2489</v>
      </c>
      <c r="E3811" s="3" t="s">
        <v>1272</v>
      </c>
      <c r="F3811" s="3" t="s">
        <v>399</v>
      </c>
      <c r="I3811" s="3" t="s">
        <v>1833</v>
      </c>
    </row>
    <row r="3812" spans="2:9" hidden="1" x14ac:dyDescent="0.4">
      <c r="B3812" s="8" t="s">
        <v>517</v>
      </c>
      <c r="C3812" s="3" t="s">
        <v>2633</v>
      </c>
      <c r="D3812" s="3" t="s">
        <v>2489</v>
      </c>
      <c r="E3812" s="3" t="s">
        <v>1272</v>
      </c>
      <c r="F3812" s="3" t="s">
        <v>402</v>
      </c>
      <c r="I3812" s="3" t="s">
        <v>1833</v>
      </c>
    </row>
    <row r="3813" spans="2:9" hidden="1" x14ac:dyDescent="0.4">
      <c r="B3813" s="8" t="s">
        <v>517</v>
      </c>
      <c r="C3813" s="3" t="s">
        <v>2331</v>
      </c>
      <c r="D3813" s="12" t="s">
        <v>2487</v>
      </c>
      <c r="E3813" s="3" t="s">
        <v>1272</v>
      </c>
      <c r="F3813" s="3" t="s">
        <v>399</v>
      </c>
      <c r="I3813" s="3" t="s">
        <v>1833</v>
      </c>
    </row>
    <row r="3814" spans="2:9" hidden="1" x14ac:dyDescent="0.4">
      <c r="B3814" s="8" t="s">
        <v>517</v>
      </c>
      <c r="C3814" s="3" t="s">
        <v>2631</v>
      </c>
      <c r="D3814" s="12" t="s">
        <v>2487</v>
      </c>
      <c r="E3814" s="3" t="s">
        <v>1272</v>
      </c>
      <c r="F3814" s="3" t="s">
        <v>402</v>
      </c>
      <c r="I3814" s="3" t="s">
        <v>1833</v>
      </c>
    </row>
    <row r="3815" spans="2:9" hidden="1" x14ac:dyDescent="0.4">
      <c r="B3815" s="8" t="s">
        <v>517</v>
      </c>
      <c r="C3815" s="3" t="s">
        <v>2337</v>
      </c>
      <c r="D3815" s="3" t="s">
        <v>2493</v>
      </c>
      <c r="E3815" s="3" t="s">
        <v>1272</v>
      </c>
      <c r="F3815" s="3" t="s">
        <v>399</v>
      </c>
      <c r="I3815" s="3" t="s">
        <v>1833</v>
      </c>
    </row>
    <row r="3816" spans="2:9" hidden="1" x14ac:dyDescent="0.4">
      <c r="B3816" s="8" t="s">
        <v>517</v>
      </c>
      <c r="C3816" s="3" t="s">
        <v>2637</v>
      </c>
      <c r="D3816" s="3" t="s">
        <v>2493</v>
      </c>
      <c r="E3816" s="3" t="s">
        <v>1272</v>
      </c>
      <c r="F3816" s="3" t="s">
        <v>402</v>
      </c>
      <c r="I3816" s="3" t="s">
        <v>1833</v>
      </c>
    </row>
    <row r="3817" spans="2:9" hidden="1" x14ac:dyDescent="0.4">
      <c r="B3817" s="8" t="s">
        <v>517</v>
      </c>
      <c r="C3817" s="3" t="s">
        <v>2329</v>
      </c>
      <c r="D3817" s="3" t="s">
        <v>2485</v>
      </c>
      <c r="E3817" s="3" t="s">
        <v>1272</v>
      </c>
      <c r="F3817" s="3" t="s">
        <v>399</v>
      </c>
      <c r="I3817" s="3" t="s">
        <v>1833</v>
      </c>
    </row>
    <row r="3818" spans="2:9" hidden="1" x14ac:dyDescent="0.4">
      <c r="B3818" s="8" t="s">
        <v>517</v>
      </c>
      <c r="C3818" s="3" t="s">
        <v>2629</v>
      </c>
      <c r="D3818" s="3" t="s">
        <v>2485</v>
      </c>
      <c r="E3818" s="3" t="s">
        <v>1272</v>
      </c>
      <c r="F3818" s="3" t="s">
        <v>402</v>
      </c>
      <c r="I3818" s="3" t="s">
        <v>1833</v>
      </c>
    </row>
    <row r="3819" spans="2:9" hidden="1" x14ac:dyDescent="0.4">
      <c r="B3819" s="8" t="s">
        <v>517</v>
      </c>
      <c r="C3819" s="3" t="s">
        <v>289</v>
      </c>
      <c r="D3819" s="3" t="s">
        <v>614</v>
      </c>
      <c r="F3819" s="3" t="s">
        <v>399</v>
      </c>
      <c r="I3819" s="3" t="s">
        <v>267</v>
      </c>
    </row>
    <row r="3820" spans="2:9" hidden="1" x14ac:dyDescent="0.4">
      <c r="B3820" s="8" t="s">
        <v>517</v>
      </c>
      <c r="C3820" s="3" t="s">
        <v>363</v>
      </c>
      <c r="D3820" s="3" t="s">
        <v>387</v>
      </c>
      <c r="F3820" s="3" t="s">
        <v>399</v>
      </c>
      <c r="I3820" s="3" t="s">
        <v>267</v>
      </c>
    </row>
    <row r="3821" spans="2:9" hidden="1" x14ac:dyDescent="0.4">
      <c r="B3821" s="8" t="s">
        <v>518</v>
      </c>
      <c r="C3821" s="3" t="s">
        <v>2305</v>
      </c>
      <c r="D3821" s="3" t="s">
        <v>2462</v>
      </c>
      <c r="E3821" s="3" t="s">
        <v>1272</v>
      </c>
      <c r="F3821" s="3" t="s">
        <v>399</v>
      </c>
      <c r="I3821" s="3" t="s">
        <v>1833</v>
      </c>
    </row>
    <row r="3822" spans="2:9" hidden="1" x14ac:dyDescent="0.4">
      <c r="B3822" s="8" t="s">
        <v>518</v>
      </c>
      <c r="C3822" s="3" t="s">
        <v>2607</v>
      </c>
      <c r="D3822" s="3" t="s">
        <v>2462</v>
      </c>
      <c r="E3822" s="3" t="s">
        <v>1272</v>
      </c>
      <c r="F3822" s="3" t="s">
        <v>402</v>
      </c>
      <c r="I3822" s="3" t="s">
        <v>1833</v>
      </c>
    </row>
    <row r="3823" spans="2:9" hidden="1" x14ac:dyDescent="0.4">
      <c r="B3823" s="8" t="s">
        <v>536</v>
      </c>
      <c r="C3823" s="3" t="str">
        <f>"-ure"</f>
        <v>-ure</v>
      </c>
      <c r="D3823" s="3" t="s">
        <v>2644</v>
      </c>
      <c r="E3823" s="3" t="s">
        <v>1272</v>
      </c>
      <c r="F3823" s="3" t="s">
        <v>1114</v>
      </c>
      <c r="I3823" s="3" t="s">
        <v>2370</v>
      </c>
    </row>
    <row r="3824" spans="2:9" hidden="1" x14ac:dyDescent="0.4">
      <c r="B3824" s="8" t="s">
        <v>532</v>
      </c>
      <c r="C3824" s="3" t="s">
        <v>866</v>
      </c>
      <c r="D3824" s="3" t="s">
        <v>878</v>
      </c>
      <c r="E3824" s="3" t="s">
        <v>425</v>
      </c>
      <c r="F3824" s="3" t="s">
        <v>399</v>
      </c>
      <c r="I3824" s="3" t="s">
        <v>824</v>
      </c>
    </row>
    <row r="3825" spans="2:9" hidden="1" x14ac:dyDescent="0.4">
      <c r="B3825" s="8" t="s">
        <v>532</v>
      </c>
      <c r="C3825" s="3" t="s">
        <v>866</v>
      </c>
      <c r="D3825" s="3" t="s">
        <v>903</v>
      </c>
      <c r="E3825" s="3" t="s">
        <v>425</v>
      </c>
      <c r="F3825" s="3" t="s">
        <v>399</v>
      </c>
      <c r="I3825" s="3" t="s">
        <v>523</v>
      </c>
    </row>
    <row r="3826" spans="2:9" hidden="1" x14ac:dyDescent="0.4">
      <c r="B3826" s="8" t="s">
        <v>532</v>
      </c>
      <c r="C3826" s="3" t="s">
        <v>866</v>
      </c>
      <c r="D3826" s="3" t="s">
        <v>890</v>
      </c>
      <c r="E3826" s="3" t="s">
        <v>425</v>
      </c>
      <c r="F3826" s="3" t="s">
        <v>399</v>
      </c>
      <c r="I3826" s="3" t="s">
        <v>898</v>
      </c>
    </row>
    <row r="3827" spans="2:9" hidden="1" x14ac:dyDescent="0.4">
      <c r="B3827" s="8" t="s">
        <v>532</v>
      </c>
      <c r="C3827" s="3" t="s">
        <v>956</v>
      </c>
      <c r="D3827" s="3" t="s">
        <v>878</v>
      </c>
      <c r="E3827" s="3" t="s">
        <v>425</v>
      </c>
      <c r="F3827" s="3" t="s">
        <v>402</v>
      </c>
      <c r="I3827" s="3" t="s">
        <v>824</v>
      </c>
    </row>
    <row r="3828" spans="2:9" hidden="1" x14ac:dyDescent="0.4">
      <c r="B3828" s="8" t="s">
        <v>532</v>
      </c>
      <c r="C3828" s="3" t="s">
        <v>956</v>
      </c>
      <c r="D3828" s="3" t="s">
        <v>903</v>
      </c>
      <c r="E3828" s="3" t="s">
        <v>425</v>
      </c>
      <c r="F3828" s="3" t="s">
        <v>402</v>
      </c>
      <c r="I3828" s="3" t="s">
        <v>523</v>
      </c>
    </row>
    <row r="3829" spans="2:9" hidden="1" x14ac:dyDescent="0.4">
      <c r="B3829" s="8" t="s">
        <v>532</v>
      </c>
      <c r="C3829" s="3" t="s">
        <v>956</v>
      </c>
      <c r="D3829" s="3" t="s">
        <v>890</v>
      </c>
      <c r="E3829" s="3" t="s">
        <v>425</v>
      </c>
      <c r="F3829" s="3" t="s">
        <v>402</v>
      </c>
      <c r="I3829" s="3" t="s">
        <v>898</v>
      </c>
    </row>
    <row r="3830" spans="2:9" hidden="1" x14ac:dyDescent="0.4">
      <c r="B3830" s="8" t="s">
        <v>532</v>
      </c>
      <c r="C3830" s="3" t="s">
        <v>955</v>
      </c>
      <c r="D3830" s="3" t="s">
        <v>878</v>
      </c>
      <c r="E3830" s="3" t="s">
        <v>425</v>
      </c>
      <c r="F3830" s="3" t="s">
        <v>402</v>
      </c>
      <c r="I3830" s="3" t="s">
        <v>824</v>
      </c>
    </row>
    <row r="3831" spans="2:9" hidden="1" x14ac:dyDescent="0.4">
      <c r="B3831" s="8" t="s">
        <v>532</v>
      </c>
      <c r="C3831" s="3" t="s">
        <v>955</v>
      </c>
      <c r="D3831" s="3" t="s">
        <v>903</v>
      </c>
      <c r="E3831" s="3" t="s">
        <v>425</v>
      </c>
      <c r="F3831" s="3" t="s">
        <v>402</v>
      </c>
      <c r="I3831" s="3" t="s">
        <v>523</v>
      </c>
    </row>
    <row r="3832" spans="2:9" hidden="1" x14ac:dyDescent="0.4">
      <c r="B3832" s="8" t="s">
        <v>532</v>
      </c>
      <c r="C3832" s="3" t="s">
        <v>955</v>
      </c>
      <c r="D3832" s="3" t="s">
        <v>890</v>
      </c>
      <c r="E3832" s="3" t="s">
        <v>425</v>
      </c>
      <c r="F3832" s="3" t="s">
        <v>402</v>
      </c>
      <c r="I3832" s="3" t="s">
        <v>898</v>
      </c>
    </row>
    <row r="3833" spans="2:9" hidden="1" x14ac:dyDescent="0.4">
      <c r="B3833" s="8" t="s">
        <v>517</v>
      </c>
      <c r="C3833" s="3" t="s">
        <v>4240</v>
      </c>
      <c r="D3833" s="3" t="s">
        <v>3854</v>
      </c>
      <c r="F3833" s="3" t="s">
        <v>399</v>
      </c>
      <c r="G3833" s="3" t="s">
        <v>402</v>
      </c>
      <c r="I3833" s="3" t="s">
        <v>4064</v>
      </c>
    </row>
    <row r="3834" spans="2:9" hidden="1" x14ac:dyDescent="0.4">
      <c r="B3834" s="8" t="s">
        <v>517</v>
      </c>
      <c r="C3834" s="3" t="s">
        <v>4465</v>
      </c>
      <c r="D3834" s="3" t="s">
        <v>4818</v>
      </c>
      <c r="F3834" s="3" t="s">
        <v>399</v>
      </c>
      <c r="I3834" s="3" t="s">
        <v>4064</v>
      </c>
    </row>
    <row r="3835" spans="2:9" hidden="1" x14ac:dyDescent="0.4">
      <c r="B3835" s="8" t="s">
        <v>517</v>
      </c>
      <c r="C3835" s="3" t="s">
        <v>5221</v>
      </c>
      <c r="D3835" s="3" t="s">
        <v>5543</v>
      </c>
      <c r="F3835" s="3" t="s">
        <v>402</v>
      </c>
      <c r="I3835" s="3" t="s">
        <v>4064</v>
      </c>
    </row>
    <row r="3836" spans="2:9" hidden="1" x14ac:dyDescent="0.4">
      <c r="B3836" s="8" t="s">
        <v>517</v>
      </c>
      <c r="C3836" s="3" t="s">
        <v>3546</v>
      </c>
      <c r="D3836" s="3" t="s">
        <v>3854</v>
      </c>
      <c r="F3836" s="3" t="s">
        <v>399</v>
      </c>
      <c r="G3836" s="3" t="s">
        <v>402</v>
      </c>
      <c r="I3836" s="3" t="s">
        <v>4063</v>
      </c>
    </row>
    <row r="3837" spans="2:9" hidden="1" x14ac:dyDescent="0.4">
      <c r="B3837" s="8" t="s">
        <v>517</v>
      </c>
      <c r="C3837" s="3" t="s">
        <v>5856</v>
      </c>
      <c r="D3837" s="3" t="s">
        <v>4818</v>
      </c>
      <c r="F3837" s="3" t="s">
        <v>399</v>
      </c>
      <c r="I3837" s="3" t="s">
        <v>4063</v>
      </c>
    </row>
    <row r="3838" spans="2:9" hidden="1" x14ac:dyDescent="0.4">
      <c r="B3838" s="8" t="s">
        <v>517</v>
      </c>
      <c r="C3838" s="3" t="s">
        <v>6201</v>
      </c>
      <c r="D3838" s="3" t="s">
        <v>5543</v>
      </c>
      <c r="F3838" s="3" t="s">
        <v>402</v>
      </c>
      <c r="I3838" s="3" t="s">
        <v>4063</v>
      </c>
    </row>
    <row r="3839" spans="2:9" hidden="1" x14ac:dyDescent="0.4">
      <c r="B3839" s="8" t="s">
        <v>517</v>
      </c>
      <c r="C3839" s="3" t="s">
        <v>3547</v>
      </c>
      <c r="D3839" s="3" t="s">
        <v>3854</v>
      </c>
      <c r="F3839" s="3" t="s">
        <v>399</v>
      </c>
      <c r="G3839" s="3" t="s">
        <v>402</v>
      </c>
      <c r="I3839" s="3" t="s">
        <v>4063</v>
      </c>
    </row>
    <row r="3840" spans="2:9" hidden="1" x14ac:dyDescent="0.4">
      <c r="B3840" s="8" t="s">
        <v>517</v>
      </c>
      <c r="C3840" s="3" t="s">
        <v>5857</v>
      </c>
      <c r="D3840" s="3" t="s">
        <v>4818</v>
      </c>
      <c r="F3840" s="3" t="s">
        <v>399</v>
      </c>
      <c r="I3840" s="3" t="s">
        <v>4063</v>
      </c>
    </row>
    <row r="3841" spans="2:9" hidden="1" x14ac:dyDescent="0.4">
      <c r="B3841" s="8" t="s">
        <v>517</v>
      </c>
      <c r="C3841" s="3" t="s">
        <v>6202</v>
      </c>
      <c r="D3841" s="3" t="s">
        <v>5543</v>
      </c>
      <c r="F3841" s="3" t="s">
        <v>402</v>
      </c>
      <c r="I3841" s="3" t="s">
        <v>4063</v>
      </c>
    </row>
    <row r="3842" spans="2:9" hidden="1" x14ac:dyDescent="0.4">
      <c r="B3842" s="8" t="s">
        <v>517</v>
      </c>
      <c r="C3842" s="3" t="s">
        <v>3459</v>
      </c>
      <c r="D3842" s="3" t="s">
        <v>3767</v>
      </c>
      <c r="F3842" s="3" t="s">
        <v>399</v>
      </c>
      <c r="G3842" s="3" t="s">
        <v>402</v>
      </c>
      <c r="I3842" s="3" t="s">
        <v>4063</v>
      </c>
    </row>
    <row r="3843" spans="2:9" hidden="1" x14ac:dyDescent="0.4">
      <c r="B3843" s="8" t="s">
        <v>517</v>
      </c>
      <c r="C3843" s="3" t="s">
        <v>5783</v>
      </c>
      <c r="D3843" s="3" t="s">
        <v>4887</v>
      </c>
      <c r="F3843" s="3" t="s">
        <v>399</v>
      </c>
      <c r="I3843" s="3" t="s">
        <v>4063</v>
      </c>
    </row>
    <row r="3844" spans="2:9" hidden="1" x14ac:dyDescent="0.4">
      <c r="B3844" s="8" t="s">
        <v>517</v>
      </c>
      <c r="C3844" s="3" t="s">
        <v>6126</v>
      </c>
      <c r="D3844" s="3" t="s">
        <v>5455</v>
      </c>
      <c r="F3844" s="3" t="s">
        <v>402</v>
      </c>
      <c r="I3844" s="3" t="s">
        <v>4063</v>
      </c>
    </row>
    <row r="3845" spans="2:9" hidden="1" x14ac:dyDescent="0.4">
      <c r="B3845" s="8" t="s">
        <v>517</v>
      </c>
      <c r="C3845" s="3" t="s">
        <v>4161</v>
      </c>
      <c r="D3845" s="3" t="s">
        <v>3767</v>
      </c>
      <c r="F3845" s="3" t="s">
        <v>399</v>
      </c>
      <c r="G3845" s="3" t="s">
        <v>402</v>
      </c>
      <c r="I3845" s="3" t="s">
        <v>4064</v>
      </c>
    </row>
    <row r="3846" spans="2:9" hidden="1" x14ac:dyDescent="0.4">
      <c r="B3846" s="8" t="s">
        <v>517</v>
      </c>
      <c r="C3846" s="3" t="s">
        <v>4636</v>
      </c>
      <c r="D3846" s="3" t="s">
        <v>4887</v>
      </c>
      <c r="F3846" s="3" t="s">
        <v>399</v>
      </c>
      <c r="I3846" s="3" t="s">
        <v>4064</v>
      </c>
    </row>
    <row r="3847" spans="2:9" hidden="1" x14ac:dyDescent="0.4">
      <c r="B3847" s="8" t="s">
        <v>517</v>
      </c>
      <c r="C3847" s="3" t="s">
        <v>5132</v>
      </c>
      <c r="D3847" s="3" t="s">
        <v>5455</v>
      </c>
      <c r="F3847" s="3" t="s">
        <v>402</v>
      </c>
      <c r="I3847" s="3" t="s">
        <v>4064</v>
      </c>
    </row>
    <row r="3848" spans="2:9" ht="29.25" hidden="1" x14ac:dyDescent="0.4">
      <c r="B3848" s="8" t="s">
        <v>518</v>
      </c>
      <c r="C3848" s="3" t="s">
        <v>3040</v>
      </c>
      <c r="D3848" s="3" t="s">
        <v>3276</v>
      </c>
      <c r="E3848" s="3">
        <v>1</v>
      </c>
      <c r="F3848" s="3" t="s">
        <v>402</v>
      </c>
      <c r="G3848" s="3" t="s">
        <v>399</v>
      </c>
      <c r="H3848" s="3" t="s">
        <v>988</v>
      </c>
      <c r="I3848" s="3" t="s">
        <v>245</v>
      </c>
    </row>
    <row r="3849" spans="2:9" hidden="1" x14ac:dyDescent="0.4">
      <c r="B3849" s="8" t="s">
        <v>517</v>
      </c>
      <c r="C3849" s="3" t="s">
        <v>1927</v>
      </c>
      <c r="D3849" s="3" t="s">
        <v>1959</v>
      </c>
      <c r="F3849" s="3" t="s">
        <v>399</v>
      </c>
      <c r="I3849" s="3" t="s">
        <v>1968</v>
      </c>
    </row>
    <row r="3850" spans="2:9" hidden="1" x14ac:dyDescent="0.4">
      <c r="B3850" s="8" t="s">
        <v>517</v>
      </c>
      <c r="C3850" s="3" t="s">
        <v>2007</v>
      </c>
      <c r="D3850" s="3" t="s">
        <v>2011</v>
      </c>
      <c r="F3850" s="3" t="s">
        <v>402</v>
      </c>
      <c r="I3850" s="3" t="s">
        <v>1968</v>
      </c>
    </row>
    <row r="3851" spans="2:9" hidden="1" x14ac:dyDescent="0.4">
      <c r="B3851" s="8" t="s">
        <v>529</v>
      </c>
      <c r="C3851" s="3" t="s">
        <v>325</v>
      </c>
      <c r="D3851" s="3" t="s">
        <v>615</v>
      </c>
      <c r="F3851" s="3" t="s">
        <v>399</v>
      </c>
      <c r="I3851" s="3" t="s">
        <v>267</v>
      </c>
    </row>
    <row r="3852" spans="2:9" hidden="1" x14ac:dyDescent="0.4">
      <c r="B3852" s="8" t="s">
        <v>529</v>
      </c>
      <c r="C3852" s="3" t="s">
        <v>201</v>
      </c>
      <c r="D3852" s="3" t="s">
        <v>561</v>
      </c>
      <c r="F3852" s="3" t="s">
        <v>399</v>
      </c>
      <c r="I3852" s="3" t="s">
        <v>267</v>
      </c>
    </row>
    <row r="3853" spans="2:9" hidden="1" x14ac:dyDescent="0.4">
      <c r="B3853" s="8" t="s">
        <v>517</v>
      </c>
      <c r="C3853" s="3" t="s">
        <v>2243</v>
      </c>
      <c r="D3853" s="3" t="s">
        <v>2400</v>
      </c>
      <c r="E3853" s="3" t="s">
        <v>1272</v>
      </c>
      <c r="F3853" s="3" t="s">
        <v>399</v>
      </c>
      <c r="I3853" s="3" t="s">
        <v>1833</v>
      </c>
    </row>
    <row r="3854" spans="2:9" hidden="1" x14ac:dyDescent="0.4">
      <c r="B3854" s="8" t="s">
        <v>517</v>
      </c>
      <c r="C3854" s="3" t="s">
        <v>2555</v>
      </c>
      <c r="D3854" s="3" t="s">
        <v>2400</v>
      </c>
      <c r="E3854" s="3" t="s">
        <v>1272</v>
      </c>
      <c r="F3854" s="3" t="s">
        <v>402</v>
      </c>
      <c r="I3854" s="3" t="s">
        <v>1833</v>
      </c>
    </row>
    <row r="3855" spans="2:9" hidden="1" x14ac:dyDescent="0.4">
      <c r="B3855" s="8" t="s">
        <v>530</v>
      </c>
      <c r="C3855" s="3" t="s">
        <v>2962</v>
      </c>
      <c r="D3855" s="3" t="s">
        <v>3201</v>
      </c>
      <c r="E3855" s="3">
        <v>1</v>
      </c>
      <c r="F3855" s="3" t="s">
        <v>402</v>
      </c>
      <c r="I3855" s="3" t="s">
        <v>245</v>
      </c>
    </row>
    <row r="3856" spans="2:9" hidden="1" x14ac:dyDescent="0.4">
      <c r="B3856" s="8" t="s">
        <v>520</v>
      </c>
      <c r="C3856" s="3" t="s">
        <v>4674</v>
      </c>
      <c r="D3856" s="3" t="s">
        <v>4922</v>
      </c>
      <c r="F3856" s="3" t="s">
        <v>399</v>
      </c>
      <c r="I3856" s="3" t="s">
        <v>4064</v>
      </c>
    </row>
    <row r="3857" spans="2:9" hidden="1" x14ac:dyDescent="0.4">
      <c r="B3857" s="8" t="s">
        <v>520</v>
      </c>
      <c r="C3857" s="3" t="s">
        <v>5238</v>
      </c>
      <c r="D3857" s="3" t="s">
        <v>5560</v>
      </c>
      <c r="F3857" s="3" t="s">
        <v>402</v>
      </c>
      <c r="I3857" s="3" t="s">
        <v>4064</v>
      </c>
    </row>
    <row r="3858" spans="2:9" hidden="1" x14ac:dyDescent="0.4">
      <c r="B3858" s="8" t="s">
        <v>520</v>
      </c>
      <c r="C3858" s="3" t="s">
        <v>3564</v>
      </c>
      <c r="D3858" s="3" t="s">
        <v>3871</v>
      </c>
      <c r="F3858" s="3" t="s">
        <v>399</v>
      </c>
      <c r="G3858" s="3" t="s">
        <v>402</v>
      </c>
      <c r="I3858" s="3" t="s">
        <v>4063</v>
      </c>
    </row>
    <row r="3859" spans="2:9" hidden="1" x14ac:dyDescent="0.4">
      <c r="B3859" s="8" t="s">
        <v>520</v>
      </c>
      <c r="C3859" s="3" t="s">
        <v>5873</v>
      </c>
      <c r="D3859" s="3" t="s">
        <v>4922</v>
      </c>
      <c r="F3859" s="3" t="s">
        <v>399</v>
      </c>
      <c r="I3859" s="3" t="s">
        <v>4063</v>
      </c>
    </row>
    <row r="3860" spans="2:9" hidden="1" x14ac:dyDescent="0.4">
      <c r="B3860" s="8" t="s">
        <v>520</v>
      </c>
      <c r="C3860" s="3" t="s">
        <v>6219</v>
      </c>
      <c r="D3860" s="3" t="s">
        <v>5560</v>
      </c>
      <c r="F3860" s="3" t="s">
        <v>402</v>
      </c>
      <c r="I3860" s="3" t="s">
        <v>4063</v>
      </c>
    </row>
    <row r="3861" spans="2:9" hidden="1" x14ac:dyDescent="0.4">
      <c r="B3861" s="8" t="s">
        <v>520</v>
      </c>
      <c r="C3861" s="3" t="s">
        <v>4258</v>
      </c>
      <c r="D3861" s="3" t="s">
        <v>3871</v>
      </c>
      <c r="F3861" s="3" t="s">
        <v>399</v>
      </c>
      <c r="G3861" s="3" t="s">
        <v>402</v>
      </c>
      <c r="I3861" s="3" t="s">
        <v>4064</v>
      </c>
    </row>
    <row r="3862" spans="2:9" hidden="1" x14ac:dyDescent="0.4">
      <c r="B3862" s="8" t="s">
        <v>518</v>
      </c>
      <c r="C3862" s="3" t="s">
        <v>126</v>
      </c>
      <c r="D3862" s="3" t="s">
        <v>405</v>
      </c>
      <c r="E3862" s="3" t="s">
        <v>425</v>
      </c>
      <c r="F3862" s="3" t="s">
        <v>400</v>
      </c>
      <c r="I3862" s="3" t="s">
        <v>252</v>
      </c>
    </row>
    <row r="3863" spans="2:9" hidden="1" x14ac:dyDescent="0.4">
      <c r="B3863" s="8">
        <v>0</v>
      </c>
      <c r="C3863" s="3" t="s">
        <v>127</v>
      </c>
      <c r="D3863" s="3" t="s">
        <v>405</v>
      </c>
      <c r="E3863" s="3" t="s">
        <v>425</v>
      </c>
      <c r="F3863" s="3" t="s">
        <v>825</v>
      </c>
      <c r="I3863" s="3" t="s">
        <v>252</v>
      </c>
    </row>
    <row r="3864" spans="2:9" hidden="1" x14ac:dyDescent="0.4">
      <c r="B3864" s="8" t="s">
        <v>531</v>
      </c>
      <c r="C3864" s="3" t="s">
        <v>1447</v>
      </c>
      <c r="D3864" s="3" t="s">
        <v>1489</v>
      </c>
      <c r="F3864" s="3" t="s">
        <v>399</v>
      </c>
      <c r="I3864" s="3" t="s">
        <v>1335</v>
      </c>
    </row>
    <row r="3865" spans="2:9" hidden="1" x14ac:dyDescent="0.4">
      <c r="B3865" s="8" t="s">
        <v>531</v>
      </c>
      <c r="C3865" s="3" t="s">
        <v>1557</v>
      </c>
      <c r="D3865" s="3" t="s">
        <v>1489</v>
      </c>
      <c r="F3865" s="3" t="s">
        <v>402</v>
      </c>
      <c r="I3865" s="3" t="s">
        <v>1335</v>
      </c>
    </row>
    <row r="3866" spans="2:9" hidden="1" x14ac:dyDescent="0.4">
      <c r="B3866" s="8" t="s">
        <v>531</v>
      </c>
      <c r="C3866" s="3" t="s">
        <v>1557</v>
      </c>
      <c r="D3866" s="3" t="s">
        <v>1699</v>
      </c>
      <c r="F3866" s="3" t="s">
        <v>399</v>
      </c>
      <c r="G3866" s="3" t="s">
        <v>402</v>
      </c>
      <c r="I3866" s="3" t="s">
        <v>1700</v>
      </c>
    </row>
    <row r="3867" spans="2:9" hidden="1" x14ac:dyDescent="0.4">
      <c r="B3867" s="8" t="s">
        <v>531</v>
      </c>
      <c r="C3867" s="3" t="s">
        <v>1557</v>
      </c>
      <c r="D3867" s="3" t="s">
        <v>1489</v>
      </c>
      <c r="F3867" s="3" t="s">
        <v>402</v>
      </c>
      <c r="I3867" s="3" t="s">
        <v>1335</v>
      </c>
    </row>
    <row r="3868" spans="2:9" hidden="1" x14ac:dyDescent="0.4">
      <c r="B3868" s="8" t="s">
        <v>531</v>
      </c>
      <c r="C3868" s="3" t="s">
        <v>1557</v>
      </c>
      <c r="D3868" s="3" t="s">
        <v>1701</v>
      </c>
      <c r="F3868" s="3" t="s">
        <v>399</v>
      </c>
      <c r="G3868" s="3" t="s">
        <v>402</v>
      </c>
      <c r="I3868" s="3" t="s">
        <v>1700</v>
      </c>
    </row>
    <row r="3869" spans="2:9" hidden="1" x14ac:dyDescent="0.4">
      <c r="B3869" s="8" t="s">
        <v>531</v>
      </c>
      <c r="C3869" s="3" t="s">
        <v>1702</v>
      </c>
      <c r="D3869" s="3" t="s">
        <v>1699</v>
      </c>
      <c r="F3869" s="3" t="s">
        <v>399</v>
      </c>
      <c r="I3869" s="3" t="s">
        <v>1700</v>
      </c>
    </row>
    <row r="3870" spans="2:9" hidden="1" x14ac:dyDescent="0.4">
      <c r="B3870" s="8" t="s">
        <v>531</v>
      </c>
      <c r="C3870" s="3" t="s">
        <v>1702</v>
      </c>
      <c r="D3870" s="3" t="s">
        <v>1701</v>
      </c>
      <c r="F3870" s="3" t="s">
        <v>399</v>
      </c>
      <c r="G3870" s="3" t="s">
        <v>402</v>
      </c>
      <c r="I3870" s="3" t="s">
        <v>1700</v>
      </c>
    </row>
    <row r="3871" spans="2:9" hidden="1" x14ac:dyDescent="0.4">
      <c r="B3871" s="8" t="s">
        <v>517</v>
      </c>
      <c r="C3871" s="3" t="s">
        <v>3515</v>
      </c>
      <c r="D3871" s="3" t="s">
        <v>3818</v>
      </c>
      <c r="F3871" s="3" t="s">
        <v>399</v>
      </c>
      <c r="G3871" s="3" t="s">
        <v>402</v>
      </c>
      <c r="I3871" s="3" t="s">
        <v>4063</v>
      </c>
    </row>
    <row r="3872" spans="2:9" hidden="1" x14ac:dyDescent="0.4">
      <c r="B3872" s="8" t="s">
        <v>517</v>
      </c>
      <c r="C3872" s="3" t="s">
        <v>5829</v>
      </c>
      <c r="D3872" s="3" t="s">
        <v>4787</v>
      </c>
      <c r="F3872" s="3" t="s">
        <v>399</v>
      </c>
      <c r="I3872" s="3" t="s">
        <v>4063</v>
      </c>
    </row>
    <row r="3873" spans="2:9" hidden="1" x14ac:dyDescent="0.4">
      <c r="B3873" s="8" t="s">
        <v>517</v>
      </c>
      <c r="C3873" s="3" t="s">
        <v>6172</v>
      </c>
      <c r="D3873" s="3" t="s">
        <v>5508</v>
      </c>
      <c r="F3873" s="3" t="s">
        <v>402</v>
      </c>
      <c r="I3873" s="3" t="s">
        <v>4063</v>
      </c>
    </row>
    <row r="3874" spans="2:9" hidden="1" x14ac:dyDescent="0.4">
      <c r="B3874" s="8" t="s">
        <v>517</v>
      </c>
      <c r="C3874" s="3" t="s">
        <v>4212</v>
      </c>
      <c r="D3874" s="3" t="s">
        <v>3818</v>
      </c>
      <c r="F3874" s="3" t="s">
        <v>399</v>
      </c>
      <c r="G3874" s="3" t="s">
        <v>402</v>
      </c>
      <c r="I3874" s="3" t="s">
        <v>4064</v>
      </c>
    </row>
    <row r="3875" spans="2:9" hidden="1" x14ac:dyDescent="0.4">
      <c r="B3875" s="8" t="s">
        <v>517</v>
      </c>
      <c r="C3875" s="3" t="s">
        <v>4439</v>
      </c>
      <c r="D3875" s="3" t="s">
        <v>4787</v>
      </c>
      <c r="F3875" s="3" t="s">
        <v>399</v>
      </c>
      <c r="I3875" s="3" t="s">
        <v>4064</v>
      </c>
    </row>
    <row r="3876" spans="2:9" hidden="1" x14ac:dyDescent="0.4">
      <c r="B3876" s="8" t="s">
        <v>517</v>
      </c>
      <c r="C3876" s="3" t="s">
        <v>5187</v>
      </c>
      <c r="D3876" s="3" t="s">
        <v>5508</v>
      </c>
      <c r="F3876" s="3" t="s">
        <v>402</v>
      </c>
      <c r="I3876" s="3" t="s">
        <v>4064</v>
      </c>
    </row>
    <row r="3877" spans="2:9" hidden="1" x14ac:dyDescent="0.4">
      <c r="B3877" s="8" t="s">
        <v>517</v>
      </c>
      <c r="C3877" s="3" t="s">
        <v>213</v>
      </c>
      <c r="D3877" s="3" t="s">
        <v>249</v>
      </c>
      <c r="F3877" s="3" t="s">
        <v>399</v>
      </c>
      <c r="I3877" s="3" t="s">
        <v>268</v>
      </c>
    </row>
    <row r="3878" spans="2:9" hidden="1" x14ac:dyDescent="0.4">
      <c r="B3878" s="8" t="s">
        <v>531</v>
      </c>
      <c r="C3878" s="3" t="s">
        <v>139</v>
      </c>
      <c r="D3878" s="3" t="s">
        <v>151</v>
      </c>
      <c r="E3878" s="3" t="s">
        <v>425</v>
      </c>
      <c r="F3878" s="3" t="s">
        <v>400</v>
      </c>
      <c r="I3878" s="3" t="s">
        <v>252</v>
      </c>
    </row>
    <row r="3879" spans="2:9" hidden="1" x14ac:dyDescent="0.4">
      <c r="B3879" s="8" t="s">
        <v>517</v>
      </c>
      <c r="C3879" s="3" t="s">
        <v>4137</v>
      </c>
      <c r="D3879" s="3" t="s">
        <v>3736</v>
      </c>
      <c r="F3879" s="3" t="s">
        <v>399</v>
      </c>
      <c r="G3879" s="3" t="s">
        <v>402</v>
      </c>
      <c r="I3879" s="3" t="s">
        <v>4064</v>
      </c>
    </row>
    <row r="3880" spans="2:9" hidden="1" x14ac:dyDescent="0.4">
      <c r="B3880" s="8" t="s">
        <v>517</v>
      </c>
      <c r="C3880" s="3" t="s">
        <v>4400</v>
      </c>
      <c r="D3880" s="3" t="s">
        <v>4751</v>
      </c>
      <c r="F3880" s="3" t="s">
        <v>399</v>
      </c>
      <c r="I3880" s="3" t="s">
        <v>4064</v>
      </c>
    </row>
    <row r="3881" spans="2:9" hidden="1" x14ac:dyDescent="0.4">
      <c r="B3881" s="8" t="s">
        <v>517</v>
      </c>
      <c r="C3881" s="3" t="s">
        <v>5104</v>
      </c>
      <c r="D3881" s="3" t="s">
        <v>5427</v>
      </c>
      <c r="F3881" s="3" t="s">
        <v>402</v>
      </c>
      <c r="I3881" s="3" t="s">
        <v>4064</v>
      </c>
    </row>
    <row r="3882" spans="2:9" hidden="1" x14ac:dyDescent="0.4">
      <c r="B3882" s="8" t="s">
        <v>517</v>
      </c>
      <c r="C3882" s="3" t="s">
        <v>3429</v>
      </c>
      <c r="D3882" s="3" t="s">
        <v>3736</v>
      </c>
      <c r="F3882" s="3" t="s">
        <v>399</v>
      </c>
      <c r="G3882" s="3" t="s">
        <v>402</v>
      </c>
      <c r="I3882" s="3" t="s">
        <v>4063</v>
      </c>
    </row>
    <row r="3883" spans="2:9" hidden="1" x14ac:dyDescent="0.4">
      <c r="B3883" s="8" t="s">
        <v>517</v>
      </c>
      <c r="C3883" s="3" t="s">
        <v>5761</v>
      </c>
      <c r="D3883" s="3" t="s">
        <v>4751</v>
      </c>
      <c r="F3883" s="3" t="s">
        <v>399</v>
      </c>
      <c r="I3883" s="3" t="s">
        <v>4063</v>
      </c>
    </row>
    <row r="3884" spans="2:9" hidden="1" x14ac:dyDescent="0.4">
      <c r="B3884" s="8" t="s">
        <v>517</v>
      </c>
      <c r="C3884" s="3" t="s">
        <v>6103</v>
      </c>
      <c r="D3884" s="3" t="s">
        <v>5427</v>
      </c>
      <c r="F3884" s="3" t="s">
        <v>402</v>
      </c>
      <c r="I3884" s="3" t="s">
        <v>4063</v>
      </c>
    </row>
    <row r="3885" spans="2:9" hidden="1" x14ac:dyDescent="0.4">
      <c r="B3885" s="8" t="s">
        <v>517</v>
      </c>
      <c r="C3885" s="3" t="s">
        <v>3095</v>
      </c>
      <c r="D3885" s="3" t="s">
        <v>3327</v>
      </c>
      <c r="E3885" s="3">
        <v>1</v>
      </c>
      <c r="F3885" s="3" t="s">
        <v>402</v>
      </c>
      <c r="G3885" s="3" t="s">
        <v>1279</v>
      </c>
      <c r="I3885" s="3" t="s">
        <v>245</v>
      </c>
    </row>
    <row r="3886" spans="2:9" hidden="1" x14ac:dyDescent="0.4">
      <c r="B3886" s="8" t="s">
        <v>520</v>
      </c>
      <c r="C3886" s="3" t="s">
        <v>1788</v>
      </c>
      <c r="D3886" s="3" t="s">
        <v>1860</v>
      </c>
      <c r="F3886" s="3" t="s">
        <v>402</v>
      </c>
      <c r="I3886" s="3" t="s">
        <v>1838</v>
      </c>
    </row>
    <row r="3887" spans="2:9" hidden="1" x14ac:dyDescent="0.4">
      <c r="B3887" s="8" t="s">
        <v>520</v>
      </c>
      <c r="C3887" s="3" t="s">
        <v>2158</v>
      </c>
      <c r="D3887" s="3" t="s">
        <v>2173</v>
      </c>
      <c r="F3887" s="3" t="s">
        <v>399</v>
      </c>
      <c r="I3887" s="3" t="s">
        <v>1838</v>
      </c>
    </row>
    <row r="3888" spans="2:9" hidden="1" x14ac:dyDescent="0.4">
      <c r="B3888" s="8" t="s">
        <v>1990</v>
      </c>
      <c r="C3888" s="3" t="s">
        <v>2188</v>
      </c>
      <c r="D3888" s="3" t="s">
        <v>2173</v>
      </c>
      <c r="F3888" s="3" t="s">
        <v>399</v>
      </c>
      <c r="I3888" s="3" t="s">
        <v>1838</v>
      </c>
    </row>
    <row r="3889" spans="2:9" hidden="1" x14ac:dyDescent="0.4">
      <c r="B3889" s="8" t="s">
        <v>520</v>
      </c>
      <c r="C3889" s="3" t="s">
        <v>2972</v>
      </c>
      <c r="D3889" s="3" t="s">
        <v>3211</v>
      </c>
      <c r="E3889" s="3">
        <v>1</v>
      </c>
      <c r="F3889" s="3" t="s">
        <v>402</v>
      </c>
      <c r="G3889" s="3" t="s">
        <v>988</v>
      </c>
      <c r="I3889" s="3" t="s">
        <v>245</v>
      </c>
    </row>
    <row r="3890" spans="2:9" hidden="1" x14ac:dyDescent="0.4">
      <c r="B3890" s="8" t="s">
        <v>520</v>
      </c>
      <c r="C3890" s="3" t="s">
        <v>1460</v>
      </c>
      <c r="D3890" s="3" t="s">
        <v>1502</v>
      </c>
      <c r="F3890" s="3" t="s">
        <v>399</v>
      </c>
      <c r="G3890" s="3" t="s">
        <v>402</v>
      </c>
      <c r="I3890" s="3" t="s">
        <v>1489</v>
      </c>
    </row>
    <row r="3891" spans="2:9" hidden="1" x14ac:dyDescent="0.4">
      <c r="B3891" s="8" t="s">
        <v>520</v>
      </c>
      <c r="C3891" s="3" t="s">
        <v>1570</v>
      </c>
      <c r="D3891" s="3" t="s">
        <v>1502</v>
      </c>
      <c r="F3891" s="3" t="s">
        <v>402</v>
      </c>
      <c r="I3891" s="3" t="s">
        <v>1489</v>
      </c>
    </row>
    <row r="3892" spans="2:9" hidden="1" x14ac:dyDescent="0.4">
      <c r="B3892" s="8" t="s">
        <v>823</v>
      </c>
      <c r="C3892" s="3" t="s">
        <v>1685</v>
      </c>
      <c r="D3892" s="3" t="s">
        <v>1502</v>
      </c>
      <c r="F3892" s="3" t="s">
        <v>1124</v>
      </c>
      <c r="I3892" s="3" t="s">
        <v>1489</v>
      </c>
    </row>
    <row r="3893" spans="2:9" hidden="1" x14ac:dyDescent="0.4">
      <c r="B3893" s="8" t="s">
        <v>520</v>
      </c>
      <c r="C3893" s="3" t="s">
        <v>1780</v>
      </c>
      <c r="D3893" s="3" t="s">
        <v>1854</v>
      </c>
      <c r="F3893" s="3" t="s">
        <v>399</v>
      </c>
      <c r="G3893" s="3" t="s">
        <v>402</v>
      </c>
      <c r="I3893" s="3" t="s">
        <v>1842</v>
      </c>
    </row>
    <row r="3894" spans="2:9" hidden="1" x14ac:dyDescent="0.4">
      <c r="B3894" s="8" t="s">
        <v>517</v>
      </c>
      <c r="C3894" s="3" t="s">
        <v>2949</v>
      </c>
      <c r="D3894" s="3" t="s">
        <v>3188</v>
      </c>
      <c r="E3894" s="3">
        <v>1</v>
      </c>
      <c r="F3894" s="3" t="s">
        <v>402</v>
      </c>
      <c r="I3894" s="3" t="s">
        <v>245</v>
      </c>
    </row>
    <row r="3895" spans="2:9" hidden="1" x14ac:dyDescent="0.4">
      <c r="B3895" s="8" t="s">
        <v>517</v>
      </c>
      <c r="C3895" s="3" t="s">
        <v>838</v>
      </c>
      <c r="D3895" s="3" t="s">
        <v>849</v>
      </c>
      <c r="E3895" s="3" t="s">
        <v>425</v>
      </c>
      <c r="F3895" s="3" t="s">
        <v>399</v>
      </c>
      <c r="I3895" s="3" t="s">
        <v>824</v>
      </c>
    </row>
    <row r="3896" spans="2:9" hidden="1" x14ac:dyDescent="0.4">
      <c r="B3896" s="8" t="s">
        <v>517</v>
      </c>
      <c r="C3896" s="3" t="s">
        <v>936</v>
      </c>
      <c r="D3896" s="3" t="s">
        <v>849</v>
      </c>
      <c r="E3896" s="3" t="s">
        <v>425</v>
      </c>
      <c r="F3896" s="3" t="s">
        <v>402</v>
      </c>
      <c r="I3896" s="3" t="s">
        <v>824</v>
      </c>
    </row>
    <row r="3897" spans="2:9" hidden="1" x14ac:dyDescent="0.4">
      <c r="B3897" s="8" t="s">
        <v>529</v>
      </c>
      <c r="C3897" s="3" t="s">
        <v>767</v>
      </c>
      <c r="D3897" s="3" t="s">
        <v>778</v>
      </c>
      <c r="E3897" s="3" t="s">
        <v>425</v>
      </c>
      <c r="F3897" s="3" t="s">
        <v>399</v>
      </c>
      <c r="G3897" s="3" t="s">
        <v>402</v>
      </c>
      <c r="I3897" s="3" t="s">
        <v>781</v>
      </c>
    </row>
    <row r="3898" spans="2:9" hidden="1" x14ac:dyDescent="0.4">
      <c r="B3898" s="8" t="s">
        <v>529</v>
      </c>
      <c r="C3898" s="3" t="s">
        <v>792</v>
      </c>
      <c r="D3898" s="3" t="s">
        <v>778</v>
      </c>
      <c r="E3898" s="3" t="s">
        <v>425</v>
      </c>
      <c r="F3898" s="3" t="s">
        <v>402</v>
      </c>
      <c r="I3898" s="3" t="s">
        <v>781</v>
      </c>
    </row>
    <row r="3899" spans="2:9" hidden="1" x14ac:dyDescent="0.4">
      <c r="B3899" s="8" t="s">
        <v>517</v>
      </c>
      <c r="C3899" s="3" t="s">
        <v>842</v>
      </c>
      <c r="D3899" s="3" t="s">
        <v>855</v>
      </c>
      <c r="E3899" s="3" t="s">
        <v>425</v>
      </c>
      <c r="F3899" s="3" t="s">
        <v>399</v>
      </c>
      <c r="I3899" s="3" t="s">
        <v>824</v>
      </c>
    </row>
    <row r="3900" spans="2:9" hidden="1" x14ac:dyDescent="0.4">
      <c r="B3900" s="8" t="s">
        <v>517</v>
      </c>
      <c r="C3900" s="3" t="s">
        <v>940</v>
      </c>
      <c r="D3900" s="3" t="s">
        <v>855</v>
      </c>
      <c r="E3900" s="3" t="s">
        <v>425</v>
      </c>
      <c r="F3900" s="3" t="s">
        <v>402</v>
      </c>
      <c r="I3900" s="3" t="s">
        <v>824</v>
      </c>
    </row>
    <row r="3901" spans="2:9" hidden="1" x14ac:dyDescent="0.4">
      <c r="B3901" s="8" t="s">
        <v>517</v>
      </c>
      <c r="C3901" s="3" t="s">
        <v>133</v>
      </c>
      <c r="D3901" s="3" t="s">
        <v>406</v>
      </c>
      <c r="E3901" s="3" t="s">
        <v>425</v>
      </c>
      <c r="F3901" s="3" t="s">
        <v>400</v>
      </c>
      <c r="I3901" s="3" t="s">
        <v>252</v>
      </c>
    </row>
    <row r="3902" spans="2:9" hidden="1" x14ac:dyDescent="0.4">
      <c r="B3902" s="8" t="s">
        <v>517</v>
      </c>
      <c r="C3902" s="3" t="s">
        <v>1371</v>
      </c>
      <c r="D3902" s="3" t="s">
        <v>1340</v>
      </c>
      <c r="E3902" s="3" t="s">
        <v>1272</v>
      </c>
      <c r="F3902" s="3" t="s">
        <v>402</v>
      </c>
      <c r="I3902" s="3" t="s">
        <v>1317</v>
      </c>
    </row>
    <row r="3903" spans="2:9" hidden="1" x14ac:dyDescent="0.4">
      <c r="B3903" s="8" t="s">
        <v>517</v>
      </c>
      <c r="C3903" s="3" t="s">
        <v>1326</v>
      </c>
      <c r="D3903" s="3" t="s">
        <v>1340</v>
      </c>
      <c r="E3903" s="3" t="s">
        <v>1272</v>
      </c>
      <c r="F3903" s="3" t="s">
        <v>399</v>
      </c>
      <c r="I3903" s="3" t="s">
        <v>1317</v>
      </c>
    </row>
    <row r="3904" spans="2:9" hidden="1" x14ac:dyDescent="0.4">
      <c r="B3904" s="8" t="s">
        <v>517</v>
      </c>
      <c r="C3904" s="3" t="s">
        <v>1358</v>
      </c>
      <c r="D3904" s="3" t="s">
        <v>1340</v>
      </c>
      <c r="E3904" s="3" t="s">
        <v>1272</v>
      </c>
      <c r="F3904" s="3" t="s">
        <v>402</v>
      </c>
      <c r="I3904" s="3" t="s">
        <v>1317</v>
      </c>
    </row>
    <row r="3905" spans="2:9" hidden="1" x14ac:dyDescent="0.4">
      <c r="B3905" s="8" t="s">
        <v>518</v>
      </c>
      <c r="C3905" s="3" t="s">
        <v>4232</v>
      </c>
      <c r="D3905" s="3" t="s">
        <v>3844</v>
      </c>
      <c r="F3905" s="3" t="s">
        <v>399</v>
      </c>
      <c r="G3905" s="3" t="s">
        <v>402</v>
      </c>
      <c r="I3905" s="3" t="s">
        <v>4064</v>
      </c>
    </row>
    <row r="3906" spans="2:9" hidden="1" x14ac:dyDescent="0.4">
      <c r="B3906" s="8" t="s">
        <v>518</v>
      </c>
      <c r="C3906" s="3" t="s">
        <v>4457</v>
      </c>
      <c r="D3906" s="3" t="s">
        <v>4811</v>
      </c>
      <c r="F3906" s="3" t="s">
        <v>399</v>
      </c>
      <c r="I3906" s="3" t="s">
        <v>4064</v>
      </c>
    </row>
    <row r="3907" spans="2:9" hidden="1" x14ac:dyDescent="0.4">
      <c r="B3907" s="8" t="s">
        <v>518</v>
      </c>
      <c r="C3907" s="3" t="s">
        <v>5212</v>
      </c>
      <c r="D3907" s="3" t="s">
        <v>5534</v>
      </c>
      <c r="F3907" s="3" t="s">
        <v>402</v>
      </c>
      <c r="I3907" s="3" t="s">
        <v>4064</v>
      </c>
    </row>
    <row r="3908" spans="2:9" hidden="1" x14ac:dyDescent="0.4">
      <c r="B3908" s="8" t="s">
        <v>518</v>
      </c>
      <c r="C3908" s="3" t="s">
        <v>3538</v>
      </c>
      <c r="D3908" s="3" t="s">
        <v>3844</v>
      </c>
      <c r="F3908" s="3" t="s">
        <v>399</v>
      </c>
      <c r="G3908" s="3" t="s">
        <v>402</v>
      </c>
      <c r="I3908" s="3" t="s">
        <v>4063</v>
      </c>
    </row>
    <row r="3909" spans="2:9" hidden="1" x14ac:dyDescent="0.4">
      <c r="B3909" s="8" t="s">
        <v>518</v>
      </c>
      <c r="C3909" s="3" t="s">
        <v>5849</v>
      </c>
      <c r="D3909" s="3" t="s">
        <v>4811</v>
      </c>
      <c r="F3909" s="3" t="s">
        <v>399</v>
      </c>
      <c r="I3909" s="3" t="s">
        <v>4063</v>
      </c>
    </row>
    <row r="3910" spans="2:9" hidden="1" x14ac:dyDescent="0.4">
      <c r="B3910" s="8" t="s">
        <v>518</v>
      </c>
      <c r="C3910" s="3" t="s">
        <v>6194</v>
      </c>
      <c r="D3910" s="3" t="s">
        <v>5534</v>
      </c>
      <c r="F3910" s="3" t="s">
        <v>402</v>
      </c>
      <c r="I3910" s="3" t="s">
        <v>4063</v>
      </c>
    </row>
    <row r="3911" spans="2:9" hidden="1" x14ac:dyDescent="0.4">
      <c r="B3911" s="8" t="s">
        <v>517</v>
      </c>
      <c r="C3911" s="3" t="s">
        <v>208</v>
      </c>
      <c r="D3911" s="3" t="s">
        <v>244</v>
      </c>
      <c r="F3911" s="3" t="s">
        <v>399</v>
      </c>
      <c r="I3911" s="3" t="s">
        <v>268</v>
      </c>
    </row>
    <row r="3912" spans="2:9" hidden="1" x14ac:dyDescent="0.4">
      <c r="B3912" s="8" t="s">
        <v>518</v>
      </c>
      <c r="C3912" s="3" t="s">
        <v>4257</v>
      </c>
      <c r="D3912" s="3" t="s">
        <v>3870</v>
      </c>
      <c r="F3912" s="3" t="s">
        <v>399</v>
      </c>
      <c r="G3912" s="3" t="s">
        <v>402</v>
      </c>
      <c r="I3912" s="3" t="s">
        <v>4064</v>
      </c>
    </row>
    <row r="3913" spans="2:9" hidden="1" x14ac:dyDescent="0.4">
      <c r="B3913" s="8" t="s">
        <v>518</v>
      </c>
      <c r="C3913" s="3" t="s">
        <v>4471</v>
      </c>
      <c r="D3913" s="3" t="s">
        <v>4830</v>
      </c>
      <c r="F3913" s="3" t="s">
        <v>399</v>
      </c>
      <c r="I3913" s="3" t="s">
        <v>4064</v>
      </c>
    </row>
    <row r="3914" spans="2:9" hidden="1" x14ac:dyDescent="0.4">
      <c r="B3914" s="8" t="s">
        <v>518</v>
      </c>
      <c r="C3914" s="3" t="s">
        <v>5237</v>
      </c>
      <c r="D3914" s="3" t="s">
        <v>5559</v>
      </c>
      <c r="F3914" s="3" t="s">
        <v>402</v>
      </c>
      <c r="I3914" s="3" t="s">
        <v>4064</v>
      </c>
    </row>
    <row r="3915" spans="2:9" hidden="1" x14ac:dyDescent="0.4">
      <c r="B3915" s="8" t="s">
        <v>518</v>
      </c>
      <c r="C3915" s="3" t="s">
        <v>3563</v>
      </c>
      <c r="D3915" s="3" t="s">
        <v>3870</v>
      </c>
      <c r="F3915" s="3" t="s">
        <v>399</v>
      </c>
      <c r="G3915" s="3" t="s">
        <v>402</v>
      </c>
      <c r="I3915" s="3" t="s">
        <v>4063</v>
      </c>
    </row>
    <row r="3916" spans="2:9" hidden="1" x14ac:dyDescent="0.4">
      <c r="B3916" s="8" t="s">
        <v>518</v>
      </c>
      <c r="C3916" s="3" t="s">
        <v>5872</v>
      </c>
      <c r="D3916" s="3" t="s">
        <v>4830</v>
      </c>
      <c r="F3916" s="3" t="s">
        <v>399</v>
      </c>
      <c r="I3916" s="3" t="s">
        <v>4063</v>
      </c>
    </row>
    <row r="3917" spans="2:9" hidden="1" x14ac:dyDescent="0.4">
      <c r="B3917" s="8" t="s">
        <v>518</v>
      </c>
      <c r="C3917" s="3" t="s">
        <v>6218</v>
      </c>
      <c r="D3917" s="3" t="s">
        <v>5559</v>
      </c>
      <c r="F3917" s="3" t="s">
        <v>402</v>
      </c>
      <c r="I3917" s="3" t="s">
        <v>4063</v>
      </c>
    </row>
    <row r="3918" spans="2:9" hidden="1" x14ac:dyDescent="0.4">
      <c r="B3918" s="8" t="s">
        <v>517</v>
      </c>
      <c r="C3918" s="3" t="s">
        <v>3005</v>
      </c>
      <c r="D3918" s="3" t="s">
        <v>3241</v>
      </c>
      <c r="E3918" s="3">
        <v>1</v>
      </c>
      <c r="F3918" s="3" t="s">
        <v>402</v>
      </c>
      <c r="G3918" s="3" t="s">
        <v>399</v>
      </c>
      <c r="H3918" s="3" t="s">
        <v>988</v>
      </c>
      <c r="I3918" s="3" t="s">
        <v>245</v>
      </c>
    </row>
    <row r="3919" spans="2:9" hidden="1" x14ac:dyDescent="0.4">
      <c r="B3919" s="8" t="s">
        <v>517</v>
      </c>
      <c r="C3919" s="3" t="s">
        <v>2914</v>
      </c>
      <c r="D3919" s="3" t="s">
        <v>3155</v>
      </c>
      <c r="E3919" s="3">
        <v>1</v>
      </c>
      <c r="F3919" s="3" t="s">
        <v>402</v>
      </c>
      <c r="G3919" s="3" t="s">
        <v>988</v>
      </c>
      <c r="I3919" s="3" t="s">
        <v>245</v>
      </c>
    </row>
    <row r="3920" spans="2:9" hidden="1" x14ac:dyDescent="0.4">
      <c r="B3920" s="8" t="s">
        <v>517</v>
      </c>
      <c r="C3920" s="3" t="s">
        <v>486</v>
      </c>
      <c r="D3920" s="3" t="s">
        <v>680</v>
      </c>
      <c r="F3920" s="3" t="s">
        <v>522</v>
      </c>
      <c r="I3920" s="3" t="s">
        <v>510</v>
      </c>
    </row>
    <row r="3921" spans="2:9" hidden="1" x14ac:dyDescent="0.4">
      <c r="B3921" s="8" t="s">
        <v>517</v>
      </c>
      <c r="C3921" s="3" t="s">
        <v>713</v>
      </c>
      <c r="D3921" s="3" t="s">
        <v>680</v>
      </c>
      <c r="F3921" s="3" t="s">
        <v>684</v>
      </c>
      <c r="I3921" s="3" t="s">
        <v>510</v>
      </c>
    </row>
    <row r="3922" spans="2:9" hidden="1" x14ac:dyDescent="0.4">
      <c r="B3922" s="8" t="s">
        <v>517</v>
      </c>
      <c r="C3922" s="3" t="s">
        <v>3025</v>
      </c>
      <c r="D3922" s="3" t="s">
        <v>3261</v>
      </c>
      <c r="E3922" s="3">
        <v>1</v>
      </c>
      <c r="F3922" s="3" t="s">
        <v>402</v>
      </c>
      <c r="G3922" s="3" t="s">
        <v>399</v>
      </c>
      <c r="H3922" s="3" t="s">
        <v>988</v>
      </c>
      <c r="I3922" s="3" t="s">
        <v>245</v>
      </c>
    </row>
    <row r="3923" spans="2:9" hidden="1" x14ac:dyDescent="0.4">
      <c r="B3923" s="8" t="s">
        <v>517</v>
      </c>
      <c r="C3923" s="3" t="s">
        <v>1390</v>
      </c>
      <c r="D3923" s="3" t="s">
        <v>1424</v>
      </c>
      <c r="F3923" s="3" t="s">
        <v>399</v>
      </c>
      <c r="G3923" s="3" t="s">
        <v>402</v>
      </c>
      <c r="H3923" s="3" t="s">
        <v>1279</v>
      </c>
      <c r="I3923" s="3" t="s">
        <v>1414</v>
      </c>
    </row>
    <row r="3924" spans="2:9" hidden="1" x14ac:dyDescent="0.4">
      <c r="B3924" s="8" t="s">
        <v>517</v>
      </c>
      <c r="C3924" s="3" t="s">
        <v>1534</v>
      </c>
      <c r="D3924" s="3" t="s">
        <v>1424</v>
      </c>
      <c r="F3924" s="3" t="s">
        <v>402</v>
      </c>
      <c r="I3924" s="3" t="s">
        <v>1414</v>
      </c>
    </row>
    <row r="3925" spans="2:9" hidden="1" x14ac:dyDescent="0.4">
      <c r="B3925" s="8" t="s">
        <v>518</v>
      </c>
      <c r="C3925" s="3" t="s">
        <v>3096</v>
      </c>
      <c r="D3925" s="3" t="s">
        <v>3328</v>
      </c>
      <c r="E3925" s="3">
        <v>1</v>
      </c>
      <c r="F3925" s="3" t="s">
        <v>3350</v>
      </c>
      <c r="G3925" s="3" t="s">
        <v>399</v>
      </c>
      <c r="H3925" s="3" t="s">
        <v>988</v>
      </c>
      <c r="I3925" s="3" t="s">
        <v>245</v>
      </c>
    </row>
    <row r="3926" spans="2:9" ht="29.25" hidden="1" x14ac:dyDescent="0.4">
      <c r="B3926" s="8" t="s">
        <v>536</v>
      </c>
      <c r="C3926" s="3" t="s">
        <v>417</v>
      </c>
      <c r="D3926" s="3" t="s">
        <v>428</v>
      </c>
      <c r="E3926" s="3" t="s">
        <v>433</v>
      </c>
      <c r="F3926" s="3" t="s">
        <v>430</v>
      </c>
      <c r="I3926" s="3" t="s">
        <v>431</v>
      </c>
    </row>
    <row r="3927" spans="2:9" ht="43.9" hidden="1" x14ac:dyDescent="0.4">
      <c r="B3927" s="8" t="s">
        <v>536</v>
      </c>
      <c r="C3927" s="3" t="s">
        <v>2023</v>
      </c>
      <c r="D3927" s="3" t="s">
        <v>2093</v>
      </c>
      <c r="F3927" s="3" t="s">
        <v>2065</v>
      </c>
      <c r="I3927" s="3" t="s">
        <v>248</v>
      </c>
    </row>
    <row r="3928" spans="2:9" hidden="1" x14ac:dyDescent="0.4">
      <c r="B3928" s="8" t="s">
        <v>517</v>
      </c>
      <c r="C3928" s="3" t="s">
        <v>1451</v>
      </c>
      <c r="D3928" s="3" t="s">
        <v>1493</v>
      </c>
      <c r="F3928" s="3" t="s">
        <v>399</v>
      </c>
      <c r="G3928" s="3" t="s">
        <v>402</v>
      </c>
      <c r="I3928" s="3" t="s">
        <v>1489</v>
      </c>
    </row>
    <row r="3929" spans="2:9" hidden="1" x14ac:dyDescent="0.4">
      <c r="B3929" s="8" t="s">
        <v>517</v>
      </c>
      <c r="C3929" s="3" t="s">
        <v>1561</v>
      </c>
      <c r="D3929" s="3" t="s">
        <v>1493</v>
      </c>
      <c r="F3929" s="3" t="s">
        <v>402</v>
      </c>
      <c r="I3929" s="3" t="s">
        <v>1489</v>
      </c>
    </row>
    <row r="3930" spans="2:9" hidden="1" x14ac:dyDescent="0.4">
      <c r="B3930" s="8" t="s">
        <v>823</v>
      </c>
      <c r="C3930" s="3" t="s">
        <v>1676</v>
      </c>
      <c r="D3930" s="3" t="s">
        <v>1694</v>
      </c>
      <c r="F3930" s="3" t="s">
        <v>1124</v>
      </c>
      <c r="I3930" s="3" t="s">
        <v>1489</v>
      </c>
    </row>
    <row r="3931" spans="2:9" hidden="1" x14ac:dyDescent="0.4">
      <c r="B3931" s="8" t="s">
        <v>517</v>
      </c>
      <c r="C3931" s="3" t="s">
        <v>1710</v>
      </c>
      <c r="D3931" s="3" t="s">
        <v>1715</v>
      </c>
      <c r="F3931" s="3" t="s">
        <v>399</v>
      </c>
      <c r="G3931" s="3" t="s">
        <v>402</v>
      </c>
      <c r="I3931" s="3" t="s">
        <v>1489</v>
      </c>
    </row>
    <row r="3932" spans="2:9" hidden="1" x14ac:dyDescent="0.4">
      <c r="B3932" s="8" t="s">
        <v>517</v>
      </c>
      <c r="C3932" s="3" t="s">
        <v>3102</v>
      </c>
      <c r="D3932" s="3" t="s">
        <v>3339</v>
      </c>
      <c r="E3932" s="3">
        <v>1</v>
      </c>
      <c r="F3932" s="3" t="s">
        <v>402</v>
      </c>
      <c r="G3932" s="3" t="s">
        <v>1279</v>
      </c>
      <c r="H3932" s="3" t="s">
        <v>399</v>
      </c>
      <c r="I3932" s="3" t="s">
        <v>245</v>
      </c>
    </row>
    <row r="3933" spans="2:9" hidden="1" x14ac:dyDescent="0.4">
      <c r="B3933" s="8">
        <v>2</v>
      </c>
      <c r="C3933" s="3" t="s">
        <v>178</v>
      </c>
      <c r="D3933" s="3" t="s">
        <v>654</v>
      </c>
      <c r="F3933" s="3" t="s">
        <v>399</v>
      </c>
      <c r="I3933" s="3" t="s">
        <v>267</v>
      </c>
    </row>
    <row r="3934" spans="2:9" hidden="1" x14ac:dyDescent="0.4">
      <c r="B3934" s="8" t="s">
        <v>517</v>
      </c>
      <c r="C3934" s="3" t="s">
        <v>1387</v>
      </c>
      <c r="D3934" s="3" t="s">
        <v>1421</v>
      </c>
      <c r="F3934" s="3" t="s">
        <v>399</v>
      </c>
      <c r="G3934" s="3" t="s">
        <v>402</v>
      </c>
      <c r="H3934" s="3" t="s">
        <v>1279</v>
      </c>
      <c r="I3934" s="3" t="s">
        <v>1414</v>
      </c>
    </row>
    <row r="3935" spans="2:9" hidden="1" x14ac:dyDescent="0.4">
      <c r="B3935" s="8" t="s">
        <v>517</v>
      </c>
      <c r="C3935" s="3" t="s">
        <v>1531</v>
      </c>
      <c r="D3935" s="3" t="s">
        <v>1421</v>
      </c>
      <c r="F3935" s="3" t="s">
        <v>402</v>
      </c>
      <c r="I3935" s="3" t="s">
        <v>1414</v>
      </c>
    </row>
    <row r="3936" spans="2:9" hidden="1" x14ac:dyDescent="0.4">
      <c r="B3936" s="8" t="s">
        <v>529</v>
      </c>
      <c r="C3936" s="3" t="s">
        <v>1471</v>
      </c>
      <c r="D3936" s="3" t="s">
        <v>1512</v>
      </c>
      <c r="F3936" s="3" t="s">
        <v>399</v>
      </c>
      <c r="G3936" s="3" t="s">
        <v>402</v>
      </c>
      <c r="I3936" s="3" t="s">
        <v>1489</v>
      </c>
    </row>
    <row r="3937" spans="2:9" hidden="1" x14ac:dyDescent="0.4">
      <c r="B3937" s="8" t="s">
        <v>529</v>
      </c>
      <c r="C3937" s="3" t="s">
        <v>1581</v>
      </c>
      <c r="D3937" s="3" t="s">
        <v>1512</v>
      </c>
      <c r="F3937" s="3" t="s">
        <v>402</v>
      </c>
      <c r="I3937" s="3" t="s">
        <v>1489</v>
      </c>
    </row>
    <row r="3938" spans="2:9" hidden="1" x14ac:dyDescent="0.4">
      <c r="B3938" s="8" t="s">
        <v>520</v>
      </c>
      <c r="C3938" s="3" t="s">
        <v>2</v>
      </c>
      <c r="D3938" s="3" t="s">
        <v>71</v>
      </c>
      <c r="F3938" s="3" t="s">
        <v>401</v>
      </c>
      <c r="I3938" s="3" t="s">
        <v>421</v>
      </c>
    </row>
    <row r="3939" spans="2:9" hidden="1" x14ac:dyDescent="0.4">
      <c r="B3939" s="8" t="s">
        <v>517</v>
      </c>
      <c r="C3939" s="3" t="s">
        <v>2889</v>
      </c>
      <c r="D3939" s="3" t="s">
        <v>3344</v>
      </c>
      <c r="E3939" s="3">
        <v>1</v>
      </c>
      <c r="F3939" s="3" t="s">
        <v>402</v>
      </c>
      <c r="G3939" s="3" t="s">
        <v>399</v>
      </c>
      <c r="I3939" s="3" t="s">
        <v>245</v>
      </c>
    </row>
    <row r="3940" spans="2:9" hidden="1" x14ac:dyDescent="0.4">
      <c r="B3940" s="8" t="s">
        <v>520</v>
      </c>
      <c r="C3940" s="3" t="s">
        <v>3</v>
      </c>
      <c r="D3940" s="3" t="s">
        <v>73</v>
      </c>
      <c r="F3940" s="3" t="s">
        <v>401</v>
      </c>
      <c r="I3940" s="3" t="s">
        <v>421</v>
      </c>
    </row>
    <row r="3941" spans="2:9" hidden="1" x14ac:dyDescent="0.4">
      <c r="B3941" s="8" t="s">
        <v>520</v>
      </c>
      <c r="C3941" s="3" t="s">
        <v>15</v>
      </c>
      <c r="D3941" s="3" t="s">
        <v>82</v>
      </c>
      <c r="F3941" s="3" t="s">
        <v>401</v>
      </c>
      <c r="I3941" s="3" t="s">
        <v>421</v>
      </c>
    </row>
    <row r="3942" spans="2:9" hidden="1" x14ac:dyDescent="0.4">
      <c r="B3942" s="8" t="s">
        <v>520</v>
      </c>
      <c r="C3942" s="3" t="s">
        <v>14</v>
      </c>
      <c r="D3942" s="3" t="s">
        <v>81</v>
      </c>
      <c r="F3942" s="3" t="s">
        <v>401</v>
      </c>
      <c r="I3942" s="3" t="s">
        <v>421</v>
      </c>
    </row>
    <row r="3943" spans="2:9" hidden="1" x14ac:dyDescent="0.4">
      <c r="B3943" s="8" t="s">
        <v>517</v>
      </c>
      <c r="C3943" s="3" t="s">
        <v>1914</v>
      </c>
      <c r="D3943" s="3" t="s">
        <v>1947</v>
      </c>
      <c r="F3943" s="3" t="s">
        <v>399</v>
      </c>
      <c r="I3943" s="3" t="s">
        <v>1865</v>
      </c>
    </row>
    <row r="3944" spans="2:9" hidden="1" x14ac:dyDescent="0.4">
      <c r="B3944" s="8" t="s">
        <v>517</v>
      </c>
      <c r="C3944" s="3" t="s">
        <v>1913</v>
      </c>
      <c r="D3944" s="3" t="s">
        <v>1946</v>
      </c>
      <c r="F3944" s="3" t="s">
        <v>399</v>
      </c>
      <c r="I3944" s="3" t="s">
        <v>1865</v>
      </c>
    </row>
    <row r="3945" spans="2:9" hidden="1" x14ac:dyDescent="0.4">
      <c r="B3945" s="8" t="s">
        <v>517</v>
      </c>
      <c r="C3945" s="3" t="s">
        <v>229</v>
      </c>
      <c r="D3945" s="3" t="s">
        <v>265</v>
      </c>
      <c r="F3945" s="3" t="s">
        <v>399</v>
      </c>
      <c r="I3945" s="3" t="s">
        <v>420</v>
      </c>
    </row>
    <row r="3946" spans="2:9" ht="29.25" hidden="1" x14ac:dyDescent="0.4">
      <c r="B3946" s="8" t="s">
        <v>536</v>
      </c>
      <c r="C3946" s="3" t="s">
        <v>2017</v>
      </c>
      <c r="D3946" s="3" t="s">
        <v>2087</v>
      </c>
      <c r="F3946" s="3" t="s">
        <v>2065</v>
      </c>
      <c r="I3946" s="3" t="s">
        <v>248</v>
      </c>
    </row>
    <row r="3947" spans="2:9" hidden="1" x14ac:dyDescent="0.4">
      <c r="B3947" s="8" t="s">
        <v>517</v>
      </c>
      <c r="C3947" s="3" t="s">
        <v>235</v>
      </c>
      <c r="D3947" s="3" t="s">
        <v>272</v>
      </c>
      <c r="F3947" s="3" t="s">
        <v>399</v>
      </c>
      <c r="I3947" s="3" t="s">
        <v>420</v>
      </c>
    </row>
    <row r="3948" spans="2:9" ht="29.25" hidden="1" x14ac:dyDescent="0.4">
      <c r="B3948" s="8" t="s">
        <v>536</v>
      </c>
      <c r="C3948" s="3" t="s">
        <v>2015</v>
      </c>
      <c r="D3948" s="3" t="s">
        <v>2085</v>
      </c>
      <c r="F3948" s="3" t="s">
        <v>2065</v>
      </c>
      <c r="I3948" s="3" t="s">
        <v>248</v>
      </c>
    </row>
    <row r="3949" spans="2:9" hidden="1" x14ac:dyDescent="0.4">
      <c r="B3949" s="8" t="s">
        <v>518</v>
      </c>
      <c r="C3949" s="3" t="s">
        <v>3079</v>
      </c>
      <c r="D3949" s="3" t="s">
        <v>3311</v>
      </c>
      <c r="E3949" s="3">
        <v>1</v>
      </c>
      <c r="F3949" s="3" t="s">
        <v>402</v>
      </c>
      <c r="I3949" s="3" t="s">
        <v>245</v>
      </c>
    </row>
    <row r="3950" spans="2:9" hidden="1" x14ac:dyDescent="0.4">
      <c r="B3950" s="8" t="s">
        <v>536</v>
      </c>
      <c r="C3950" s="3" t="s">
        <v>456</v>
      </c>
      <c r="D3950" s="3" t="s">
        <v>732</v>
      </c>
      <c r="E3950" s="3" t="s">
        <v>432</v>
      </c>
      <c r="F3950" s="3" t="s">
        <v>12779</v>
      </c>
      <c r="G3950" s="3" t="s">
        <v>430</v>
      </c>
      <c r="I3950" s="3" t="s">
        <v>472</v>
      </c>
    </row>
    <row r="3951" spans="2:9" hidden="1" x14ac:dyDescent="0.4">
      <c r="B3951" s="8" t="s">
        <v>536</v>
      </c>
      <c r="C3951" s="3" t="s">
        <v>443</v>
      </c>
      <c r="D3951" s="3" t="s">
        <v>719</v>
      </c>
      <c r="E3951" s="3" t="s">
        <v>432</v>
      </c>
      <c r="F3951" s="3" t="s">
        <v>12779</v>
      </c>
      <c r="G3951" s="3" t="s">
        <v>430</v>
      </c>
      <c r="I3951" s="3" t="s">
        <v>472</v>
      </c>
    </row>
    <row r="3952" spans="2:9" hidden="1" x14ac:dyDescent="0.4">
      <c r="B3952" s="8" t="s">
        <v>517</v>
      </c>
      <c r="C3952" s="3" t="s">
        <v>1803</v>
      </c>
      <c r="D3952" s="3" t="s">
        <v>1872</v>
      </c>
      <c r="F3952" s="3" t="s">
        <v>399</v>
      </c>
      <c r="I3952" s="3" t="s">
        <v>1865</v>
      </c>
    </row>
    <row r="3953" spans="2:9" hidden="1" x14ac:dyDescent="0.4">
      <c r="B3953" s="8" t="s">
        <v>529</v>
      </c>
      <c r="C3953" s="3" t="s">
        <v>326</v>
      </c>
      <c r="D3953" s="3" t="s">
        <v>616</v>
      </c>
      <c r="F3953" s="3" t="s">
        <v>399</v>
      </c>
      <c r="I3953" s="3" t="s">
        <v>267</v>
      </c>
    </row>
    <row r="3954" spans="2:9" hidden="1" x14ac:dyDescent="0.4">
      <c r="B3954" s="8">
        <v>0</v>
      </c>
      <c r="C3954" s="3" t="s">
        <v>54</v>
      </c>
      <c r="D3954" s="3" t="s">
        <v>116</v>
      </c>
      <c r="F3954" s="3" t="s">
        <v>1124</v>
      </c>
      <c r="I3954" s="3" t="s">
        <v>252</v>
      </c>
    </row>
    <row r="3955" spans="2:9" hidden="1" x14ac:dyDescent="0.4">
      <c r="B3955" s="8" t="s">
        <v>517</v>
      </c>
      <c r="C3955" s="3" t="s">
        <v>236</v>
      </c>
      <c r="D3955" s="3" t="s">
        <v>273</v>
      </c>
      <c r="F3955" s="3" t="s">
        <v>399</v>
      </c>
      <c r="G3955" s="3" t="s">
        <v>402</v>
      </c>
      <c r="I3955" s="3" t="s">
        <v>523</v>
      </c>
    </row>
    <row r="3956" spans="2:9" hidden="1" x14ac:dyDescent="0.4">
      <c r="B3956" s="8" t="s">
        <v>516</v>
      </c>
      <c r="C3956" s="3" t="s">
        <v>393</v>
      </c>
      <c r="D3956" s="3" t="s">
        <v>396</v>
      </c>
      <c r="F3956" s="3" t="s">
        <v>399</v>
      </c>
      <c r="I3956" s="3" t="s">
        <v>420</v>
      </c>
    </row>
    <row r="3957" spans="2:9" hidden="1" x14ac:dyDescent="0.4">
      <c r="B3957" s="8" t="s">
        <v>517</v>
      </c>
      <c r="C3957" s="3" t="s">
        <v>39</v>
      </c>
      <c r="D3957" s="3" t="s">
        <v>102</v>
      </c>
      <c r="F3957" s="3" t="s">
        <v>400</v>
      </c>
      <c r="I3957" s="3" t="s">
        <v>252</v>
      </c>
    </row>
    <row r="3958" spans="2:9" hidden="1" x14ac:dyDescent="0.4">
      <c r="B3958" s="8" t="s">
        <v>518</v>
      </c>
      <c r="C3958" s="3" t="s">
        <v>2960</v>
      </c>
      <c r="D3958" s="3" t="s">
        <v>3199</v>
      </c>
      <c r="E3958" s="3">
        <v>1</v>
      </c>
      <c r="F3958" s="3" t="s">
        <v>402</v>
      </c>
      <c r="I3958" s="3" t="s">
        <v>245</v>
      </c>
    </row>
    <row r="3959" spans="2:9" hidden="1" x14ac:dyDescent="0.4">
      <c r="B3959" s="8" t="s">
        <v>517</v>
      </c>
      <c r="C3959" s="3" t="s">
        <v>2897</v>
      </c>
      <c r="D3959" s="3" t="s">
        <v>3138</v>
      </c>
      <c r="E3959" s="3">
        <v>1</v>
      </c>
      <c r="F3959" s="3" t="s">
        <v>402</v>
      </c>
      <c r="I3959" s="3" t="s">
        <v>245</v>
      </c>
    </row>
    <row r="3960" spans="2:9" hidden="1" x14ac:dyDescent="0.4">
      <c r="B3960" s="8" t="s">
        <v>515</v>
      </c>
      <c r="C3960" s="3" t="s">
        <v>1187</v>
      </c>
      <c r="D3960" s="3" t="s">
        <v>1191</v>
      </c>
      <c r="E3960" s="3" t="s">
        <v>432</v>
      </c>
      <c r="F3960" s="3" t="s">
        <v>399</v>
      </c>
      <c r="I3960" s="3" t="s">
        <v>781</v>
      </c>
    </row>
    <row r="3961" spans="2:9" hidden="1" x14ac:dyDescent="0.4">
      <c r="B3961" s="8" t="s">
        <v>515</v>
      </c>
      <c r="C3961" s="3" t="s">
        <v>1199</v>
      </c>
      <c r="D3961" s="3" t="s">
        <v>1203</v>
      </c>
      <c r="E3961" s="3" t="s">
        <v>432</v>
      </c>
      <c r="F3961" s="3" t="s">
        <v>402</v>
      </c>
      <c r="I3961" s="3" t="s">
        <v>781</v>
      </c>
    </row>
    <row r="3962" spans="2:9" hidden="1" x14ac:dyDescent="0.4">
      <c r="B3962" s="8" t="s">
        <v>515</v>
      </c>
      <c r="C3962" s="3" t="s">
        <v>1194</v>
      </c>
      <c r="D3962" s="3" t="s">
        <v>1191</v>
      </c>
      <c r="E3962" s="3" t="s">
        <v>432</v>
      </c>
      <c r="F3962" s="3" t="s">
        <v>402</v>
      </c>
      <c r="I3962" s="3" t="s">
        <v>781</v>
      </c>
    </row>
    <row r="3963" spans="2:9" hidden="1" x14ac:dyDescent="0.4">
      <c r="B3963" s="8" t="s">
        <v>515</v>
      </c>
      <c r="C3963" s="3" t="s">
        <v>1211</v>
      </c>
      <c r="D3963" s="3" t="s">
        <v>1220</v>
      </c>
      <c r="E3963" s="3" t="s">
        <v>432</v>
      </c>
      <c r="F3963" s="3" t="s">
        <v>402</v>
      </c>
      <c r="G3963" s="3" t="s">
        <v>399</v>
      </c>
      <c r="H3963" s="3" t="s">
        <v>988</v>
      </c>
      <c r="I3963" s="3" t="s">
        <v>781</v>
      </c>
    </row>
    <row r="3964" spans="2:9" hidden="1" x14ac:dyDescent="0.4">
      <c r="B3964" s="8" t="s">
        <v>515</v>
      </c>
      <c r="C3964" s="3" t="s">
        <v>1216</v>
      </c>
      <c r="D3964" s="3" t="s">
        <v>1220</v>
      </c>
      <c r="E3964" s="3" t="s">
        <v>432</v>
      </c>
      <c r="F3964" s="3" t="s">
        <v>399</v>
      </c>
      <c r="I3964" s="3" t="s">
        <v>781</v>
      </c>
    </row>
    <row r="3965" spans="2:9" hidden="1" x14ac:dyDescent="0.4">
      <c r="B3965" s="8" t="s">
        <v>517</v>
      </c>
      <c r="C3965" s="3" t="s">
        <v>1188</v>
      </c>
      <c r="D3965" s="3" t="s">
        <v>1192</v>
      </c>
      <c r="E3965" s="3" t="s">
        <v>432</v>
      </c>
      <c r="F3965" s="3" t="s">
        <v>399</v>
      </c>
      <c r="I3965" s="3" t="s">
        <v>781</v>
      </c>
    </row>
    <row r="3966" spans="2:9" hidden="1" x14ac:dyDescent="0.4">
      <c r="B3966" s="8" t="s">
        <v>517</v>
      </c>
      <c r="C3966" s="3" t="s">
        <v>1200</v>
      </c>
      <c r="D3966" s="3" t="s">
        <v>1204</v>
      </c>
      <c r="E3966" s="3" t="s">
        <v>432</v>
      </c>
      <c r="F3966" s="3" t="s">
        <v>402</v>
      </c>
      <c r="I3966" s="3" t="s">
        <v>781</v>
      </c>
    </row>
    <row r="3967" spans="2:9" hidden="1" x14ac:dyDescent="0.4">
      <c r="B3967" s="8" t="s">
        <v>517</v>
      </c>
      <c r="C3967" s="3" t="s">
        <v>1195</v>
      </c>
      <c r="D3967" s="3" t="s">
        <v>1192</v>
      </c>
      <c r="E3967" s="3" t="s">
        <v>432</v>
      </c>
      <c r="F3967" s="3" t="s">
        <v>402</v>
      </c>
      <c r="I3967" s="3" t="s">
        <v>781</v>
      </c>
    </row>
    <row r="3968" spans="2:9" hidden="1" x14ac:dyDescent="0.4">
      <c r="B3968" s="8" t="s">
        <v>517</v>
      </c>
      <c r="C3968" s="3" t="s">
        <v>1212</v>
      </c>
      <c r="D3968" s="3" t="s">
        <v>1221</v>
      </c>
      <c r="E3968" s="3" t="s">
        <v>432</v>
      </c>
      <c r="F3968" s="3" t="s">
        <v>402</v>
      </c>
      <c r="G3968" s="3" t="s">
        <v>399</v>
      </c>
      <c r="H3968" s="3" t="s">
        <v>988</v>
      </c>
      <c r="I3968" s="3" t="s">
        <v>781</v>
      </c>
    </row>
    <row r="3969" spans="2:9" hidden="1" x14ac:dyDescent="0.4">
      <c r="B3969" s="8" t="s">
        <v>517</v>
      </c>
      <c r="C3969" s="3" t="s">
        <v>1217</v>
      </c>
      <c r="D3969" s="3" t="s">
        <v>1221</v>
      </c>
      <c r="E3969" s="3" t="s">
        <v>432</v>
      </c>
      <c r="F3969" s="3" t="s">
        <v>399</v>
      </c>
      <c r="I3969" s="3" t="s">
        <v>781</v>
      </c>
    </row>
    <row r="3970" spans="2:9" hidden="1" x14ac:dyDescent="0.4">
      <c r="B3970" s="8" t="s">
        <v>518</v>
      </c>
      <c r="C3970" s="3" t="s">
        <v>3055</v>
      </c>
      <c r="D3970" s="3" t="s">
        <v>3290</v>
      </c>
      <c r="E3970" s="3">
        <v>1</v>
      </c>
      <c r="F3970" s="3" t="s">
        <v>402</v>
      </c>
      <c r="G3970" s="3" t="s">
        <v>399</v>
      </c>
      <c r="I3970" s="3" t="s">
        <v>245</v>
      </c>
    </row>
    <row r="3971" spans="2:9" hidden="1" x14ac:dyDescent="0.4">
      <c r="B3971" s="8" t="s">
        <v>517</v>
      </c>
      <c r="C3971" s="3" t="s">
        <v>3097</v>
      </c>
      <c r="D3971" s="3" t="s">
        <v>3329</v>
      </c>
      <c r="E3971" s="3">
        <v>1</v>
      </c>
      <c r="F3971" s="3" t="s">
        <v>402</v>
      </c>
      <c r="G3971" s="3" t="s">
        <v>988</v>
      </c>
      <c r="H3971" s="3" t="s">
        <v>1279</v>
      </c>
      <c r="I3971" s="3" t="s">
        <v>245</v>
      </c>
    </row>
    <row r="3972" spans="2:9" hidden="1" x14ac:dyDescent="0.4">
      <c r="B3972" s="8" t="s">
        <v>518</v>
      </c>
      <c r="C3972" s="3" t="s">
        <v>1164</v>
      </c>
      <c r="D3972" s="3" t="s">
        <v>1168</v>
      </c>
      <c r="F3972" s="3" t="s">
        <v>399</v>
      </c>
      <c r="G3972" s="3" t="s">
        <v>402</v>
      </c>
      <c r="I3972" s="3" t="s">
        <v>987</v>
      </c>
    </row>
    <row r="3973" spans="2:9" hidden="1" x14ac:dyDescent="0.4">
      <c r="B3973" s="8" t="s">
        <v>518</v>
      </c>
      <c r="C3973" s="3" t="s">
        <v>1181</v>
      </c>
      <c r="D3973" s="3" t="s">
        <v>1168</v>
      </c>
      <c r="F3973" s="3" t="s">
        <v>402</v>
      </c>
      <c r="I3973" s="3" t="s">
        <v>987</v>
      </c>
    </row>
    <row r="3974" spans="2:9" hidden="1" x14ac:dyDescent="0.4">
      <c r="B3974" s="8" t="s">
        <v>512</v>
      </c>
      <c r="C3974" s="3" t="s">
        <v>1172</v>
      </c>
      <c r="D3974" s="3" t="s">
        <v>1176</v>
      </c>
      <c r="F3974" s="3" t="s">
        <v>399</v>
      </c>
      <c r="G3974" s="3" t="s">
        <v>402</v>
      </c>
      <c r="I3974" s="3" t="s">
        <v>987</v>
      </c>
    </row>
    <row r="3975" spans="2:9" hidden="1" x14ac:dyDescent="0.4">
      <c r="B3975" s="8" t="s">
        <v>512</v>
      </c>
      <c r="C3975" s="3" t="s">
        <v>1185</v>
      </c>
      <c r="D3975" s="3" t="s">
        <v>1176</v>
      </c>
      <c r="F3975" s="3" t="s">
        <v>402</v>
      </c>
      <c r="I3975" s="3" t="s">
        <v>987</v>
      </c>
    </row>
    <row r="3976" spans="2:9" hidden="1" x14ac:dyDescent="0.4">
      <c r="B3976" s="8" t="s">
        <v>518</v>
      </c>
      <c r="C3976" s="3" t="s">
        <v>1225</v>
      </c>
      <c r="D3976" s="3" t="s">
        <v>1229</v>
      </c>
      <c r="F3976" s="3" t="s">
        <v>402</v>
      </c>
      <c r="G3976" s="3" t="s">
        <v>399</v>
      </c>
      <c r="H3976" s="3" t="s">
        <v>988</v>
      </c>
      <c r="I3976" s="3" t="s">
        <v>987</v>
      </c>
    </row>
    <row r="3977" spans="2:9" hidden="1" x14ac:dyDescent="0.4">
      <c r="B3977" s="8" t="s">
        <v>518</v>
      </c>
      <c r="C3977" s="3" t="s">
        <v>1233</v>
      </c>
      <c r="D3977" s="3" t="s">
        <v>1229</v>
      </c>
      <c r="F3977" s="3" t="s">
        <v>399</v>
      </c>
      <c r="I3977" s="3" t="s">
        <v>987</v>
      </c>
    </row>
    <row r="3978" spans="2:9" hidden="1" x14ac:dyDescent="0.4">
      <c r="B3978" s="8" t="s">
        <v>517</v>
      </c>
      <c r="C3978" s="3" t="s">
        <v>1382</v>
      </c>
      <c r="D3978" s="3" t="s">
        <v>1413</v>
      </c>
      <c r="F3978" s="3" t="s">
        <v>399</v>
      </c>
      <c r="I3978" s="3" t="s">
        <v>1335</v>
      </c>
    </row>
    <row r="3979" spans="2:9" hidden="1" x14ac:dyDescent="0.4">
      <c r="B3979" s="8" t="s">
        <v>6378</v>
      </c>
      <c r="C3979" s="3" t="s">
        <v>6379</v>
      </c>
      <c r="D3979" s="3" t="s">
        <v>6386</v>
      </c>
      <c r="F3979" s="3" t="s">
        <v>399</v>
      </c>
      <c r="I3979" s="3" t="s">
        <v>1968</v>
      </c>
    </row>
    <row r="3980" spans="2:9" hidden="1" x14ac:dyDescent="0.4">
      <c r="B3980" s="8" t="s">
        <v>517</v>
      </c>
      <c r="C3980" s="3" t="s">
        <v>2268</v>
      </c>
      <c r="D3980" s="3" t="s">
        <v>2426</v>
      </c>
      <c r="E3980" s="3" t="s">
        <v>1272</v>
      </c>
      <c r="F3980" s="3" t="s">
        <v>399</v>
      </c>
      <c r="I3980" s="3" t="s">
        <v>1833</v>
      </c>
    </row>
    <row r="3981" spans="2:9" hidden="1" x14ac:dyDescent="0.4">
      <c r="B3981" s="8" t="s">
        <v>517</v>
      </c>
      <c r="C3981" s="3" t="s">
        <v>2576</v>
      </c>
      <c r="D3981" s="3" t="s">
        <v>2426</v>
      </c>
      <c r="E3981" s="3" t="s">
        <v>1272</v>
      </c>
      <c r="F3981" s="3" t="s">
        <v>402</v>
      </c>
      <c r="I3981" s="3" t="s">
        <v>1833</v>
      </c>
    </row>
    <row r="3982" spans="2:9" hidden="1" x14ac:dyDescent="0.4">
      <c r="B3982" s="8" t="s">
        <v>517</v>
      </c>
      <c r="C3982" s="3" t="s">
        <v>2803</v>
      </c>
      <c r="D3982" s="3" t="s">
        <v>2821</v>
      </c>
      <c r="E3982" s="3" t="s">
        <v>1272</v>
      </c>
      <c r="F3982" s="3" t="s">
        <v>399</v>
      </c>
      <c r="I3982" s="3" t="s">
        <v>2370</v>
      </c>
    </row>
    <row r="3983" spans="2:9" hidden="1" x14ac:dyDescent="0.4">
      <c r="B3983" s="8" t="s">
        <v>518</v>
      </c>
      <c r="C3983" s="3" t="s">
        <v>357</v>
      </c>
      <c r="D3983" s="3" t="s">
        <v>381</v>
      </c>
      <c r="F3983" s="3" t="s">
        <v>399</v>
      </c>
      <c r="I3983" s="3" t="s">
        <v>267</v>
      </c>
    </row>
    <row r="3984" spans="2:9" hidden="1" x14ac:dyDescent="0.4">
      <c r="B3984" s="8" t="s">
        <v>536</v>
      </c>
      <c r="C3984" s="3" t="s">
        <v>357</v>
      </c>
      <c r="D3984" s="3" t="s">
        <v>728</v>
      </c>
      <c r="E3984" s="3" t="s">
        <v>432</v>
      </c>
      <c r="F3984" s="3" t="s">
        <v>12779</v>
      </c>
      <c r="G3984" s="3" t="s">
        <v>430</v>
      </c>
      <c r="I3984" s="3" t="s">
        <v>472</v>
      </c>
    </row>
    <row r="3985" spans="2:9" hidden="1" x14ac:dyDescent="0.4">
      <c r="B3985" s="8" t="s">
        <v>517</v>
      </c>
      <c r="C3985" s="3" t="s">
        <v>327</v>
      </c>
      <c r="D3985" s="3" t="s">
        <v>617</v>
      </c>
      <c r="F3985" s="3" t="s">
        <v>399</v>
      </c>
      <c r="I3985" s="3" t="s">
        <v>267</v>
      </c>
    </row>
    <row r="3986" spans="2:9" hidden="1" x14ac:dyDescent="0.4">
      <c r="B3986" s="8" t="s">
        <v>517</v>
      </c>
      <c r="C3986" s="3" t="s">
        <v>2961</v>
      </c>
      <c r="D3986" s="3" t="s">
        <v>3200</v>
      </c>
      <c r="E3986" s="3">
        <v>1</v>
      </c>
      <c r="F3986" s="3" t="s">
        <v>402</v>
      </c>
      <c r="I3986" s="3" t="s">
        <v>245</v>
      </c>
    </row>
    <row r="3987" spans="2:9" ht="29.25" hidden="1" x14ac:dyDescent="0.4">
      <c r="B3987" s="8" t="s">
        <v>536</v>
      </c>
      <c r="C3987" s="3" t="s">
        <v>416</v>
      </c>
      <c r="D3987" s="3" t="s">
        <v>427</v>
      </c>
      <c r="E3987" s="3" t="s">
        <v>433</v>
      </c>
      <c r="F3987" s="3" t="s">
        <v>430</v>
      </c>
      <c r="I3987" s="3" t="s">
        <v>431</v>
      </c>
    </row>
    <row r="3988" spans="2:9" hidden="1" x14ac:dyDescent="0.4">
      <c r="B3988" s="8" t="s">
        <v>518</v>
      </c>
      <c r="C3988" s="3" t="s">
        <v>2204</v>
      </c>
      <c r="D3988" s="3" t="s">
        <v>2352</v>
      </c>
      <c r="F3988" s="3" t="s">
        <v>399</v>
      </c>
      <c r="I3988" s="3" t="s">
        <v>1833</v>
      </c>
    </row>
    <row r="3989" spans="2:9" hidden="1" x14ac:dyDescent="0.4">
      <c r="B3989" s="8" t="s">
        <v>512</v>
      </c>
      <c r="C3989" s="3" t="s">
        <v>2203</v>
      </c>
      <c r="D3989" s="3" t="s">
        <v>2353</v>
      </c>
      <c r="F3989" s="3" t="s">
        <v>399</v>
      </c>
      <c r="I3989" s="3" t="s">
        <v>1833</v>
      </c>
    </row>
    <row r="3990" spans="2:9" hidden="1" x14ac:dyDescent="0.4">
      <c r="B3990" s="8" t="s">
        <v>518</v>
      </c>
      <c r="C3990" s="3" t="s">
        <v>2541</v>
      </c>
      <c r="D3990" s="3" t="s">
        <v>2352</v>
      </c>
      <c r="F3990" s="3" t="s">
        <v>402</v>
      </c>
      <c r="I3990" s="3" t="s">
        <v>1833</v>
      </c>
    </row>
    <row r="3991" spans="2:9" hidden="1" x14ac:dyDescent="0.4">
      <c r="B3991" s="8" t="s">
        <v>518</v>
      </c>
      <c r="C3991" s="3" t="s">
        <v>2202</v>
      </c>
      <c r="D3991" s="3" t="s">
        <v>2353</v>
      </c>
      <c r="F3991" s="3" t="s">
        <v>399</v>
      </c>
      <c r="I3991" s="3" t="s">
        <v>1833</v>
      </c>
    </row>
    <row r="3992" spans="2:9" hidden="1" x14ac:dyDescent="0.4">
      <c r="B3992" s="8" t="s">
        <v>518</v>
      </c>
      <c r="C3992" s="3" t="s">
        <v>2540</v>
      </c>
      <c r="D3992" s="3" t="s">
        <v>2353</v>
      </c>
      <c r="F3992" s="3" t="s">
        <v>402</v>
      </c>
      <c r="I3992" s="3" t="s">
        <v>1833</v>
      </c>
    </row>
    <row r="3993" spans="2:9" hidden="1" x14ac:dyDescent="0.4">
      <c r="B3993" s="8" t="s">
        <v>517</v>
      </c>
      <c r="C3993" s="3" t="s">
        <v>4171</v>
      </c>
      <c r="D3993" s="3" t="s">
        <v>3776</v>
      </c>
      <c r="F3993" s="3" t="s">
        <v>399</v>
      </c>
      <c r="G3993" s="3" t="s">
        <v>402</v>
      </c>
      <c r="I3993" s="3" t="s">
        <v>4064</v>
      </c>
    </row>
    <row r="3994" spans="2:9" hidden="1" x14ac:dyDescent="0.4">
      <c r="B3994" s="8" t="s">
        <v>517</v>
      </c>
      <c r="C3994" s="3" t="s">
        <v>3469</v>
      </c>
      <c r="D3994" s="3" t="s">
        <v>3776</v>
      </c>
      <c r="F3994" s="3" t="s">
        <v>399</v>
      </c>
      <c r="G3994" s="3" t="s">
        <v>402</v>
      </c>
      <c r="I3994" s="3" t="s">
        <v>4063</v>
      </c>
    </row>
    <row r="3995" spans="2:9" hidden="1" x14ac:dyDescent="0.4">
      <c r="B3995" s="8" t="s">
        <v>517</v>
      </c>
      <c r="C3995" s="3" t="s">
        <v>5791</v>
      </c>
      <c r="D3995" s="3" t="s">
        <v>4893</v>
      </c>
      <c r="F3995" s="3" t="s">
        <v>399</v>
      </c>
      <c r="I3995" s="3" t="s">
        <v>4063</v>
      </c>
    </row>
    <row r="3996" spans="2:9" hidden="1" x14ac:dyDescent="0.4">
      <c r="B3996" s="8" t="s">
        <v>517</v>
      </c>
      <c r="C3996" s="3" t="s">
        <v>6134</v>
      </c>
      <c r="D3996" s="3" t="s">
        <v>5464</v>
      </c>
      <c r="F3996" s="3" t="s">
        <v>402</v>
      </c>
      <c r="I3996" s="3" t="s">
        <v>4063</v>
      </c>
    </row>
    <row r="3997" spans="2:9" hidden="1" x14ac:dyDescent="0.4">
      <c r="B3997" s="8" t="s">
        <v>517</v>
      </c>
      <c r="C3997" s="3" t="s">
        <v>4415</v>
      </c>
      <c r="D3997" s="3" t="s">
        <v>4893</v>
      </c>
      <c r="F3997" s="3" t="s">
        <v>399</v>
      </c>
      <c r="I3997" s="3" t="s">
        <v>4064</v>
      </c>
    </row>
    <row r="3998" spans="2:9" hidden="1" x14ac:dyDescent="0.4">
      <c r="B3998" s="8" t="s">
        <v>517</v>
      </c>
      <c r="C3998" s="3" t="s">
        <v>5142</v>
      </c>
      <c r="D3998" s="3" t="s">
        <v>5464</v>
      </c>
      <c r="F3998" s="3" t="s">
        <v>402</v>
      </c>
      <c r="I3998" s="3" t="s">
        <v>4064</v>
      </c>
    </row>
    <row r="3999" spans="2:9" hidden="1" x14ac:dyDescent="0.4">
      <c r="B3999" s="8" t="s">
        <v>517</v>
      </c>
      <c r="C3999" s="3" t="s">
        <v>3470</v>
      </c>
      <c r="D3999" s="3" t="s">
        <v>3777</v>
      </c>
      <c r="F3999" s="3" t="s">
        <v>399</v>
      </c>
      <c r="G3999" s="3" t="s">
        <v>402</v>
      </c>
      <c r="I3999" s="3" t="s">
        <v>4063</v>
      </c>
    </row>
    <row r="4000" spans="2:9" hidden="1" x14ac:dyDescent="0.4">
      <c r="B4000" s="8" t="s">
        <v>517</v>
      </c>
      <c r="C4000" s="3" t="s">
        <v>5792</v>
      </c>
      <c r="D4000" s="3" t="s">
        <v>4772</v>
      </c>
      <c r="F4000" s="3" t="s">
        <v>399</v>
      </c>
      <c r="I4000" s="3" t="s">
        <v>4063</v>
      </c>
    </row>
    <row r="4001" spans="2:9" hidden="1" x14ac:dyDescent="0.4">
      <c r="B4001" s="8" t="s">
        <v>517</v>
      </c>
      <c r="C4001" s="3" t="s">
        <v>6135</v>
      </c>
      <c r="D4001" s="3" t="s">
        <v>5465</v>
      </c>
      <c r="F4001" s="3" t="s">
        <v>402</v>
      </c>
      <c r="I4001" s="3" t="s">
        <v>4063</v>
      </c>
    </row>
    <row r="4002" spans="2:9" hidden="1" x14ac:dyDescent="0.4">
      <c r="B4002" s="8" t="s">
        <v>517</v>
      </c>
      <c r="C4002" s="3" t="s">
        <v>4172</v>
      </c>
      <c r="D4002" s="3" t="s">
        <v>3777</v>
      </c>
      <c r="F4002" s="3" t="s">
        <v>399</v>
      </c>
      <c r="G4002" s="3" t="s">
        <v>402</v>
      </c>
      <c r="I4002" s="3" t="s">
        <v>4064</v>
      </c>
    </row>
    <row r="4003" spans="2:9" hidden="1" x14ac:dyDescent="0.4">
      <c r="B4003" s="8" t="s">
        <v>517</v>
      </c>
      <c r="C4003" s="3" t="s">
        <v>4645</v>
      </c>
      <c r="D4003" s="3" t="s">
        <v>4772</v>
      </c>
      <c r="F4003" s="3" t="s">
        <v>399</v>
      </c>
      <c r="I4003" s="3" t="s">
        <v>4064</v>
      </c>
    </row>
    <row r="4004" spans="2:9" hidden="1" x14ac:dyDescent="0.4">
      <c r="B4004" s="8" t="s">
        <v>517</v>
      </c>
      <c r="C4004" s="3" t="s">
        <v>5143</v>
      </c>
      <c r="D4004" s="3" t="s">
        <v>5465</v>
      </c>
      <c r="F4004" s="3" t="s">
        <v>402</v>
      </c>
      <c r="I4004" s="3" t="s">
        <v>4064</v>
      </c>
    </row>
    <row r="4005" spans="2:9" hidden="1" x14ac:dyDescent="0.4">
      <c r="B4005" s="8" t="s">
        <v>517</v>
      </c>
      <c r="C4005" s="3" t="s">
        <v>311</v>
      </c>
      <c r="D4005" s="3" t="s">
        <v>618</v>
      </c>
      <c r="F4005" s="3" t="s">
        <v>399</v>
      </c>
      <c r="I4005" s="3" t="s">
        <v>267</v>
      </c>
    </row>
    <row r="4006" spans="2:9" ht="29.25" hidden="1" x14ac:dyDescent="0.4">
      <c r="B4006" s="8" t="s">
        <v>518</v>
      </c>
      <c r="C4006" s="3" t="s">
        <v>6362</v>
      </c>
      <c r="D4006" s="3" t="s">
        <v>5654</v>
      </c>
      <c r="F4006" s="3" t="s">
        <v>402</v>
      </c>
      <c r="I4006" s="3" t="s">
        <v>4063</v>
      </c>
    </row>
    <row r="4007" spans="2:9" hidden="1" x14ac:dyDescent="0.4">
      <c r="B4007" s="8" t="s">
        <v>518</v>
      </c>
      <c r="C4007" s="3" t="s">
        <v>6013</v>
      </c>
      <c r="D4007" s="3" t="s">
        <v>4908</v>
      </c>
      <c r="F4007" s="3" t="s">
        <v>399</v>
      </c>
      <c r="I4007" s="3" t="s">
        <v>4063</v>
      </c>
    </row>
    <row r="4008" spans="2:9" hidden="1" x14ac:dyDescent="0.4">
      <c r="B4008" s="8" t="s">
        <v>518</v>
      </c>
      <c r="C4008" s="3" t="s">
        <v>4332</v>
      </c>
      <c r="D4008" s="3" t="s">
        <v>3967</v>
      </c>
      <c r="F4008" s="3" t="s">
        <v>399</v>
      </c>
      <c r="G4008" s="3" t="s">
        <v>402</v>
      </c>
      <c r="I4008" s="3" t="s">
        <v>4064</v>
      </c>
    </row>
    <row r="4009" spans="2:9" hidden="1" x14ac:dyDescent="0.4">
      <c r="B4009" s="8" t="s">
        <v>518</v>
      </c>
      <c r="C4009" s="3" t="s">
        <v>3966</v>
      </c>
      <c r="D4009" s="3" t="s">
        <v>3967</v>
      </c>
      <c r="F4009" s="3" t="s">
        <v>399</v>
      </c>
      <c r="G4009" s="3" t="s">
        <v>402</v>
      </c>
      <c r="I4009" s="3" t="s">
        <v>4063</v>
      </c>
    </row>
    <row r="4010" spans="2:9" hidden="1" x14ac:dyDescent="0.4">
      <c r="B4010" s="8" t="s">
        <v>518</v>
      </c>
      <c r="C4010" s="3" t="s">
        <v>4692</v>
      </c>
      <c r="D4010" s="3" t="s">
        <v>4908</v>
      </c>
      <c r="F4010" s="3" t="s">
        <v>399</v>
      </c>
      <c r="I4010" s="3" t="s">
        <v>4064</v>
      </c>
    </row>
    <row r="4011" spans="2:9" hidden="1" x14ac:dyDescent="0.4">
      <c r="B4011" s="8" t="s">
        <v>518</v>
      </c>
      <c r="C4011" s="3" t="s">
        <v>5335</v>
      </c>
      <c r="D4011" s="3" t="s">
        <v>5654</v>
      </c>
      <c r="F4011" s="3" t="s">
        <v>402</v>
      </c>
      <c r="I4011" s="3" t="s">
        <v>4064</v>
      </c>
    </row>
    <row r="4012" spans="2:9" hidden="1" x14ac:dyDescent="0.4">
      <c r="B4012" s="8" t="s">
        <v>517</v>
      </c>
      <c r="C4012" s="3" t="s">
        <v>303</v>
      </c>
      <c r="D4012" s="3" t="s">
        <v>619</v>
      </c>
      <c r="F4012" s="3" t="s">
        <v>399</v>
      </c>
      <c r="I4012" s="3" t="s">
        <v>267</v>
      </c>
    </row>
    <row r="4013" spans="2:9" hidden="1" x14ac:dyDescent="0.4">
      <c r="B4013" s="8" t="s">
        <v>518</v>
      </c>
      <c r="C4013" s="3" t="s">
        <v>319</v>
      </c>
      <c r="D4013" s="3" t="s">
        <v>620</v>
      </c>
      <c r="F4013" s="3" t="s">
        <v>399</v>
      </c>
      <c r="I4013" s="3" t="s">
        <v>267</v>
      </c>
    </row>
    <row r="4014" spans="2:9" hidden="1" x14ac:dyDescent="0.4">
      <c r="B4014" s="8" t="s">
        <v>517</v>
      </c>
      <c r="C4014" s="3" t="s">
        <v>317</v>
      </c>
      <c r="D4014" s="3" t="s">
        <v>621</v>
      </c>
      <c r="F4014" s="3" t="s">
        <v>399</v>
      </c>
      <c r="I4014" s="3" t="s">
        <v>267</v>
      </c>
    </row>
    <row r="4015" spans="2:9" hidden="1" x14ac:dyDescent="0.4">
      <c r="B4015" s="8" t="s">
        <v>535</v>
      </c>
      <c r="C4015" s="3" t="s">
        <v>458</v>
      </c>
      <c r="D4015" s="3" t="s">
        <v>734</v>
      </c>
      <c r="E4015" s="3" t="s">
        <v>432</v>
      </c>
      <c r="F4015" s="3" t="s">
        <v>12779</v>
      </c>
      <c r="G4015" s="3" t="s">
        <v>430</v>
      </c>
      <c r="I4015" s="3" t="s">
        <v>472</v>
      </c>
    </row>
    <row r="4016" spans="2:9" hidden="1" x14ac:dyDescent="0.4">
      <c r="B4016" s="8" t="s">
        <v>517</v>
      </c>
      <c r="C4016" s="3" t="s">
        <v>294</v>
      </c>
      <c r="D4016" s="3" t="s">
        <v>622</v>
      </c>
      <c r="F4016" s="3" t="s">
        <v>399</v>
      </c>
      <c r="I4016" s="3" t="s">
        <v>267</v>
      </c>
    </row>
    <row r="4017" spans="2:9" hidden="1" x14ac:dyDescent="0.4">
      <c r="B4017" s="8" t="s">
        <v>517</v>
      </c>
      <c r="C4017" s="3" t="s">
        <v>322</v>
      </c>
      <c r="D4017" s="3" t="s">
        <v>623</v>
      </c>
      <c r="F4017" s="3" t="s">
        <v>399</v>
      </c>
      <c r="I4017" s="3" t="s">
        <v>267</v>
      </c>
    </row>
    <row r="4018" spans="2:9" hidden="1" x14ac:dyDescent="0.4">
      <c r="B4018" s="8" t="s">
        <v>517</v>
      </c>
      <c r="C4018" s="3" t="s">
        <v>8</v>
      </c>
      <c r="D4018" s="3" t="s">
        <v>238</v>
      </c>
      <c r="F4018" s="3" t="s">
        <v>401</v>
      </c>
      <c r="I4018" s="3" t="s">
        <v>421</v>
      </c>
    </row>
    <row r="4019" spans="2:9" hidden="1" x14ac:dyDescent="0.4">
      <c r="B4019" s="8" t="s">
        <v>518</v>
      </c>
      <c r="C4019" s="3" t="s">
        <v>239</v>
      </c>
      <c r="D4019" s="3" t="s">
        <v>275</v>
      </c>
      <c r="F4019" s="3" t="s">
        <v>401</v>
      </c>
      <c r="I4019" s="3" t="s">
        <v>421</v>
      </c>
    </row>
    <row r="4020" spans="2:9" hidden="1" x14ac:dyDescent="0.4">
      <c r="B4020" s="8" t="s">
        <v>517</v>
      </c>
      <c r="C4020" s="3" t="s">
        <v>328</v>
      </c>
      <c r="D4020" s="3" t="s">
        <v>624</v>
      </c>
      <c r="F4020" s="3" t="s">
        <v>399</v>
      </c>
      <c r="I4020" s="3" t="s">
        <v>267</v>
      </c>
    </row>
    <row r="4021" spans="2:9" hidden="1" x14ac:dyDescent="0.4">
      <c r="B4021" s="8" t="s">
        <v>517</v>
      </c>
      <c r="C4021" s="3" t="s">
        <v>9</v>
      </c>
      <c r="D4021" s="3" t="s">
        <v>422</v>
      </c>
      <c r="F4021" s="3" t="s">
        <v>401</v>
      </c>
      <c r="I4021" s="3" t="s">
        <v>421</v>
      </c>
    </row>
    <row r="4022" spans="2:9" hidden="1" x14ac:dyDescent="0.4">
      <c r="B4022" s="8" t="s">
        <v>518</v>
      </c>
      <c r="C4022" s="3" t="s">
        <v>240</v>
      </c>
      <c r="D4022" s="3" t="s">
        <v>276</v>
      </c>
      <c r="F4022" s="3" t="s">
        <v>401</v>
      </c>
      <c r="I4022" s="3" t="s">
        <v>421</v>
      </c>
    </row>
    <row r="4023" spans="2:9" hidden="1" x14ac:dyDescent="0.4">
      <c r="B4023" s="8" t="s">
        <v>517</v>
      </c>
      <c r="C4023" s="3" t="s">
        <v>21</v>
      </c>
      <c r="D4023" s="3" t="s">
        <v>423</v>
      </c>
      <c r="F4023" s="3" t="s">
        <v>401</v>
      </c>
      <c r="I4023" s="3" t="s">
        <v>421</v>
      </c>
    </row>
    <row r="4024" spans="2:9" hidden="1" x14ac:dyDescent="0.4">
      <c r="B4024" s="8" t="s">
        <v>518</v>
      </c>
      <c r="C4024" s="3" t="s">
        <v>242</v>
      </c>
      <c r="D4024" s="3" t="s">
        <v>278</v>
      </c>
      <c r="F4024" s="3" t="s">
        <v>401</v>
      </c>
      <c r="I4024" s="3" t="s">
        <v>421</v>
      </c>
    </row>
    <row r="4025" spans="2:9" hidden="1" x14ac:dyDescent="0.4">
      <c r="B4025" s="8" t="s">
        <v>517</v>
      </c>
      <c r="C4025" s="3" t="s">
        <v>20</v>
      </c>
      <c r="D4025" s="3" t="s">
        <v>424</v>
      </c>
      <c r="F4025" s="3" t="s">
        <v>401</v>
      </c>
      <c r="I4025" s="3" t="s">
        <v>421</v>
      </c>
    </row>
    <row r="4026" spans="2:9" hidden="1" x14ac:dyDescent="0.4">
      <c r="B4026" s="8" t="s">
        <v>518</v>
      </c>
      <c r="C4026" s="3" t="s">
        <v>241</v>
      </c>
      <c r="D4026" s="3" t="s">
        <v>277</v>
      </c>
      <c r="F4026" s="3" t="s">
        <v>401</v>
      </c>
      <c r="I4026" s="3" t="s">
        <v>421</v>
      </c>
    </row>
    <row r="4027" spans="2:9" hidden="1" x14ac:dyDescent="0.4">
      <c r="B4027" s="8" t="s">
        <v>517</v>
      </c>
      <c r="C4027" s="3" t="s">
        <v>288</v>
      </c>
      <c r="D4027" s="3" t="s">
        <v>625</v>
      </c>
      <c r="F4027" s="3" t="s">
        <v>399</v>
      </c>
      <c r="I4027" s="3" t="s">
        <v>267</v>
      </c>
    </row>
    <row r="4028" spans="2:9" hidden="1" x14ac:dyDescent="0.4">
      <c r="B4028" s="8" t="s">
        <v>517</v>
      </c>
      <c r="C4028" s="3" t="s">
        <v>288</v>
      </c>
      <c r="D4028" s="3" t="s">
        <v>2425</v>
      </c>
      <c r="E4028" s="3" t="s">
        <v>1272</v>
      </c>
      <c r="F4028" s="3" t="s">
        <v>399</v>
      </c>
      <c r="I4028" s="3" t="s">
        <v>1833</v>
      </c>
    </row>
    <row r="4029" spans="2:9" hidden="1" x14ac:dyDescent="0.4">
      <c r="B4029" s="8" t="s">
        <v>517</v>
      </c>
      <c r="C4029" s="3" t="s">
        <v>2528</v>
      </c>
      <c r="D4029" s="3" t="s">
        <v>2425</v>
      </c>
      <c r="E4029" s="3" t="s">
        <v>1272</v>
      </c>
      <c r="F4029" s="3" t="s">
        <v>402</v>
      </c>
      <c r="I4029" s="3" t="s">
        <v>1833</v>
      </c>
    </row>
    <row r="4030" spans="2:9" hidden="1" x14ac:dyDescent="0.4">
      <c r="B4030" s="8" t="s">
        <v>517</v>
      </c>
      <c r="C4030" s="3" t="s">
        <v>2801</v>
      </c>
      <c r="D4030" s="3" t="s">
        <v>2819</v>
      </c>
      <c r="E4030" s="3" t="s">
        <v>1272</v>
      </c>
      <c r="F4030" s="3" t="s">
        <v>399</v>
      </c>
      <c r="I4030" s="3" t="s">
        <v>2370</v>
      </c>
    </row>
    <row r="4031" spans="2:9" hidden="1" x14ac:dyDescent="0.4">
      <c r="B4031" s="8" t="s">
        <v>532</v>
      </c>
      <c r="C4031" s="3" t="s">
        <v>324</v>
      </c>
      <c r="D4031" s="3" t="s">
        <v>626</v>
      </c>
      <c r="F4031" s="3" t="s">
        <v>399</v>
      </c>
      <c r="I4031" s="3" t="s">
        <v>267</v>
      </c>
    </row>
    <row r="4032" spans="2:9" hidden="1" x14ac:dyDescent="0.4">
      <c r="B4032" s="8" t="s">
        <v>518</v>
      </c>
      <c r="C4032" s="3" t="s">
        <v>305</v>
      </c>
      <c r="D4032" s="3" t="s">
        <v>627</v>
      </c>
      <c r="F4032" s="3" t="s">
        <v>399</v>
      </c>
      <c r="I4032" s="3" t="s">
        <v>267</v>
      </c>
    </row>
    <row r="4033" spans="2:9" hidden="1" x14ac:dyDescent="0.4">
      <c r="B4033" s="8" t="s">
        <v>518</v>
      </c>
      <c r="C4033" s="3" t="s">
        <v>2283</v>
      </c>
      <c r="D4033" s="3" t="s">
        <v>2441</v>
      </c>
      <c r="E4033" s="3" t="s">
        <v>1272</v>
      </c>
      <c r="F4033" s="3" t="s">
        <v>399</v>
      </c>
      <c r="I4033" s="3" t="s">
        <v>1833</v>
      </c>
    </row>
    <row r="4034" spans="2:9" hidden="1" x14ac:dyDescent="0.4">
      <c r="B4034" s="8" t="s">
        <v>518</v>
      </c>
      <c r="C4034" s="3" t="s">
        <v>2589</v>
      </c>
      <c r="D4034" s="3" t="s">
        <v>2441</v>
      </c>
      <c r="E4034" s="3" t="s">
        <v>1272</v>
      </c>
      <c r="F4034" s="3" t="s">
        <v>402</v>
      </c>
      <c r="I4034" s="3" t="s">
        <v>1833</v>
      </c>
    </row>
    <row r="4035" spans="2:9" hidden="1" x14ac:dyDescent="0.4">
      <c r="B4035" s="8" t="s">
        <v>517</v>
      </c>
      <c r="C4035" s="3" t="s">
        <v>3586</v>
      </c>
      <c r="D4035" s="3" t="s">
        <v>3889</v>
      </c>
      <c r="F4035" s="3" t="s">
        <v>399</v>
      </c>
      <c r="G4035" s="3" t="s">
        <v>402</v>
      </c>
      <c r="I4035" s="3" t="s">
        <v>4063</v>
      </c>
    </row>
    <row r="4036" spans="2:9" hidden="1" x14ac:dyDescent="0.4">
      <c r="B4036" s="8" t="s">
        <v>517</v>
      </c>
      <c r="C4036" s="3" t="s">
        <v>5889</v>
      </c>
      <c r="D4036" s="3" t="s">
        <v>4840</v>
      </c>
      <c r="F4036" s="3" t="s">
        <v>399</v>
      </c>
      <c r="I4036" s="3" t="s">
        <v>4063</v>
      </c>
    </row>
    <row r="4037" spans="2:9" hidden="1" x14ac:dyDescent="0.4">
      <c r="B4037" s="8" t="s">
        <v>517</v>
      </c>
      <c r="C4037" s="3" t="s">
        <v>6236</v>
      </c>
      <c r="D4037" s="3" t="s">
        <v>5581</v>
      </c>
      <c r="F4037" s="3" t="s">
        <v>402</v>
      </c>
      <c r="I4037" s="3" t="s">
        <v>4063</v>
      </c>
    </row>
    <row r="4038" spans="2:9" hidden="1" x14ac:dyDescent="0.4">
      <c r="B4038" s="8" t="s">
        <v>517</v>
      </c>
      <c r="C4038" s="3" t="s">
        <v>4275</v>
      </c>
      <c r="D4038" s="3" t="s">
        <v>3889</v>
      </c>
      <c r="F4038" s="3" t="s">
        <v>399</v>
      </c>
      <c r="G4038" s="3" t="s">
        <v>402</v>
      </c>
      <c r="I4038" s="3" t="s">
        <v>4064</v>
      </c>
    </row>
    <row r="4039" spans="2:9" hidden="1" x14ac:dyDescent="0.4">
      <c r="B4039" s="8" t="s">
        <v>517</v>
      </c>
      <c r="C4039" s="3" t="s">
        <v>4485</v>
      </c>
      <c r="D4039" s="3" t="s">
        <v>4840</v>
      </c>
      <c r="F4039" s="3" t="s">
        <v>399</v>
      </c>
      <c r="I4039" s="3" t="s">
        <v>4064</v>
      </c>
    </row>
    <row r="4040" spans="2:9" hidden="1" x14ac:dyDescent="0.4">
      <c r="B4040" s="8" t="s">
        <v>517</v>
      </c>
      <c r="C4040" s="3" t="s">
        <v>5260</v>
      </c>
      <c r="D4040" s="3" t="s">
        <v>5581</v>
      </c>
      <c r="F4040" s="3" t="s">
        <v>402</v>
      </c>
      <c r="I4040" s="3" t="s">
        <v>4064</v>
      </c>
    </row>
    <row r="4041" spans="2:9" hidden="1" x14ac:dyDescent="0.4">
      <c r="B4041" s="8" t="s">
        <v>529</v>
      </c>
      <c r="C4041" s="3" t="s">
        <v>871</v>
      </c>
      <c r="D4041" s="3" t="s">
        <v>883</v>
      </c>
      <c r="E4041" s="3" t="s">
        <v>425</v>
      </c>
      <c r="F4041" s="3" t="s">
        <v>399</v>
      </c>
      <c r="I4041" s="3" t="s">
        <v>824</v>
      </c>
    </row>
    <row r="4042" spans="2:9" hidden="1" x14ac:dyDescent="0.4">
      <c r="B4042" s="8" t="s">
        <v>529</v>
      </c>
      <c r="C4042" s="3" t="s">
        <v>871</v>
      </c>
      <c r="D4042" s="3" t="s">
        <v>908</v>
      </c>
      <c r="E4042" s="3" t="s">
        <v>425</v>
      </c>
      <c r="F4042" s="3" t="s">
        <v>399</v>
      </c>
      <c r="I4042" s="3" t="s">
        <v>523</v>
      </c>
    </row>
    <row r="4043" spans="2:9" hidden="1" x14ac:dyDescent="0.4">
      <c r="B4043" s="8" t="s">
        <v>529</v>
      </c>
      <c r="C4043" s="3" t="s">
        <v>871</v>
      </c>
      <c r="D4043" s="3" t="s">
        <v>895</v>
      </c>
      <c r="E4043" s="3" t="s">
        <v>425</v>
      </c>
      <c r="F4043" s="3" t="s">
        <v>399</v>
      </c>
      <c r="I4043" s="3" t="s">
        <v>898</v>
      </c>
    </row>
    <row r="4044" spans="2:9" hidden="1" x14ac:dyDescent="0.4">
      <c r="B4044" s="8" t="s">
        <v>529</v>
      </c>
      <c r="C4044" s="3" t="s">
        <v>961</v>
      </c>
      <c r="D4044" s="3" t="s">
        <v>883</v>
      </c>
      <c r="E4044" s="3" t="s">
        <v>425</v>
      </c>
      <c r="F4044" s="3" t="s">
        <v>402</v>
      </c>
      <c r="I4044" s="3" t="s">
        <v>824</v>
      </c>
    </row>
    <row r="4045" spans="2:9" hidden="1" x14ac:dyDescent="0.4">
      <c r="B4045" s="8" t="s">
        <v>529</v>
      </c>
      <c r="C4045" s="3" t="s">
        <v>961</v>
      </c>
      <c r="D4045" s="3" t="s">
        <v>908</v>
      </c>
      <c r="E4045" s="3" t="s">
        <v>425</v>
      </c>
      <c r="F4045" s="3" t="s">
        <v>402</v>
      </c>
      <c r="I4045" s="3" t="s">
        <v>523</v>
      </c>
    </row>
    <row r="4046" spans="2:9" hidden="1" x14ac:dyDescent="0.4">
      <c r="B4046" s="8" t="s">
        <v>529</v>
      </c>
      <c r="C4046" s="3" t="s">
        <v>961</v>
      </c>
      <c r="D4046" s="3" t="s">
        <v>895</v>
      </c>
      <c r="E4046" s="3" t="s">
        <v>425</v>
      </c>
      <c r="F4046" s="3" t="s">
        <v>402</v>
      </c>
      <c r="I4046" s="3" t="s">
        <v>898</v>
      </c>
    </row>
    <row r="4047" spans="2:9" hidden="1" x14ac:dyDescent="0.4">
      <c r="B4047" s="8" t="s">
        <v>529</v>
      </c>
      <c r="C4047" s="3" t="s">
        <v>962</v>
      </c>
      <c r="D4047" s="3" t="s">
        <v>883</v>
      </c>
      <c r="E4047" s="3" t="s">
        <v>425</v>
      </c>
      <c r="F4047" s="3" t="s">
        <v>402</v>
      </c>
      <c r="I4047" s="3" t="s">
        <v>824</v>
      </c>
    </row>
    <row r="4048" spans="2:9" hidden="1" x14ac:dyDescent="0.4">
      <c r="B4048" s="8" t="s">
        <v>529</v>
      </c>
      <c r="C4048" s="3" t="s">
        <v>962</v>
      </c>
      <c r="D4048" s="3" t="s">
        <v>908</v>
      </c>
      <c r="E4048" s="3" t="s">
        <v>425</v>
      </c>
      <c r="F4048" s="3" t="s">
        <v>402</v>
      </c>
      <c r="I4048" s="3" t="s">
        <v>523</v>
      </c>
    </row>
    <row r="4049" spans="2:9" hidden="1" x14ac:dyDescent="0.4">
      <c r="B4049" s="8" t="s">
        <v>529</v>
      </c>
      <c r="C4049" s="3" t="s">
        <v>962</v>
      </c>
      <c r="D4049" s="3" t="s">
        <v>895</v>
      </c>
      <c r="E4049" s="3" t="s">
        <v>425</v>
      </c>
      <c r="F4049" s="3" t="s">
        <v>402</v>
      </c>
      <c r="I4049" s="3" t="s">
        <v>898</v>
      </c>
    </row>
    <row r="4050" spans="2:9" hidden="1" x14ac:dyDescent="0.4">
      <c r="B4050" s="8" t="s">
        <v>531</v>
      </c>
      <c r="C4050" s="3" t="s">
        <v>3898</v>
      </c>
      <c r="D4050" s="3" t="s">
        <v>4044</v>
      </c>
      <c r="F4050" s="3" t="s">
        <v>399</v>
      </c>
      <c r="G4050" s="3" t="s">
        <v>402</v>
      </c>
      <c r="I4050" s="3" t="s">
        <v>4063</v>
      </c>
    </row>
    <row r="4051" spans="2:9" hidden="1" x14ac:dyDescent="0.4">
      <c r="B4051" s="8" t="s">
        <v>531</v>
      </c>
      <c r="C4051" s="3" t="s">
        <v>3898</v>
      </c>
      <c r="D4051" s="3" t="s">
        <v>4044</v>
      </c>
      <c r="F4051" s="3" t="s">
        <v>399</v>
      </c>
      <c r="G4051" s="3" t="s">
        <v>402</v>
      </c>
      <c r="I4051" s="3" t="s">
        <v>4064</v>
      </c>
    </row>
    <row r="4052" spans="2:9" hidden="1" x14ac:dyDescent="0.4">
      <c r="B4052" s="8" t="s">
        <v>531</v>
      </c>
      <c r="C4052" s="3" t="s">
        <v>5908</v>
      </c>
      <c r="D4052" s="3" t="s">
        <v>4992</v>
      </c>
      <c r="F4052" s="3" t="s">
        <v>399</v>
      </c>
      <c r="I4052" s="3" t="s">
        <v>4063</v>
      </c>
    </row>
    <row r="4053" spans="2:9" hidden="1" x14ac:dyDescent="0.4">
      <c r="B4053" s="8" t="s">
        <v>531</v>
      </c>
      <c r="C4053" s="3" t="s">
        <v>6254</v>
      </c>
      <c r="D4053" s="3" t="s">
        <v>5601</v>
      </c>
      <c r="F4053" s="3" t="s">
        <v>402</v>
      </c>
      <c r="I4053" s="3" t="s">
        <v>4063</v>
      </c>
    </row>
    <row r="4054" spans="2:9" hidden="1" x14ac:dyDescent="0.4">
      <c r="B4054" s="8" t="s">
        <v>531</v>
      </c>
      <c r="C4054" s="3" t="s">
        <v>4591</v>
      </c>
      <c r="D4054" s="3" t="s">
        <v>4992</v>
      </c>
      <c r="F4054" s="3" t="s">
        <v>399</v>
      </c>
      <c r="I4054" s="3" t="s">
        <v>4064</v>
      </c>
    </row>
    <row r="4055" spans="2:9" hidden="1" x14ac:dyDescent="0.4">
      <c r="B4055" s="8" t="s">
        <v>531</v>
      </c>
      <c r="C4055" s="3" t="s">
        <v>5281</v>
      </c>
      <c r="D4055" s="3" t="s">
        <v>5601</v>
      </c>
      <c r="F4055" s="3" t="s">
        <v>402</v>
      </c>
      <c r="I4055" s="3" t="s">
        <v>4064</v>
      </c>
    </row>
    <row r="4056" spans="2:9" hidden="1" x14ac:dyDescent="0.4">
      <c r="B4056" s="8" t="s">
        <v>517</v>
      </c>
      <c r="C4056" s="3" t="s">
        <v>4280</v>
      </c>
      <c r="D4056" s="3" t="s">
        <v>3894</v>
      </c>
      <c r="F4056" s="3" t="s">
        <v>399</v>
      </c>
      <c r="G4056" s="3" t="s">
        <v>402</v>
      </c>
      <c r="I4056" s="3" t="s">
        <v>4064</v>
      </c>
    </row>
    <row r="4057" spans="2:9" hidden="1" x14ac:dyDescent="0.4">
      <c r="B4057" s="8" t="s">
        <v>517</v>
      </c>
      <c r="C4057" s="3" t="s">
        <v>4491</v>
      </c>
      <c r="D4057" s="3" t="s">
        <v>4983</v>
      </c>
      <c r="F4057" s="3" t="s">
        <v>399</v>
      </c>
      <c r="I4057" s="3" t="s">
        <v>4064</v>
      </c>
    </row>
    <row r="4058" spans="2:9" hidden="1" x14ac:dyDescent="0.4">
      <c r="B4058" s="8" t="s">
        <v>517</v>
      </c>
      <c r="C4058" s="3" t="s">
        <v>5269</v>
      </c>
      <c r="D4058" s="3" t="s">
        <v>5590</v>
      </c>
      <c r="F4058" s="3" t="s">
        <v>402</v>
      </c>
      <c r="I4058" s="3" t="s">
        <v>4064</v>
      </c>
    </row>
    <row r="4059" spans="2:9" hidden="1" x14ac:dyDescent="0.4">
      <c r="B4059" s="8" t="s">
        <v>517</v>
      </c>
      <c r="C4059" s="3" t="s">
        <v>3595</v>
      </c>
      <c r="D4059" s="3" t="s">
        <v>3894</v>
      </c>
      <c r="F4059" s="3" t="s">
        <v>399</v>
      </c>
      <c r="G4059" s="3" t="s">
        <v>402</v>
      </c>
      <c r="I4059" s="3" t="s">
        <v>4063</v>
      </c>
    </row>
    <row r="4060" spans="2:9" hidden="1" x14ac:dyDescent="0.4">
      <c r="B4060" s="8" t="s">
        <v>517</v>
      </c>
      <c r="C4060" s="3" t="s">
        <v>5897</v>
      </c>
      <c r="D4060" s="3" t="s">
        <v>4983</v>
      </c>
      <c r="F4060" s="3" t="s">
        <v>399</v>
      </c>
      <c r="I4060" s="3" t="s">
        <v>4063</v>
      </c>
    </row>
    <row r="4061" spans="2:9" hidden="1" x14ac:dyDescent="0.4">
      <c r="B4061" s="8" t="s">
        <v>517</v>
      </c>
      <c r="C4061" s="3" t="s">
        <v>6243</v>
      </c>
      <c r="D4061" s="3" t="s">
        <v>5590</v>
      </c>
      <c r="F4061" s="3" t="s">
        <v>402</v>
      </c>
      <c r="I4061" s="3" t="s">
        <v>4063</v>
      </c>
    </row>
    <row r="4062" spans="2:9" hidden="1" x14ac:dyDescent="0.4">
      <c r="B4062" s="8" t="s">
        <v>517</v>
      </c>
      <c r="C4062" s="3" t="s">
        <v>2969</v>
      </c>
      <c r="D4062" s="3" t="s">
        <v>3208</v>
      </c>
      <c r="E4062" s="3">
        <v>1</v>
      </c>
      <c r="F4062" s="3" t="s">
        <v>402</v>
      </c>
      <c r="G4062" s="3" t="s">
        <v>1279</v>
      </c>
      <c r="H4062" s="3" t="s">
        <v>399</v>
      </c>
      <c r="I4062" s="3" t="s">
        <v>245</v>
      </c>
    </row>
    <row r="4063" spans="2:9" hidden="1" x14ac:dyDescent="0.4">
      <c r="B4063" s="8" t="s">
        <v>520</v>
      </c>
      <c r="C4063" s="3" t="s">
        <v>869</v>
      </c>
      <c r="D4063" s="3" t="s">
        <v>881</v>
      </c>
      <c r="E4063" s="3" t="s">
        <v>425</v>
      </c>
      <c r="F4063" s="3" t="s">
        <v>399</v>
      </c>
      <c r="I4063" s="3" t="s">
        <v>824</v>
      </c>
    </row>
    <row r="4064" spans="2:9" hidden="1" x14ac:dyDescent="0.4">
      <c r="B4064" s="8" t="s">
        <v>520</v>
      </c>
      <c r="C4064" s="3" t="s">
        <v>869</v>
      </c>
      <c r="D4064" s="3" t="s">
        <v>906</v>
      </c>
      <c r="E4064" s="3" t="s">
        <v>425</v>
      </c>
      <c r="F4064" s="3" t="s">
        <v>399</v>
      </c>
      <c r="I4064" s="3" t="s">
        <v>523</v>
      </c>
    </row>
    <row r="4065" spans="2:9" hidden="1" x14ac:dyDescent="0.4">
      <c r="B4065" s="8" t="s">
        <v>520</v>
      </c>
      <c r="C4065" s="3" t="s">
        <v>869</v>
      </c>
      <c r="D4065" s="3" t="s">
        <v>893</v>
      </c>
      <c r="E4065" s="3" t="s">
        <v>425</v>
      </c>
      <c r="F4065" s="3" t="s">
        <v>399</v>
      </c>
      <c r="I4065" s="3" t="s">
        <v>898</v>
      </c>
    </row>
    <row r="4066" spans="2:9" hidden="1" x14ac:dyDescent="0.4">
      <c r="B4066" s="8" t="s">
        <v>520</v>
      </c>
      <c r="C4066" s="3" t="s">
        <v>959</v>
      </c>
      <c r="D4066" s="3" t="s">
        <v>881</v>
      </c>
      <c r="E4066" s="3" t="s">
        <v>425</v>
      </c>
      <c r="F4066" s="3" t="s">
        <v>402</v>
      </c>
      <c r="I4066" s="3" t="s">
        <v>824</v>
      </c>
    </row>
    <row r="4067" spans="2:9" hidden="1" x14ac:dyDescent="0.4">
      <c r="B4067" s="8" t="s">
        <v>520</v>
      </c>
      <c r="C4067" s="3" t="s">
        <v>959</v>
      </c>
      <c r="D4067" s="3" t="s">
        <v>906</v>
      </c>
      <c r="E4067" s="3" t="s">
        <v>425</v>
      </c>
      <c r="F4067" s="3" t="s">
        <v>402</v>
      </c>
      <c r="I4067" s="3" t="s">
        <v>523</v>
      </c>
    </row>
    <row r="4068" spans="2:9" hidden="1" x14ac:dyDescent="0.4">
      <c r="B4068" s="8" t="s">
        <v>520</v>
      </c>
      <c r="C4068" s="3" t="s">
        <v>959</v>
      </c>
      <c r="D4068" s="3" t="s">
        <v>893</v>
      </c>
      <c r="E4068" s="3" t="s">
        <v>425</v>
      </c>
      <c r="F4068" s="3" t="s">
        <v>402</v>
      </c>
      <c r="I4068" s="3" t="s">
        <v>898</v>
      </c>
    </row>
    <row r="4069" spans="2:9" hidden="1" x14ac:dyDescent="0.4">
      <c r="B4069" s="8" t="s">
        <v>517</v>
      </c>
      <c r="C4069" s="3" t="s">
        <v>329</v>
      </c>
      <c r="D4069" s="3" t="s">
        <v>628</v>
      </c>
      <c r="F4069" s="3" t="s">
        <v>399</v>
      </c>
      <c r="I4069" s="3" t="s">
        <v>267</v>
      </c>
    </row>
    <row r="4070" spans="2:9" hidden="1" x14ac:dyDescent="0.4">
      <c r="B4070" s="8">
        <v>1</v>
      </c>
      <c r="C4070" s="3" t="s">
        <v>182</v>
      </c>
      <c r="D4070" s="3" t="s">
        <v>655</v>
      </c>
      <c r="F4070" s="3" t="s">
        <v>399</v>
      </c>
      <c r="I4070" s="3" t="s">
        <v>267</v>
      </c>
    </row>
    <row r="4071" spans="2:9" hidden="1" x14ac:dyDescent="0.4">
      <c r="B4071" s="8" t="s">
        <v>517</v>
      </c>
      <c r="C4071" s="3" t="s">
        <v>3019</v>
      </c>
      <c r="D4071" s="3" t="s">
        <v>3256</v>
      </c>
      <c r="E4071" s="3">
        <v>1</v>
      </c>
      <c r="F4071" s="3" t="s">
        <v>402</v>
      </c>
      <c r="G4071" s="3" t="s">
        <v>988</v>
      </c>
      <c r="I4071" s="3" t="s">
        <v>245</v>
      </c>
    </row>
    <row r="4072" spans="2:9" hidden="1" x14ac:dyDescent="0.4">
      <c r="B4072" s="8" t="s">
        <v>517</v>
      </c>
      <c r="C4072" s="3" t="s">
        <v>3642</v>
      </c>
      <c r="D4072" s="3" t="s">
        <v>3932</v>
      </c>
      <c r="F4072" s="3" t="s">
        <v>399</v>
      </c>
      <c r="G4072" s="3" t="s">
        <v>402</v>
      </c>
      <c r="I4072" s="3" t="s">
        <v>4063</v>
      </c>
    </row>
    <row r="4073" spans="2:9" hidden="1" x14ac:dyDescent="0.4">
      <c r="B4073" s="8" t="s">
        <v>517</v>
      </c>
      <c r="C4073" s="3" t="s">
        <v>5945</v>
      </c>
      <c r="D4073" s="3" t="s">
        <v>4962</v>
      </c>
      <c r="F4073" s="3" t="s">
        <v>399</v>
      </c>
      <c r="I4073" s="3" t="s">
        <v>4063</v>
      </c>
    </row>
    <row r="4074" spans="2:9" hidden="1" x14ac:dyDescent="0.4">
      <c r="B4074" s="8" t="s">
        <v>517</v>
      </c>
      <c r="C4074" s="3" t="s">
        <v>6292</v>
      </c>
      <c r="D4074" s="3" t="s">
        <v>5641</v>
      </c>
      <c r="F4074" s="3" t="s">
        <v>402</v>
      </c>
      <c r="I4074" s="3" t="s">
        <v>4063</v>
      </c>
    </row>
    <row r="4075" spans="2:9" hidden="1" x14ac:dyDescent="0.4">
      <c r="B4075" s="8" t="s">
        <v>517</v>
      </c>
      <c r="C4075" s="3" t="s">
        <v>4320</v>
      </c>
      <c r="D4075" s="3" t="s">
        <v>3932</v>
      </c>
      <c r="F4075" s="3" t="s">
        <v>399</v>
      </c>
      <c r="G4075" s="3" t="s">
        <v>402</v>
      </c>
      <c r="I4075" s="3" t="s">
        <v>4064</v>
      </c>
    </row>
    <row r="4076" spans="2:9" hidden="1" x14ac:dyDescent="0.4">
      <c r="B4076" s="8" t="s">
        <v>517</v>
      </c>
      <c r="C4076" s="3" t="s">
        <v>4515</v>
      </c>
      <c r="D4076" s="3" t="s">
        <v>4962</v>
      </c>
      <c r="F4076" s="3" t="s">
        <v>399</v>
      </c>
      <c r="I4076" s="3" t="s">
        <v>4064</v>
      </c>
    </row>
    <row r="4077" spans="2:9" hidden="1" x14ac:dyDescent="0.4">
      <c r="B4077" s="8" t="s">
        <v>517</v>
      </c>
      <c r="C4077" s="3" t="s">
        <v>5321</v>
      </c>
      <c r="D4077" s="3" t="s">
        <v>5641</v>
      </c>
      <c r="F4077" s="3" t="s">
        <v>402</v>
      </c>
      <c r="I4077" s="3" t="s">
        <v>4064</v>
      </c>
    </row>
    <row r="4078" spans="2:9" hidden="1" x14ac:dyDescent="0.4">
      <c r="B4078" s="8" t="s">
        <v>517</v>
      </c>
      <c r="C4078" s="3" t="s">
        <v>349</v>
      </c>
      <c r="D4078" s="3" t="s">
        <v>373</v>
      </c>
      <c r="F4078" s="3" t="s">
        <v>399</v>
      </c>
      <c r="I4078" s="3" t="s">
        <v>267</v>
      </c>
    </row>
    <row r="4079" spans="2:9" hidden="1" x14ac:dyDescent="0.4">
      <c r="B4079" s="8" t="s">
        <v>517</v>
      </c>
      <c r="C4079" s="3" t="s">
        <v>333</v>
      </c>
      <c r="D4079" s="3" t="s">
        <v>629</v>
      </c>
      <c r="F4079" s="3" t="s">
        <v>399</v>
      </c>
      <c r="I4079" s="3" t="s">
        <v>267</v>
      </c>
    </row>
    <row r="4080" spans="2:9" hidden="1" x14ac:dyDescent="0.4">
      <c r="B4080" s="8" t="s">
        <v>518</v>
      </c>
      <c r="C4080" s="3" t="s">
        <v>2947</v>
      </c>
      <c r="D4080" s="3" t="s">
        <v>3186</v>
      </c>
      <c r="E4080" s="3">
        <v>1</v>
      </c>
      <c r="F4080" s="3" t="s">
        <v>399</v>
      </c>
      <c r="G4080" s="3" t="s">
        <v>402</v>
      </c>
      <c r="I4080" s="3" t="s">
        <v>1335</v>
      </c>
    </row>
    <row r="4081" spans="2:9" hidden="1" x14ac:dyDescent="0.4">
      <c r="B4081" s="8" t="s">
        <v>519</v>
      </c>
      <c r="C4081" s="3" t="s">
        <v>4604</v>
      </c>
      <c r="D4081" s="3" t="s">
        <v>4864</v>
      </c>
      <c r="F4081" s="3" t="s">
        <v>399</v>
      </c>
      <c r="I4081" s="3" t="s">
        <v>4064</v>
      </c>
    </row>
    <row r="4082" spans="2:9" hidden="1" x14ac:dyDescent="0.4">
      <c r="B4082" s="8" t="s">
        <v>519</v>
      </c>
      <c r="C4082" s="3" t="s">
        <v>5035</v>
      </c>
      <c r="D4082" s="3" t="s">
        <v>5684</v>
      </c>
      <c r="F4082" s="3" t="s">
        <v>402</v>
      </c>
      <c r="I4082" s="3" t="s">
        <v>4064</v>
      </c>
    </row>
    <row r="4083" spans="2:9" hidden="1" x14ac:dyDescent="0.4">
      <c r="B4083" s="8" t="s">
        <v>519</v>
      </c>
      <c r="C4083" s="3" t="s">
        <v>4070</v>
      </c>
      <c r="D4083" s="3" t="s">
        <v>3676</v>
      </c>
      <c r="F4083" s="3" t="s">
        <v>399</v>
      </c>
      <c r="G4083" s="3" t="s">
        <v>402</v>
      </c>
      <c r="I4083" s="3" t="s">
        <v>4064</v>
      </c>
    </row>
    <row r="4084" spans="2:9" hidden="1" x14ac:dyDescent="0.4">
      <c r="B4084" s="8" t="s">
        <v>529</v>
      </c>
      <c r="C4084" s="3" t="s">
        <v>952</v>
      </c>
      <c r="D4084" s="3" t="s">
        <v>876</v>
      </c>
      <c r="E4084" s="3" t="s">
        <v>425</v>
      </c>
      <c r="F4084" s="3" t="s">
        <v>402</v>
      </c>
      <c r="I4084" s="3" t="s">
        <v>824</v>
      </c>
    </row>
    <row r="4085" spans="2:9" hidden="1" x14ac:dyDescent="0.4">
      <c r="B4085" s="8" t="s">
        <v>529</v>
      </c>
      <c r="C4085" s="3" t="s">
        <v>952</v>
      </c>
      <c r="D4085" s="3" t="s">
        <v>901</v>
      </c>
      <c r="E4085" s="3" t="s">
        <v>425</v>
      </c>
      <c r="F4085" s="3" t="s">
        <v>402</v>
      </c>
      <c r="I4085" s="3" t="s">
        <v>523</v>
      </c>
    </row>
    <row r="4086" spans="2:9" hidden="1" x14ac:dyDescent="0.4">
      <c r="B4086" s="8" t="s">
        <v>529</v>
      </c>
      <c r="C4086" s="3" t="s">
        <v>952</v>
      </c>
      <c r="D4086" s="3" t="s">
        <v>888</v>
      </c>
      <c r="E4086" s="3" t="s">
        <v>425</v>
      </c>
      <c r="F4086" s="3" t="s">
        <v>402</v>
      </c>
      <c r="I4086" s="3" t="s">
        <v>898</v>
      </c>
    </row>
    <row r="4087" spans="2:9" hidden="1" x14ac:dyDescent="0.4">
      <c r="B4087" s="8" t="s">
        <v>529</v>
      </c>
      <c r="C4087" s="3" t="s">
        <v>864</v>
      </c>
      <c r="D4087" s="3" t="s">
        <v>876</v>
      </c>
      <c r="E4087" s="3" t="s">
        <v>425</v>
      </c>
      <c r="F4087" s="3" t="s">
        <v>399</v>
      </c>
      <c r="I4087" s="3" t="s">
        <v>824</v>
      </c>
    </row>
    <row r="4088" spans="2:9" hidden="1" x14ac:dyDescent="0.4">
      <c r="B4088" s="8" t="s">
        <v>529</v>
      </c>
      <c r="C4088" s="3" t="s">
        <v>864</v>
      </c>
      <c r="D4088" s="3" t="s">
        <v>901</v>
      </c>
      <c r="E4088" s="3" t="s">
        <v>425</v>
      </c>
      <c r="F4088" s="3" t="s">
        <v>399</v>
      </c>
      <c r="I4088" s="3" t="s">
        <v>523</v>
      </c>
    </row>
    <row r="4089" spans="2:9" hidden="1" x14ac:dyDescent="0.4">
      <c r="B4089" s="8" t="s">
        <v>529</v>
      </c>
      <c r="C4089" s="3" t="s">
        <v>864</v>
      </c>
      <c r="D4089" s="3" t="s">
        <v>888</v>
      </c>
      <c r="E4089" s="3" t="s">
        <v>425</v>
      </c>
      <c r="F4089" s="3" t="s">
        <v>399</v>
      </c>
      <c r="I4089" s="3" t="s">
        <v>898</v>
      </c>
    </row>
    <row r="4090" spans="2:9" hidden="1" x14ac:dyDescent="0.4">
      <c r="B4090" s="8" t="s">
        <v>529</v>
      </c>
      <c r="C4090" s="3" t="s">
        <v>951</v>
      </c>
      <c r="D4090" s="3" t="s">
        <v>876</v>
      </c>
      <c r="E4090" s="3" t="s">
        <v>425</v>
      </c>
      <c r="F4090" s="3" t="s">
        <v>402</v>
      </c>
      <c r="I4090" s="3" t="s">
        <v>824</v>
      </c>
    </row>
    <row r="4091" spans="2:9" hidden="1" x14ac:dyDescent="0.4">
      <c r="B4091" s="8" t="s">
        <v>529</v>
      </c>
      <c r="C4091" s="3" t="s">
        <v>951</v>
      </c>
      <c r="D4091" s="3" t="s">
        <v>901</v>
      </c>
      <c r="E4091" s="3" t="s">
        <v>425</v>
      </c>
      <c r="F4091" s="3" t="s">
        <v>402</v>
      </c>
      <c r="I4091" s="3" t="s">
        <v>523</v>
      </c>
    </row>
    <row r="4092" spans="2:9" hidden="1" x14ac:dyDescent="0.4">
      <c r="B4092" s="8" t="s">
        <v>529</v>
      </c>
      <c r="C4092" s="3" t="s">
        <v>951</v>
      </c>
      <c r="D4092" s="3" t="s">
        <v>888</v>
      </c>
      <c r="E4092" s="3" t="s">
        <v>425</v>
      </c>
      <c r="F4092" s="3" t="s">
        <v>402</v>
      </c>
      <c r="I4092" s="3" t="s">
        <v>898</v>
      </c>
    </row>
    <row r="4093" spans="2:9" hidden="1" x14ac:dyDescent="0.4">
      <c r="B4093" s="8" t="s">
        <v>518</v>
      </c>
      <c r="C4093" s="3" t="s">
        <v>3605</v>
      </c>
      <c r="D4093" s="3" t="s">
        <v>4039</v>
      </c>
      <c r="F4093" s="3" t="s">
        <v>399</v>
      </c>
      <c r="G4093" s="3" t="s">
        <v>402</v>
      </c>
      <c r="I4093" s="3" t="s">
        <v>4063</v>
      </c>
    </row>
    <row r="4094" spans="2:9" hidden="1" x14ac:dyDescent="0.4">
      <c r="B4094" s="8" t="s">
        <v>518</v>
      </c>
      <c r="C4094" s="3" t="s">
        <v>5911</v>
      </c>
      <c r="D4094" s="3" t="s">
        <v>4995</v>
      </c>
      <c r="F4094" s="3" t="s">
        <v>399</v>
      </c>
      <c r="I4094" s="3" t="s">
        <v>4063</v>
      </c>
    </row>
    <row r="4095" spans="2:9" hidden="1" x14ac:dyDescent="0.4">
      <c r="B4095" s="8" t="s">
        <v>518</v>
      </c>
      <c r="C4095" s="3" t="s">
        <v>6257</v>
      </c>
      <c r="D4095" s="3" t="s">
        <v>5604</v>
      </c>
      <c r="F4095" s="3" t="s">
        <v>402</v>
      </c>
      <c r="I4095" s="3" t="s">
        <v>4063</v>
      </c>
    </row>
    <row r="4096" spans="2:9" hidden="1" x14ac:dyDescent="0.4">
      <c r="B4096" s="8" t="s">
        <v>518</v>
      </c>
      <c r="C4096" s="3" t="s">
        <v>4290</v>
      </c>
      <c r="D4096" s="3" t="s">
        <v>4039</v>
      </c>
      <c r="F4096" s="3" t="s">
        <v>399</v>
      </c>
      <c r="G4096" s="3" t="s">
        <v>402</v>
      </c>
      <c r="I4096" s="3" t="s">
        <v>4064</v>
      </c>
    </row>
    <row r="4097" spans="2:9" hidden="1" x14ac:dyDescent="0.4">
      <c r="B4097" s="8" t="s">
        <v>518</v>
      </c>
      <c r="C4097" s="3" t="s">
        <v>4497</v>
      </c>
      <c r="D4097" s="3" t="s">
        <v>4995</v>
      </c>
      <c r="F4097" s="3" t="s">
        <v>399</v>
      </c>
      <c r="I4097" s="3" t="s">
        <v>4064</v>
      </c>
    </row>
    <row r="4098" spans="2:9" hidden="1" x14ac:dyDescent="0.4">
      <c r="B4098" s="8" t="s">
        <v>518</v>
      </c>
      <c r="C4098" s="3" t="s">
        <v>5284</v>
      </c>
      <c r="D4098" s="3" t="s">
        <v>5604</v>
      </c>
      <c r="F4098" s="3" t="s">
        <v>402</v>
      </c>
      <c r="I4098" s="3" t="s">
        <v>4064</v>
      </c>
    </row>
    <row r="4099" spans="2:9" hidden="1" x14ac:dyDescent="0.4">
      <c r="B4099" s="8" t="s">
        <v>517</v>
      </c>
      <c r="C4099" s="3" t="s">
        <v>1783</v>
      </c>
      <c r="D4099" s="3" t="s">
        <v>2387</v>
      </c>
      <c r="F4099" s="3" t="s">
        <v>399</v>
      </c>
      <c r="I4099" s="3" t="s">
        <v>1833</v>
      </c>
    </row>
    <row r="4100" spans="2:9" hidden="1" x14ac:dyDescent="0.4">
      <c r="B4100" s="8" t="s">
        <v>517</v>
      </c>
      <c r="C4100" s="3" t="s">
        <v>2504</v>
      </c>
      <c r="D4100" s="3" t="s">
        <v>2387</v>
      </c>
      <c r="F4100" s="3" t="s">
        <v>402</v>
      </c>
      <c r="I4100" s="3" t="s">
        <v>1833</v>
      </c>
    </row>
    <row r="4101" spans="2:9" hidden="1" x14ac:dyDescent="0.4">
      <c r="B4101" s="8" t="s">
        <v>517</v>
      </c>
      <c r="C4101" s="3" t="s">
        <v>1784</v>
      </c>
      <c r="D4101" s="3" t="s">
        <v>1856</v>
      </c>
      <c r="F4101" s="3" t="s">
        <v>402</v>
      </c>
      <c r="I4101" s="3" t="s">
        <v>1838</v>
      </c>
    </row>
    <row r="4102" spans="2:9" hidden="1" x14ac:dyDescent="0.4">
      <c r="B4102" s="8" t="s">
        <v>517</v>
      </c>
      <c r="C4102" s="3" t="s">
        <v>2155</v>
      </c>
      <c r="D4102" s="3" t="s">
        <v>2170</v>
      </c>
      <c r="F4102" s="3" t="s">
        <v>399</v>
      </c>
      <c r="I4102" s="3" t="s">
        <v>1838</v>
      </c>
    </row>
    <row r="4103" spans="2:9" hidden="1" x14ac:dyDescent="0.4">
      <c r="B4103" s="8" t="s">
        <v>516</v>
      </c>
      <c r="C4103" s="3" t="s">
        <v>2185</v>
      </c>
      <c r="D4103" s="3" t="s">
        <v>2170</v>
      </c>
      <c r="F4103" s="3" t="s">
        <v>399</v>
      </c>
      <c r="I4103" s="3" t="s">
        <v>1838</v>
      </c>
    </row>
    <row r="4104" spans="2:9" hidden="1" x14ac:dyDescent="0.4">
      <c r="B4104" s="8" t="s">
        <v>517</v>
      </c>
      <c r="C4104" s="3" t="s">
        <v>2257</v>
      </c>
      <c r="D4104" s="3" t="s">
        <v>2414</v>
      </c>
      <c r="E4104" s="3" t="s">
        <v>1272</v>
      </c>
      <c r="F4104" s="3" t="s">
        <v>399</v>
      </c>
      <c r="I4104" s="3" t="s">
        <v>1833</v>
      </c>
    </row>
    <row r="4105" spans="2:9" hidden="1" x14ac:dyDescent="0.4">
      <c r="B4105" s="8" t="s">
        <v>517</v>
      </c>
      <c r="C4105" s="3" t="s">
        <v>2566</v>
      </c>
      <c r="D4105" s="3" t="s">
        <v>2414</v>
      </c>
      <c r="E4105" s="3" t="s">
        <v>1272</v>
      </c>
      <c r="F4105" s="3" t="s">
        <v>402</v>
      </c>
      <c r="I4105" s="3" t="s">
        <v>1833</v>
      </c>
    </row>
    <row r="4106" spans="2:9" hidden="1" x14ac:dyDescent="0.4">
      <c r="B4106" s="8" t="s">
        <v>517</v>
      </c>
      <c r="C4106" s="3" t="s">
        <v>3080</v>
      </c>
      <c r="D4106" s="3" t="s">
        <v>3312</v>
      </c>
      <c r="E4106" s="3">
        <v>1</v>
      </c>
      <c r="F4106" s="3" t="s">
        <v>402</v>
      </c>
      <c r="I4106" s="3" t="s">
        <v>245</v>
      </c>
    </row>
    <row r="4107" spans="2:9" hidden="1" x14ac:dyDescent="0.4">
      <c r="B4107" s="8" t="s">
        <v>532</v>
      </c>
      <c r="C4107" s="3" t="s">
        <v>1933</v>
      </c>
      <c r="D4107" s="3" t="s">
        <v>1964</v>
      </c>
      <c r="E4107" s="3" t="s">
        <v>7805</v>
      </c>
      <c r="F4107" s="3" t="s">
        <v>402</v>
      </c>
      <c r="I4107" s="3" t="s">
        <v>1865</v>
      </c>
    </row>
    <row r="4108" spans="2:9" hidden="1" x14ac:dyDescent="0.4">
      <c r="B4108" s="8" t="s">
        <v>2143</v>
      </c>
      <c r="C4108" s="3" t="s">
        <v>2129</v>
      </c>
      <c r="D4108" s="3" t="s">
        <v>2139</v>
      </c>
      <c r="F4108" s="3" t="s">
        <v>399</v>
      </c>
      <c r="I4108" s="3" t="s">
        <v>1865</v>
      </c>
    </row>
    <row r="4109" spans="2:9" hidden="1" x14ac:dyDescent="0.4">
      <c r="B4109" s="8" t="s">
        <v>2143</v>
      </c>
      <c r="C4109" s="3" t="s">
        <v>2124</v>
      </c>
      <c r="D4109" s="3" t="s">
        <v>2134</v>
      </c>
      <c r="F4109" s="3" t="s">
        <v>399</v>
      </c>
      <c r="I4109" s="3" t="s">
        <v>1865</v>
      </c>
    </row>
    <row r="4110" spans="2:9" hidden="1" x14ac:dyDescent="0.4">
      <c r="B4110" s="8" t="s">
        <v>517</v>
      </c>
      <c r="C4110" s="3" t="s">
        <v>3368</v>
      </c>
      <c r="D4110" s="3" t="s">
        <v>3676</v>
      </c>
      <c r="F4110" s="3" t="s">
        <v>399</v>
      </c>
      <c r="G4110" s="3" t="s">
        <v>402</v>
      </c>
      <c r="I4110" s="3" t="s">
        <v>4063</v>
      </c>
    </row>
    <row r="4111" spans="2:9" hidden="1" x14ac:dyDescent="0.4">
      <c r="B4111" s="8" t="s">
        <v>517</v>
      </c>
      <c r="C4111" s="3" t="s">
        <v>5703</v>
      </c>
      <c r="D4111" s="3" t="s">
        <v>4864</v>
      </c>
      <c r="F4111" s="3" t="s">
        <v>399</v>
      </c>
      <c r="I4111" s="3" t="s">
        <v>4063</v>
      </c>
    </row>
    <row r="4112" spans="2:9" hidden="1" x14ac:dyDescent="0.4">
      <c r="B4112" s="8" t="s">
        <v>517</v>
      </c>
      <c r="C4112" s="3" t="s">
        <v>6044</v>
      </c>
      <c r="D4112" s="3" t="s">
        <v>5683</v>
      </c>
      <c r="F4112" s="3" t="s">
        <v>402</v>
      </c>
      <c r="I4112" s="3" t="s">
        <v>4063</v>
      </c>
    </row>
    <row r="4113" spans="2:9" hidden="1" x14ac:dyDescent="0.4">
      <c r="B4113" s="8" t="s">
        <v>536</v>
      </c>
      <c r="C4113" s="3" t="s">
        <v>2067</v>
      </c>
      <c r="D4113" s="3" t="s">
        <v>2075</v>
      </c>
      <c r="F4113" s="3" t="s">
        <v>2065</v>
      </c>
      <c r="I4113" s="3" t="s">
        <v>248</v>
      </c>
    </row>
    <row r="4114" spans="2:9" hidden="1" x14ac:dyDescent="0.4">
      <c r="B4114" s="8" t="s">
        <v>531</v>
      </c>
      <c r="C4114" s="3" t="s">
        <v>2067</v>
      </c>
      <c r="D4114" s="3" t="s">
        <v>2075</v>
      </c>
      <c r="F4114" s="3" t="s">
        <v>402</v>
      </c>
      <c r="I4114" s="3" t="s">
        <v>1728</v>
      </c>
    </row>
    <row r="4115" spans="2:9" hidden="1" x14ac:dyDescent="0.4">
      <c r="B4115" s="8" t="s">
        <v>517</v>
      </c>
      <c r="C4115" s="3" t="s">
        <v>1013</v>
      </c>
      <c r="D4115" s="3" t="s">
        <v>1017</v>
      </c>
      <c r="F4115" s="3" t="s">
        <v>399</v>
      </c>
      <c r="I4115" s="3" t="s">
        <v>510</v>
      </c>
    </row>
    <row r="4116" spans="2:9" hidden="1" x14ac:dyDescent="0.4">
      <c r="B4116" s="8" t="s">
        <v>518</v>
      </c>
      <c r="C4116" s="3" t="s">
        <v>3088</v>
      </c>
      <c r="D4116" s="3" t="s">
        <v>3320</v>
      </c>
      <c r="E4116" s="3">
        <v>1</v>
      </c>
      <c r="F4116" s="3" t="s">
        <v>402</v>
      </c>
      <c r="I4116" s="3" t="s">
        <v>245</v>
      </c>
    </row>
    <row r="4117" spans="2:9" hidden="1" x14ac:dyDescent="0.4">
      <c r="B4117" s="8" t="s">
        <v>529</v>
      </c>
      <c r="C4117" s="3" t="s">
        <v>202</v>
      </c>
      <c r="D4117" s="3" t="s">
        <v>3173</v>
      </c>
      <c r="F4117" s="3" t="s">
        <v>399</v>
      </c>
      <c r="I4117" s="3" t="s">
        <v>267</v>
      </c>
    </row>
    <row r="4118" spans="2:9" hidden="1" x14ac:dyDescent="0.4">
      <c r="B4118" s="8" t="s">
        <v>518</v>
      </c>
      <c r="C4118" s="3" t="s">
        <v>202</v>
      </c>
      <c r="D4118" s="3" t="s">
        <v>562</v>
      </c>
      <c r="F4118" s="3" t="s">
        <v>399</v>
      </c>
      <c r="I4118" s="3" t="s">
        <v>267</v>
      </c>
    </row>
    <row r="4119" spans="2:9" hidden="1" x14ac:dyDescent="0.4">
      <c r="B4119" s="8" t="s">
        <v>518</v>
      </c>
      <c r="C4119" s="3" t="s">
        <v>6380</v>
      </c>
      <c r="D4119" s="3" t="s">
        <v>6393</v>
      </c>
      <c r="F4119" s="3" t="s">
        <v>399</v>
      </c>
      <c r="I4119" s="3" t="s">
        <v>1968</v>
      </c>
    </row>
    <row r="4120" spans="2:9" hidden="1" x14ac:dyDescent="0.4">
      <c r="B4120" s="8" t="s">
        <v>517</v>
      </c>
      <c r="C4120" s="3" t="s">
        <v>6381</v>
      </c>
      <c r="D4120" s="3" t="s">
        <v>6394</v>
      </c>
      <c r="F4120" s="3" t="s">
        <v>399</v>
      </c>
      <c r="I4120" s="3" t="s">
        <v>1968</v>
      </c>
    </row>
    <row r="4121" spans="2:9" hidden="1" x14ac:dyDescent="0.4">
      <c r="B4121" s="8" t="s">
        <v>518</v>
      </c>
      <c r="C4121" s="3" t="s">
        <v>6382</v>
      </c>
      <c r="D4121" s="3" t="s">
        <v>6384</v>
      </c>
      <c r="F4121" s="3" t="s">
        <v>402</v>
      </c>
      <c r="I4121" s="3" t="s">
        <v>1968</v>
      </c>
    </row>
    <row r="4122" spans="2:9" hidden="1" x14ac:dyDescent="0.4">
      <c r="B4122" s="8" t="s">
        <v>517</v>
      </c>
      <c r="C4122" s="3" t="s">
        <v>6383</v>
      </c>
      <c r="D4122" s="3" t="s">
        <v>6385</v>
      </c>
      <c r="F4122" s="3" t="s">
        <v>402</v>
      </c>
      <c r="I4122" s="3" t="s">
        <v>1968</v>
      </c>
    </row>
    <row r="4123" spans="2:9" hidden="1" x14ac:dyDescent="0.4">
      <c r="B4123" s="8" t="s">
        <v>531</v>
      </c>
      <c r="C4123" s="3" t="s">
        <v>6387</v>
      </c>
      <c r="D4123" s="3" t="s">
        <v>6395</v>
      </c>
      <c r="F4123" s="3" t="s">
        <v>399</v>
      </c>
      <c r="I4123" s="3" t="s">
        <v>1968</v>
      </c>
    </row>
    <row r="4124" spans="2:9" hidden="1" x14ac:dyDescent="0.4">
      <c r="B4124" s="8" t="s">
        <v>517</v>
      </c>
      <c r="C4124" s="3" t="s">
        <v>6388</v>
      </c>
      <c r="D4124" s="3" t="s">
        <v>6395</v>
      </c>
      <c r="F4124" s="3" t="s">
        <v>399</v>
      </c>
      <c r="I4124" s="3" t="s">
        <v>1968</v>
      </c>
    </row>
    <row r="4125" spans="2:9" hidden="1" x14ac:dyDescent="0.4">
      <c r="B4125" s="8" t="s">
        <v>517</v>
      </c>
      <c r="C4125" s="3" t="s">
        <v>6389</v>
      </c>
      <c r="D4125" s="3" t="s">
        <v>6392</v>
      </c>
      <c r="F4125" s="3" t="s">
        <v>399</v>
      </c>
      <c r="I4125" s="3" t="s">
        <v>1968</v>
      </c>
    </row>
    <row r="4126" spans="2:9" hidden="1" x14ac:dyDescent="0.4">
      <c r="B4126" s="8" t="s">
        <v>517</v>
      </c>
      <c r="C4126" s="3" t="s">
        <v>6390</v>
      </c>
      <c r="D4126" s="3" t="s">
        <v>6396</v>
      </c>
      <c r="F4126" s="3" t="s">
        <v>399</v>
      </c>
      <c r="I4126" s="3" t="s">
        <v>1968</v>
      </c>
    </row>
    <row r="4127" spans="2:9" hidden="1" x14ac:dyDescent="0.4">
      <c r="B4127" s="8" t="s">
        <v>6378</v>
      </c>
      <c r="C4127" s="3" t="s">
        <v>6391</v>
      </c>
      <c r="D4127" s="3" t="s">
        <v>6397</v>
      </c>
      <c r="F4127" s="3" t="s">
        <v>399</v>
      </c>
      <c r="I4127" s="3" t="s">
        <v>1968</v>
      </c>
    </row>
    <row r="4128" spans="2:9" hidden="1" x14ac:dyDescent="0.4">
      <c r="B4128" s="8" t="s">
        <v>531</v>
      </c>
      <c r="C4128" s="3" t="s">
        <v>6398</v>
      </c>
      <c r="D4128" s="3" t="s">
        <v>6403</v>
      </c>
      <c r="F4128" s="3" t="s">
        <v>402</v>
      </c>
      <c r="I4128" s="3" t="s">
        <v>1968</v>
      </c>
    </row>
    <row r="4129" spans="2:9" hidden="1" x14ac:dyDescent="0.4">
      <c r="B4129" s="8" t="s">
        <v>517</v>
      </c>
      <c r="C4129" s="3" t="s">
        <v>6399</v>
      </c>
      <c r="D4129" s="3" t="s">
        <v>6403</v>
      </c>
      <c r="F4129" s="3" t="s">
        <v>402</v>
      </c>
      <c r="I4129" s="3" t="s">
        <v>1968</v>
      </c>
    </row>
    <row r="4130" spans="2:9" hidden="1" x14ac:dyDescent="0.4">
      <c r="B4130" s="8" t="s">
        <v>517</v>
      </c>
      <c r="C4130" s="3" t="s">
        <v>6400</v>
      </c>
      <c r="D4130" s="3" t="s">
        <v>6404</v>
      </c>
      <c r="F4130" s="3" t="s">
        <v>402</v>
      </c>
      <c r="I4130" s="3" t="s">
        <v>1968</v>
      </c>
    </row>
    <row r="4131" spans="2:9" hidden="1" x14ac:dyDescent="0.4">
      <c r="B4131" s="8" t="s">
        <v>517</v>
      </c>
      <c r="C4131" s="3" t="s">
        <v>6401</v>
      </c>
      <c r="D4131" s="3" t="s">
        <v>6405</v>
      </c>
      <c r="F4131" s="3" t="s">
        <v>402</v>
      </c>
      <c r="I4131" s="3" t="s">
        <v>1968</v>
      </c>
    </row>
    <row r="4132" spans="2:9" hidden="1" x14ac:dyDescent="0.4">
      <c r="B4132" s="8" t="s">
        <v>6378</v>
      </c>
      <c r="C4132" s="3" t="s">
        <v>6402</v>
      </c>
      <c r="D4132" s="3" t="s">
        <v>6406</v>
      </c>
      <c r="F4132" s="3" t="s">
        <v>402</v>
      </c>
      <c r="I4132" s="3" t="s">
        <v>1968</v>
      </c>
    </row>
    <row r="4133" spans="2:9" hidden="1" x14ac:dyDescent="0.4">
      <c r="B4133" s="8" t="s">
        <v>517</v>
      </c>
      <c r="C4133" s="3" t="s">
        <v>6409</v>
      </c>
      <c r="D4133" s="3" t="s">
        <v>6411</v>
      </c>
      <c r="F4133" s="3" t="s">
        <v>1279</v>
      </c>
      <c r="I4133" s="3" t="s">
        <v>6412</v>
      </c>
    </row>
    <row r="4134" spans="2:9" hidden="1" x14ac:dyDescent="0.4">
      <c r="B4134" s="8" t="s">
        <v>517</v>
      </c>
      <c r="C4134" s="3" t="s">
        <v>6410</v>
      </c>
      <c r="D4134" s="3" t="s">
        <v>6415</v>
      </c>
      <c r="F4134" s="3" t="s">
        <v>399</v>
      </c>
      <c r="I4134" s="3" t="s">
        <v>6412</v>
      </c>
    </row>
    <row r="4135" spans="2:9" hidden="1" x14ac:dyDescent="0.4">
      <c r="B4135" s="8" t="s">
        <v>517</v>
      </c>
      <c r="C4135" s="3" t="s">
        <v>6413</v>
      </c>
      <c r="D4135" s="3" t="s">
        <v>6416</v>
      </c>
      <c r="F4135" s="3" t="s">
        <v>402</v>
      </c>
      <c r="I4135" s="3" t="s">
        <v>6412</v>
      </c>
    </row>
    <row r="4136" spans="2:9" hidden="1" x14ac:dyDescent="0.4">
      <c r="B4136" s="8" t="s">
        <v>517</v>
      </c>
      <c r="C4136" s="3" t="s">
        <v>6414</v>
      </c>
      <c r="D4136" s="3" t="s">
        <v>6417</v>
      </c>
      <c r="F4136" s="3" t="s">
        <v>399</v>
      </c>
      <c r="G4136" s="3" t="s">
        <v>1279</v>
      </c>
      <c r="I4136" s="3" t="s">
        <v>6412</v>
      </c>
    </row>
    <row r="4137" spans="2:9" hidden="1" x14ac:dyDescent="0.4">
      <c r="B4137" s="8" t="s">
        <v>517</v>
      </c>
      <c r="C4137" s="3" t="s">
        <v>6418</v>
      </c>
      <c r="D4137" s="3" t="s">
        <v>6417</v>
      </c>
      <c r="F4137" s="3" t="s">
        <v>1279</v>
      </c>
      <c r="I4137" s="3" t="s">
        <v>6412</v>
      </c>
    </row>
    <row r="4138" spans="2:9" hidden="1" x14ac:dyDescent="0.4">
      <c r="B4138" s="8" t="s">
        <v>517</v>
      </c>
      <c r="C4138" s="3" t="s">
        <v>6419</v>
      </c>
      <c r="D4138" s="3" t="s">
        <v>6422</v>
      </c>
      <c r="E4138" s="3" t="s">
        <v>432</v>
      </c>
      <c r="F4138" s="3" t="s">
        <v>399</v>
      </c>
      <c r="I4138" s="3" t="s">
        <v>781</v>
      </c>
    </row>
    <row r="4139" spans="2:9" hidden="1" x14ac:dyDescent="0.4">
      <c r="B4139" s="8" t="s">
        <v>517</v>
      </c>
      <c r="C4139" s="3" t="s">
        <v>6420</v>
      </c>
      <c r="D4139" s="3" t="s">
        <v>6421</v>
      </c>
      <c r="E4139" s="3" t="s">
        <v>432</v>
      </c>
      <c r="F4139" s="3" t="s">
        <v>399</v>
      </c>
      <c r="I4139" s="3" t="s">
        <v>781</v>
      </c>
    </row>
    <row r="4140" spans="2:9" hidden="1" x14ac:dyDescent="0.4">
      <c r="B4140" s="8" t="s">
        <v>517</v>
      </c>
      <c r="C4140" s="3" t="s">
        <v>6423</v>
      </c>
      <c r="D4140" s="3" t="s">
        <v>6424</v>
      </c>
      <c r="E4140" s="3" t="s">
        <v>432</v>
      </c>
      <c r="F4140" s="3" t="s">
        <v>399</v>
      </c>
      <c r="I4140" s="3" t="s">
        <v>781</v>
      </c>
    </row>
    <row r="4141" spans="2:9" hidden="1" x14ac:dyDescent="0.4">
      <c r="B4141" s="8" t="s">
        <v>516</v>
      </c>
      <c r="C4141" s="3" t="s">
        <v>6426</v>
      </c>
      <c r="D4141" s="3" t="s">
        <v>6425</v>
      </c>
      <c r="E4141" s="3" t="s">
        <v>432</v>
      </c>
      <c r="F4141" s="3" t="s">
        <v>399</v>
      </c>
      <c r="I4141" s="3" t="s">
        <v>6427</v>
      </c>
    </row>
    <row r="4142" spans="2:9" hidden="1" x14ac:dyDescent="0.4">
      <c r="B4142" s="8" t="s">
        <v>516</v>
      </c>
      <c r="C4142" s="3" t="s">
        <v>6428</v>
      </c>
      <c r="D4142" s="3" t="s">
        <v>6429</v>
      </c>
      <c r="E4142" s="3" t="s">
        <v>432</v>
      </c>
      <c r="F4142" s="3" t="s">
        <v>399</v>
      </c>
      <c r="I4142" s="3" t="s">
        <v>6427</v>
      </c>
    </row>
    <row r="4143" spans="2:9" hidden="1" x14ac:dyDescent="0.4">
      <c r="B4143" s="8" t="s">
        <v>516</v>
      </c>
      <c r="C4143" s="3" t="s">
        <v>6430</v>
      </c>
      <c r="D4143" s="3" t="s">
        <v>6429</v>
      </c>
      <c r="E4143" s="3" t="s">
        <v>432</v>
      </c>
      <c r="F4143" s="3" t="s">
        <v>399</v>
      </c>
      <c r="I4143" s="3" t="s">
        <v>6427</v>
      </c>
    </row>
    <row r="4144" spans="2:9" hidden="1" x14ac:dyDescent="0.4">
      <c r="B4144" s="8" t="s">
        <v>532</v>
      </c>
      <c r="C4144" s="3" t="s">
        <v>6431</v>
      </c>
      <c r="D4144" s="3" t="s">
        <v>6432</v>
      </c>
      <c r="F4144" s="3" t="s">
        <v>399</v>
      </c>
      <c r="I4144" s="3" t="s">
        <v>6427</v>
      </c>
    </row>
    <row r="4145" spans="2:9" hidden="1" x14ac:dyDescent="0.4">
      <c r="B4145" s="8" t="s">
        <v>532</v>
      </c>
      <c r="C4145" s="3" t="s">
        <v>6433</v>
      </c>
      <c r="D4145" s="3" t="s">
        <v>6429</v>
      </c>
      <c r="F4145" s="3" t="s">
        <v>399</v>
      </c>
      <c r="I4145" s="3" t="s">
        <v>6427</v>
      </c>
    </row>
    <row r="4146" spans="2:9" hidden="1" x14ac:dyDescent="0.4">
      <c r="B4146" s="8" t="s">
        <v>516</v>
      </c>
      <c r="C4146" s="3" t="s">
        <v>6434</v>
      </c>
      <c r="D4146" s="3" t="s">
        <v>6432</v>
      </c>
      <c r="E4146" s="3" t="s">
        <v>432</v>
      </c>
      <c r="F4146" s="3" t="s">
        <v>399</v>
      </c>
      <c r="I4146" s="3" t="s">
        <v>6427</v>
      </c>
    </row>
    <row r="4147" spans="2:9" hidden="1" x14ac:dyDescent="0.4">
      <c r="B4147" s="8" t="s">
        <v>4055</v>
      </c>
      <c r="C4147" s="3" t="s">
        <v>6435</v>
      </c>
      <c r="D4147" s="3" t="s">
        <v>6436</v>
      </c>
      <c r="E4147" s="3" t="s">
        <v>1272</v>
      </c>
      <c r="F4147" s="3" t="s">
        <v>399</v>
      </c>
      <c r="I4147" s="3" t="s">
        <v>4362</v>
      </c>
    </row>
    <row r="4148" spans="2:9" hidden="1" x14ac:dyDescent="0.4">
      <c r="B4148" s="8" t="s">
        <v>517</v>
      </c>
      <c r="C4148" s="3" t="s">
        <v>6437</v>
      </c>
      <c r="D4148" s="3" t="s">
        <v>6450</v>
      </c>
      <c r="E4148" s="3" t="s">
        <v>1272</v>
      </c>
      <c r="F4148" s="3" t="s">
        <v>399</v>
      </c>
      <c r="I4148" s="3" t="s">
        <v>4362</v>
      </c>
    </row>
    <row r="4149" spans="2:9" hidden="1" x14ac:dyDescent="0.4">
      <c r="B4149" s="8" t="s">
        <v>529</v>
      </c>
      <c r="C4149" s="3" t="s">
        <v>6438</v>
      </c>
      <c r="D4149" s="3" t="s">
        <v>6451</v>
      </c>
      <c r="E4149" s="3" t="s">
        <v>1272</v>
      </c>
      <c r="F4149" s="3" t="s">
        <v>399</v>
      </c>
      <c r="I4149" s="3" t="s">
        <v>4362</v>
      </c>
    </row>
    <row r="4150" spans="2:9" hidden="1" x14ac:dyDescent="0.4">
      <c r="B4150" s="8" t="s">
        <v>531</v>
      </c>
      <c r="C4150" s="3" t="s">
        <v>6439</v>
      </c>
      <c r="D4150" s="3" t="s">
        <v>6452</v>
      </c>
      <c r="E4150" s="3" t="s">
        <v>1272</v>
      </c>
      <c r="F4150" s="3" t="s">
        <v>399</v>
      </c>
      <c r="I4150" s="3" t="s">
        <v>4362</v>
      </c>
    </row>
    <row r="4151" spans="2:9" hidden="1" x14ac:dyDescent="0.4">
      <c r="B4151" s="8" t="s">
        <v>529</v>
      </c>
      <c r="C4151" s="3" t="s">
        <v>6440</v>
      </c>
      <c r="D4151" s="3" t="s">
        <v>6453</v>
      </c>
      <c r="E4151" s="3" t="s">
        <v>1272</v>
      </c>
      <c r="F4151" s="3" t="s">
        <v>399</v>
      </c>
      <c r="I4151" s="3" t="s">
        <v>4362</v>
      </c>
    </row>
    <row r="4152" spans="2:9" hidden="1" x14ac:dyDescent="0.4">
      <c r="B4152" s="8" t="s">
        <v>520</v>
      </c>
      <c r="C4152" s="3" t="s">
        <v>6441</v>
      </c>
      <c r="D4152" s="3" t="s">
        <v>6454</v>
      </c>
      <c r="E4152" s="3" t="s">
        <v>1272</v>
      </c>
      <c r="F4152" s="3" t="s">
        <v>399</v>
      </c>
      <c r="I4152" s="3" t="s">
        <v>4362</v>
      </c>
    </row>
    <row r="4153" spans="2:9" hidden="1" x14ac:dyDescent="0.4">
      <c r="B4153" s="8" t="s">
        <v>517</v>
      </c>
      <c r="C4153" s="3" t="s">
        <v>3537</v>
      </c>
      <c r="D4153" s="3" t="s">
        <v>6455</v>
      </c>
      <c r="E4153" s="3" t="s">
        <v>1272</v>
      </c>
      <c r="F4153" s="3" t="s">
        <v>399</v>
      </c>
      <c r="I4153" s="3" t="s">
        <v>4362</v>
      </c>
    </row>
    <row r="4154" spans="2:9" hidden="1" x14ac:dyDescent="0.4">
      <c r="B4154" s="8" t="s">
        <v>517</v>
      </c>
      <c r="C4154" s="3" t="s">
        <v>6442</v>
      </c>
      <c r="D4154" s="3" t="s">
        <v>6455</v>
      </c>
      <c r="E4154" s="3" t="s">
        <v>1272</v>
      </c>
      <c r="F4154" s="3" t="s">
        <v>399</v>
      </c>
      <c r="I4154" s="3" t="s">
        <v>4362</v>
      </c>
    </row>
    <row r="4155" spans="2:9" hidden="1" x14ac:dyDescent="0.4">
      <c r="B4155" s="8" t="s">
        <v>532</v>
      </c>
      <c r="C4155" s="3" t="s">
        <v>6443</v>
      </c>
      <c r="D4155" s="3" t="s">
        <v>6456</v>
      </c>
      <c r="E4155" s="3" t="s">
        <v>1272</v>
      </c>
      <c r="F4155" s="3" t="s">
        <v>399</v>
      </c>
      <c r="I4155" s="3" t="s">
        <v>4362</v>
      </c>
    </row>
    <row r="4156" spans="2:9" hidden="1" x14ac:dyDescent="0.4">
      <c r="B4156" s="8" t="s">
        <v>515</v>
      </c>
      <c r="C4156" s="3" t="s">
        <v>6447</v>
      </c>
      <c r="D4156" s="3" t="s">
        <v>6457</v>
      </c>
      <c r="E4156" s="3" t="s">
        <v>7805</v>
      </c>
      <c r="F4156" s="3" t="s">
        <v>399</v>
      </c>
      <c r="I4156" s="3" t="s">
        <v>4362</v>
      </c>
    </row>
    <row r="4157" spans="2:9" hidden="1" x14ac:dyDescent="0.4">
      <c r="B4157" s="8" t="s">
        <v>515</v>
      </c>
      <c r="C4157" s="3" t="s">
        <v>6444</v>
      </c>
      <c r="D4157" s="3" t="s">
        <v>6458</v>
      </c>
      <c r="E4157" s="3" t="s">
        <v>7805</v>
      </c>
      <c r="F4157" s="3" t="s">
        <v>399</v>
      </c>
      <c r="I4157" s="3" t="s">
        <v>4362</v>
      </c>
    </row>
    <row r="4158" spans="2:9" ht="29.25" hidden="1" x14ac:dyDescent="0.4">
      <c r="B4158" s="8" t="s">
        <v>6449</v>
      </c>
      <c r="C4158" s="3" t="s">
        <v>6448</v>
      </c>
      <c r="D4158" s="3" t="s">
        <v>6459</v>
      </c>
      <c r="E4158" s="3" t="s">
        <v>7805</v>
      </c>
      <c r="F4158" s="3" t="s">
        <v>399</v>
      </c>
      <c r="I4158" s="3" t="s">
        <v>4362</v>
      </c>
    </row>
    <row r="4159" spans="2:9" hidden="1" x14ac:dyDescent="0.4">
      <c r="B4159" s="8" t="s">
        <v>516</v>
      </c>
      <c r="C4159" s="3" t="s">
        <v>6460</v>
      </c>
      <c r="D4159" s="3" t="s">
        <v>6469</v>
      </c>
      <c r="E4159" s="3" t="s">
        <v>432</v>
      </c>
      <c r="F4159" s="3" t="s">
        <v>399</v>
      </c>
      <c r="I4159" s="3" t="s">
        <v>781</v>
      </c>
    </row>
    <row r="4160" spans="2:9" hidden="1" x14ac:dyDescent="0.4">
      <c r="B4160" s="8" t="s">
        <v>516</v>
      </c>
      <c r="C4160" s="3" t="s">
        <v>6470</v>
      </c>
      <c r="D4160" s="3" t="s">
        <v>6471</v>
      </c>
      <c r="E4160" s="3" t="s">
        <v>432</v>
      </c>
      <c r="F4160" s="3" t="s">
        <v>399</v>
      </c>
      <c r="I4160" s="3" t="s">
        <v>781</v>
      </c>
    </row>
    <row r="4161" spans="2:9" hidden="1" x14ac:dyDescent="0.4">
      <c r="B4161" s="8" t="s">
        <v>6463</v>
      </c>
      <c r="C4161" s="3" t="s">
        <v>6461</v>
      </c>
      <c r="D4161" s="3" t="s">
        <v>6480</v>
      </c>
      <c r="E4161" s="3" t="s">
        <v>432</v>
      </c>
      <c r="F4161" s="3" t="s">
        <v>399</v>
      </c>
      <c r="I4161" s="3" t="s">
        <v>781</v>
      </c>
    </row>
    <row r="4162" spans="2:9" hidden="1" x14ac:dyDescent="0.4">
      <c r="B4162" s="8" t="s">
        <v>1711</v>
      </c>
      <c r="C4162" s="3" t="s">
        <v>6462</v>
      </c>
      <c r="D4162" s="3" t="s">
        <v>6468</v>
      </c>
      <c r="E4162" s="3" t="s">
        <v>432</v>
      </c>
      <c r="F4162" s="3" t="s">
        <v>399</v>
      </c>
      <c r="I4162" s="3" t="s">
        <v>781</v>
      </c>
    </row>
    <row r="4163" spans="2:9" hidden="1" x14ac:dyDescent="0.4">
      <c r="B4163" s="8" t="s">
        <v>516</v>
      </c>
      <c r="C4163" s="3" t="s">
        <v>6464</v>
      </c>
      <c r="D4163" s="3" t="s">
        <v>6467</v>
      </c>
      <c r="E4163" s="3" t="s">
        <v>432</v>
      </c>
      <c r="F4163" s="3" t="s">
        <v>399</v>
      </c>
      <c r="I4163" s="3" t="s">
        <v>781</v>
      </c>
    </row>
    <row r="4164" spans="2:9" hidden="1" x14ac:dyDescent="0.4">
      <c r="B4164" s="8" t="s">
        <v>519</v>
      </c>
      <c r="C4164" s="3" t="s">
        <v>6465</v>
      </c>
      <c r="D4164" s="3" t="s">
        <v>6466</v>
      </c>
      <c r="E4164" s="3" t="s">
        <v>432</v>
      </c>
      <c r="F4164" s="3" t="s">
        <v>399</v>
      </c>
      <c r="I4164" s="3" t="s">
        <v>781</v>
      </c>
    </row>
    <row r="4165" spans="2:9" hidden="1" x14ac:dyDescent="0.4">
      <c r="B4165" s="8" t="s">
        <v>515</v>
      </c>
      <c r="C4165" s="3" t="s">
        <v>6472</v>
      </c>
      <c r="D4165" s="3" t="s">
        <v>6473</v>
      </c>
      <c r="E4165" s="3" t="s">
        <v>432</v>
      </c>
      <c r="F4165" s="3" t="s">
        <v>399</v>
      </c>
      <c r="I4165" s="3" t="s">
        <v>781</v>
      </c>
    </row>
    <row r="4166" spans="2:9" hidden="1" x14ac:dyDescent="0.4">
      <c r="B4166" s="8" t="s">
        <v>517</v>
      </c>
      <c r="C4166" s="3" t="s">
        <v>6474</v>
      </c>
      <c r="D4166" s="3" t="s">
        <v>6476</v>
      </c>
      <c r="E4166" s="3" t="s">
        <v>432</v>
      </c>
      <c r="F4166" s="3" t="s">
        <v>399</v>
      </c>
      <c r="I4166" s="3" t="s">
        <v>781</v>
      </c>
    </row>
    <row r="4167" spans="2:9" hidden="1" x14ac:dyDescent="0.4">
      <c r="B4167" s="8" t="s">
        <v>517</v>
      </c>
      <c r="C4167" s="3" t="s">
        <v>6475</v>
      </c>
      <c r="D4167" s="3" t="s">
        <v>6477</v>
      </c>
      <c r="E4167" s="3" t="s">
        <v>432</v>
      </c>
      <c r="F4167" s="3" t="s">
        <v>399</v>
      </c>
      <c r="I4167" s="3" t="s">
        <v>781</v>
      </c>
    </row>
    <row r="4168" spans="2:9" hidden="1" x14ac:dyDescent="0.4">
      <c r="B4168" s="8" t="s">
        <v>532</v>
      </c>
      <c r="C4168" s="3" t="s">
        <v>6478</v>
      </c>
      <c r="D4168" s="3" t="s">
        <v>6432</v>
      </c>
      <c r="E4168" s="3" t="s">
        <v>432</v>
      </c>
      <c r="F4168" s="3" t="s">
        <v>399</v>
      </c>
      <c r="I4168" s="3" t="s">
        <v>6427</v>
      </c>
    </row>
    <row r="4169" spans="2:9" hidden="1" x14ac:dyDescent="0.4">
      <c r="B4169" s="8" t="s">
        <v>1711</v>
      </c>
      <c r="C4169" s="3" t="s">
        <v>6479</v>
      </c>
      <c r="D4169" s="3" t="s">
        <v>6481</v>
      </c>
      <c r="E4169" s="3" t="s">
        <v>432</v>
      </c>
      <c r="F4169" s="3" t="s">
        <v>399</v>
      </c>
      <c r="I4169" s="3" t="s">
        <v>781</v>
      </c>
    </row>
    <row r="4170" spans="2:9" hidden="1" x14ac:dyDescent="0.4">
      <c r="B4170" s="8" t="s">
        <v>517</v>
      </c>
      <c r="C4170" s="3" t="s">
        <v>6482</v>
      </c>
      <c r="D4170" s="3" t="s">
        <v>6742</v>
      </c>
      <c r="F4170" s="3" t="s">
        <v>399</v>
      </c>
      <c r="I4170" s="3" t="s">
        <v>7797</v>
      </c>
    </row>
    <row r="4171" spans="2:9" hidden="1" x14ac:dyDescent="0.4">
      <c r="B4171" s="8" t="s">
        <v>517</v>
      </c>
      <c r="C4171" s="3" t="s">
        <v>6483</v>
      </c>
      <c r="D4171" s="3" t="s">
        <v>6743</v>
      </c>
      <c r="F4171" s="3" t="s">
        <v>399</v>
      </c>
      <c r="I4171" s="3" t="s">
        <v>7797</v>
      </c>
    </row>
    <row r="4172" spans="2:9" hidden="1" x14ac:dyDescent="0.4">
      <c r="B4172" s="8" t="s">
        <v>517</v>
      </c>
      <c r="C4172" s="3" t="s">
        <v>6484</v>
      </c>
      <c r="D4172" s="3" t="s">
        <v>6745</v>
      </c>
      <c r="F4172" s="3" t="s">
        <v>399</v>
      </c>
      <c r="I4172" s="3" t="s">
        <v>7797</v>
      </c>
    </row>
    <row r="4173" spans="2:9" hidden="1" x14ac:dyDescent="0.4">
      <c r="B4173" s="8" t="s">
        <v>517</v>
      </c>
      <c r="C4173" s="3" t="s">
        <v>6485</v>
      </c>
      <c r="D4173" s="3" t="s">
        <v>6745</v>
      </c>
      <c r="F4173" s="3" t="s">
        <v>399</v>
      </c>
      <c r="I4173" s="3" t="s">
        <v>7797</v>
      </c>
    </row>
    <row r="4174" spans="2:9" hidden="1" x14ac:dyDescent="0.4">
      <c r="B4174" s="8" t="s">
        <v>517</v>
      </c>
      <c r="C4174" s="3" t="s">
        <v>6486</v>
      </c>
      <c r="D4174" s="3" t="s">
        <v>6744</v>
      </c>
      <c r="F4174" s="3" t="s">
        <v>399</v>
      </c>
      <c r="I4174" s="3" t="s">
        <v>7797</v>
      </c>
    </row>
    <row r="4175" spans="2:9" hidden="1" x14ac:dyDescent="0.4">
      <c r="B4175" s="8" t="s">
        <v>517</v>
      </c>
      <c r="C4175" s="3" t="s">
        <v>6487</v>
      </c>
      <c r="D4175" s="3" t="s">
        <v>6744</v>
      </c>
      <c r="F4175" s="3" t="s">
        <v>399</v>
      </c>
      <c r="I4175" s="3" t="s">
        <v>7797</v>
      </c>
    </row>
    <row r="4176" spans="2:9" hidden="1" x14ac:dyDescent="0.4">
      <c r="B4176" s="8" t="s">
        <v>517</v>
      </c>
      <c r="C4176" s="3" t="s">
        <v>6488</v>
      </c>
      <c r="D4176" s="3" t="s">
        <v>6748</v>
      </c>
      <c r="F4176" s="3" t="s">
        <v>399</v>
      </c>
      <c r="I4176" s="3" t="s">
        <v>7797</v>
      </c>
    </row>
    <row r="4177" spans="2:9" hidden="1" x14ac:dyDescent="0.4">
      <c r="B4177" s="8" t="s">
        <v>517</v>
      </c>
      <c r="C4177" s="3" t="s">
        <v>6489</v>
      </c>
      <c r="D4177" s="3" t="s">
        <v>6749</v>
      </c>
      <c r="F4177" s="3" t="s">
        <v>399</v>
      </c>
      <c r="I4177" s="3" t="s">
        <v>7797</v>
      </c>
    </row>
    <row r="4178" spans="2:9" hidden="1" x14ac:dyDescent="0.4">
      <c r="B4178" s="8" t="s">
        <v>518</v>
      </c>
      <c r="C4178" s="3" t="s">
        <v>6490</v>
      </c>
      <c r="D4178" s="3" t="s">
        <v>6746</v>
      </c>
      <c r="F4178" s="3" t="s">
        <v>399</v>
      </c>
      <c r="I4178" s="3" t="s">
        <v>7797</v>
      </c>
    </row>
    <row r="4179" spans="2:9" hidden="1" x14ac:dyDescent="0.4">
      <c r="B4179" s="8" t="s">
        <v>518</v>
      </c>
      <c r="C4179" s="3" t="s">
        <v>6491</v>
      </c>
      <c r="D4179" s="3" t="s">
        <v>6747</v>
      </c>
      <c r="F4179" s="3" t="s">
        <v>399</v>
      </c>
      <c r="I4179" s="3" t="s">
        <v>7797</v>
      </c>
    </row>
    <row r="4180" spans="2:9" hidden="1" x14ac:dyDescent="0.4">
      <c r="B4180" s="8" t="s">
        <v>518</v>
      </c>
      <c r="C4180" s="3" t="s">
        <v>6492</v>
      </c>
      <c r="D4180" s="3" t="s">
        <v>6750</v>
      </c>
      <c r="F4180" s="3" t="s">
        <v>399</v>
      </c>
      <c r="I4180" s="3" t="s">
        <v>7797</v>
      </c>
    </row>
    <row r="4181" spans="2:9" hidden="1" x14ac:dyDescent="0.4">
      <c r="B4181" s="8" t="s">
        <v>518</v>
      </c>
      <c r="C4181" s="3" t="s">
        <v>6493</v>
      </c>
      <c r="D4181" s="3" t="s">
        <v>6751</v>
      </c>
      <c r="F4181" s="3" t="s">
        <v>399</v>
      </c>
      <c r="I4181" s="3" t="s">
        <v>7797</v>
      </c>
    </row>
    <row r="4182" spans="2:9" hidden="1" x14ac:dyDescent="0.4">
      <c r="B4182" s="8" t="s">
        <v>518</v>
      </c>
      <c r="C4182" s="3" t="s">
        <v>6494</v>
      </c>
      <c r="D4182" s="3" t="s">
        <v>6753</v>
      </c>
      <c r="F4182" s="3" t="s">
        <v>399</v>
      </c>
      <c r="I4182" s="3" t="s">
        <v>7797</v>
      </c>
    </row>
    <row r="4183" spans="2:9" hidden="1" x14ac:dyDescent="0.4">
      <c r="B4183" s="8" t="s">
        <v>518</v>
      </c>
      <c r="C4183" s="3" t="s">
        <v>6495</v>
      </c>
      <c r="D4183" s="3" t="s">
        <v>6756</v>
      </c>
      <c r="E4183" s="3" t="s">
        <v>7805</v>
      </c>
      <c r="F4183" s="3" t="s">
        <v>399</v>
      </c>
      <c r="I4183" s="3" t="s">
        <v>7797</v>
      </c>
    </row>
    <row r="4184" spans="2:9" hidden="1" x14ac:dyDescent="0.4">
      <c r="B4184" s="8" t="s">
        <v>517</v>
      </c>
      <c r="C4184" s="3" t="s">
        <v>6496</v>
      </c>
      <c r="D4184" s="3" t="s">
        <v>6752</v>
      </c>
      <c r="F4184" s="3" t="s">
        <v>399</v>
      </c>
      <c r="I4184" s="3" t="s">
        <v>7797</v>
      </c>
    </row>
    <row r="4185" spans="2:9" hidden="1" x14ac:dyDescent="0.4">
      <c r="B4185" s="8" t="s">
        <v>517</v>
      </c>
      <c r="C4185" s="3" t="s">
        <v>6497</v>
      </c>
      <c r="D4185" s="3" t="s">
        <v>6754</v>
      </c>
      <c r="F4185" s="3" t="s">
        <v>399</v>
      </c>
      <c r="I4185" s="3" t="s">
        <v>7797</v>
      </c>
    </row>
    <row r="4186" spans="2:9" hidden="1" x14ac:dyDescent="0.4">
      <c r="B4186" s="8" t="s">
        <v>517</v>
      </c>
      <c r="C4186" s="3" t="s">
        <v>6498</v>
      </c>
      <c r="D4186" s="3" t="s">
        <v>6755</v>
      </c>
      <c r="F4186" s="3" t="s">
        <v>399</v>
      </c>
      <c r="I4186" s="3" t="s">
        <v>7797</v>
      </c>
    </row>
    <row r="4187" spans="2:9" hidden="1" x14ac:dyDescent="0.4">
      <c r="B4187" s="8" t="s">
        <v>517</v>
      </c>
      <c r="C4187" s="3" t="s">
        <v>6499</v>
      </c>
      <c r="D4187" s="3" t="s">
        <v>6757</v>
      </c>
      <c r="E4187" s="3" t="s">
        <v>425</v>
      </c>
      <c r="F4187" s="3" t="s">
        <v>399</v>
      </c>
      <c r="I4187" s="3" t="s">
        <v>7797</v>
      </c>
    </row>
    <row r="4188" spans="2:9" hidden="1" x14ac:dyDescent="0.4">
      <c r="B4188" s="8" t="s">
        <v>517</v>
      </c>
      <c r="C4188" s="3" t="s">
        <v>6500</v>
      </c>
      <c r="D4188" s="3" t="s">
        <v>6758</v>
      </c>
      <c r="F4188" s="3" t="s">
        <v>399</v>
      </c>
      <c r="I4188" s="3" t="s">
        <v>7797</v>
      </c>
    </row>
    <row r="4189" spans="2:9" hidden="1" x14ac:dyDescent="0.4">
      <c r="B4189" s="8" t="s">
        <v>517</v>
      </c>
      <c r="C4189" s="3" t="s">
        <v>6501</v>
      </c>
      <c r="D4189" s="3" t="s">
        <v>7006</v>
      </c>
      <c r="E4189" s="3" t="s">
        <v>425</v>
      </c>
      <c r="F4189" s="3" t="s">
        <v>399</v>
      </c>
      <c r="I4189" s="3" t="s">
        <v>7797</v>
      </c>
    </row>
    <row r="4190" spans="2:9" hidden="1" x14ac:dyDescent="0.4">
      <c r="B4190" s="8" t="s">
        <v>517</v>
      </c>
      <c r="C4190" s="3" t="s">
        <v>6502</v>
      </c>
      <c r="D4190" s="3" t="s">
        <v>7007</v>
      </c>
      <c r="E4190" s="3" t="s">
        <v>425</v>
      </c>
      <c r="F4190" s="3" t="s">
        <v>399</v>
      </c>
      <c r="I4190" s="3" t="s">
        <v>7797</v>
      </c>
    </row>
    <row r="4191" spans="2:9" hidden="1" x14ac:dyDescent="0.4">
      <c r="B4191" s="8" t="s">
        <v>518</v>
      </c>
      <c r="C4191" s="3" t="s">
        <v>6503</v>
      </c>
      <c r="D4191" s="3" t="s">
        <v>7008</v>
      </c>
      <c r="F4191" s="3" t="s">
        <v>399</v>
      </c>
      <c r="I4191" s="3" t="s">
        <v>7797</v>
      </c>
    </row>
    <row r="4192" spans="2:9" hidden="1" x14ac:dyDescent="0.4">
      <c r="B4192" s="8" t="s">
        <v>529</v>
      </c>
      <c r="C4192" s="3" t="s">
        <v>6504</v>
      </c>
      <c r="D4192" s="3" t="s">
        <v>7009</v>
      </c>
      <c r="E4192" s="3" t="s">
        <v>7805</v>
      </c>
      <c r="F4192" s="3" t="s">
        <v>399</v>
      </c>
      <c r="I4192" s="3" t="s">
        <v>7797</v>
      </c>
    </row>
    <row r="4193" spans="2:9" hidden="1" x14ac:dyDescent="0.4">
      <c r="B4193" s="8" t="s">
        <v>529</v>
      </c>
      <c r="C4193" s="3" t="s">
        <v>6505</v>
      </c>
      <c r="D4193" s="3" t="s">
        <v>7009</v>
      </c>
      <c r="E4193" s="3" t="s">
        <v>7805</v>
      </c>
      <c r="F4193" s="3" t="s">
        <v>399</v>
      </c>
      <c r="I4193" s="3" t="s">
        <v>7797</v>
      </c>
    </row>
    <row r="4194" spans="2:9" hidden="1" x14ac:dyDescent="0.4">
      <c r="B4194" s="8" t="s">
        <v>518</v>
      </c>
      <c r="C4194" s="3" t="s">
        <v>6506</v>
      </c>
      <c r="D4194" s="3" t="s">
        <v>7010</v>
      </c>
      <c r="E4194" s="3" t="s">
        <v>7805</v>
      </c>
      <c r="F4194" s="3" t="s">
        <v>399</v>
      </c>
      <c r="I4194" s="3" t="s">
        <v>7797</v>
      </c>
    </row>
    <row r="4195" spans="2:9" hidden="1" x14ac:dyDescent="0.4">
      <c r="B4195" s="8" t="s">
        <v>517</v>
      </c>
      <c r="C4195" s="3" t="s">
        <v>6507</v>
      </c>
      <c r="D4195" s="3" t="s">
        <v>7010</v>
      </c>
      <c r="E4195" s="3" t="s">
        <v>7805</v>
      </c>
      <c r="F4195" s="3" t="s">
        <v>399</v>
      </c>
      <c r="I4195" s="3" t="s">
        <v>7797</v>
      </c>
    </row>
    <row r="4196" spans="2:9" hidden="1" x14ac:dyDescent="0.4">
      <c r="B4196" s="8" t="s">
        <v>517</v>
      </c>
      <c r="C4196" s="3" t="s">
        <v>6508</v>
      </c>
      <c r="D4196" s="3" t="s">
        <v>7011</v>
      </c>
      <c r="E4196" s="3" t="s">
        <v>7805</v>
      </c>
      <c r="F4196" s="3" t="s">
        <v>399</v>
      </c>
      <c r="I4196" s="3" t="s">
        <v>7797</v>
      </c>
    </row>
    <row r="4197" spans="2:9" hidden="1" x14ac:dyDescent="0.4">
      <c r="B4197" s="8" t="s">
        <v>1006</v>
      </c>
      <c r="C4197" s="3" t="s">
        <v>6509</v>
      </c>
      <c r="D4197" s="3" t="s">
        <v>7012</v>
      </c>
      <c r="E4197" s="3" t="s">
        <v>7805</v>
      </c>
      <c r="F4197" s="3" t="s">
        <v>399</v>
      </c>
      <c r="I4197" s="3" t="s">
        <v>7797</v>
      </c>
    </row>
    <row r="4198" spans="2:9" hidden="1" x14ac:dyDescent="0.4">
      <c r="B4198" s="8" t="s">
        <v>517</v>
      </c>
      <c r="C4198" s="3" t="s">
        <v>6510</v>
      </c>
      <c r="D4198" s="3" t="s">
        <v>3890</v>
      </c>
      <c r="F4198" s="3" t="s">
        <v>399</v>
      </c>
      <c r="I4198" s="3" t="s">
        <v>7797</v>
      </c>
    </row>
    <row r="4199" spans="2:9" hidden="1" x14ac:dyDescent="0.4">
      <c r="B4199" s="8" t="s">
        <v>517</v>
      </c>
      <c r="C4199" s="3" t="s">
        <v>6511</v>
      </c>
      <c r="D4199" s="3" t="s">
        <v>7058</v>
      </c>
      <c r="F4199" s="3" t="s">
        <v>399</v>
      </c>
      <c r="I4199" s="3" t="s">
        <v>7797</v>
      </c>
    </row>
    <row r="4200" spans="2:9" hidden="1" x14ac:dyDescent="0.4">
      <c r="B4200" s="8" t="s">
        <v>531</v>
      </c>
      <c r="C4200" s="3" t="s">
        <v>6512</v>
      </c>
      <c r="D4200" s="3" t="s">
        <v>7057</v>
      </c>
      <c r="E4200" s="3" t="s">
        <v>7805</v>
      </c>
      <c r="F4200" s="3" t="s">
        <v>399</v>
      </c>
      <c r="I4200" s="3" t="s">
        <v>7797</v>
      </c>
    </row>
    <row r="4201" spans="2:9" hidden="1" x14ac:dyDescent="0.4">
      <c r="B4201" s="8" t="s">
        <v>517</v>
      </c>
      <c r="C4201" s="3" t="s">
        <v>6513</v>
      </c>
      <c r="D4201" s="3" t="s">
        <v>7013</v>
      </c>
      <c r="F4201" s="3" t="s">
        <v>399</v>
      </c>
      <c r="I4201" s="3" t="s">
        <v>7797</v>
      </c>
    </row>
    <row r="4202" spans="2:9" hidden="1" x14ac:dyDescent="0.4">
      <c r="B4202" s="8" t="s">
        <v>518</v>
      </c>
      <c r="C4202" s="3" t="s">
        <v>6514</v>
      </c>
      <c r="D4202" s="3" t="s">
        <v>7014</v>
      </c>
      <c r="F4202" s="3" t="s">
        <v>399</v>
      </c>
      <c r="I4202" s="3" t="s">
        <v>7797</v>
      </c>
    </row>
    <row r="4203" spans="2:9" hidden="1" x14ac:dyDescent="0.4">
      <c r="B4203" s="8" t="s">
        <v>518</v>
      </c>
      <c r="C4203" s="3" t="s">
        <v>6515</v>
      </c>
      <c r="D4203" s="3" t="s">
        <v>7015</v>
      </c>
      <c r="F4203" s="3" t="s">
        <v>399</v>
      </c>
      <c r="I4203" s="3" t="s">
        <v>7797</v>
      </c>
    </row>
    <row r="4204" spans="2:9" hidden="1" x14ac:dyDescent="0.4">
      <c r="B4204" s="8" t="s">
        <v>517</v>
      </c>
      <c r="C4204" s="3" t="s">
        <v>6516</v>
      </c>
      <c r="D4204" s="3" t="s">
        <v>7016</v>
      </c>
      <c r="F4204" s="3" t="s">
        <v>399</v>
      </c>
      <c r="I4204" s="3" t="s">
        <v>7797</v>
      </c>
    </row>
    <row r="4205" spans="2:9" hidden="1" x14ac:dyDescent="0.4">
      <c r="B4205" s="8" t="s">
        <v>517</v>
      </c>
      <c r="C4205" s="3" t="s">
        <v>6517</v>
      </c>
      <c r="D4205" s="3" t="s">
        <v>7017</v>
      </c>
      <c r="F4205" s="3" t="s">
        <v>399</v>
      </c>
      <c r="I4205" s="3" t="s">
        <v>7797</v>
      </c>
    </row>
    <row r="4206" spans="2:9" hidden="1" x14ac:dyDescent="0.4">
      <c r="B4206" s="8" t="s">
        <v>517</v>
      </c>
      <c r="C4206" s="3" t="s">
        <v>6518</v>
      </c>
      <c r="D4206" s="3" t="s">
        <v>7018</v>
      </c>
      <c r="F4206" s="3" t="s">
        <v>399</v>
      </c>
      <c r="I4206" s="3" t="s">
        <v>7797</v>
      </c>
    </row>
    <row r="4207" spans="2:9" hidden="1" x14ac:dyDescent="0.4">
      <c r="B4207" s="8" t="s">
        <v>517</v>
      </c>
      <c r="C4207" s="3" t="s">
        <v>6519</v>
      </c>
      <c r="D4207" s="3" t="s">
        <v>7019</v>
      </c>
      <c r="E4207" s="3" t="s">
        <v>425</v>
      </c>
      <c r="F4207" s="3" t="s">
        <v>399</v>
      </c>
      <c r="I4207" s="3" t="s">
        <v>7797</v>
      </c>
    </row>
    <row r="4208" spans="2:9" hidden="1" x14ac:dyDescent="0.4">
      <c r="B4208" s="8" t="s">
        <v>517</v>
      </c>
      <c r="C4208" s="3" t="s">
        <v>6520</v>
      </c>
      <c r="D4208" s="3" t="s">
        <v>7020</v>
      </c>
      <c r="E4208" s="3" t="s">
        <v>425</v>
      </c>
      <c r="F4208" s="3" t="s">
        <v>399</v>
      </c>
      <c r="I4208" s="3" t="s">
        <v>7797</v>
      </c>
    </row>
    <row r="4209" spans="2:9" hidden="1" x14ac:dyDescent="0.4">
      <c r="B4209" s="8" t="s">
        <v>518</v>
      </c>
      <c r="C4209" s="3" t="s">
        <v>6521</v>
      </c>
      <c r="D4209" s="3" t="s">
        <v>7021</v>
      </c>
      <c r="F4209" s="3" t="s">
        <v>399</v>
      </c>
      <c r="I4209" s="3" t="s">
        <v>7797</v>
      </c>
    </row>
    <row r="4210" spans="2:9" hidden="1" x14ac:dyDescent="0.4">
      <c r="B4210" s="8" t="s">
        <v>517</v>
      </c>
      <c r="C4210" s="3" t="s">
        <v>6522</v>
      </c>
      <c r="D4210" s="3" t="s">
        <v>7022</v>
      </c>
      <c r="E4210" s="3" t="s">
        <v>425</v>
      </c>
      <c r="F4210" s="3" t="s">
        <v>399</v>
      </c>
      <c r="I4210" s="3" t="s">
        <v>7797</v>
      </c>
    </row>
    <row r="4211" spans="2:9" hidden="1" x14ac:dyDescent="0.4">
      <c r="B4211" s="8" t="s">
        <v>520</v>
      </c>
      <c r="C4211" s="3" t="s">
        <v>6523</v>
      </c>
      <c r="D4211" s="3" t="s">
        <v>7023</v>
      </c>
      <c r="E4211" s="3" t="s">
        <v>7805</v>
      </c>
      <c r="F4211" s="3" t="s">
        <v>399</v>
      </c>
      <c r="I4211" s="3" t="s">
        <v>7797</v>
      </c>
    </row>
    <row r="4212" spans="2:9" hidden="1" x14ac:dyDescent="0.4">
      <c r="B4212" s="8" t="s">
        <v>517</v>
      </c>
      <c r="C4212" s="3" t="s">
        <v>6524</v>
      </c>
      <c r="D4212" s="3" t="s">
        <v>7037</v>
      </c>
      <c r="E4212" s="3" t="s">
        <v>7805</v>
      </c>
      <c r="F4212" s="3" t="s">
        <v>399</v>
      </c>
      <c r="I4212" s="3" t="s">
        <v>7797</v>
      </c>
    </row>
    <row r="4213" spans="2:9" hidden="1" x14ac:dyDescent="0.4">
      <c r="B4213" s="8" t="s">
        <v>517</v>
      </c>
      <c r="C4213" s="3" t="s">
        <v>6525</v>
      </c>
      <c r="D4213" s="3" t="s">
        <v>7024</v>
      </c>
      <c r="E4213" s="3" t="s">
        <v>7805</v>
      </c>
      <c r="F4213" s="3" t="s">
        <v>399</v>
      </c>
      <c r="I4213" s="3" t="s">
        <v>7797</v>
      </c>
    </row>
    <row r="4214" spans="2:9" hidden="1" x14ac:dyDescent="0.4">
      <c r="B4214" s="8" t="s">
        <v>517</v>
      </c>
      <c r="C4214" s="3" t="s">
        <v>6526</v>
      </c>
      <c r="D4214" s="3" t="s">
        <v>7025</v>
      </c>
      <c r="E4214" s="3" t="s">
        <v>7805</v>
      </c>
      <c r="F4214" s="3" t="s">
        <v>399</v>
      </c>
      <c r="I4214" s="3" t="s">
        <v>7797</v>
      </c>
    </row>
    <row r="4215" spans="2:9" hidden="1" x14ac:dyDescent="0.4">
      <c r="B4215" s="8" t="s">
        <v>532</v>
      </c>
      <c r="C4215" s="3" t="s">
        <v>6527</v>
      </c>
      <c r="D4215" s="3" t="s">
        <v>7026</v>
      </c>
      <c r="E4215" s="3" t="s">
        <v>425</v>
      </c>
      <c r="F4215" s="3" t="s">
        <v>399</v>
      </c>
      <c r="I4215" s="3" t="s">
        <v>7797</v>
      </c>
    </row>
    <row r="4216" spans="2:9" hidden="1" x14ac:dyDescent="0.4">
      <c r="B4216" s="8" t="s">
        <v>517</v>
      </c>
      <c r="C4216" s="3" t="s">
        <v>6528</v>
      </c>
      <c r="D4216" s="3" t="s">
        <v>7027</v>
      </c>
      <c r="E4216" s="3" t="s">
        <v>425</v>
      </c>
      <c r="F4216" s="3" t="s">
        <v>399</v>
      </c>
      <c r="I4216" s="3" t="s">
        <v>7797</v>
      </c>
    </row>
    <row r="4217" spans="2:9" hidden="1" x14ac:dyDescent="0.4">
      <c r="B4217" s="8" t="s">
        <v>517</v>
      </c>
      <c r="C4217" s="3" t="s">
        <v>6529</v>
      </c>
      <c r="D4217" s="3" t="s">
        <v>7028</v>
      </c>
      <c r="E4217" s="3" t="s">
        <v>7805</v>
      </c>
      <c r="F4217" s="3" t="s">
        <v>399</v>
      </c>
      <c r="I4217" s="3" t="s">
        <v>7797</v>
      </c>
    </row>
    <row r="4218" spans="2:9" hidden="1" x14ac:dyDescent="0.4">
      <c r="B4218" s="8" t="s">
        <v>517</v>
      </c>
      <c r="C4218" s="3" t="s">
        <v>6530</v>
      </c>
      <c r="D4218" s="3" t="s">
        <v>7029</v>
      </c>
      <c r="F4218" s="3" t="s">
        <v>399</v>
      </c>
      <c r="I4218" s="3" t="s">
        <v>7797</v>
      </c>
    </row>
    <row r="4219" spans="2:9" hidden="1" x14ac:dyDescent="0.4">
      <c r="B4219" s="8" t="s">
        <v>520</v>
      </c>
      <c r="C4219" s="3" t="s">
        <v>6531</v>
      </c>
      <c r="D4219" s="3" t="s">
        <v>7030</v>
      </c>
      <c r="F4219" s="3" t="s">
        <v>399</v>
      </c>
      <c r="I4219" s="3" t="s">
        <v>7797</v>
      </c>
    </row>
    <row r="4220" spans="2:9" hidden="1" x14ac:dyDescent="0.4">
      <c r="B4220" s="8" t="s">
        <v>520</v>
      </c>
      <c r="C4220" s="3" t="s">
        <v>6532</v>
      </c>
      <c r="D4220" s="3" t="s">
        <v>7031</v>
      </c>
      <c r="F4220" s="3" t="s">
        <v>399</v>
      </c>
      <c r="I4220" s="3" t="s">
        <v>7797</v>
      </c>
    </row>
    <row r="4221" spans="2:9" hidden="1" x14ac:dyDescent="0.4">
      <c r="B4221" s="8" t="s">
        <v>517</v>
      </c>
      <c r="C4221" s="3" t="s">
        <v>6533</v>
      </c>
      <c r="D4221" s="3" t="s">
        <v>7032</v>
      </c>
      <c r="F4221" s="3" t="s">
        <v>399</v>
      </c>
      <c r="I4221" s="3" t="s">
        <v>7797</v>
      </c>
    </row>
    <row r="4222" spans="2:9" hidden="1" x14ac:dyDescent="0.4">
      <c r="B4222" s="8" t="s">
        <v>517</v>
      </c>
      <c r="C4222" s="3" t="s">
        <v>6534</v>
      </c>
      <c r="D4222" s="3" t="s">
        <v>7033</v>
      </c>
      <c r="E4222" s="3" t="s">
        <v>7805</v>
      </c>
      <c r="F4222" s="3" t="s">
        <v>399</v>
      </c>
      <c r="I4222" s="3" t="s">
        <v>7797</v>
      </c>
    </row>
    <row r="4223" spans="2:9" hidden="1" x14ac:dyDescent="0.4">
      <c r="B4223" s="8" t="s">
        <v>6730</v>
      </c>
      <c r="C4223" s="3" t="s">
        <v>6535</v>
      </c>
      <c r="D4223" s="3" t="s">
        <v>7034</v>
      </c>
      <c r="F4223" s="3" t="s">
        <v>399</v>
      </c>
      <c r="I4223" s="3" t="s">
        <v>7797</v>
      </c>
    </row>
    <row r="4224" spans="2:9" hidden="1" x14ac:dyDescent="0.4">
      <c r="B4224" s="8" t="s">
        <v>516</v>
      </c>
      <c r="C4224" s="3" t="s">
        <v>6536</v>
      </c>
      <c r="D4224" s="3" t="s">
        <v>7035</v>
      </c>
      <c r="F4224" s="3" t="s">
        <v>399</v>
      </c>
      <c r="I4224" s="3" t="s">
        <v>7797</v>
      </c>
    </row>
    <row r="4225" spans="2:9" hidden="1" x14ac:dyDescent="0.4">
      <c r="B4225" s="8" t="s">
        <v>518</v>
      </c>
      <c r="C4225" s="3" t="s">
        <v>6537</v>
      </c>
      <c r="D4225" s="3" t="s">
        <v>7036</v>
      </c>
      <c r="E4225" s="3" t="s">
        <v>7805</v>
      </c>
      <c r="F4225" s="3" t="s">
        <v>399</v>
      </c>
      <c r="I4225" s="3" t="s">
        <v>7797</v>
      </c>
    </row>
    <row r="4226" spans="2:9" hidden="1" x14ac:dyDescent="0.4">
      <c r="B4226" s="8" t="s">
        <v>2053</v>
      </c>
      <c r="C4226" s="3" t="s">
        <v>6538</v>
      </c>
      <c r="D4226" s="3" t="s">
        <v>7038</v>
      </c>
      <c r="F4226" s="3" t="s">
        <v>399</v>
      </c>
      <c r="I4226" s="3" t="s">
        <v>7797</v>
      </c>
    </row>
    <row r="4227" spans="2:9" hidden="1" x14ac:dyDescent="0.4">
      <c r="B4227" s="8" t="s">
        <v>517</v>
      </c>
      <c r="C4227" s="3" t="s">
        <v>6539</v>
      </c>
      <c r="D4227" s="3" t="s">
        <v>7039</v>
      </c>
      <c r="E4227" s="3" t="s">
        <v>7805</v>
      </c>
      <c r="F4227" s="3" t="s">
        <v>399</v>
      </c>
      <c r="I4227" s="3" t="s">
        <v>7797</v>
      </c>
    </row>
    <row r="4228" spans="2:9" hidden="1" x14ac:dyDescent="0.4">
      <c r="B4228" s="8" t="s">
        <v>517</v>
      </c>
      <c r="C4228" s="3" t="s">
        <v>6540</v>
      </c>
      <c r="D4228" s="3" t="s">
        <v>7040</v>
      </c>
      <c r="E4228" s="3" t="s">
        <v>7805</v>
      </c>
      <c r="F4228" s="3" t="s">
        <v>399</v>
      </c>
      <c r="I4228" s="3" t="s">
        <v>7797</v>
      </c>
    </row>
    <row r="4229" spans="2:9" hidden="1" x14ac:dyDescent="0.4">
      <c r="B4229" s="8" t="s">
        <v>517</v>
      </c>
      <c r="C4229" s="3" t="s">
        <v>6541</v>
      </c>
      <c r="D4229" s="3" t="s">
        <v>7041</v>
      </c>
      <c r="E4229" s="3" t="s">
        <v>7805</v>
      </c>
      <c r="F4229" s="3" t="s">
        <v>399</v>
      </c>
      <c r="I4229" s="3" t="s">
        <v>7797</v>
      </c>
    </row>
    <row r="4230" spans="2:9" hidden="1" x14ac:dyDescent="0.4">
      <c r="B4230" s="8" t="s">
        <v>517</v>
      </c>
      <c r="C4230" s="3" t="s">
        <v>6542</v>
      </c>
      <c r="D4230" s="3" t="s">
        <v>7042</v>
      </c>
      <c r="E4230" s="3" t="s">
        <v>7805</v>
      </c>
      <c r="F4230" s="3" t="s">
        <v>399</v>
      </c>
      <c r="I4230" s="3" t="s">
        <v>7797</v>
      </c>
    </row>
    <row r="4231" spans="2:9" hidden="1" x14ac:dyDescent="0.4">
      <c r="B4231" s="8" t="s">
        <v>517</v>
      </c>
      <c r="C4231" s="3" t="s">
        <v>6543</v>
      </c>
      <c r="D4231" s="3" t="s">
        <v>7043</v>
      </c>
      <c r="E4231" s="3" t="s">
        <v>7805</v>
      </c>
      <c r="F4231" s="3" t="s">
        <v>399</v>
      </c>
      <c r="I4231" s="3" t="s">
        <v>7797</v>
      </c>
    </row>
    <row r="4232" spans="2:9" hidden="1" x14ac:dyDescent="0.4">
      <c r="B4232" s="8" t="s">
        <v>517</v>
      </c>
      <c r="C4232" s="3" t="s">
        <v>6544</v>
      </c>
      <c r="D4232" s="3" t="s">
        <v>7044</v>
      </c>
      <c r="E4232" s="3" t="s">
        <v>7805</v>
      </c>
      <c r="F4232" s="3" t="s">
        <v>399</v>
      </c>
      <c r="I4232" s="3" t="s">
        <v>7797</v>
      </c>
    </row>
    <row r="4233" spans="2:9" hidden="1" x14ac:dyDescent="0.4">
      <c r="B4233" s="8" t="s">
        <v>517</v>
      </c>
      <c r="C4233" s="3" t="s">
        <v>6545</v>
      </c>
      <c r="D4233" s="3" t="s">
        <v>7045</v>
      </c>
      <c r="E4233" s="3" t="s">
        <v>7805</v>
      </c>
      <c r="F4233" s="3" t="s">
        <v>399</v>
      </c>
      <c r="I4233" s="3" t="s">
        <v>7797</v>
      </c>
    </row>
    <row r="4234" spans="2:9" hidden="1" x14ac:dyDescent="0.4">
      <c r="B4234" s="8" t="s">
        <v>529</v>
      </c>
      <c r="C4234" s="3" t="s">
        <v>6546</v>
      </c>
      <c r="D4234" s="3" t="s">
        <v>7046</v>
      </c>
      <c r="E4234" s="3" t="s">
        <v>7805</v>
      </c>
      <c r="F4234" s="3" t="s">
        <v>399</v>
      </c>
      <c r="I4234" s="3" t="s">
        <v>7797</v>
      </c>
    </row>
    <row r="4235" spans="2:9" hidden="1" x14ac:dyDescent="0.4">
      <c r="B4235" s="8" t="s">
        <v>517</v>
      </c>
      <c r="C4235" s="3" t="s">
        <v>6547</v>
      </c>
      <c r="D4235" s="3" t="s">
        <v>7047</v>
      </c>
      <c r="E4235" s="3" t="s">
        <v>7805</v>
      </c>
      <c r="F4235" s="3" t="s">
        <v>399</v>
      </c>
      <c r="I4235" s="3" t="s">
        <v>7797</v>
      </c>
    </row>
    <row r="4236" spans="2:9" hidden="1" x14ac:dyDescent="0.4">
      <c r="B4236" s="8" t="s">
        <v>517</v>
      </c>
      <c r="C4236" s="3" t="s">
        <v>6548</v>
      </c>
      <c r="D4236" s="3" t="s">
        <v>7048</v>
      </c>
      <c r="E4236" s="3" t="s">
        <v>7805</v>
      </c>
      <c r="F4236" s="3" t="s">
        <v>399</v>
      </c>
      <c r="I4236" s="3" t="s">
        <v>7797</v>
      </c>
    </row>
    <row r="4237" spans="2:9" hidden="1" x14ac:dyDescent="0.4">
      <c r="B4237" s="8" t="s">
        <v>518</v>
      </c>
      <c r="C4237" s="3" t="s">
        <v>6549</v>
      </c>
      <c r="D4237" s="3" t="s">
        <v>7050</v>
      </c>
      <c r="E4237" s="3" t="s">
        <v>7805</v>
      </c>
      <c r="F4237" s="3" t="s">
        <v>399</v>
      </c>
      <c r="I4237" s="3" t="s">
        <v>7797</v>
      </c>
    </row>
    <row r="4238" spans="2:9" hidden="1" x14ac:dyDescent="0.4">
      <c r="B4238" s="8" t="s">
        <v>517</v>
      </c>
      <c r="C4238" s="3" t="s">
        <v>6550</v>
      </c>
      <c r="D4238" s="3" t="s">
        <v>7049</v>
      </c>
      <c r="E4238" s="3" t="s">
        <v>7805</v>
      </c>
      <c r="F4238" s="3" t="s">
        <v>399</v>
      </c>
      <c r="I4238" s="3" t="s">
        <v>7797</v>
      </c>
    </row>
    <row r="4239" spans="2:9" hidden="1" x14ac:dyDescent="0.4">
      <c r="B4239" s="8" t="s">
        <v>518</v>
      </c>
      <c r="C4239" s="3" t="s">
        <v>6551</v>
      </c>
      <c r="D4239" s="3" t="s">
        <v>7051</v>
      </c>
      <c r="E4239" s="3" t="s">
        <v>7805</v>
      </c>
      <c r="F4239" s="3" t="s">
        <v>399</v>
      </c>
      <c r="I4239" s="3" t="s">
        <v>7797</v>
      </c>
    </row>
    <row r="4240" spans="2:9" hidden="1" x14ac:dyDescent="0.4">
      <c r="B4240" s="8" t="s">
        <v>1006</v>
      </c>
      <c r="C4240" s="3" t="s">
        <v>6552</v>
      </c>
      <c r="D4240" s="3" t="s">
        <v>7052</v>
      </c>
      <c r="F4240" s="3" t="s">
        <v>399</v>
      </c>
      <c r="I4240" s="3" t="s">
        <v>7797</v>
      </c>
    </row>
    <row r="4241" spans="2:9" hidden="1" x14ac:dyDescent="0.4">
      <c r="B4241" s="8" t="s">
        <v>1006</v>
      </c>
      <c r="C4241" s="3" t="s">
        <v>6553</v>
      </c>
      <c r="D4241" s="3" t="s">
        <v>7053</v>
      </c>
      <c r="F4241" s="3" t="s">
        <v>399</v>
      </c>
      <c r="I4241" s="3" t="s">
        <v>7797</v>
      </c>
    </row>
    <row r="4242" spans="2:9" hidden="1" x14ac:dyDescent="0.4">
      <c r="B4242" s="8" t="s">
        <v>529</v>
      </c>
      <c r="C4242" s="3" t="s">
        <v>6554</v>
      </c>
      <c r="D4242" s="3" t="s">
        <v>7054</v>
      </c>
      <c r="E4242" s="3" t="s">
        <v>7805</v>
      </c>
      <c r="F4242" s="3" t="s">
        <v>399</v>
      </c>
      <c r="I4242" s="3" t="s">
        <v>7797</v>
      </c>
    </row>
    <row r="4243" spans="2:9" hidden="1" x14ac:dyDescent="0.4">
      <c r="B4243" s="8" t="s">
        <v>529</v>
      </c>
      <c r="C4243" s="3" t="s">
        <v>6555</v>
      </c>
      <c r="D4243" s="3" t="s">
        <v>7054</v>
      </c>
      <c r="E4243" s="3" t="s">
        <v>7805</v>
      </c>
      <c r="F4243" s="3" t="s">
        <v>399</v>
      </c>
      <c r="I4243" s="3" t="s">
        <v>7797</v>
      </c>
    </row>
    <row r="4244" spans="2:9" hidden="1" x14ac:dyDescent="0.4">
      <c r="B4244" s="8" t="s">
        <v>517</v>
      </c>
      <c r="C4244" s="3" t="s">
        <v>6556</v>
      </c>
      <c r="D4244" s="3" t="s">
        <v>7055</v>
      </c>
      <c r="E4244" s="3" t="s">
        <v>7805</v>
      </c>
      <c r="F4244" s="3" t="s">
        <v>399</v>
      </c>
      <c r="I4244" s="3" t="s">
        <v>7797</v>
      </c>
    </row>
    <row r="4245" spans="2:9" hidden="1" x14ac:dyDescent="0.4">
      <c r="B4245" s="8" t="s">
        <v>518</v>
      </c>
      <c r="C4245" s="3" t="s">
        <v>6557</v>
      </c>
      <c r="D4245" s="3" t="s">
        <v>7056</v>
      </c>
      <c r="E4245" s="3" t="s">
        <v>7805</v>
      </c>
      <c r="F4245" s="3" t="s">
        <v>399</v>
      </c>
      <c r="I4245" s="3" t="s">
        <v>7797</v>
      </c>
    </row>
    <row r="4246" spans="2:9" hidden="1" x14ac:dyDescent="0.4">
      <c r="B4246" s="8" t="s">
        <v>518</v>
      </c>
      <c r="C4246" s="3" t="s">
        <v>6558</v>
      </c>
      <c r="D4246" s="3" t="s">
        <v>7058</v>
      </c>
      <c r="E4246" s="3" t="s">
        <v>7805</v>
      </c>
      <c r="F4246" s="3" t="s">
        <v>399</v>
      </c>
      <c r="I4246" s="3" t="s">
        <v>7797</v>
      </c>
    </row>
    <row r="4247" spans="2:9" hidden="1" x14ac:dyDescent="0.4">
      <c r="B4247" s="8" t="s">
        <v>517</v>
      </c>
      <c r="C4247" s="3" t="s">
        <v>6559</v>
      </c>
      <c r="D4247" s="3" t="s">
        <v>7059</v>
      </c>
      <c r="F4247" s="3" t="s">
        <v>399</v>
      </c>
      <c r="I4247" s="3" t="s">
        <v>7798</v>
      </c>
    </row>
    <row r="4248" spans="2:9" hidden="1" x14ac:dyDescent="0.4">
      <c r="B4248" s="8" t="s">
        <v>517</v>
      </c>
      <c r="C4248" s="3" t="s">
        <v>6560</v>
      </c>
      <c r="D4248" s="3" t="s">
        <v>7060</v>
      </c>
      <c r="F4248" s="3" t="s">
        <v>399</v>
      </c>
      <c r="I4248" s="3" t="s">
        <v>7798</v>
      </c>
    </row>
    <row r="4249" spans="2:9" hidden="1" x14ac:dyDescent="0.4">
      <c r="B4249" s="8" t="s">
        <v>517</v>
      </c>
      <c r="C4249" s="3" t="s">
        <v>6561</v>
      </c>
      <c r="D4249" s="3" t="s">
        <v>7060</v>
      </c>
      <c r="F4249" s="3" t="s">
        <v>399</v>
      </c>
      <c r="I4249" s="3" t="s">
        <v>7798</v>
      </c>
    </row>
    <row r="4250" spans="2:9" hidden="1" x14ac:dyDescent="0.4">
      <c r="B4250" s="8" t="s">
        <v>517</v>
      </c>
      <c r="C4250" s="3" t="s">
        <v>6562</v>
      </c>
      <c r="D4250" s="3" t="s">
        <v>7061</v>
      </c>
      <c r="F4250" s="3" t="s">
        <v>399</v>
      </c>
      <c r="I4250" s="3" t="s">
        <v>7798</v>
      </c>
    </row>
    <row r="4251" spans="2:9" hidden="1" x14ac:dyDescent="0.4">
      <c r="B4251" s="8" t="s">
        <v>518</v>
      </c>
      <c r="C4251" s="3" t="s">
        <v>6563</v>
      </c>
      <c r="D4251" s="3" t="s">
        <v>7062</v>
      </c>
      <c r="F4251" s="3" t="s">
        <v>399</v>
      </c>
      <c r="I4251" s="3" t="s">
        <v>7798</v>
      </c>
    </row>
    <row r="4252" spans="2:9" hidden="1" x14ac:dyDescent="0.4">
      <c r="B4252" s="8" t="s">
        <v>517</v>
      </c>
      <c r="C4252" s="3" t="s">
        <v>6564</v>
      </c>
      <c r="D4252" s="3" t="s">
        <v>7063</v>
      </c>
      <c r="F4252" s="3" t="s">
        <v>399</v>
      </c>
      <c r="I4252" s="3" t="s">
        <v>7798</v>
      </c>
    </row>
    <row r="4253" spans="2:9" hidden="1" x14ac:dyDescent="0.4">
      <c r="B4253" s="8" t="s">
        <v>518</v>
      </c>
      <c r="C4253" s="3" t="s">
        <v>6565</v>
      </c>
      <c r="D4253" s="3" t="s">
        <v>7064</v>
      </c>
      <c r="F4253" s="3" t="s">
        <v>399</v>
      </c>
      <c r="I4253" s="3" t="s">
        <v>7798</v>
      </c>
    </row>
    <row r="4254" spans="2:9" hidden="1" x14ac:dyDescent="0.4">
      <c r="B4254" s="8" t="s">
        <v>517</v>
      </c>
      <c r="C4254" s="3" t="s">
        <v>6566</v>
      </c>
      <c r="D4254" s="3" t="s">
        <v>7065</v>
      </c>
      <c r="E4254" s="3" t="s">
        <v>7805</v>
      </c>
      <c r="F4254" s="3" t="s">
        <v>399</v>
      </c>
      <c r="I4254" s="3" t="s">
        <v>7798</v>
      </c>
    </row>
    <row r="4255" spans="2:9" ht="29.25" hidden="1" x14ac:dyDescent="0.4">
      <c r="B4255" s="8" t="s">
        <v>529</v>
      </c>
      <c r="C4255" s="3" t="s">
        <v>6567</v>
      </c>
      <c r="D4255" s="3" t="s">
        <v>7066</v>
      </c>
      <c r="F4255" s="3" t="s">
        <v>399</v>
      </c>
      <c r="I4255" s="3" t="s">
        <v>7798</v>
      </c>
    </row>
    <row r="4256" spans="2:9" hidden="1" x14ac:dyDescent="0.4">
      <c r="B4256" s="8" t="s">
        <v>517</v>
      </c>
      <c r="C4256" s="3" t="s">
        <v>6568</v>
      </c>
      <c r="D4256" s="3" t="s">
        <v>7067</v>
      </c>
      <c r="F4256" s="3" t="s">
        <v>399</v>
      </c>
      <c r="I4256" s="3" t="s">
        <v>7798</v>
      </c>
    </row>
    <row r="4257" spans="2:9" ht="29.25" hidden="1" x14ac:dyDescent="0.4">
      <c r="B4257" s="8" t="s">
        <v>517</v>
      </c>
      <c r="C4257" s="3" t="s">
        <v>6569</v>
      </c>
      <c r="D4257" s="3" t="s">
        <v>7068</v>
      </c>
      <c r="F4257" s="3" t="s">
        <v>399</v>
      </c>
      <c r="I4257" s="3" t="s">
        <v>7798</v>
      </c>
    </row>
    <row r="4258" spans="2:9" hidden="1" x14ac:dyDescent="0.4">
      <c r="B4258" s="8" t="s">
        <v>517</v>
      </c>
      <c r="C4258" s="3" t="s">
        <v>6570</v>
      </c>
      <c r="D4258" s="3" t="s">
        <v>7069</v>
      </c>
      <c r="F4258" s="3" t="s">
        <v>399</v>
      </c>
      <c r="I4258" s="3" t="s">
        <v>7798</v>
      </c>
    </row>
    <row r="4259" spans="2:9" hidden="1" x14ac:dyDescent="0.4">
      <c r="B4259" s="8" t="s">
        <v>6731</v>
      </c>
      <c r="C4259" s="3" t="s">
        <v>6571</v>
      </c>
      <c r="D4259" s="3" t="s">
        <v>7070</v>
      </c>
      <c r="F4259" s="3" t="s">
        <v>399</v>
      </c>
      <c r="I4259" s="3" t="s">
        <v>7798</v>
      </c>
    </row>
    <row r="4260" spans="2:9" hidden="1" x14ac:dyDescent="0.4">
      <c r="B4260" s="8" t="s">
        <v>6732</v>
      </c>
      <c r="C4260" s="3" t="s">
        <v>6572</v>
      </c>
      <c r="D4260" s="3" t="s">
        <v>7071</v>
      </c>
      <c r="F4260" s="3" t="s">
        <v>399</v>
      </c>
      <c r="I4260" s="3" t="s">
        <v>7798</v>
      </c>
    </row>
    <row r="4261" spans="2:9" hidden="1" x14ac:dyDescent="0.4">
      <c r="B4261" s="8" t="s">
        <v>6733</v>
      </c>
      <c r="C4261" s="3" t="s">
        <v>6573</v>
      </c>
      <c r="D4261" s="3" t="s">
        <v>7072</v>
      </c>
      <c r="E4261" s="3" t="s">
        <v>7805</v>
      </c>
      <c r="F4261" s="3" t="s">
        <v>399</v>
      </c>
      <c r="I4261" s="3" t="s">
        <v>7798</v>
      </c>
    </row>
    <row r="4262" spans="2:9" hidden="1" x14ac:dyDescent="0.4">
      <c r="B4262" s="8" t="s">
        <v>6731</v>
      </c>
      <c r="C4262" s="3" t="s">
        <v>6574</v>
      </c>
      <c r="D4262" s="3" t="s">
        <v>7073</v>
      </c>
      <c r="E4262" s="3" t="s">
        <v>7805</v>
      </c>
      <c r="F4262" s="3" t="s">
        <v>399</v>
      </c>
      <c r="I4262" s="3" t="s">
        <v>7798</v>
      </c>
    </row>
    <row r="4263" spans="2:9" hidden="1" x14ac:dyDescent="0.4">
      <c r="B4263" s="8" t="s">
        <v>520</v>
      </c>
      <c r="C4263" s="3" t="s">
        <v>6575</v>
      </c>
      <c r="D4263" s="3" t="s">
        <v>7074</v>
      </c>
      <c r="F4263" s="3" t="s">
        <v>399</v>
      </c>
      <c r="I4263" s="3" t="s">
        <v>7798</v>
      </c>
    </row>
    <row r="4264" spans="2:9" hidden="1" x14ac:dyDescent="0.4">
      <c r="B4264" s="8" t="s">
        <v>518</v>
      </c>
      <c r="C4264" s="3" t="s">
        <v>6576</v>
      </c>
      <c r="D4264" s="3" t="s">
        <v>7075</v>
      </c>
      <c r="F4264" s="3" t="s">
        <v>399</v>
      </c>
      <c r="I4264" s="3" t="s">
        <v>7798</v>
      </c>
    </row>
    <row r="4265" spans="2:9" hidden="1" x14ac:dyDescent="0.4">
      <c r="B4265" s="8" t="s">
        <v>6731</v>
      </c>
      <c r="C4265" s="3" t="s">
        <v>6577</v>
      </c>
      <c r="D4265" s="3" t="s">
        <v>7076</v>
      </c>
      <c r="F4265" s="3" t="s">
        <v>399</v>
      </c>
      <c r="I4265" s="3" t="s">
        <v>7798</v>
      </c>
    </row>
    <row r="4266" spans="2:9" hidden="1" x14ac:dyDescent="0.4">
      <c r="B4266" s="8" t="s">
        <v>6732</v>
      </c>
      <c r="C4266" s="3" t="s">
        <v>6578</v>
      </c>
      <c r="D4266" s="3" t="s">
        <v>7077</v>
      </c>
      <c r="F4266" s="3" t="s">
        <v>399</v>
      </c>
      <c r="I4266" s="3" t="s">
        <v>7798</v>
      </c>
    </row>
    <row r="4267" spans="2:9" hidden="1" x14ac:dyDescent="0.4">
      <c r="B4267" s="8" t="s">
        <v>6733</v>
      </c>
      <c r="C4267" s="3" t="s">
        <v>6579</v>
      </c>
      <c r="D4267" s="3" t="s">
        <v>7078</v>
      </c>
      <c r="E4267" s="3" t="s">
        <v>7805</v>
      </c>
      <c r="F4267" s="3" t="s">
        <v>399</v>
      </c>
      <c r="I4267" s="3" t="s">
        <v>7798</v>
      </c>
    </row>
    <row r="4268" spans="2:9" hidden="1" x14ac:dyDescent="0.4">
      <c r="B4268" s="8" t="s">
        <v>6731</v>
      </c>
      <c r="C4268" s="3" t="s">
        <v>6580</v>
      </c>
      <c r="D4268" s="3" t="s">
        <v>7079</v>
      </c>
      <c r="E4268" s="3" t="s">
        <v>7805</v>
      </c>
      <c r="F4268" s="3" t="s">
        <v>399</v>
      </c>
      <c r="I4268" s="3" t="s">
        <v>7798</v>
      </c>
    </row>
    <row r="4269" spans="2:9" hidden="1" x14ac:dyDescent="0.4">
      <c r="B4269" s="8" t="s">
        <v>6734</v>
      </c>
      <c r="C4269" s="3" t="s">
        <v>6581</v>
      </c>
      <c r="D4269" s="3" t="s">
        <v>7080</v>
      </c>
      <c r="F4269" s="3" t="s">
        <v>399</v>
      </c>
      <c r="I4269" s="3" t="s">
        <v>7798</v>
      </c>
    </row>
    <row r="4270" spans="2:9" hidden="1" x14ac:dyDescent="0.4">
      <c r="B4270" s="8" t="s">
        <v>6735</v>
      </c>
      <c r="C4270" s="3" t="s">
        <v>6582</v>
      </c>
      <c r="D4270" s="3" t="s">
        <v>7081</v>
      </c>
      <c r="F4270" s="3" t="s">
        <v>399</v>
      </c>
      <c r="I4270" s="3" t="s">
        <v>7798</v>
      </c>
    </row>
    <row r="4271" spans="2:9" hidden="1" x14ac:dyDescent="0.4">
      <c r="B4271" s="8" t="s">
        <v>6736</v>
      </c>
      <c r="C4271" s="3" t="s">
        <v>6583</v>
      </c>
      <c r="D4271" s="3" t="s">
        <v>7082</v>
      </c>
      <c r="E4271" s="3" t="s">
        <v>7805</v>
      </c>
      <c r="F4271" s="3" t="s">
        <v>399</v>
      </c>
      <c r="I4271" s="3" t="s">
        <v>7798</v>
      </c>
    </row>
    <row r="4272" spans="2:9" hidden="1" x14ac:dyDescent="0.4">
      <c r="B4272" s="8" t="s">
        <v>6734</v>
      </c>
      <c r="C4272" s="3" t="s">
        <v>6584</v>
      </c>
      <c r="D4272" s="3" t="s">
        <v>7083</v>
      </c>
      <c r="E4272" s="3" t="s">
        <v>7805</v>
      </c>
      <c r="F4272" s="3" t="s">
        <v>399</v>
      </c>
      <c r="I4272" s="3" t="s">
        <v>7798</v>
      </c>
    </row>
    <row r="4273" spans="2:9" hidden="1" x14ac:dyDescent="0.4">
      <c r="B4273" s="8" t="s">
        <v>6737</v>
      </c>
      <c r="C4273" s="3" t="s">
        <v>6585</v>
      </c>
      <c r="D4273" s="3" t="s">
        <v>7084</v>
      </c>
      <c r="F4273" s="3" t="s">
        <v>399</v>
      </c>
      <c r="I4273" s="3" t="s">
        <v>7798</v>
      </c>
    </row>
    <row r="4274" spans="2:9" hidden="1" x14ac:dyDescent="0.4">
      <c r="B4274" s="8" t="s">
        <v>6738</v>
      </c>
      <c r="C4274" s="3" t="s">
        <v>6586</v>
      </c>
      <c r="D4274" s="3" t="s">
        <v>7085</v>
      </c>
      <c r="F4274" s="3" t="s">
        <v>399</v>
      </c>
      <c r="I4274" s="3" t="s">
        <v>7798</v>
      </c>
    </row>
    <row r="4275" spans="2:9" hidden="1" x14ac:dyDescent="0.4">
      <c r="B4275" s="8" t="s">
        <v>6739</v>
      </c>
      <c r="C4275" s="3" t="s">
        <v>6587</v>
      </c>
      <c r="D4275" s="3" t="s">
        <v>7086</v>
      </c>
      <c r="E4275" s="3" t="s">
        <v>7805</v>
      </c>
      <c r="F4275" s="3" t="s">
        <v>399</v>
      </c>
      <c r="I4275" s="3" t="s">
        <v>7798</v>
      </c>
    </row>
    <row r="4276" spans="2:9" hidden="1" x14ac:dyDescent="0.4">
      <c r="B4276" s="8" t="s">
        <v>6737</v>
      </c>
      <c r="C4276" s="3" t="s">
        <v>6588</v>
      </c>
      <c r="D4276" s="3" t="s">
        <v>7087</v>
      </c>
      <c r="E4276" s="3" t="s">
        <v>7805</v>
      </c>
      <c r="F4276" s="3" t="s">
        <v>399</v>
      </c>
      <c r="I4276" s="3" t="s">
        <v>7798</v>
      </c>
    </row>
    <row r="4277" spans="2:9" hidden="1" x14ac:dyDescent="0.4">
      <c r="B4277" s="8" t="s">
        <v>6734</v>
      </c>
      <c r="C4277" s="3" t="s">
        <v>6589</v>
      </c>
      <c r="D4277" s="3" t="s">
        <v>7088</v>
      </c>
      <c r="F4277" s="3" t="s">
        <v>399</v>
      </c>
      <c r="I4277" s="3" t="s">
        <v>7798</v>
      </c>
    </row>
    <row r="4278" spans="2:9" hidden="1" x14ac:dyDescent="0.4">
      <c r="B4278" s="8" t="s">
        <v>6735</v>
      </c>
      <c r="C4278" s="3" t="s">
        <v>6590</v>
      </c>
      <c r="D4278" s="3" t="s">
        <v>7089</v>
      </c>
      <c r="F4278" s="3" t="s">
        <v>399</v>
      </c>
      <c r="I4278" s="3" t="s">
        <v>7798</v>
      </c>
    </row>
    <row r="4279" spans="2:9" hidden="1" x14ac:dyDescent="0.4">
      <c r="B4279" s="8" t="s">
        <v>6736</v>
      </c>
      <c r="C4279" s="3" t="s">
        <v>6591</v>
      </c>
      <c r="D4279" s="3" t="s">
        <v>7090</v>
      </c>
      <c r="E4279" s="3" t="s">
        <v>7805</v>
      </c>
      <c r="F4279" s="3" t="s">
        <v>399</v>
      </c>
      <c r="I4279" s="3" t="s">
        <v>7798</v>
      </c>
    </row>
    <row r="4280" spans="2:9" hidden="1" x14ac:dyDescent="0.4">
      <c r="B4280" s="8" t="s">
        <v>6734</v>
      </c>
      <c r="C4280" s="3" t="s">
        <v>6592</v>
      </c>
      <c r="D4280" s="3" t="s">
        <v>7091</v>
      </c>
      <c r="E4280" s="3" t="s">
        <v>7805</v>
      </c>
      <c r="F4280" s="3" t="s">
        <v>399</v>
      </c>
      <c r="I4280" s="3" t="s">
        <v>7798</v>
      </c>
    </row>
    <row r="4281" spans="2:9" hidden="1" x14ac:dyDescent="0.4">
      <c r="B4281" s="8" t="s">
        <v>518</v>
      </c>
      <c r="C4281" s="3" t="s">
        <v>6593</v>
      </c>
      <c r="D4281" s="3" t="s">
        <v>7092</v>
      </c>
      <c r="F4281" s="3" t="s">
        <v>399</v>
      </c>
      <c r="I4281" s="3" t="s">
        <v>7798</v>
      </c>
    </row>
    <row r="4282" spans="2:9" hidden="1" x14ac:dyDescent="0.4">
      <c r="B4282" s="8" t="s">
        <v>517</v>
      </c>
      <c r="C4282" s="3" t="s">
        <v>6594</v>
      </c>
      <c r="D4282" s="3" t="s">
        <v>7093</v>
      </c>
      <c r="F4282" s="3" t="s">
        <v>399</v>
      </c>
      <c r="I4282" s="3" t="s">
        <v>7798</v>
      </c>
    </row>
    <row r="4283" spans="2:9" hidden="1" x14ac:dyDescent="0.4">
      <c r="B4283" s="8" t="s">
        <v>517</v>
      </c>
      <c r="C4283" s="3" t="s">
        <v>6595</v>
      </c>
      <c r="D4283" s="3" t="s">
        <v>7094</v>
      </c>
      <c r="F4283" s="3" t="s">
        <v>399</v>
      </c>
      <c r="I4283" s="3" t="s">
        <v>7798</v>
      </c>
    </row>
    <row r="4284" spans="2:9" hidden="1" x14ac:dyDescent="0.4">
      <c r="B4284" s="8" t="s">
        <v>529</v>
      </c>
      <c r="C4284" s="3" t="s">
        <v>6596</v>
      </c>
      <c r="D4284" s="3" t="s">
        <v>7095</v>
      </c>
      <c r="F4284" s="3" t="s">
        <v>399</v>
      </c>
      <c r="I4284" s="3" t="s">
        <v>7798</v>
      </c>
    </row>
    <row r="4285" spans="2:9" hidden="1" x14ac:dyDescent="0.4">
      <c r="B4285" s="8" t="s">
        <v>517</v>
      </c>
      <c r="C4285" s="3" t="s">
        <v>7097</v>
      </c>
      <c r="D4285" s="3" t="s">
        <v>7098</v>
      </c>
      <c r="F4285" s="3" t="s">
        <v>399</v>
      </c>
      <c r="I4285" s="3" t="s">
        <v>7798</v>
      </c>
    </row>
    <row r="4286" spans="2:9" hidden="1" x14ac:dyDescent="0.4">
      <c r="B4286" s="8" t="s">
        <v>517</v>
      </c>
      <c r="C4286" s="3" t="s">
        <v>6597</v>
      </c>
      <c r="D4286" s="3" t="s">
        <v>7096</v>
      </c>
      <c r="F4286" s="3" t="s">
        <v>399</v>
      </c>
      <c r="I4286" s="3" t="s">
        <v>7798</v>
      </c>
    </row>
    <row r="4287" spans="2:9" hidden="1" x14ac:dyDescent="0.4">
      <c r="B4287" s="8" t="s">
        <v>517</v>
      </c>
      <c r="C4287" s="3" t="s">
        <v>6598</v>
      </c>
      <c r="D4287" s="3" t="s">
        <v>7096</v>
      </c>
      <c r="F4287" s="3" t="s">
        <v>399</v>
      </c>
      <c r="I4287" s="3" t="s">
        <v>7798</v>
      </c>
    </row>
    <row r="4288" spans="2:9" hidden="1" x14ac:dyDescent="0.4">
      <c r="B4288" s="8" t="s">
        <v>1990</v>
      </c>
      <c r="C4288" s="3" t="s">
        <v>6599</v>
      </c>
      <c r="D4288" s="3" t="s">
        <v>7099</v>
      </c>
      <c r="F4288" s="3" t="s">
        <v>399</v>
      </c>
      <c r="I4288" s="3" t="s">
        <v>7798</v>
      </c>
    </row>
    <row r="4289" spans="2:9" hidden="1" x14ac:dyDescent="0.4">
      <c r="B4289" s="8" t="s">
        <v>516</v>
      </c>
      <c r="C4289" s="3" t="s">
        <v>6600</v>
      </c>
      <c r="D4289" s="3" t="s">
        <v>7100</v>
      </c>
      <c r="F4289" s="3" t="s">
        <v>399</v>
      </c>
      <c r="I4289" s="3" t="s">
        <v>7798</v>
      </c>
    </row>
    <row r="4290" spans="2:9" hidden="1" x14ac:dyDescent="0.4">
      <c r="B4290" s="8" t="s">
        <v>520</v>
      </c>
      <c r="C4290" s="3" t="s">
        <v>6601</v>
      </c>
      <c r="D4290" s="3" t="s">
        <v>7101</v>
      </c>
      <c r="F4290" s="3" t="s">
        <v>399</v>
      </c>
      <c r="I4290" s="3" t="s">
        <v>7798</v>
      </c>
    </row>
    <row r="4291" spans="2:9" hidden="1" x14ac:dyDescent="0.4">
      <c r="B4291" s="8" t="s">
        <v>531</v>
      </c>
      <c r="C4291" s="3" t="s">
        <v>6602</v>
      </c>
      <c r="D4291" s="3" t="s">
        <v>7102</v>
      </c>
      <c r="F4291" s="3" t="s">
        <v>399</v>
      </c>
      <c r="I4291" s="3" t="s">
        <v>7798</v>
      </c>
    </row>
    <row r="4292" spans="2:9" hidden="1" x14ac:dyDescent="0.4">
      <c r="B4292" s="8" t="s">
        <v>517</v>
      </c>
      <c r="C4292" s="3" t="s">
        <v>6603</v>
      </c>
      <c r="D4292" s="3" t="s">
        <v>7103</v>
      </c>
      <c r="F4292" s="3" t="s">
        <v>399</v>
      </c>
      <c r="I4292" s="3" t="s">
        <v>7798</v>
      </c>
    </row>
    <row r="4293" spans="2:9" hidden="1" x14ac:dyDescent="0.4">
      <c r="B4293" s="8" t="s">
        <v>517</v>
      </c>
      <c r="C4293" s="3" t="s">
        <v>6604</v>
      </c>
      <c r="D4293" s="3" t="s">
        <v>7104</v>
      </c>
      <c r="F4293" s="3" t="s">
        <v>399</v>
      </c>
      <c r="I4293" s="3" t="s">
        <v>7798</v>
      </c>
    </row>
    <row r="4294" spans="2:9" hidden="1" x14ac:dyDescent="0.4">
      <c r="B4294" s="8" t="s">
        <v>517</v>
      </c>
      <c r="C4294" s="3" t="s">
        <v>6605</v>
      </c>
      <c r="D4294" s="3" t="s">
        <v>7105</v>
      </c>
      <c r="F4294" s="3" t="s">
        <v>399</v>
      </c>
      <c r="I4294" s="3" t="s">
        <v>7798</v>
      </c>
    </row>
    <row r="4295" spans="2:9" hidden="1" x14ac:dyDescent="0.4">
      <c r="B4295" s="8" t="s">
        <v>526</v>
      </c>
      <c r="C4295" s="3" t="s">
        <v>6606</v>
      </c>
      <c r="D4295" s="3" t="s">
        <v>7106</v>
      </c>
      <c r="F4295" s="3" t="s">
        <v>399</v>
      </c>
      <c r="I4295" s="3" t="s">
        <v>7798</v>
      </c>
    </row>
    <row r="4296" spans="2:9" hidden="1" x14ac:dyDescent="0.4">
      <c r="B4296" s="8" t="s">
        <v>518</v>
      </c>
      <c r="C4296" s="3" t="s">
        <v>6607</v>
      </c>
      <c r="D4296" s="3" t="s">
        <v>7107</v>
      </c>
      <c r="F4296" s="3" t="s">
        <v>399</v>
      </c>
      <c r="I4296" s="3" t="s">
        <v>7798</v>
      </c>
    </row>
    <row r="4297" spans="2:9" hidden="1" x14ac:dyDescent="0.4">
      <c r="B4297" s="8" t="s">
        <v>520</v>
      </c>
      <c r="C4297" s="3" t="s">
        <v>6608</v>
      </c>
      <c r="D4297" s="3" t="s">
        <v>7108</v>
      </c>
      <c r="F4297" s="3" t="s">
        <v>399</v>
      </c>
      <c r="I4297" s="3" t="s">
        <v>7798</v>
      </c>
    </row>
    <row r="4298" spans="2:9" hidden="1" x14ac:dyDescent="0.4">
      <c r="B4298" s="8" t="s">
        <v>520</v>
      </c>
      <c r="C4298" s="3" t="s">
        <v>6609</v>
      </c>
      <c r="D4298" s="3" t="s">
        <v>7109</v>
      </c>
      <c r="F4298" s="3" t="s">
        <v>399</v>
      </c>
      <c r="I4298" s="3" t="s">
        <v>7798</v>
      </c>
    </row>
    <row r="4299" spans="2:9" hidden="1" x14ac:dyDescent="0.4">
      <c r="B4299" s="8" t="s">
        <v>518</v>
      </c>
      <c r="C4299" s="3" t="s">
        <v>6563</v>
      </c>
      <c r="D4299" s="3" t="s">
        <v>7109</v>
      </c>
      <c r="F4299" s="3" t="s">
        <v>399</v>
      </c>
      <c r="I4299" s="3" t="s">
        <v>7798</v>
      </c>
    </row>
    <row r="4300" spans="2:9" hidden="1" x14ac:dyDescent="0.4">
      <c r="B4300" s="8" t="s">
        <v>6740</v>
      </c>
      <c r="C4300" s="3" t="s">
        <v>6610</v>
      </c>
      <c r="D4300" s="3" t="s">
        <v>7112</v>
      </c>
      <c r="E4300" s="3" t="s">
        <v>7805</v>
      </c>
      <c r="F4300" s="3" t="s">
        <v>399</v>
      </c>
      <c r="I4300" s="3" t="s">
        <v>7798</v>
      </c>
    </row>
    <row r="4301" spans="2:9" hidden="1" x14ac:dyDescent="0.4">
      <c r="B4301" s="8" t="s">
        <v>6740</v>
      </c>
      <c r="C4301" s="3" t="s">
        <v>6611</v>
      </c>
      <c r="D4301" s="3" t="s">
        <v>7110</v>
      </c>
      <c r="F4301" s="3" t="s">
        <v>399</v>
      </c>
      <c r="I4301" s="3" t="s">
        <v>7798</v>
      </c>
    </row>
    <row r="4302" spans="2:9" hidden="1" x14ac:dyDescent="0.4">
      <c r="B4302" s="8" t="s">
        <v>512</v>
      </c>
      <c r="C4302" s="3" t="s">
        <v>6612</v>
      </c>
      <c r="D4302" s="3" t="s">
        <v>7111</v>
      </c>
      <c r="F4302" s="3" t="s">
        <v>399</v>
      </c>
      <c r="I4302" s="3" t="s">
        <v>7798</v>
      </c>
    </row>
    <row r="4303" spans="2:9" hidden="1" x14ac:dyDescent="0.4">
      <c r="B4303" s="8" t="s">
        <v>1711</v>
      </c>
      <c r="C4303" s="3" t="s">
        <v>6621</v>
      </c>
      <c r="D4303" s="3" t="s">
        <v>7113</v>
      </c>
      <c r="F4303" s="3" t="s">
        <v>399</v>
      </c>
      <c r="I4303" s="3" t="s">
        <v>7798</v>
      </c>
    </row>
    <row r="4304" spans="2:9" hidden="1" x14ac:dyDescent="0.4">
      <c r="B4304" s="8" t="s">
        <v>529</v>
      </c>
      <c r="C4304" s="3" t="s">
        <v>6613</v>
      </c>
      <c r="D4304" s="3" t="s">
        <v>7115</v>
      </c>
      <c r="F4304" s="3" t="s">
        <v>399</v>
      </c>
      <c r="I4304" s="3" t="s">
        <v>7798</v>
      </c>
    </row>
    <row r="4305" spans="2:9" hidden="1" x14ac:dyDescent="0.4">
      <c r="B4305" s="8" t="s">
        <v>520</v>
      </c>
      <c r="C4305" s="3" t="s">
        <v>6614</v>
      </c>
      <c r="D4305" s="3" t="s">
        <v>7116</v>
      </c>
      <c r="F4305" s="3" t="s">
        <v>399</v>
      </c>
      <c r="I4305" s="3" t="s">
        <v>7798</v>
      </c>
    </row>
    <row r="4306" spans="2:9" hidden="1" x14ac:dyDescent="0.4">
      <c r="B4306" s="8" t="s">
        <v>532</v>
      </c>
      <c r="C4306" s="3" t="s">
        <v>6615</v>
      </c>
      <c r="D4306" s="3" t="s">
        <v>7117</v>
      </c>
      <c r="F4306" s="3" t="s">
        <v>399</v>
      </c>
      <c r="I4306" s="3" t="s">
        <v>7798</v>
      </c>
    </row>
    <row r="4307" spans="2:9" hidden="1" x14ac:dyDescent="0.4">
      <c r="B4307" s="8" t="s">
        <v>518</v>
      </c>
      <c r="C4307" s="3" t="s">
        <v>6616</v>
      </c>
      <c r="D4307" s="3" t="s">
        <v>7118</v>
      </c>
      <c r="F4307" s="3" t="s">
        <v>399</v>
      </c>
      <c r="I4307" s="3" t="s">
        <v>7798</v>
      </c>
    </row>
    <row r="4308" spans="2:9" hidden="1" x14ac:dyDescent="0.4">
      <c r="B4308" s="8" t="s">
        <v>518</v>
      </c>
      <c r="C4308" s="3" t="s">
        <v>6618</v>
      </c>
      <c r="D4308" s="3" t="s">
        <v>7119</v>
      </c>
      <c r="F4308" s="3" t="s">
        <v>399</v>
      </c>
      <c r="I4308" s="3" t="s">
        <v>7798</v>
      </c>
    </row>
    <row r="4309" spans="2:9" hidden="1" x14ac:dyDescent="0.4">
      <c r="B4309" s="8" t="s">
        <v>520</v>
      </c>
      <c r="C4309" s="3" t="s">
        <v>6617</v>
      </c>
      <c r="D4309" s="3" t="s">
        <v>7120</v>
      </c>
      <c r="F4309" s="3" t="s">
        <v>399</v>
      </c>
      <c r="I4309" s="3" t="s">
        <v>7798</v>
      </c>
    </row>
    <row r="4310" spans="2:9" hidden="1" x14ac:dyDescent="0.4">
      <c r="B4310" s="8" t="s">
        <v>518</v>
      </c>
      <c r="C4310" s="3" t="s">
        <v>6619</v>
      </c>
      <c r="D4310" s="3" t="s">
        <v>7121</v>
      </c>
      <c r="F4310" s="3" t="s">
        <v>399</v>
      </c>
      <c r="I4310" s="3" t="s">
        <v>7798</v>
      </c>
    </row>
    <row r="4311" spans="2:9" hidden="1" x14ac:dyDescent="0.4">
      <c r="B4311" s="8" t="s">
        <v>518</v>
      </c>
      <c r="C4311" s="3" t="s">
        <v>6620</v>
      </c>
      <c r="D4311" s="3" t="s">
        <v>7122</v>
      </c>
      <c r="F4311" s="3" t="s">
        <v>399</v>
      </c>
      <c r="I4311" s="3" t="s">
        <v>7798</v>
      </c>
    </row>
    <row r="4312" spans="2:9" hidden="1" x14ac:dyDescent="0.4">
      <c r="B4312" s="8" t="s">
        <v>531</v>
      </c>
      <c r="C4312" s="3" t="s">
        <v>6622</v>
      </c>
      <c r="D4312" s="3" t="s">
        <v>7114</v>
      </c>
      <c r="F4312" s="3" t="s">
        <v>399</v>
      </c>
      <c r="I4312" s="3" t="s">
        <v>7798</v>
      </c>
    </row>
    <row r="4313" spans="2:9" hidden="1" x14ac:dyDescent="0.4">
      <c r="B4313" s="8" t="s">
        <v>517</v>
      </c>
      <c r="C4313" s="3" t="s">
        <v>6623</v>
      </c>
      <c r="D4313" s="3" t="s">
        <v>7123</v>
      </c>
      <c r="F4313" s="3" t="s">
        <v>399</v>
      </c>
      <c r="I4313" s="3" t="s">
        <v>7798</v>
      </c>
    </row>
    <row r="4314" spans="2:9" hidden="1" x14ac:dyDescent="0.4">
      <c r="B4314" s="8" t="s">
        <v>517</v>
      </c>
      <c r="C4314" s="3" t="s">
        <v>6624</v>
      </c>
      <c r="D4314" s="3" t="s">
        <v>7124</v>
      </c>
      <c r="F4314" s="3" t="s">
        <v>399</v>
      </c>
      <c r="I4314" s="3" t="s">
        <v>7798</v>
      </c>
    </row>
    <row r="4315" spans="2:9" hidden="1" x14ac:dyDescent="0.4">
      <c r="B4315" s="8" t="s">
        <v>518</v>
      </c>
      <c r="C4315" s="3" t="s">
        <v>6625</v>
      </c>
      <c r="D4315" s="3" t="s">
        <v>7125</v>
      </c>
      <c r="F4315" s="3" t="s">
        <v>399</v>
      </c>
      <c r="I4315" s="3" t="s">
        <v>7798</v>
      </c>
    </row>
    <row r="4316" spans="2:9" hidden="1" x14ac:dyDescent="0.4">
      <c r="B4316" s="8" t="s">
        <v>518</v>
      </c>
      <c r="C4316" s="3" t="s">
        <v>6626</v>
      </c>
      <c r="D4316" s="3" t="s">
        <v>7126</v>
      </c>
      <c r="F4316" s="3" t="s">
        <v>399</v>
      </c>
      <c r="I4316" s="3" t="s">
        <v>7798</v>
      </c>
    </row>
    <row r="4317" spans="2:9" hidden="1" x14ac:dyDescent="0.4">
      <c r="B4317" s="8" t="s">
        <v>518</v>
      </c>
      <c r="C4317" s="3" t="s">
        <v>6627</v>
      </c>
      <c r="D4317" s="3" t="s">
        <v>7126</v>
      </c>
      <c r="F4317" s="3" t="s">
        <v>399</v>
      </c>
      <c r="I4317" s="3" t="s">
        <v>7798</v>
      </c>
    </row>
    <row r="4318" spans="2:9" hidden="1" x14ac:dyDescent="0.4">
      <c r="B4318" s="8" t="s">
        <v>517</v>
      </c>
      <c r="C4318" s="3" t="s">
        <v>6628</v>
      </c>
      <c r="D4318" s="3" t="s">
        <v>7127</v>
      </c>
      <c r="F4318" s="3" t="s">
        <v>399</v>
      </c>
      <c r="I4318" s="3" t="s">
        <v>7798</v>
      </c>
    </row>
    <row r="4319" spans="2:9" hidden="1" x14ac:dyDescent="0.4">
      <c r="B4319" s="8" t="s">
        <v>518</v>
      </c>
      <c r="C4319" s="3" t="s">
        <v>6629</v>
      </c>
      <c r="D4319" s="3" t="s">
        <v>7128</v>
      </c>
      <c r="F4319" s="3" t="s">
        <v>399</v>
      </c>
      <c r="I4319" s="3" t="s">
        <v>7798</v>
      </c>
    </row>
    <row r="4320" spans="2:9" hidden="1" x14ac:dyDescent="0.4">
      <c r="B4320" s="8" t="s">
        <v>520</v>
      </c>
      <c r="C4320" s="3" t="s">
        <v>6630</v>
      </c>
      <c r="D4320" s="3" t="s">
        <v>7129</v>
      </c>
      <c r="F4320" s="3" t="s">
        <v>399</v>
      </c>
      <c r="I4320" s="3" t="s">
        <v>7798</v>
      </c>
    </row>
    <row r="4321" spans="2:9" hidden="1" x14ac:dyDescent="0.4">
      <c r="B4321" s="8" t="s">
        <v>529</v>
      </c>
      <c r="C4321" s="3" t="s">
        <v>6631</v>
      </c>
      <c r="D4321" s="3" t="s">
        <v>7130</v>
      </c>
      <c r="F4321" s="3" t="s">
        <v>399</v>
      </c>
      <c r="I4321" s="3" t="s">
        <v>7798</v>
      </c>
    </row>
    <row r="4322" spans="2:9" hidden="1" x14ac:dyDescent="0.4">
      <c r="B4322" s="8" t="s">
        <v>517</v>
      </c>
      <c r="C4322" s="3" t="s">
        <v>6632</v>
      </c>
      <c r="D4322" s="3" t="s">
        <v>7131</v>
      </c>
      <c r="F4322" s="3" t="s">
        <v>399</v>
      </c>
      <c r="I4322" s="3" t="s">
        <v>7798</v>
      </c>
    </row>
    <row r="4323" spans="2:9" hidden="1" x14ac:dyDescent="0.4">
      <c r="B4323" s="8" t="s">
        <v>517</v>
      </c>
      <c r="C4323" s="3" t="s">
        <v>6633</v>
      </c>
      <c r="D4323" s="3" t="s">
        <v>7132</v>
      </c>
      <c r="F4323" s="3" t="s">
        <v>399</v>
      </c>
      <c r="I4323" s="3" t="s">
        <v>7798</v>
      </c>
    </row>
    <row r="4324" spans="2:9" hidden="1" x14ac:dyDescent="0.4">
      <c r="B4324" s="8" t="s">
        <v>518</v>
      </c>
      <c r="C4324" s="3" t="s">
        <v>6634</v>
      </c>
      <c r="D4324" s="3" t="s">
        <v>7143</v>
      </c>
      <c r="F4324" s="3" t="s">
        <v>399</v>
      </c>
      <c r="I4324" s="3" t="s">
        <v>7798</v>
      </c>
    </row>
    <row r="4325" spans="2:9" hidden="1" x14ac:dyDescent="0.4">
      <c r="B4325" s="8" t="s">
        <v>518</v>
      </c>
      <c r="C4325" s="3" t="s">
        <v>6635</v>
      </c>
      <c r="D4325" s="3" t="s">
        <v>7133</v>
      </c>
      <c r="F4325" s="3" t="s">
        <v>399</v>
      </c>
      <c r="I4325" s="3" t="s">
        <v>7798</v>
      </c>
    </row>
    <row r="4326" spans="2:9" hidden="1" x14ac:dyDescent="0.4">
      <c r="B4326" s="8" t="s">
        <v>532</v>
      </c>
      <c r="C4326" s="3" t="s">
        <v>6636</v>
      </c>
      <c r="D4326" s="3" t="s">
        <v>7134</v>
      </c>
      <c r="F4326" s="3" t="s">
        <v>399</v>
      </c>
      <c r="I4326" s="3" t="s">
        <v>7798</v>
      </c>
    </row>
    <row r="4327" spans="2:9" hidden="1" x14ac:dyDescent="0.4">
      <c r="B4327" s="8" t="s">
        <v>531</v>
      </c>
      <c r="C4327" s="3" t="s">
        <v>6637</v>
      </c>
      <c r="D4327" s="3" t="s">
        <v>7136</v>
      </c>
      <c r="F4327" s="3" t="s">
        <v>399</v>
      </c>
      <c r="I4327" s="3" t="s">
        <v>7798</v>
      </c>
    </row>
    <row r="4328" spans="2:9" hidden="1" x14ac:dyDescent="0.4">
      <c r="B4328" s="8" t="s">
        <v>517</v>
      </c>
      <c r="C4328" s="3" t="s">
        <v>6638</v>
      </c>
      <c r="D4328" s="3" t="s">
        <v>7135</v>
      </c>
      <c r="F4328" s="3" t="s">
        <v>399</v>
      </c>
      <c r="I4328" s="3" t="s">
        <v>7798</v>
      </c>
    </row>
    <row r="4329" spans="2:9" hidden="1" x14ac:dyDescent="0.4">
      <c r="B4329" s="8" t="s">
        <v>517</v>
      </c>
      <c r="C4329" s="3" t="s">
        <v>6639</v>
      </c>
      <c r="D4329" s="3" t="s">
        <v>7137</v>
      </c>
      <c r="F4329" s="3" t="s">
        <v>399</v>
      </c>
      <c r="I4329" s="3" t="s">
        <v>7798</v>
      </c>
    </row>
    <row r="4330" spans="2:9" hidden="1" x14ac:dyDescent="0.4">
      <c r="B4330" s="8" t="s">
        <v>517</v>
      </c>
      <c r="C4330" s="3" t="s">
        <v>6640</v>
      </c>
      <c r="D4330" s="3" t="s">
        <v>7137</v>
      </c>
      <c r="F4330" s="3" t="s">
        <v>399</v>
      </c>
      <c r="I4330" s="3" t="s">
        <v>7798</v>
      </c>
    </row>
    <row r="4331" spans="2:9" hidden="1" x14ac:dyDescent="0.4">
      <c r="B4331" s="8" t="s">
        <v>529</v>
      </c>
      <c r="C4331" s="3" t="s">
        <v>6641</v>
      </c>
      <c r="D4331" s="3" t="s">
        <v>7138</v>
      </c>
      <c r="F4331" s="3" t="s">
        <v>399</v>
      </c>
      <c r="I4331" s="3" t="s">
        <v>7798</v>
      </c>
    </row>
    <row r="4332" spans="2:9" hidden="1" x14ac:dyDescent="0.4">
      <c r="B4332" s="8" t="s">
        <v>517</v>
      </c>
      <c r="C4332" s="3" t="s">
        <v>6642</v>
      </c>
      <c r="D4332" s="3" t="s">
        <v>7139</v>
      </c>
      <c r="F4332" s="3" t="s">
        <v>399</v>
      </c>
      <c r="I4332" s="3" t="s">
        <v>7798</v>
      </c>
    </row>
    <row r="4333" spans="2:9" hidden="1" x14ac:dyDescent="0.4">
      <c r="B4333" s="8" t="s">
        <v>517</v>
      </c>
      <c r="C4333" s="3" t="s">
        <v>6643</v>
      </c>
      <c r="D4333" s="3" t="s">
        <v>7140</v>
      </c>
      <c r="F4333" s="3" t="s">
        <v>399</v>
      </c>
      <c r="I4333" s="3" t="s">
        <v>7798</v>
      </c>
    </row>
    <row r="4334" spans="2:9" hidden="1" x14ac:dyDescent="0.4">
      <c r="B4334" s="8" t="s">
        <v>532</v>
      </c>
      <c r="C4334" s="3" t="s">
        <v>6644</v>
      </c>
      <c r="D4334" s="3" t="s">
        <v>7141</v>
      </c>
      <c r="F4334" s="3" t="s">
        <v>399</v>
      </c>
      <c r="I4334" s="3" t="s">
        <v>7798</v>
      </c>
    </row>
    <row r="4335" spans="2:9" hidden="1" x14ac:dyDescent="0.4">
      <c r="B4335" s="8" t="s">
        <v>520</v>
      </c>
      <c r="C4335" s="3" t="s">
        <v>6645</v>
      </c>
      <c r="D4335" s="3" t="s">
        <v>7142</v>
      </c>
      <c r="F4335" s="3" t="s">
        <v>399</v>
      </c>
      <c r="I4335" s="3" t="s">
        <v>7798</v>
      </c>
    </row>
    <row r="4336" spans="2:9" hidden="1" x14ac:dyDescent="0.4">
      <c r="B4336" s="8" t="s">
        <v>532</v>
      </c>
      <c r="C4336" s="3" t="s">
        <v>6646</v>
      </c>
      <c r="D4336" s="3" t="s">
        <v>7142</v>
      </c>
      <c r="F4336" s="3" t="s">
        <v>399</v>
      </c>
      <c r="I4336" s="3" t="s">
        <v>7798</v>
      </c>
    </row>
    <row r="4337" spans="2:9" hidden="1" x14ac:dyDescent="0.4">
      <c r="B4337" s="8" t="s">
        <v>518</v>
      </c>
      <c r="C4337" s="3" t="s">
        <v>6647</v>
      </c>
      <c r="D4337" s="3" t="s">
        <v>7144</v>
      </c>
      <c r="F4337" s="3" t="s">
        <v>399</v>
      </c>
      <c r="I4337" s="3" t="s">
        <v>7798</v>
      </c>
    </row>
    <row r="4338" spans="2:9" hidden="1" x14ac:dyDescent="0.4">
      <c r="B4338" s="8" t="s">
        <v>517</v>
      </c>
      <c r="C4338" s="3" t="s">
        <v>6648</v>
      </c>
      <c r="D4338" s="3" t="s">
        <v>7144</v>
      </c>
      <c r="F4338" s="3" t="s">
        <v>399</v>
      </c>
      <c r="I4338" s="3" t="s">
        <v>7798</v>
      </c>
    </row>
    <row r="4339" spans="2:9" hidden="1" x14ac:dyDescent="0.4">
      <c r="B4339" s="8" t="s">
        <v>517</v>
      </c>
      <c r="C4339" s="3" t="s">
        <v>6649</v>
      </c>
      <c r="D4339" s="3" t="s">
        <v>7145</v>
      </c>
      <c r="F4339" s="3" t="s">
        <v>399</v>
      </c>
      <c r="I4339" s="3" t="s">
        <v>7798</v>
      </c>
    </row>
    <row r="4340" spans="2:9" hidden="1" x14ac:dyDescent="0.4">
      <c r="B4340" s="8" t="s">
        <v>1711</v>
      </c>
      <c r="C4340" s="3" t="s">
        <v>6650</v>
      </c>
      <c r="D4340" s="3" t="s">
        <v>7146</v>
      </c>
      <c r="F4340" s="3" t="s">
        <v>399</v>
      </c>
      <c r="I4340" s="3" t="s">
        <v>7798</v>
      </c>
    </row>
    <row r="4341" spans="2:9" hidden="1" x14ac:dyDescent="0.4">
      <c r="B4341" s="8" t="s">
        <v>517</v>
      </c>
      <c r="C4341" s="3" t="s">
        <v>6651</v>
      </c>
      <c r="D4341" s="3" t="s">
        <v>7146</v>
      </c>
      <c r="F4341" s="3" t="s">
        <v>399</v>
      </c>
      <c r="I4341" s="3" t="s">
        <v>7798</v>
      </c>
    </row>
    <row r="4342" spans="2:9" hidden="1" x14ac:dyDescent="0.4">
      <c r="B4342" s="8" t="s">
        <v>520</v>
      </c>
      <c r="C4342" s="3" t="s">
        <v>6652</v>
      </c>
      <c r="D4342" s="3" t="s">
        <v>7148</v>
      </c>
      <c r="F4342" s="3" t="s">
        <v>399</v>
      </c>
      <c r="I4342" s="3" t="s">
        <v>7798</v>
      </c>
    </row>
    <row r="4343" spans="2:9" hidden="1" x14ac:dyDescent="0.4">
      <c r="B4343" s="8" t="s">
        <v>518</v>
      </c>
      <c r="C4343" s="3" t="s">
        <v>6653</v>
      </c>
      <c r="D4343" s="3" t="s">
        <v>7148</v>
      </c>
      <c r="F4343" s="3" t="s">
        <v>399</v>
      </c>
      <c r="I4343" s="3" t="s">
        <v>7798</v>
      </c>
    </row>
    <row r="4344" spans="2:9" hidden="1" x14ac:dyDescent="0.4">
      <c r="B4344" s="8" t="s">
        <v>531</v>
      </c>
      <c r="C4344" s="3" t="s">
        <v>6654</v>
      </c>
      <c r="D4344" s="3" t="s">
        <v>7147</v>
      </c>
      <c r="F4344" s="3" t="s">
        <v>399</v>
      </c>
      <c r="I4344" s="3" t="s">
        <v>7798</v>
      </c>
    </row>
    <row r="4345" spans="2:9" hidden="1" x14ac:dyDescent="0.4">
      <c r="B4345" s="8" t="s">
        <v>531</v>
      </c>
      <c r="C4345" s="3" t="s">
        <v>6655</v>
      </c>
      <c r="D4345" s="3" t="s">
        <v>7147</v>
      </c>
      <c r="F4345" s="3" t="s">
        <v>399</v>
      </c>
      <c r="I4345" s="3" t="s">
        <v>7798</v>
      </c>
    </row>
    <row r="4346" spans="2:9" hidden="1" x14ac:dyDescent="0.4">
      <c r="B4346" s="8" t="s">
        <v>532</v>
      </c>
      <c r="C4346" s="3" t="s">
        <v>6656</v>
      </c>
      <c r="D4346" s="3" t="s">
        <v>7149</v>
      </c>
      <c r="F4346" s="3" t="s">
        <v>399</v>
      </c>
      <c r="I4346" s="3" t="s">
        <v>7798</v>
      </c>
    </row>
    <row r="4347" spans="2:9" hidden="1" x14ac:dyDescent="0.4">
      <c r="B4347" s="8" t="s">
        <v>529</v>
      </c>
      <c r="C4347" s="3" t="s">
        <v>6657</v>
      </c>
      <c r="D4347" s="3" t="s">
        <v>7150</v>
      </c>
      <c r="F4347" s="3" t="s">
        <v>399</v>
      </c>
      <c r="I4347" s="3" t="s">
        <v>7798</v>
      </c>
    </row>
    <row r="4348" spans="2:9" hidden="1" x14ac:dyDescent="0.4">
      <c r="B4348" s="8" t="s">
        <v>520</v>
      </c>
      <c r="C4348" s="3" t="s">
        <v>6658</v>
      </c>
      <c r="D4348" s="3" t="s">
        <v>7151</v>
      </c>
      <c r="F4348" s="3" t="s">
        <v>399</v>
      </c>
      <c r="I4348" s="3" t="s">
        <v>7798</v>
      </c>
    </row>
    <row r="4349" spans="2:9" hidden="1" x14ac:dyDescent="0.4">
      <c r="B4349" s="8" t="s">
        <v>518</v>
      </c>
      <c r="C4349" s="3" t="s">
        <v>6659</v>
      </c>
      <c r="D4349" s="3" t="s">
        <v>7152</v>
      </c>
      <c r="F4349" s="3" t="s">
        <v>399</v>
      </c>
      <c r="I4349" s="3" t="s">
        <v>7798</v>
      </c>
    </row>
    <row r="4350" spans="2:9" hidden="1" x14ac:dyDescent="0.4">
      <c r="B4350" s="8" t="s">
        <v>517</v>
      </c>
      <c r="C4350" s="3" t="s">
        <v>6660</v>
      </c>
      <c r="D4350" s="3" t="s">
        <v>7153</v>
      </c>
      <c r="F4350" s="3" t="s">
        <v>399</v>
      </c>
      <c r="I4350" s="3" t="s">
        <v>7798</v>
      </c>
    </row>
    <row r="4351" spans="2:9" ht="29.25" hidden="1" x14ac:dyDescent="0.4">
      <c r="B4351" s="8" t="s">
        <v>526</v>
      </c>
      <c r="C4351" s="3" t="s">
        <v>6661</v>
      </c>
      <c r="D4351" s="3" t="s">
        <v>7152</v>
      </c>
      <c r="F4351" s="3" t="s">
        <v>399</v>
      </c>
      <c r="I4351" s="3" t="s">
        <v>7798</v>
      </c>
    </row>
    <row r="4352" spans="2:9" ht="29.25" hidden="1" x14ac:dyDescent="0.4">
      <c r="B4352" s="8" t="s">
        <v>516</v>
      </c>
      <c r="C4352" s="3" t="s">
        <v>6662</v>
      </c>
      <c r="D4352" s="3" t="s">
        <v>7153</v>
      </c>
      <c r="F4352" s="3" t="s">
        <v>399</v>
      </c>
      <c r="I4352" s="3" t="s">
        <v>7798</v>
      </c>
    </row>
    <row r="4353" spans="2:9" hidden="1" x14ac:dyDescent="0.4">
      <c r="B4353" s="8" t="s">
        <v>517</v>
      </c>
      <c r="C4353" s="3" t="s">
        <v>6663</v>
      </c>
      <c r="D4353" s="3" t="s">
        <v>7154</v>
      </c>
      <c r="E4353" s="3" t="s">
        <v>7805</v>
      </c>
      <c r="F4353" s="3" t="s">
        <v>399</v>
      </c>
      <c r="I4353" s="3" t="s">
        <v>7798</v>
      </c>
    </row>
    <row r="4354" spans="2:9" hidden="1" x14ac:dyDescent="0.4">
      <c r="B4354" s="8" t="s">
        <v>529</v>
      </c>
      <c r="C4354" s="3" t="s">
        <v>6664</v>
      </c>
      <c r="D4354" s="3" t="s">
        <v>7155</v>
      </c>
      <c r="F4354" s="3" t="s">
        <v>399</v>
      </c>
      <c r="I4354" s="3" t="s">
        <v>7798</v>
      </c>
    </row>
    <row r="4355" spans="2:9" hidden="1" x14ac:dyDescent="0.4">
      <c r="B4355" s="8" t="s">
        <v>517</v>
      </c>
      <c r="C4355" s="3" t="s">
        <v>6665</v>
      </c>
      <c r="D4355" s="3" t="s">
        <v>7156</v>
      </c>
      <c r="E4355" s="3" t="s">
        <v>7805</v>
      </c>
      <c r="F4355" s="3" t="s">
        <v>399</v>
      </c>
      <c r="I4355" s="3" t="s">
        <v>7798</v>
      </c>
    </row>
    <row r="4356" spans="2:9" hidden="1" x14ac:dyDescent="0.4">
      <c r="B4356" s="8" t="s">
        <v>518</v>
      </c>
      <c r="C4356" s="3" t="s">
        <v>6666</v>
      </c>
      <c r="D4356" s="3" t="s">
        <v>7157</v>
      </c>
      <c r="F4356" s="3" t="s">
        <v>399</v>
      </c>
      <c r="I4356" s="3" t="s">
        <v>7798</v>
      </c>
    </row>
    <row r="4357" spans="2:9" hidden="1" x14ac:dyDescent="0.4">
      <c r="B4357" s="8" t="s">
        <v>518</v>
      </c>
      <c r="C4357" s="3" t="s">
        <v>6667</v>
      </c>
      <c r="D4357" s="3" t="s">
        <v>7161</v>
      </c>
      <c r="F4357" s="3" t="s">
        <v>399</v>
      </c>
      <c r="I4357" s="3" t="s">
        <v>7798</v>
      </c>
    </row>
    <row r="4358" spans="2:9" hidden="1" x14ac:dyDescent="0.4">
      <c r="B4358" s="8" t="s">
        <v>518</v>
      </c>
      <c r="C4358" s="3" t="s">
        <v>6668</v>
      </c>
      <c r="D4358" s="3" t="s">
        <v>7158</v>
      </c>
      <c r="F4358" s="3" t="s">
        <v>399</v>
      </c>
      <c r="I4358" s="3" t="s">
        <v>7798</v>
      </c>
    </row>
    <row r="4359" spans="2:9" hidden="1" x14ac:dyDescent="0.4">
      <c r="B4359" s="8" t="s">
        <v>517</v>
      </c>
      <c r="C4359" s="3" t="s">
        <v>6669</v>
      </c>
      <c r="D4359" s="3" t="s">
        <v>7159</v>
      </c>
      <c r="F4359" s="3" t="s">
        <v>399</v>
      </c>
      <c r="I4359" s="3" t="s">
        <v>7798</v>
      </c>
    </row>
    <row r="4360" spans="2:9" hidden="1" x14ac:dyDescent="0.4">
      <c r="B4360" s="8" t="s">
        <v>517</v>
      </c>
      <c r="C4360" s="3" t="s">
        <v>6670</v>
      </c>
      <c r="D4360" s="3" t="s">
        <v>7160</v>
      </c>
      <c r="F4360" s="3" t="s">
        <v>399</v>
      </c>
      <c r="I4360" s="3" t="s">
        <v>7798</v>
      </c>
    </row>
    <row r="4361" spans="2:9" hidden="1" x14ac:dyDescent="0.4">
      <c r="B4361" s="8" t="s">
        <v>517</v>
      </c>
      <c r="C4361" s="3" t="s">
        <v>6671</v>
      </c>
      <c r="D4361" s="3" t="s">
        <v>7162</v>
      </c>
      <c r="E4361" s="3" t="s">
        <v>7805</v>
      </c>
      <c r="F4361" s="3" t="s">
        <v>399</v>
      </c>
      <c r="I4361" s="3" t="s">
        <v>7798</v>
      </c>
    </row>
    <row r="4362" spans="2:9" hidden="1" x14ac:dyDescent="0.4">
      <c r="B4362" s="8" t="s">
        <v>516</v>
      </c>
      <c r="C4362" s="3" t="s">
        <v>6672</v>
      </c>
      <c r="D4362" s="3" t="s">
        <v>7162</v>
      </c>
      <c r="E4362" s="3" t="s">
        <v>7805</v>
      </c>
      <c r="F4362" s="3" t="s">
        <v>399</v>
      </c>
      <c r="I4362" s="3" t="s">
        <v>7798</v>
      </c>
    </row>
    <row r="4363" spans="2:9" hidden="1" x14ac:dyDescent="0.4">
      <c r="B4363" s="8" t="s">
        <v>517</v>
      </c>
      <c r="C4363" s="3" t="s">
        <v>6673</v>
      </c>
      <c r="D4363" s="3" t="s">
        <v>7163</v>
      </c>
      <c r="E4363" s="3" t="s">
        <v>7805</v>
      </c>
      <c r="F4363" s="3" t="s">
        <v>399</v>
      </c>
      <c r="I4363" s="3" t="s">
        <v>7798</v>
      </c>
    </row>
    <row r="4364" spans="2:9" hidden="1" x14ac:dyDescent="0.4">
      <c r="B4364" s="8" t="s">
        <v>517</v>
      </c>
      <c r="C4364" s="3" t="s">
        <v>6674</v>
      </c>
      <c r="D4364" s="3" t="s">
        <v>7164</v>
      </c>
      <c r="E4364" s="3" t="s">
        <v>7805</v>
      </c>
      <c r="F4364" s="3" t="s">
        <v>399</v>
      </c>
      <c r="I4364" s="3" t="s">
        <v>7798</v>
      </c>
    </row>
    <row r="4365" spans="2:9" hidden="1" x14ac:dyDescent="0.4">
      <c r="B4365" s="8" t="s">
        <v>517</v>
      </c>
      <c r="C4365" s="3" t="s">
        <v>6675</v>
      </c>
      <c r="D4365" s="3" t="s">
        <v>7169</v>
      </c>
      <c r="E4365" s="3" t="s">
        <v>7805</v>
      </c>
      <c r="F4365" s="3" t="s">
        <v>399</v>
      </c>
      <c r="I4365" s="3" t="s">
        <v>7798</v>
      </c>
    </row>
    <row r="4366" spans="2:9" hidden="1" x14ac:dyDescent="0.4">
      <c r="B4366" s="8" t="s">
        <v>6729</v>
      </c>
      <c r="C4366" s="3" t="s">
        <v>6676</v>
      </c>
      <c r="D4366" s="3" t="s">
        <v>7165</v>
      </c>
      <c r="E4366" s="3" t="s">
        <v>7805</v>
      </c>
      <c r="F4366" s="3" t="s">
        <v>399</v>
      </c>
      <c r="I4366" s="3" t="s">
        <v>7798</v>
      </c>
    </row>
    <row r="4367" spans="2:9" hidden="1" x14ac:dyDescent="0.4">
      <c r="B4367" s="8" t="s">
        <v>532</v>
      </c>
      <c r="C4367" s="3" t="s">
        <v>6676</v>
      </c>
      <c r="D4367" s="3" t="s">
        <v>7166</v>
      </c>
      <c r="E4367" s="3" t="s">
        <v>7805</v>
      </c>
      <c r="F4367" s="3" t="s">
        <v>399</v>
      </c>
      <c r="I4367" s="3" t="s">
        <v>7798</v>
      </c>
    </row>
    <row r="4368" spans="2:9" hidden="1" x14ac:dyDescent="0.4">
      <c r="B4368" s="8" t="s">
        <v>516</v>
      </c>
      <c r="C4368" s="3" t="s">
        <v>7167</v>
      </c>
      <c r="D4368" s="3" t="s">
        <v>7159</v>
      </c>
      <c r="E4368" s="3" t="s">
        <v>7805</v>
      </c>
      <c r="F4368" s="3" t="s">
        <v>399</v>
      </c>
      <c r="I4368" s="3" t="s">
        <v>7798</v>
      </c>
    </row>
    <row r="4369" spans="2:9" hidden="1" x14ac:dyDescent="0.4">
      <c r="B4369" s="8" t="s">
        <v>515</v>
      </c>
      <c r="C4369" s="3" t="s">
        <v>7170</v>
      </c>
      <c r="D4369" s="3" t="s">
        <v>7159</v>
      </c>
      <c r="E4369" s="3" t="s">
        <v>7805</v>
      </c>
      <c r="F4369" s="3" t="s">
        <v>399</v>
      </c>
      <c r="I4369" s="3" t="s">
        <v>7798</v>
      </c>
    </row>
    <row r="4370" spans="2:9" hidden="1" x14ac:dyDescent="0.4">
      <c r="B4370" s="8" t="s">
        <v>518</v>
      </c>
      <c r="C4370" s="3" t="s">
        <v>6677</v>
      </c>
      <c r="D4370" s="3" t="s">
        <v>7168</v>
      </c>
      <c r="E4370" s="3" t="s">
        <v>7805</v>
      </c>
      <c r="F4370" s="3" t="s">
        <v>399</v>
      </c>
      <c r="I4370" s="3" t="s">
        <v>7798</v>
      </c>
    </row>
    <row r="4371" spans="2:9" hidden="1" x14ac:dyDescent="0.4">
      <c r="B4371" s="8" t="s">
        <v>531</v>
      </c>
      <c r="C4371" s="3" t="s">
        <v>6678</v>
      </c>
      <c r="D4371" s="3" t="s">
        <v>7171</v>
      </c>
      <c r="E4371" s="3" t="s">
        <v>7805</v>
      </c>
      <c r="F4371" s="3" t="s">
        <v>399</v>
      </c>
      <c r="I4371" s="3" t="s">
        <v>7798</v>
      </c>
    </row>
    <row r="4372" spans="2:9" hidden="1" x14ac:dyDescent="0.4">
      <c r="B4372" s="8" t="s">
        <v>517</v>
      </c>
      <c r="C4372" s="3" t="s">
        <v>6679</v>
      </c>
      <c r="D4372" s="3" t="s">
        <v>7172</v>
      </c>
      <c r="E4372" s="3" t="s">
        <v>7805</v>
      </c>
      <c r="F4372" s="3" t="s">
        <v>399</v>
      </c>
      <c r="I4372" s="3" t="s">
        <v>7798</v>
      </c>
    </row>
    <row r="4373" spans="2:9" hidden="1" x14ac:dyDescent="0.4">
      <c r="B4373" s="8" t="s">
        <v>529</v>
      </c>
      <c r="C4373" s="3" t="s">
        <v>6680</v>
      </c>
      <c r="D4373" s="3" t="s">
        <v>7173</v>
      </c>
      <c r="E4373" s="3" t="s">
        <v>7805</v>
      </c>
      <c r="F4373" s="3" t="s">
        <v>399</v>
      </c>
      <c r="I4373" s="3" t="s">
        <v>7798</v>
      </c>
    </row>
    <row r="4374" spans="2:9" ht="29.25" hidden="1" x14ac:dyDescent="0.4">
      <c r="B4374" s="8" t="s">
        <v>518</v>
      </c>
      <c r="C4374" s="3" t="s">
        <v>6681</v>
      </c>
      <c r="D4374" s="3" t="s">
        <v>7174</v>
      </c>
      <c r="E4374" s="3" t="s">
        <v>7805</v>
      </c>
      <c r="F4374" s="3" t="s">
        <v>399</v>
      </c>
      <c r="I4374" s="3" t="s">
        <v>7798</v>
      </c>
    </row>
    <row r="4375" spans="2:9" ht="29.25" hidden="1" x14ac:dyDescent="0.4">
      <c r="B4375" s="8" t="s">
        <v>520</v>
      </c>
      <c r="C4375" s="3" t="s">
        <v>6682</v>
      </c>
      <c r="D4375" s="3" t="s">
        <v>7177</v>
      </c>
      <c r="E4375" s="3" t="s">
        <v>7805</v>
      </c>
      <c r="F4375" s="3" t="s">
        <v>399</v>
      </c>
      <c r="I4375" s="3" t="s">
        <v>7798</v>
      </c>
    </row>
    <row r="4376" spans="2:9" hidden="1" x14ac:dyDescent="0.4">
      <c r="B4376" s="8" t="s">
        <v>518</v>
      </c>
      <c r="C4376" s="3" t="s">
        <v>6683</v>
      </c>
      <c r="D4376" s="3" t="s">
        <v>7183</v>
      </c>
      <c r="E4376" s="3" t="s">
        <v>7805</v>
      </c>
      <c r="F4376" s="3" t="s">
        <v>399</v>
      </c>
      <c r="I4376" s="3" t="s">
        <v>7798</v>
      </c>
    </row>
    <row r="4377" spans="2:9" hidden="1" x14ac:dyDescent="0.4">
      <c r="B4377" s="8" t="s">
        <v>517</v>
      </c>
      <c r="C4377" s="3" t="s">
        <v>6684</v>
      </c>
      <c r="D4377" s="3" t="s">
        <v>7182</v>
      </c>
      <c r="E4377" s="3" t="s">
        <v>7805</v>
      </c>
      <c r="F4377" s="3" t="s">
        <v>399</v>
      </c>
      <c r="I4377" s="3" t="s">
        <v>7798</v>
      </c>
    </row>
    <row r="4378" spans="2:9" hidden="1" x14ac:dyDescent="0.4">
      <c r="B4378" s="8" t="s">
        <v>517</v>
      </c>
      <c r="C4378" s="3" t="s">
        <v>6685</v>
      </c>
      <c r="D4378" s="3" t="s">
        <v>7178</v>
      </c>
      <c r="E4378" s="3" t="s">
        <v>7805</v>
      </c>
      <c r="F4378" s="3" t="s">
        <v>399</v>
      </c>
      <c r="I4378" s="3" t="s">
        <v>7798</v>
      </c>
    </row>
    <row r="4379" spans="2:9" hidden="1" x14ac:dyDescent="0.4">
      <c r="B4379" s="8" t="s">
        <v>518</v>
      </c>
      <c r="C4379" s="3" t="s">
        <v>6686</v>
      </c>
      <c r="D4379" s="3" t="s">
        <v>7181</v>
      </c>
      <c r="E4379" s="3" t="s">
        <v>7805</v>
      </c>
      <c r="F4379" s="3" t="s">
        <v>399</v>
      </c>
      <c r="I4379" s="3" t="s">
        <v>7798</v>
      </c>
    </row>
    <row r="4380" spans="2:9" hidden="1" x14ac:dyDescent="0.4">
      <c r="B4380" s="8" t="s">
        <v>517</v>
      </c>
      <c r="C4380" s="3" t="s">
        <v>6687</v>
      </c>
      <c r="D4380" s="3" t="s">
        <v>7186</v>
      </c>
      <c r="E4380" s="3" t="s">
        <v>7805</v>
      </c>
      <c r="F4380" s="3" t="s">
        <v>399</v>
      </c>
      <c r="I4380" s="3" t="s">
        <v>7798</v>
      </c>
    </row>
    <row r="4381" spans="2:9" hidden="1" x14ac:dyDescent="0.4">
      <c r="B4381" s="8" t="s">
        <v>518</v>
      </c>
      <c r="C4381" s="3" t="s">
        <v>6688</v>
      </c>
      <c r="D4381" s="3" t="s">
        <v>7179</v>
      </c>
      <c r="E4381" s="3" t="s">
        <v>7805</v>
      </c>
      <c r="F4381" s="3" t="s">
        <v>399</v>
      </c>
      <c r="I4381" s="3" t="s">
        <v>7798</v>
      </c>
    </row>
    <row r="4382" spans="2:9" hidden="1" x14ac:dyDescent="0.4">
      <c r="B4382" s="8" t="s">
        <v>517</v>
      </c>
      <c r="C4382" s="3" t="s">
        <v>6689</v>
      </c>
      <c r="D4382" s="3" t="s">
        <v>7185</v>
      </c>
      <c r="E4382" s="3" t="s">
        <v>7805</v>
      </c>
      <c r="F4382" s="3" t="s">
        <v>399</v>
      </c>
      <c r="I4382" s="3" t="s">
        <v>7798</v>
      </c>
    </row>
    <row r="4383" spans="2:9" hidden="1" x14ac:dyDescent="0.4">
      <c r="B4383" s="8" t="s">
        <v>517</v>
      </c>
      <c r="C4383" s="3" t="s">
        <v>6690</v>
      </c>
      <c r="D4383" s="3" t="s">
        <v>7184</v>
      </c>
      <c r="E4383" s="3" t="s">
        <v>7805</v>
      </c>
      <c r="F4383" s="3" t="s">
        <v>399</v>
      </c>
      <c r="I4383" s="3" t="s">
        <v>7798</v>
      </c>
    </row>
    <row r="4384" spans="2:9" hidden="1" x14ac:dyDescent="0.4">
      <c r="B4384" s="8" t="s">
        <v>532</v>
      </c>
      <c r="C4384" s="3" t="s">
        <v>6691</v>
      </c>
      <c r="D4384" s="3" t="s">
        <v>7175</v>
      </c>
      <c r="E4384" s="3" t="s">
        <v>7805</v>
      </c>
      <c r="F4384" s="3" t="s">
        <v>399</v>
      </c>
      <c r="I4384" s="3" t="s">
        <v>7798</v>
      </c>
    </row>
    <row r="4385" spans="2:9" hidden="1" x14ac:dyDescent="0.4">
      <c r="B4385" s="8" t="s">
        <v>520</v>
      </c>
      <c r="C4385" s="3" t="s">
        <v>6692</v>
      </c>
      <c r="D4385" s="3" t="s">
        <v>7176</v>
      </c>
      <c r="E4385" s="3" t="s">
        <v>7805</v>
      </c>
      <c r="F4385" s="3" t="s">
        <v>399</v>
      </c>
      <c r="I4385" s="3" t="s">
        <v>7798</v>
      </c>
    </row>
    <row r="4386" spans="2:9" ht="43.9" hidden="1" x14ac:dyDescent="0.4">
      <c r="B4386" s="8" t="s">
        <v>529</v>
      </c>
      <c r="C4386" s="3" t="s">
        <v>6693</v>
      </c>
      <c r="D4386" s="3" t="s">
        <v>7180</v>
      </c>
      <c r="E4386" s="3" t="s">
        <v>7805</v>
      </c>
      <c r="F4386" s="3" t="s">
        <v>399</v>
      </c>
      <c r="I4386" s="3" t="s">
        <v>7798</v>
      </c>
    </row>
    <row r="4387" spans="2:9" hidden="1" x14ac:dyDescent="0.4">
      <c r="B4387" s="8" t="s">
        <v>517</v>
      </c>
      <c r="C4387" s="3" t="s">
        <v>6694</v>
      </c>
      <c r="D4387" s="3" t="s">
        <v>7187</v>
      </c>
      <c r="F4387" s="3" t="s">
        <v>399</v>
      </c>
      <c r="I4387" s="3" t="s">
        <v>7798</v>
      </c>
    </row>
    <row r="4388" spans="2:9" hidden="1" x14ac:dyDescent="0.4">
      <c r="B4388" s="8" t="s">
        <v>517</v>
      </c>
      <c r="C4388" s="3" t="s">
        <v>6695</v>
      </c>
      <c r="D4388" s="3" t="s">
        <v>7188</v>
      </c>
      <c r="E4388" s="3" t="s">
        <v>7805</v>
      </c>
      <c r="F4388" s="3" t="s">
        <v>399</v>
      </c>
      <c r="I4388" s="3" t="s">
        <v>7798</v>
      </c>
    </row>
    <row r="4389" spans="2:9" hidden="1" x14ac:dyDescent="0.4">
      <c r="B4389" s="8" t="s">
        <v>520</v>
      </c>
      <c r="C4389" s="3" t="s">
        <v>6741</v>
      </c>
      <c r="D4389" s="3" t="s">
        <v>7189</v>
      </c>
      <c r="E4389" s="3" t="s">
        <v>7805</v>
      </c>
      <c r="F4389" s="3" t="s">
        <v>399</v>
      </c>
      <c r="I4389" s="3" t="s">
        <v>7798</v>
      </c>
    </row>
    <row r="4390" spans="2:9" hidden="1" x14ac:dyDescent="0.4">
      <c r="B4390" s="8" t="s">
        <v>520</v>
      </c>
      <c r="C4390" s="3" t="s">
        <v>6696</v>
      </c>
      <c r="D4390" s="3" t="s">
        <v>7190</v>
      </c>
      <c r="F4390" s="3" t="s">
        <v>399</v>
      </c>
      <c r="I4390" s="3" t="s">
        <v>7798</v>
      </c>
    </row>
    <row r="4391" spans="2:9" hidden="1" x14ac:dyDescent="0.4">
      <c r="B4391" s="8" t="s">
        <v>518</v>
      </c>
      <c r="C4391" s="3" t="s">
        <v>6697</v>
      </c>
      <c r="D4391" s="3" t="s">
        <v>7190</v>
      </c>
      <c r="F4391" s="3" t="s">
        <v>399</v>
      </c>
      <c r="I4391" s="3" t="s">
        <v>7798</v>
      </c>
    </row>
    <row r="4392" spans="2:9" hidden="1" x14ac:dyDescent="0.4">
      <c r="B4392" s="8" t="s">
        <v>518</v>
      </c>
      <c r="C4392" s="3" t="s">
        <v>6698</v>
      </c>
      <c r="D4392" s="3" t="s">
        <v>7190</v>
      </c>
      <c r="F4392" s="3" t="s">
        <v>399</v>
      </c>
      <c r="I4392" s="3" t="s">
        <v>7798</v>
      </c>
    </row>
    <row r="4393" spans="2:9" hidden="1" x14ac:dyDescent="0.4">
      <c r="B4393" s="8" t="s">
        <v>520</v>
      </c>
      <c r="C4393" s="3" t="s">
        <v>6699</v>
      </c>
      <c r="D4393" s="3" t="s">
        <v>7191</v>
      </c>
      <c r="F4393" s="3" t="s">
        <v>399</v>
      </c>
      <c r="I4393" s="3" t="s">
        <v>7798</v>
      </c>
    </row>
    <row r="4394" spans="2:9" hidden="1" x14ac:dyDescent="0.4">
      <c r="B4394" s="8" t="s">
        <v>520</v>
      </c>
      <c r="C4394" s="3" t="s">
        <v>6700</v>
      </c>
      <c r="D4394" s="3" t="s">
        <v>7191</v>
      </c>
      <c r="F4394" s="3" t="s">
        <v>399</v>
      </c>
      <c r="I4394" s="3" t="s">
        <v>7798</v>
      </c>
    </row>
    <row r="4395" spans="2:9" hidden="1" x14ac:dyDescent="0.4">
      <c r="B4395" s="8" t="s">
        <v>520</v>
      </c>
      <c r="C4395" s="3" t="s">
        <v>6701</v>
      </c>
      <c r="D4395" s="3" t="s">
        <v>7192</v>
      </c>
      <c r="F4395" s="3" t="s">
        <v>399</v>
      </c>
      <c r="I4395" s="3" t="s">
        <v>7798</v>
      </c>
    </row>
    <row r="4396" spans="2:9" hidden="1" x14ac:dyDescent="0.4">
      <c r="B4396" s="8" t="s">
        <v>517</v>
      </c>
      <c r="C4396" s="3" t="s">
        <v>6702</v>
      </c>
      <c r="D4396" s="3" t="s">
        <v>7192</v>
      </c>
      <c r="F4396" s="3" t="s">
        <v>399</v>
      </c>
      <c r="I4396" s="3" t="s">
        <v>7798</v>
      </c>
    </row>
    <row r="4397" spans="2:9" hidden="1" x14ac:dyDescent="0.4">
      <c r="B4397" s="8" t="s">
        <v>529</v>
      </c>
      <c r="C4397" s="3" t="s">
        <v>6703</v>
      </c>
      <c r="D4397" s="3" t="s">
        <v>7193</v>
      </c>
      <c r="E4397" s="3" t="s">
        <v>7805</v>
      </c>
      <c r="F4397" s="3" t="s">
        <v>399</v>
      </c>
      <c r="I4397" s="3" t="s">
        <v>7798</v>
      </c>
    </row>
    <row r="4398" spans="2:9" hidden="1" x14ac:dyDescent="0.4">
      <c r="B4398" s="8" t="s">
        <v>517</v>
      </c>
      <c r="C4398" s="3" t="s">
        <v>6704</v>
      </c>
      <c r="D4398" s="3" t="s">
        <v>7194</v>
      </c>
      <c r="E4398" s="3" t="s">
        <v>7805</v>
      </c>
      <c r="F4398" s="3" t="s">
        <v>399</v>
      </c>
      <c r="I4398" s="3" t="s">
        <v>7798</v>
      </c>
    </row>
    <row r="4399" spans="2:9" ht="29.25" hidden="1" x14ac:dyDescent="0.4">
      <c r="B4399" s="8" t="s">
        <v>532</v>
      </c>
      <c r="C4399" s="3" t="s">
        <v>6705</v>
      </c>
      <c r="D4399" s="3" t="s">
        <v>7195</v>
      </c>
      <c r="E4399" s="3" t="s">
        <v>7805</v>
      </c>
      <c r="F4399" s="3" t="s">
        <v>399</v>
      </c>
      <c r="I4399" s="3" t="s">
        <v>7798</v>
      </c>
    </row>
    <row r="4400" spans="2:9" hidden="1" x14ac:dyDescent="0.4">
      <c r="B4400" s="8" t="s">
        <v>529</v>
      </c>
      <c r="C4400" s="3" t="s">
        <v>6706</v>
      </c>
      <c r="D4400" s="3" t="s">
        <v>7196</v>
      </c>
      <c r="F4400" s="3" t="s">
        <v>399</v>
      </c>
      <c r="I4400" s="3" t="s">
        <v>7798</v>
      </c>
    </row>
    <row r="4401" spans="2:9" hidden="1" x14ac:dyDescent="0.4">
      <c r="B4401" s="8" t="s">
        <v>517</v>
      </c>
      <c r="C4401" s="3" t="s">
        <v>6707</v>
      </c>
      <c r="D4401" s="3" t="s">
        <v>7197</v>
      </c>
      <c r="F4401" s="3" t="s">
        <v>399</v>
      </c>
      <c r="I4401" s="3" t="s">
        <v>7798</v>
      </c>
    </row>
    <row r="4402" spans="2:9" hidden="1" x14ac:dyDescent="0.4">
      <c r="B4402" s="8" t="s">
        <v>517</v>
      </c>
      <c r="C4402" s="3" t="s">
        <v>6708</v>
      </c>
      <c r="D4402" s="3" t="s">
        <v>7198</v>
      </c>
      <c r="F4402" s="3" t="s">
        <v>399</v>
      </c>
      <c r="I4402" s="3" t="s">
        <v>7798</v>
      </c>
    </row>
    <row r="4403" spans="2:9" hidden="1" x14ac:dyDescent="0.4">
      <c r="B4403" s="8" t="s">
        <v>529</v>
      </c>
      <c r="C4403" s="3" t="s">
        <v>6709</v>
      </c>
      <c r="D4403" s="3" t="s">
        <v>7199</v>
      </c>
      <c r="F4403" s="3" t="s">
        <v>399</v>
      </c>
      <c r="I4403" s="3" t="s">
        <v>7798</v>
      </c>
    </row>
    <row r="4404" spans="2:9" hidden="1" x14ac:dyDescent="0.4">
      <c r="B4404" s="8" t="s">
        <v>529</v>
      </c>
      <c r="C4404" s="3" t="s">
        <v>6710</v>
      </c>
      <c r="D4404" s="3" t="s">
        <v>7199</v>
      </c>
      <c r="F4404" s="3" t="s">
        <v>399</v>
      </c>
      <c r="I4404" s="3" t="s">
        <v>7798</v>
      </c>
    </row>
    <row r="4405" spans="2:9" hidden="1" x14ac:dyDescent="0.4">
      <c r="B4405" s="8" t="s">
        <v>532</v>
      </c>
      <c r="C4405" s="3" t="s">
        <v>6711</v>
      </c>
      <c r="D4405" s="3" t="s">
        <v>7200</v>
      </c>
      <c r="F4405" s="3" t="s">
        <v>399</v>
      </c>
      <c r="I4405" s="3" t="s">
        <v>7798</v>
      </c>
    </row>
    <row r="4406" spans="2:9" hidden="1" x14ac:dyDescent="0.4">
      <c r="B4406" s="8" t="s">
        <v>518</v>
      </c>
      <c r="C4406" s="3" t="s">
        <v>6712</v>
      </c>
      <c r="D4406" s="3" t="s">
        <v>7201</v>
      </c>
      <c r="F4406" s="3" t="s">
        <v>399</v>
      </c>
      <c r="I4406" s="3" t="s">
        <v>7798</v>
      </c>
    </row>
    <row r="4407" spans="2:9" hidden="1" x14ac:dyDescent="0.4">
      <c r="B4407" s="8" t="s">
        <v>518</v>
      </c>
      <c r="C4407" s="3" t="s">
        <v>6713</v>
      </c>
      <c r="D4407" s="3" t="s">
        <v>7202</v>
      </c>
      <c r="F4407" s="3" t="s">
        <v>399</v>
      </c>
      <c r="I4407" s="3" t="s">
        <v>7798</v>
      </c>
    </row>
    <row r="4408" spans="2:9" hidden="1" x14ac:dyDescent="0.4">
      <c r="B4408" s="8" t="s">
        <v>517</v>
      </c>
      <c r="C4408" s="3" t="s">
        <v>6714</v>
      </c>
      <c r="D4408" s="3" t="s">
        <v>7203</v>
      </c>
      <c r="F4408" s="3" t="s">
        <v>399</v>
      </c>
      <c r="I4408" s="3" t="s">
        <v>7798</v>
      </c>
    </row>
    <row r="4409" spans="2:9" hidden="1" x14ac:dyDescent="0.4">
      <c r="B4409" s="8" t="s">
        <v>517</v>
      </c>
      <c r="C4409" s="3" t="s">
        <v>6715</v>
      </c>
      <c r="D4409" s="3" t="s">
        <v>7203</v>
      </c>
      <c r="F4409" s="3" t="s">
        <v>399</v>
      </c>
      <c r="I4409" s="3" t="s">
        <v>7798</v>
      </c>
    </row>
    <row r="4410" spans="2:9" hidden="1" x14ac:dyDescent="0.4">
      <c r="B4410" s="8" t="s">
        <v>517</v>
      </c>
      <c r="C4410" s="3" t="s">
        <v>6716</v>
      </c>
      <c r="D4410" s="3" t="s">
        <v>7204</v>
      </c>
      <c r="F4410" s="3" t="s">
        <v>399</v>
      </c>
      <c r="I4410" s="3" t="s">
        <v>7798</v>
      </c>
    </row>
    <row r="4411" spans="2:9" hidden="1" x14ac:dyDescent="0.4">
      <c r="B4411" s="8" t="s">
        <v>520</v>
      </c>
      <c r="C4411" s="3" t="s">
        <v>6717</v>
      </c>
      <c r="D4411" s="3" t="s">
        <v>7205</v>
      </c>
      <c r="F4411" s="3" t="s">
        <v>399</v>
      </c>
      <c r="I4411" s="3" t="s">
        <v>7798</v>
      </c>
    </row>
    <row r="4412" spans="2:9" hidden="1" x14ac:dyDescent="0.4">
      <c r="B4412" s="8" t="s">
        <v>520</v>
      </c>
      <c r="C4412" s="3" t="s">
        <v>6718</v>
      </c>
      <c r="D4412" s="3" t="s">
        <v>7206</v>
      </c>
      <c r="F4412" s="3" t="s">
        <v>399</v>
      </c>
      <c r="I4412" s="3" t="s">
        <v>7798</v>
      </c>
    </row>
    <row r="4413" spans="2:9" hidden="1" x14ac:dyDescent="0.4">
      <c r="B4413" s="8" t="s">
        <v>520</v>
      </c>
      <c r="C4413" s="3" t="s">
        <v>6719</v>
      </c>
      <c r="D4413" s="3" t="s">
        <v>7207</v>
      </c>
      <c r="F4413" s="3" t="s">
        <v>399</v>
      </c>
      <c r="I4413" s="3" t="s">
        <v>7798</v>
      </c>
    </row>
    <row r="4414" spans="2:9" hidden="1" x14ac:dyDescent="0.4">
      <c r="B4414" s="8" t="s">
        <v>518</v>
      </c>
      <c r="C4414" s="3" t="s">
        <v>6720</v>
      </c>
      <c r="D4414" s="3" t="s">
        <v>7207</v>
      </c>
      <c r="F4414" s="3" t="s">
        <v>399</v>
      </c>
      <c r="I4414" s="3" t="s">
        <v>7798</v>
      </c>
    </row>
    <row r="4415" spans="2:9" hidden="1" x14ac:dyDescent="0.4">
      <c r="B4415" s="8" t="s">
        <v>518</v>
      </c>
      <c r="C4415" s="3" t="s">
        <v>6721</v>
      </c>
      <c r="D4415" s="3" t="s">
        <v>7208</v>
      </c>
      <c r="F4415" s="3" t="s">
        <v>399</v>
      </c>
      <c r="I4415" s="3" t="s">
        <v>7798</v>
      </c>
    </row>
    <row r="4416" spans="2:9" hidden="1" x14ac:dyDescent="0.4">
      <c r="B4416" s="8" t="s">
        <v>517</v>
      </c>
      <c r="C4416" s="3" t="s">
        <v>6722</v>
      </c>
      <c r="D4416" s="3" t="s">
        <v>7209</v>
      </c>
      <c r="F4416" s="3" t="s">
        <v>399</v>
      </c>
      <c r="I4416" s="3" t="s">
        <v>7798</v>
      </c>
    </row>
    <row r="4417" spans="2:9" hidden="1" x14ac:dyDescent="0.4">
      <c r="B4417" s="8" t="s">
        <v>517</v>
      </c>
      <c r="C4417" s="3" t="s">
        <v>6723</v>
      </c>
      <c r="D4417" s="3" t="s">
        <v>7210</v>
      </c>
      <c r="F4417" s="3" t="s">
        <v>399</v>
      </c>
      <c r="I4417" s="3" t="s">
        <v>7798</v>
      </c>
    </row>
    <row r="4418" spans="2:9" hidden="1" x14ac:dyDescent="0.4">
      <c r="B4418" s="8" t="s">
        <v>517</v>
      </c>
      <c r="C4418" s="3" t="s">
        <v>6724</v>
      </c>
      <c r="D4418" s="3" t="s">
        <v>7211</v>
      </c>
      <c r="E4418" s="3" t="s">
        <v>7805</v>
      </c>
      <c r="F4418" s="3" t="s">
        <v>399</v>
      </c>
      <c r="I4418" s="3" t="s">
        <v>7798</v>
      </c>
    </row>
    <row r="4419" spans="2:9" hidden="1" x14ac:dyDescent="0.4">
      <c r="B4419" s="8" t="s">
        <v>517</v>
      </c>
      <c r="C4419" s="3" t="s">
        <v>6725</v>
      </c>
      <c r="D4419" s="3" t="s">
        <v>7212</v>
      </c>
      <c r="E4419" s="3" t="s">
        <v>7805</v>
      </c>
      <c r="F4419" s="3" t="s">
        <v>399</v>
      </c>
      <c r="I4419" s="3" t="s">
        <v>7798</v>
      </c>
    </row>
    <row r="4420" spans="2:9" hidden="1" x14ac:dyDescent="0.4">
      <c r="B4420" s="8" t="s">
        <v>517</v>
      </c>
      <c r="C4420" s="3" t="s">
        <v>6726</v>
      </c>
      <c r="D4420" s="3" t="s">
        <v>7213</v>
      </c>
      <c r="E4420" s="3" t="s">
        <v>7805</v>
      </c>
      <c r="F4420" s="3" t="s">
        <v>399</v>
      </c>
      <c r="I4420" s="3" t="s">
        <v>7798</v>
      </c>
    </row>
    <row r="4421" spans="2:9" hidden="1" x14ac:dyDescent="0.4">
      <c r="B4421" s="8" t="s">
        <v>517</v>
      </c>
      <c r="C4421" s="3" t="s">
        <v>6727</v>
      </c>
      <c r="D4421" s="3" t="s">
        <v>7214</v>
      </c>
      <c r="E4421" s="3" t="s">
        <v>7805</v>
      </c>
      <c r="F4421" s="3" t="s">
        <v>399</v>
      </c>
      <c r="I4421" s="3" t="s">
        <v>7798</v>
      </c>
    </row>
    <row r="4422" spans="2:9" hidden="1" x14ac:dyDescent="0.4">
      <c r="B4422" s="8" t="s">
        <v>517</v>
      </c>
      <c r="C4422" s="3" t="s">
        <v>6728</v>
      </c>
      <c r="D4422" s="3" t="s">
        <v>7215</v>
      </c>
      <c r="E4422" s="3" t="s">
        <v>7805</v>
      </c>
      <c r="F4422" s="3" t="s">
        <v>399</v>
      </c>
      <c r="I4422" s="3" t="s">
        <v>7798</v>
      </c>
    </row>
    <row r="4423" spans="2:9" hidden="1" x14ac:dyDescent="0.4">
      <c r="B4423" s="8" t="s">
        <v>517</v>
      </c>
      <c r="C4423" s="3" t="s">
        <v>6727</v>
      </c>
      <c r="D4423" s="3" t="s">
        <v>7216</v>
      </c>
      <c r="F4423" s="3" t="s">
        <v>399</v>
      </c>
      <c r="I4423" s="3" t="s">
        <v>7798</v>
      </c>
    </row>
    <row r="4424" spans="2:9" hidden="1" x14ac:dyDescent="0.4">
      <c r="B4424" s="8" t="s">
        <v>517</v>
      </c>
      <c r="C4424" s="3" t="s">
        <v>6728</v>
      </c>
      <c r="D4424" s="3" t="s">
        <v>7217</v>
      </c>
      <c r="F4424" s="3" t="s">
        <v>399</v>
      </c>
      <c r="I4424" s="3" t="s">
        <v>7798</v>
      </c>
    </row>
    <row r="4425" spans="2:9" hidden="1" x14ac:dyDescent="0.4">
      <c r="B4425" s="8" t="s">
        <v>536</v>
      </c>
      <c r="C4425" s="3" t="s">
        <v>6759</v>
      </c>
      <c r="D4425" s="3" t="s">
        <v>7201</v>
      </c>
      <c r="F4425" s="3" t="s">
        <v>1124</v>
      </c>
      <c r="I4425" s="3" t="s">
        <v>7798</v>
      </c>
    </row>
    <row r="4426" spans="2:9" hidden="1" x14ac:dyDescent="0.4">
      <c r="B4426" s="8" t="s">
        <v>536</v>
      </c>
      <c r="C4426" s="3" t="s">
        <v>7218</v>
      </c>
      <c r="D4426" s="3" t="s">
        <v>7216</v>
      </c>
      <c r="F4426" s="3" t="s">
        <v>1124</v>
      </c>
      <c r="I4426" s="3" t="s">
        <v>7798</v>
      </c>
    </row>
    <row r="4427" spans="2:9" hidden="1" x14ac:dyDescent="0.4">
      <c r="B4427" s="8" t="s">
        <v>536</v>
      </c>
      <c r="C4427" s="3" t="s">
        <v>6760</v>
      </c>
      <c r="D4427" s="3" t="s">
        <v>7219</v>
      </c>
      <c r="F4427" s="3" t="s">
        <v>1124</v>
      </c>
      <c r="I4427" s="3" t="s">
        <v>7798</v>
      </c>
    </row>
    <row r="4428" spans="2:9" hidden="1" x14ac:dyDescent="0.4">
      <c r="B4428" s="8" t="s">
        <v>518</v>
      </c>
      <c r="C4428" s="3" t="s">
        <v>6761</v>
      </c>
      <c r="D4428" s="3" t="s">
        <v>7222</v>
      </c>
      <c r="F4428" s="3" t="s">
        <v>403</v>
      </c>
      <c r="I4428" s="3" t="s">
        <v>7799</v>
      </c>
    </row>
    <row r="4429" spans="2:9" hidden="1" x14ac:dyDescent="0.4">
      <c r="B4429" s="8" t="s">
        <v>536</v>
      </c>
      <c r="C4429" s="3" t="s">
        <v>6763</v>
      </c>
      <c r="D4429" s="3" t="s">
        <v>7221</v>
      </c>
      <c r="F4429" s="3" t="s">
        <v>403</v>
      </c>
      <c r="I4429" s="3" t="s">
        <v>7799</v>
      </c>
    </row>
    <row r="4430" spans="2:9" hidden="1" x14ac:dyDescent="0.4">
      <c r="B4430" s="8" t="s">
        <v>520</v>
      </c>
      <c r="C4430" s="3" t="s">
        <v>6762</v>
      </c>
      <c r="D4430" s="3" t="s">
        <v>7224</v>
      </c>
      <c r="F4430" s="3" t="s">
        <v>403</v>
      </c>
      <c r="I4430" s="3" t="s">
        <v>7799</v>
      </c>
    </row>
    <row r="4431" spans="2:9" hidden="1" x14ac:dyDescent="0.4">
      <c r="B4431" s="8" t="s">
        <v>536</v>
      </c>
      <c r="C4431" s="3" t="s">
        <v>6764</v>
      </c>
      <c r="D4431" s="3" t="s">
        <v>7223</v>
      </c>
      <c r="F4431" s="3" t="s">
        <v>403</v>
      </c>
      <c r="I4431" s="3" t="s">
        <v>7799</v>
      </c>
    </row>
    <row r="4432" spans="2:9" hidden="1" x14ac:dyDescent="0.4">
      <c r="B4432" s="8" t="s">
        <v>518</v>
      </c>
      <c r="C4432" s="3" t="s">
        <v>6765</v>
      </c>
      <c r="D4432" s="3" t="s">
        <v>7225</v>
      </c>
      <c r="F4432" s="3" t="s">
        <v>403</v>
      </c>
      <c r="I4432" s="3" t="s">
        <v>7799</v>
      </c>
    </row>
    <row r="4433" spans="2:9" hidden="1" x14ac:dyDescent="0.4">
      <c r="B4433" s="8" t="s">
        <v>7220</v>
      </c>
      <c r="C4433" s="3" t="s">
        <v>6766</v>
      </c>
      <c r="D4433" s="3" t="s">
        <v>7226</v>
      </c>
      <c r="F4433" s="3" t="s">
        <v>399</v>
      </c>
      <c r="G4433" s="3" t="s">
        <v>1279</v>
      </c>
      <c r="I4433" s="3" t="s">
        <v>7800</v>
      </c>
    </row>
    <row r="4434" spans="2:9" hidden="1" x14ac:dyDescent="0.4">
      <c r="B4434" s="8" t="s">
        <v>518</v>
      </c>
      <c r="C4434" s="3" t="s">
        <v>6767</v>
      </c>
      <c r="D4434" s="3" t="s">
        <v>7227</v>
      </c>
      <c r="F4434" s="3" t="s">
        <v>399</v>
      </c>
      <c r="G4434" s="3" t="s">
        <v>1279</v>
      </c>
      <c r="I4434" s="3" t="s">
        <v>7800</v>
      </c>
    </row>
    <row r="4435" spans="2:9" hidden="1" x14ac:dyDescent="0.4">
      <c r="B4435" s="8" t="s">
        <v>518</v>
      </c>
      <c r="C4435" s="3" t="s">
        <v>6768</v>
      </c>
      <c r="D4435" s="3" t="s">
        <v>7228</v>
      </c>
      <c r="E4435" s="3" t="s">
        <v>7805</v>
      </c>
      <c r="F4435" s="3" t="s">
        <v>399</v>
      </c>
      <c r="G4435" s="3" t="s">
        <v>1279</v>
      </c>
      <c r="I4435" s="3" t="s">
        <v>7800</v>
      </c>
    </row>
    <row r="4436" spans="2:9" hidden="1" x14ac:dyDescent="0.4">
      <c r="B4436" s="8" t="s">
        <v>517</v>
      </c>
      <c r="C4436" s="3" t="s">
        <v>6769</v>
      </c>
      <c r="D4436" s="3" t="s">
        <v>7229</v>
      </c>
      <c r="F4436" s="3" t="s">
        <v>399</v>
      </c>
      <c r="G4436" s="3" t="s">
        <v>1279</v>
      </c>
      <c r="I4436" s="3" t="s">
        <v>7800</v>
      </c>
    </row>
    <row r="4437" spans="2:9" hidden="1" x14ac:dyDescent="0.4">
      <c r="B4437" s="8" t="s">
        <v>518</v>
      </c>
      <c r="C4437" s="3" t="s">
        <v>6770</v>
      </c>
      <c r="D4437" s="3" t="s">
        <v>7232</v>
      </c>
      <c r="F4437" s="3" t="s">
        <v>399</v>
      </c>
      <c r="G4437" s="3" t="s">
        <v>1279</v>
      </c>
      <c r="I4437" s="3" t="s">
        <v>7800</v>
      </c>
    </row>
    <row r="4438" spans="2:9" hidden="1" x14ac:dyDescent="0.4">
      <c r="B4438" s="8" t="s">
        <v>517</v>
      </c>
      <c r="C4438" s="3" t="s">
        <v>6771</v>
      </c>
      <c r="D4438" s="3" t="s">
        <v>7230</v>
      </c>
      <c r="F4438" s="3" t="s">
        <v>399</v>
      </c>
      <c r="G4438" s="3" t="s">
        <v>1279</v>
      </c>
      <c r="I4438" s="3" t="s">
        <v>7800</v>
      </c>
    </row>
    <row r="4439" spans="2:9" hidden="1" x14ac:dyDescent="0.4">
      <c r="B4439" s="8" t="s">
        <v>518</v>
      </c>
      <c r="C4439" s="3" t="s">
        <v>6772</v>
      </c>
      <c r="D4439" s="3" t="s">
        <v>7231</v>
      </c>
      <c r="F4439" s="3" t="s">
        <v>399</v>
      </c>
      <c r="I4439" s="3" t="s">
        <v>7800</v>
      </c>
    </row>
    <row r="4440" spans="2:9" hidden="1" x14ac:dyDescent="0.4">
      <c r="B4440" s="8" t="s">
        <v>518</v>
      </c>
      <c r="C4440" s="3" t="s">
        <v>6773</v>
      </c>
      <c r="D4440" s="3" t="s">
        <v>7233</v>
      </c>
      <c r="E4440" s="3" t="s">
        <v>7805</v>
      </c>
      <c r="F4440" s="3" t="s">
        <v>399</v>
      </c>
      <c r="I4440" s="3" t="s">
        <v>7800</v>
      </c>
    </row>
    <row r="4441" spans="2:9" hidden="1" x14ac:dyDescent="0.4">
      <c r="B4441" s="8" t="s">
        <v>518</v>
      </c>
      <c r="C4441" s="3" t="s">
        <v>6774</v>
      </c>
      <c r="D4441" s="3" t="s">
        <v>7234</v>
      </c>
      <c r="F4441" s="3" t="s">
        <v>399</v>
      </c>
      <c r="G4441" s="3" t="s">
        <v>1279</v>
      </c>
      <c r="I4441" s="3" t="s">
        <v>7800</v>
      </c>
    </row>
    <row r="4442" spans="2:9" hidden="1" x14ac:dyDescent="0.4">
      <c r="B4442" s="8" t="s">
        <v>518</v>
      </c>
      <c r="C4442" s="3" t="s">
        <v>6775</v>
      </c>
      <c r="D4442" s="3" t="s">
        <v>7235</v>
      </c>
      <c r="E4442" s="3" t="s">
        <v>7805</v>
      </c>
      <c r="F4442" s="3" t="s">
        <v>399</v>
      </c>
      <c r="I4442" s="3" t="s">
        <v>7800</v>
      </c>
    </row>
    <row r="4443" spans="2:9" hidden="1" x14ac:dyDescent="0.4">
      <c r="B4443" s="8" t="s">
        <v>518</v>
      </c>
      <c r="C4443" s="3" t="s">
        <v>6776</v>
      </c>
      <c r="D4443" s="3" t="s">
        <v>7236</v>
      </c>
      <c r="E4443" s="3" t="s">
        <v>7805</v>
      </c>
      <c r="F4443" s="3" t="s">
        <v>399</v>
      </c>
      <c r="I4443" s="3" t="s">
        <v>7800</v>
      </c>
    </row>
    <row r="4444" spans="2:9" hidden="1" x14ac:dyDescent="0.4">
      <c r="B4444" s="8" t="s">
        <v>518</v>
      </c>
      <c r="C4444" s="3" t="s">
        <v>6777</v>
      </c>
      <c r="D4444" s="3" t="s">
        <v>7237</v>
      </c>
      <c r="F4444" s="3" t="s">
        <v>399</v>
      </c>
      <c r="G4444" s="3" t="s">
        <v>1279</v>
      </c>
      <c r="I4444" s="3" t="s">
        <v>7800</v>
      </c>
    </row>
    <row r="4445" spans="2:9" hidden="1" x14ac:dyDescent="0.4">
      <c r="B4445" s="8" t="s">
        <v>517</v>
      </c>
      <c r="C4445" s="3" t="s">
        <v>6778</v>
      </c>
      <c r="D4445" s="3" t="s">
        <v>7238</v>
      </c>
      <c r="F4445" s="3" t="s">
        <v>399</v>
      </c>
      <c r="I4445" s="3" t="s">
        <v>7800</v>
      </c>
    </row>
    <row r="4446" spans="2:9" hidden="1" x14ac:dyDescent="0.4">
      <c r="B4446" s="8" t="s">
        <v>517</v>
      </c>
      <c r="C4446" s="3" t="s">
        <v>6779</v>
      </c>
      <c r="D4446" s="3" t="s">
        <v>7240</v>
      </c>
      <c r="F4446" s="3" t="s">
        <v>399</v>
      </c>
      <c r="I4446" s="3" t="s">
        <v>7800</v>
      </c>
    </row>
    <row r="4447" spans="2:9" hidden="1" x14ac:dyDescent="0.4">
      <c r="B4447" s="8" t="s">
        <v>517</v>
      </c>
      <c r="C4447" s="3" t="s">
        <v>6780</v>
      </c>
      <c r="D4447" s="3" t="s">
        <v>7239</v>
      </c>
      <c r="F4447" s="3" t="s">
        <v>399</v>
      </c>
      <c r="I4447" s="3" t="s">
        <v>7800</v>
      </c>
    </row>
    <row r="4448" spans="2:9" hidden="1" x14ac:dyDescent="0.4">
      <c r="B4448" s="8" t="s">
        <v>517</v>
      </c>
      <c r="C4448" s="3" t="s">
        <v>6781</v>
      </c>
      <c r="D4448" s="3" t="s">
        <v>7241</v>
      </c>
      <c r="F4448" s="3" t="s">
        <v>399</v>
      </c>
      <c r="G4448" s="3" t="s">
        <v>1279</v>
      </c>
      <c r="I4448" s="3" t="s">
        <v>7800</v>
      </c>
    </row>
    <row r="4449" spans="2:9" hidden="1" x14ac:dyDescent="0.4">
      <c r="B4449" s="8" t="s">
        <v>529</v>
      </c>
      <c r="C4449" s="3" t="s">
        <v>6782</v>
      </c>
      <c r="D4449" s="3" t="s">
        <v>7242</v>
      </c>
      <c r="F4449" s="3" t="s">
        <v>399</v>
      </c>
      <c r="I4449" s="3" t="s">
        <v>1335</v>
      </c>
    </row>
    <row r="4450" spans="2:9" hidden="1" x14ac:dyDescent="0.4">
      <c r="B4450" s="8" t="s">
        <v>517</v>
      </c>
      <c r="C4450" s="3" t="s">
        <v>6783</v>
      </c>
      <c r="D4450" s="3" t="s">
        <v>7243</v>
      </c>
      <c r="F4450" s="3" t="s">
        <v>399</v>
      </c>
      <c r="I4450" s="3" t="s">
        <v>1335</v>
      </c>
    </row>
    <row r="4451" spans="2:9" hidden="1" x14ac:dyDescent="0.4">
      <c r="B4451" s="8" t="s">
        <v>520</v>
      </c>
      <c r="C4451" s="3" t="s">
        <v>6784</v>
      </c>
      <c r="D4451" s="3" t="s">
        <v>7244</v>
      </c>
      <c r="F4451" s="3" t="s">
        <v>399</v>
      </c>
      <c r="I4451" s="3" t="s">
        <v>1335</v>
      </c>
    </row>
    <row r="4452" spans="2:9" hidden="1" x14ac:dyDescent="0.4">
      <c r="B4452" s="8" t="s">
        <v>517</v>
      </c>
      <c r="C4452" s="3" t="s">
        <v>6785</v>
      </c>
      <c r="D4452" s="3" t="s">
        <v>7245</v>
      </c>
      <c r="F4452" s="3" t="s">
        <v>399</v>
      </c>
      <c r="I4452" s="3" t="s">
        <v>1335</v>
      </c>
    </row>
    <row r="4453" spans="2:9" hidden="1" x14ac:dyDescent="0.4">
      <c r="B4453" s="8" t="s">
        <v>517</v>
      </c>
      <c r="C4453" s="3" t="s">
        <v>6786</v>
      </c>
      <c r="D4453" s="3" t="s">
        <v>7246</v>
      </c>
      <c r="F4453" s="3" t="s">
        <v>399</v>
      </c>
      <c r="I4453" s="3" t="s">
        <v>1335</v>
      </c>
    </row>
    <row r="4454" spans="2:9" hidden="1" x14ac:dyDescent="0.4">
      <c r="B4454" s="8" t="s">
        <v>517</v>
      </c>
      <c r="C4454" s="3" t="s">
        <v>6787</v>
      </c>
      <c r="D4454" s="3" t="s">
        <v>7247</v>
      </c>
      <c r="F4454" s="3" t="s">
        <v>399</v>
      </c>
      <c r="I4454" s="3" t="s">
        <v>1335</v>
      </c>
    </row>
    <row r="4455" spans="2:9" hidden="1" x14ac:dyDescent="0.4">
      <c r="B4455" s="8" t="s">
        <v>517</v>
      </c>
      <c r="C4455" s="3" t="s">
        <v>6788</v>
      </c>
      <c r="D4455" s="3" t="s">
        <v>4064</v>
      </c>
      <c r="F4455" s="3" t="s">
        <v>399</v>
      </c>
      <c r="I4455" s="3" t="s">
        <v>1335</v>
      </c>
    </row>
    <row r="4456" spans="2:9" hidden="1" x14ac:dyDescent="0.4">
      <c r="B4456" s="8" t="s">
        <v>532</v>
      </c>
      <c r="C4456" s="3" t="s">
        <v>6789</v>
      </c>
      <c r="D4456" s="3" t="s">
        <v>7248</v>
      </c>
      <c r="F4456" s="3" t="s">
        <v>399</v>
      </c>
      <c r="I4456" s="3" t="s">
        <v>1335</v>
      </c>
    </row>
    <row r="4457" spans="2:9" hidden="1" x14ac:dyDescent="0.4">
      <c r="B4457" s="8" t="s">
        <v>517</v>
      </c>
      <c r="C4457" s="3" t="s">
        <v>1313</v>
      </c>
      <c r="D4457" s="3" t="s">
        <v>7249</v>
      </c>
      <c r="F4457" s="3" t="s">
        <v>399</v>
      </c>
      <c r="I4457" s="3" t="s">
        <v>1335</v>
      </c>
    </row>
    <row r="4458" spans="2:9" hidden="1" x14ac:dyDescent="0.4">
      <c r="B4458" s="8" t="s">
        <v>7366</v>
      </c>
      <c r="C4458" s="3" t="s">
        <v>6790</v>
      </c>
      <c r="D4458" s="3" t="s">
        <v>7250</v>
      </c>
      <c r="F4458" s="3" t="s">
        <v>399</v>
      </c>
      <c r="I4458" s="3" t="s">
        <v>1335</v>
      </c>
    </row>
    <row r="4459" spans="2:9" hidden="1" x14ac:dyDescent="0.4">
      <c r="B4459" s="8" t="s">
        <v>517</v>
      </c>
      <c r="C4459" s="3" t="s">
        <v>6791</v>
      </c>
      <c r="D4459" s="3" t="s">
        <v>7251</v>
      </c>
      <c r="F4459" s="3" t="s">
        <v>399</v>
      </c>
      <c r="I4459" s="3" t="s">
        <v>1335</v>
      </c>
    </row>
    <row r="4460" spans="2:9" hidden="1" x14ac:dyDescent="0.4">
      <c r="B4460" s="8" t="s">
        <v>518</v>
      </c>
      <c r="C4460" s="3" t="s">
        <v>6792</v>
      </c>
      <c r="D4460" s="3" t="s">
        <v>7252</v>
      </c>
      <c r="F4460" s="3" t="s">
        <v>399</v>
      </c>
      <c r="G4460" s="3" t="s">
        <v>402</v>
      </c>
      <c r="I4460" s="3" t="s">
        <v>1335</v>
      </c>
    </row>
    <row r="4461" spans="2:9" hidden="1" x14ac:dyDescent="0.4">
      <c r="B4461" s="8" t="s">
        <v>518</v>
      </c>
      <c r="C4461" s="3" t="s">
        <v>6793</v>
      </c>
      <c r="D4461" s="3" t="s">
        <v>7252</v>
      </c>
      <c r="F4461" s="3" t="s">
        <v>402</v>
      </c>
      <c r="I4461" s="3" t="s">
        <v>245</v>
      </c>
    </row>
    <row r="4462" spans="2:9" hidden="1" x14ac:dyDescent="0.4">
      <c r="B4462" s="8" t="s">
        <v>518</v>
      </c>
      <c r="C4462" s="3" t="s">
        <v>6794</v>
      </c>
      <c r="D4462" s="3" t="s">
        <v>7253</v>
      </c>
      <c r="F4462" s="3" t="s">
        <v>399</v>
      </c>
      <c r="I4462" s="3" t="s">
        <v>1335</v>
      </c>
    </row>
    <row r="4463" spans="2:9" hidden="1" x14ac:dyDescent="0.4">
      <c r="B4463" s="8" t="s">
        <v>518</v>
      </c>
      <c r="C4463" s="3" t="s">
        <v>6795</v>
      </c>
      <c r="D4463" s="3" t="s">
        <v>7254</v>
      </c>
      <c r="F4463" s="3" t="s">
        <v>399</v>
      </c>
      <c r="I4463" s="3" t="s">
        <v>1335</v>
      </c>
    </row>
    <row r="4464" spans="2:9" hidden="1" x14ac:dyDescent="0.4">
      <c r="B4464" s="8" t="s">
        <v>532</v>
      </c>
      <c r="C4464" s="3" t="s">
        <v>6796</v>
      </c>
      <c r="D4464" s="3" t="s">
        <v>7255</v>
      </c>
      <c r="F4464" s="3" t="s">
        <v>399</v>
      </c>
      <c r="I4464" s="3" t="s">
        <v>1335</v>
      </c>
    </row>
    <row r="4465" spans="2:9" hidden="1" x14ac:dyDescent="0.4">
      <c r="B4465" s="8" t="s">
        <v>518</v>
      </c>
      <c r="C4465" s="3" t="s">
        <v>6797</v>
      </c>
      <c r="D4465" s="3" t="s">
        <v>7256</v>
      </c>
      <c r="F4465" s="3" t="s">
        <v>399</v>
      </c>
      <c r="I4465" s="3" t="s">
        <v>1335</v>
      </c>
    </row>
    <row r="4466" spans="2:9" hidden="1" x14ac:dyDescent="0.4">
      <c r="B4466" s="8" t="s">
        <v>517</v>
      </c>
      <c r="C4466" s="3" t="s">
        <v>6798</v>
      </c>
      <c r="D4466" s="3" t="s">
        <v>7257</v>
      </c>
      <c r="F4466" s="3" t="s">
        <v>399</v>
      </c>
      <c r="I4466" s="3" t="s">
        <v>1335</v>
      </c>
    </row>
    <row r="4467" spans="2:9" hidden="1" x14ac:dyDescent="0.4">
      <c r="B4467" s="8" t="s">
        <v>517</v>
      </c>
      <c r="C4467" s="3" t="s">
        <v>6799</v>
      </c>
      <c r="D4467" s="3" t="s">
        <v>7258</v>
      </c>
      <c r="F4467" s="3" t="s">
        <v>399</v>
      </c>
      <c r="I4467" s="3" t="s">
        <v>1335</v>
      </c>
    </row>
    <row r="4468" spans="2:9" hidden="1" x14ac:dyDescent="0.4">
      <c r="B4468" s="8" t="s">
        <v>517</v>
      </c>
      <c r="C4468" s="3" t="s">
        <v>6800</v>
      </c>
      <c r="D4468" s="3" t="s">
        <v>7259</v>
      </c>
      <c r="F4468" s="3" t="s">
        <v>399</v>
      </c>
      <c r="I4468" s="3" t="s">
        <v>1335</v>
      </c>
    </row>
    <row r="4469" spans="2:9" hidden="1" x14ac:dyDescent="0.4">
      <c r="B4469" s="8" t="s">
        <v>518</v>
      </c>
      <c r="C4469" s="3" t="s">
        <v>6801</v>
      </c>
      <c r="D4469" s="3" t="s">
        <v>7260</v>
      </c>
      <c r="F4469" s="3" t="s">
        <v>399</v>
      </c>
      <c r="I4469" s="3" t="s">
        <v>1335</v>
      </c>
    </row>
    <row r="4470" spans="2:9" hidden="1" x14ac:dyDescent="0.4">
      <c r="B4470" s="8" t="s">
        <v>518</v>
      </c>
      <c r="C4470" s="3" t="s">
        <v>6802</v>
      </c>
      <c r="D4470" s="3" t="s">
        <v>7260</v>
      </c>
      <c r="F4470" s="3" t="s">
        <v>399</v>
      </c>
      <c r="I4470" s="3" t="s">
        <v>1335</v>
      </c>
    </row>
    <row r="4471" spans="2:9" hidden="1" x14ac:dyDescent="0.4">
      <c r="B4471" s="8" t="s">
        <v>517</v>
      </c>
      <c r="C4471" s="3" t="s">
        <v>6803</v>
      </c>
      <c r="D4471" s="3" t="s">
        <v>7261</v>
      </c>
      <c r="F4471" s="3" t="s">
        <v>399</v>
      </c>
      <c r="I4471" s="3" t="s">
        <v>1335</v>
      </c>
    </row>
    <row r="4472" spans="2:9" hidden="1" x14ac:dyDescent="0.4">
      <c r="B4472" s="8" t="s">
        <v>517</v>
      </c>
      <c r="C4472" s="3" t="s">
        <v>6804</v>
      </c>
      <c r="D4472" s="3" t="s">
        <v>7262</v>
      </c>
      <c r="F4472" s="3" t="s">
        <v>399</v>
      </c>
      <c r="I4472" s="3" t="s">
        <v>1335</v>
      </c>
    </row>
    <row r="4473" spans="2:9" hidden="1" x14ac:dyDescent="0.4">
      <c r="B4473" s="8" t="s">
        <v>517</v>
      </c>
      <c r="C4473" s="3" t="s">
        <v>6805</v>
      </c>
      <c r="D4473" s="3" t="s">
        <v>7263</v>
      </c>
      <c r="F4473" s="3" t="s">
        <v>399</v>
      </c>
      <c r="I4473" s="3" t="s">
        <v>1335</v>
      </c>
    </row>
    <row r="4474" spans="2:9" hidden="1" x14ac:dyDescent="0.4">
      <c r="B4474" s="8" t="s">
        <v>517</v>
      </c>
      <c r="C4474" s="3" t="s">
        <v>6806</v>
      </c>
      <c r="D4474" s="3" t="s">
        <v>7264</v>
      </c>
      <c r="F4474" s="3" t="s">
        <v>399</v>
      </c>
      <c r="I4474" s="3" t="s">
        <v>1335</v>
      </c>
    </row>
    <row r="4475" spans="2:9" hidden="1" x14ac:dyDescent="0.4">
      <c r="B4475" s="8" t="s">
        <v>531</v>
      </c>
      <c r="C4475" s="3" t="s">
        <v>6807</v>
      </c>
      <c r="D4475" s="3" t="s">
        <v>7265</v>
      </c>
      <c r="F4475" s="3" t="s">
        <v>399</v>
      </c>
      <c r="I4475" s="3" t="s">
        <v>1335</v>
      </c>
    </row>
    <row r="4476" spans="2:9" hidden="1" x14ac:dyDescent="0.4">
      <c r="B4476" s="8" t="s">
        <v>529</v>
      </c>
      <c r="C4476" s="3" t="s">
        <v>6808</v>
      </c>
      <c r="D4476" s="3" t="s">
        <v>7266</v>
      </c>
      <c r="F4476" s="3" t="s">
        <v>399</v>
      </c>
      <c r="I4476" s="3" t="s">
        <v>1335</v>
      </c>
    </row>
    <row r="4477" spans="2:9" hidden="1" x14ac:dyDescent="0.4">
      <c r="B4477" s="8" t="s">
        <v>517</v>
      </c>
      <c r="C4477" s="3" t="s">
        <v>6809</v>
      </c>
      <c r="D4477" s="3" t="s">
        <v>7267</v>
      </c>
      <c r="F4477" s="3" t="s">
        <v>399</v>
      </c>
      <c r="I4477" s="3" t="s">
        <v>1335</v>
      </c>
    </row>
    <row r="4478" spans="2:9" hidden="1" x14ac:dyDescent="0.4">
      <c r="B4478" s="8" t="s">
        <v>517</v>
      </c>
      <c r="C4478" s="3" t="s">
        <v>6810</v>
      </c>
      <c r="D4478" s="3" t="s">
        <v>7268</v>
      </c>
      <c r="F4478" s="3" t="s">
        <v>399</v>
      </c>
      <c r="I4478" s="3" t="s">
        <v>1335</v>
      </c>
    </row>
    <row r="4479" spans="2:9" hidden="1" x14ac:dyDescent="0.4">
      <c r="B4479" s="8" t="s">
        <v>517</v>
      </c>
      <c r="C4479" s="3" t="s">
        <v>6811</v>
      </c>
      <c r="D4479" s="3" t="s">
        <v>7269</v>
      </c>
      <c r="F4479" s="3" t="s">
        <v>399</v>
      </c>
      <c r="I4479" s="3" t="s">
        <v>1335</v>
      </c>
    </row>
    <row r="4480" spans="2:9" hidden="1" x14ac:dyDescent="0.4">
      <c r="B4480" s="8" t="s">
        <v>517</v>
      </c>
      <c r="C4480" s="3" t="s">
        <v>6812</v>
      </c>
      <c r="D4480" s="3" t="s">
        <v>7270</v>
      </c>
      <c r="F4480" s="3" t="s">
        <v>399</v>
      </c>
      <c r="I4480" s="3" t="s">
        <v>1335</v>
      </c>
    </row>
    <row r="4481" spans="2:9" hidden="1" x14ac:dyDescent="0.4">
      <c r="B4481" s="8" t="s">
        <v>517</v>
      </c>
      <c r="C4481" s="3" t="s">
        <v>6813</v>
      </c>
      <c r="D4481" s="3" t="s">
        <v>7271</v>
      </c>
      <c r="F4481" s="3" t="s">
        <v>399</v>
      </c>
      <c r="G4481" s="3" t="s">
        <v>402</v>
      </c>
      <c r="I4481" s="3" t="s">
        <v>1335</v>
      </c>
    </row>
    <row r="4482" spans="2:9" hidden="1" x14ac:dyDescent="0.4">
      <c r="B4482" s="8" t="s">
        <v>536</v>
      </c>
      <c r="C4482" s="3" t="str">
        <f>"-odim"</f>
        <v>-odim</v>
      </c>
      <c r="D4482" s="3" t="s">
        <v>7271</v>
      </c>
      <c r="F4482" s="3" t="s">
        <v>1124</v>
      </c>
      <c r="I4482" s="3" t="s">
        <v>1335</v>
      </c>
    </row>
    <row r="4483" spans="2:9" hidden="1" x14ac:dyDescent="0.4">
      <c r="B4483" s="8" t="s">
        <v>517</v>
      </c>
      <c r="C4483" s="3" t="s">
        <v>6814</v>
      </c>
      <c r="D4483" s="3" t="s">
        <v>7272</v>
      </c>
      <c r="F4483" s="3" t="s">
        <v>399</v>
      </c>
      <c r="I4483" s="3" t="s">
        <v>1335</v>
      </c>
    </row>
    <row r="4484" spans="2:9" hidden="1" x14ac:dyDescent="0.4">
      <c r="B4484" s="8" t="s">
        <v>518</v>
      </c>
      <c r="C4484" s="3" t="s">
        <v>6815</v>
      </c>
      <c r="D4484" s="3" t="s">
        <v>7273</v>
      </c>
      <c r="F4484" s="3" t="s">
        <v>399</v>
      </c>
      <c r="I4484" s="3" t="s">
        <v>1335</v>
      </c>
    </row>
    <row r="4485" spans="2:9" hidden="1" x14ac:dyDescent="0.4">
      <c r="B4485" s="8" t="s">
        <v>517</v>
      </c>
      <c r="C4485" s="3" t="s">
        <v>6816</v>
      </c>
      <c r="D4485" s="3" t="s">
        <v>7274</v>
      </c>
      <c r="F4485" s="3" t="s">
        <v>399</v>
      </c>
      <c r="I4485" s="3" t="s">
        <v>1335</v>
      </c>
    </row>
    <row r="4486" spans="2:9" hidden="1" x14ac:dyDescent="0.4">
      <c r="B4486" s="8" t="s">
        <v>518</v>
      </c>
      <c r="C4486" s="3" t="s">
        <v>6817</v>
      </c>
      <c r="D4486" s="3" t="s">
        <v>7275</v>
      </c>
      <c r="F4486" s="3" t="s">
        <v>399</v>
      </c>
      <c r="G4486" s="3" t="s">
        <v>1279</v>
      </c>
      <c r="I4486" s="3" t="s">
        <v>1335</v>
      </c>
    </row>
    <row r="4487" spans="2:9" hidden="1" x14ac:dyDescent="0.4">
      <c r="B4487" s="8" t="s">
        <v>531</v>
      </c>
      <c r="C4487" s="3" t="s">
        <v>6818</v>
      </c>
      <c r="D4487" s="3" t="s">
        <v>7276</v>
      </c>
      <c r="F4487" s="3" t="s">
        <v>399</v>
      </c>
      <c r="G4487" s="3" t="s">
        <v>1279</v>
      </c>
      <c r="I4487" s="3" t="s">
        <v>1335</v>
      </c>
    </row>
    <row r="4488" spans="2:9" hidden="1" x14ac:dyDescent="0.4">
      <c r="B4488" s="8" t="s">
        <v>531</v>
      </c>
      <c r="C4488" s="3" t="s">
        <v>6819</v>
      </c>
      <c r="D4488" s="3" t="s">
        <v>7277</v>
      </c>
      <c r="F4488" s="3" t="s">
        <v>399</v>
      </c>
      <c r="G4488" s="3" t="s">
        <v>1279</v>
      </c>
      <c r="I4488" s="3" t="s">
        <v>1335</v>
      </c>
    </row>
    <row r="4489" spans="2:9" hidden="1" x14ac:dyDescent="0.4">
      <c r="B4489" s="8" t="s">
        <v>517</v>
      </c>
      <c r="C4489" s="3" t="s">
        <v>6820</v>
      </c>
      <c r="D4489" s="3" t="s">
        <v>7278</v>
      </c>
      <c r="F4489" s="3" t="s">
        <v>399</v>
      </c>
      <c r="I4489" s="3" t="s">
        <v>1335</v>
      </c>
    </row>
    <row r="4490" spans="2:9" hidden="1" x14ac:dyDescent="0.4">
      <c r="B4490" s="8" t="s">
        <v>517</v>
      </c>
      <c r="C4490" s="3" t="s">
        <v>6821</v>
      </c>
      <c r="D4490" s="3" t="s">
        <v>7279</v>
      </c>
      <c r="F4490" s="3" t="s">
        <v>399</v>
      </c>
      <c r="I4490" s="3" t="s">
        <v>1335</v>
      </c>
    </row>
    <row r="4491" spans="2:9" hidden="1" x14ac:dyDescent="0.4">
      <c r="B4491" s="8" t="s">
        <v>532</v>
      </c>
      <c r="C4491" s="3" t="s">
        <v>450</v>
      </c>
      <c r="D4491" s="3" t="s">
        <v>7802</v>
      </c>
      <c r="F4491" s="3" t="s">
        <v>399</v>
      </c>
      <c r="G4491" s="3" t="s">
        <v>1279</v>
      </c>
      <c r="I4491" s="3" t="s">
        <v>1335</v>
      </c>
    </row>
    <row r="4492" spans="2:9" hidden="1" x14ac:dyDescent="0.4">
      <c r="B4492" s="8" t="s">
        <v>517</v>
      </c>
      <c r="C4492" s="3" t="s">
        <v>6822</v>
      </c>
      <c r="D4492" s="3" t="s">
        <v>7280</v>
      </c>
      <c r="F4492" s="3" t="s">
        <v>399</v>
      </c>
      <c r="I4492" s="3" t="s">
        <v>1335</v>
      </c>
    </row>
    <row r="4493" spans="2:9" hidden="1" x14ac:dyDescent="0.4">
      <c r="B4493" s="8" t="s">
        <v>517</v>
      </c>
      <c r="C4493" s="3" t="s">
        <v>6823</v>
      </c>
      <c r="D4493" s="3" t="s">
        <v>7281</v>
      </c>
      <c r="F4493" s="3" t="s">
        <v>399</v>
      </c>
      <c r="I4493" s="3" t="s">
        <v>1335</v>
      </c>
    </row>
    <row r="4494" spans="2:9" hidden="1" x14ac:dyDescent="0.4">
      <c r="B4494" s="8" t="s">
        <v>517</v>
      </c>
      <c r="C4494" s="3" t="s">
        <v>6824</v>
      </c>
      <c r="D4494" s="3" t="s">
        <v>7282</v>
      </c>
      <c r="F4494" s="3" t="s">
        <v>399</v>
      </c>
      <c r="I4494" s="3" t="s">
        <v>1335</v>
      </c>
    </row>
    <row r="4495" spans="2:9" hidden="1" x14ac:dyDescent="0.4">
      <c r="B4495" s="8" t="s">
        <v>517</v>
      </c>
      <c r="C4495" s="3" t="s">
        <v>6825</v>
      </c>
      <c r="D4495" s="3" t="s">
        <v>7283</v>
      </c>
      <c r="F4495" s="3" t="s">
        <v>399</v>
      </c>
      <c r="I4495" s="3" t="s">
        <v>1335</v>
      </c>
    </row>
    <row r="4496" spans="2:9" hidden="1" x14ac:dyDescent="0.4">
      <c r="B4496" s="8" t="s">
        <v>536</v>
      </c>
      <c r="C4496" s="3" t="str">
        <f>"-jzmos"</f>
        <v>-jzmos</v>
      </c>
      <c r="D4496" s="3" t="s">
        <v>7284</v>
      </c>
      <c r="F4496" s="3" t="s">
        <v>1124</v>
      </c>
      <c r="I4496" s="3" t="s">
        <v>1335</v>
      </c>
    </row>
    <row r="4497" spans="2:9" hidden="1" x14ac:dyDescent="0.4">
      <c r="B4497" s="8" t="s">
        <v>536</v>
      </c>
      <c r="C4497" s="3" t="str">
        <f>"-ith"</f>
        <v>-ith</v>
      </c>
      <c r="D4497" s="3" t="s">
        <v>7283</v>
      </c>
      <c r="F4497" s="3" t="s">
        <v>1124</v>
      </c>
      <c r="I4497" s="3" t="s">
        <v>1335</v>
      </c>
    </row>
    <row r="4498" spans="2:9" hidden="1" x14ac:dyDescent="0.4">
      <c r="B4498" s="8" t="s">
        <v>531</v>
      </c>
      <c r="C4498" s="3" t="s">
        <v>6826</v>
      </c>
      <c r="D4498" s="3" t="s">
        <v>7284</v>
      </c>
      <c r="F4498" s="3" t="s">
        <v>399</v>
      </c>
      <c r="I4498" s="3" t="s">
        <v>1335</v>
      </c>
    </row>
    <row r="4499" spans="2:9" hidden="1" x14ac:dyDescent="0.4">
      <c r="B4499" s="8" t="s">
        <v>517</v>
      </c>
      <c r="C4499" s="3" t="s">
        <v>6827</v>
      </c>
      <c r="D4499" s="3" t="s">
        <v>7285</v>
      </c>
      <c r="F4499" s="3" t="s">
        <v>399</v>
      </c>
      <c r="I4499" s="3" t="s">
        <v>1335</v>
      </c>
    </row>
    <row r="4500" spans="2:9" hidden="1" x14ac:dyDescent="0.4">
      <c r="B4500" s="8" t="s">
        <v>517</v>
      </c>
      <c r="C4500" s="3" t="s">
        <v>6828</v>
      </c>
      <c r="D4500" s="3" t="s">
        <v>7286</v>
      </c>
      <c r="F4500" s="3" t="s">
        <v>399</v>
      </c>
      <c r="I4500" s="3" t="s">
        <v>1335</v>
      </c>
    </row>
    <row r="4501" spans="2:9" hidden="1" x14ac:dyDescent="0.4">
      <c r="B4501" s="8" t="s">
        <v>518</v>
      </c>
      <c r="C4501" s="3" t="s">
        <v>6829</v>
      </c>
      <c r="D4501" s="3" t="s">
        <v>7287</v>
      </c>
      <c r="F4501" s="3" t="s">
        <v>399</v>
      </c>
      <c r="I4501" s="3" t="s">
        <v>1335</v>
      </c>
    </row>
    <row r="4502" spans="2:9" hidden="1" x14ac:dyDescent="0.4">
      <c r="B4502" s="8" t="s">
        <v>536</v>
      </c>
      <c r="C4502" s="3" t="str">
        <f>"-tono"</f>
        <v>-tono</v>
      </c>
      <c r="D4502" s="3" t="s">
        <v>7287</v>
      </c>
      <c r="F4502" s="3" t="s">
        <v>1124</v>
      </c>
      <c r="I4502" s="3" t="s">
        <v>1335</v>
      </c>
    </row>
    <row r="4503" spans="2:9" hidden="1" x14ac:dyDescent="0.4">
      <c r="B4503" s="8" t="s">
        <v>517</v>
      </c>
      <c r="C4503" s="3" t="s">
        <v>6830</v>
      </c>
      <c r="D4503" s="3" t="s">
        <v>7288</v>
      </c>
      <c r="F4503" s="3" t="s">
        <v>399</v>
      </c>
      <c r="I4503" s="3" t="s">
        <v>1335</v>
      </c>
    </row>
    <row r="4504" spans="2:9" hidden="1" x14ac:dyDescent="0.4">
      <c r="B4504" s="8" t="s">
        <v>517</v>
      </c>
      <c r="C4504" s="3" t="s">
        <v>6831</v>
      </c>
      <c r="D4504" s="3" t="s">
        <v>7289</v>
      </c>
      <c r="F4504" s="3" t="s">
        <v>399</v>
      </c>
      <c r="G4504" s="3" t="s">
        <v>1279</v>
      </c>
      <c r="I4504" s="3" t="s">
        <v>1335</v>
      </c>
    </row>
    <row r="4505" spans="2:9" hidden="1" x14ac:dyDescent="0.4">
      <c r="B4505" s="8" t="s">
        <v>517</v>
      </c>
      <c r="C4505" s="3" t="s">
        <v>6832</v>
      </c>
      <c r="D4505" s="3" t="s">
        <v>7290</v>
      </c>
      <c r="F4505" s="3" t="s">
        <v>399</v>
      </c>
      <c r="G4505" s="3" t="s">
        <v>402</v>
      </c>
      <c r="I4505" s="3" t="s">
        <v>1335</v>
      </c>
    </row>
    <row r="4506" spans="2:9" hidden="1" x14ac:dyDescent="0.4">
      <c r="B4506" s="8" t="s">
        <v>517</v>
      </c>
      <c r="C4506" s="3" t="s">
        <v>6833</v>
      </c>
      <c r="D4506" s="3" t="s">
        <v>7291</v>
      </c>
      <c r="F4506" s="3" t="s">
        <v>399</v>
      </c>
      <c r="G4506" s="3" t="s">
        <v>402</v>
      </c>
      <c r="I4506" s="3" t="s">
        <v>1335</v>
      </c>
    </row>
    <row r="4507" spans="2:9" hidden="1" x14ac:dyDescent="0.4">
      <c r="B4507" s="8" t="s">
        <v>517</v>
      </c>
      <c r="C4507" s="3" t="s">
        <v>6834</v>
      </c>
      <c r="D4507" s="3" t="s">
        <v>1728</v>
      </c>
      <c r="F4507" s="3" t="s">
        <v>399</v>
      </c>
      <c r="I4507" s="3" t="s">
        <v>1335</v>
      </c>
    </row>
    <row r="4508" spans="2:9" hidden="1" x14ac:dyDescent="0.4">
      <c r="B4508" s="8" t="s">
        <v>517</v>
      </c>
      <c r="C4508" s="3" t="s">
        <v>6835</v>
      </c>
      <c r="D4508" s="3" t="s">
        <v>7292</v>
      </c>
      <c r="F4508" s="3" t="s">
        <v>399</v>
      </c>
      <c r="I4508" s="3" t="s">
        <v>1335</v>
      </c>
    </row>
    <row r="4509" spans="2:9" hidden="1" x14ac:dyDescent="0.4">
      <c r="B4509" s="8" t="s">
        <v>529</v>
      </c>
      <c r="C4509" s="3" t="s">
        <v>6836</v>
      </c>
      <c r="D4509" s="3" t="s">
        <v>7293</v>
      </c>
      <c r="F4509" s="3" t="s">
        <v>399</v>
      </c>
      <c r="I4509" s="3" t="s">
        <v>1335</v>
      </c>
    </row>
    <row r="4510" spans="2:9" hidden="1" x14ac:dyDescent="0.4">
      <c r="B4510" s="8" t="s">
        <v>517</v>
      </c>
      <c r="C4510" s="3" t="s">
        <v>6837</v>
      </c>
      <c r="D4510" s="3" t="s">
        <v>7294</v>
      </c>
      <c r="F4510" s="3" t="s">
        <v>399</v>
      </c>
      <c r="I4510" s="3" t="s">
        <v>1335</v>
      </c>
    </row>
    <row r="4511" spans="2:9" hidden="1" x14ac:dyDescent="0.4">
      <c r="B4511" s="8" t="s">
        <v>517</v>
      </c>
      <c r="C4511" s="3" t="s">
        <v>6838</v>
      </c>
      <c r="D4511" s="3" t="s">
        <v>7295</v>
      </c>
      <c r="F4511" s="3" t="s">
        <v>399</v>
      </c>
      <c r="I4511" s="3" t="s">
        <v>1335</v>
      </c>
    </row>
    <row r="4512" spans="2:9" hidden="1" x14ac:dyDescent="0.4">
      <c r="B4512" s="8" t="s">
        <v>517</v>
      </c>
      <c r="C4512" s="3" t="s">
        <v>6839</v>
      </c>
      <c r="D4512" s="3" t="s">
        <v>7296</v>
      </c>
      <c r="F4512" s="3" t="s">
        <v>399</v>
      </c>
      <c r="I4512" s="3" t="s">
        <v>1335</v>
      </c>
    </row>
    <row r="4513" spans="2:9" hidden="1" x14ac:dyDescent="0.4">
      <c r="B4513" s="8" t="s">
        <v>517</v>
      </c>
      <c r="C4513" s="3" t="s">
        <v>6840</v>
      </c>
      <c r="D4513" s="3" t="s">
        <v>7297</v>
      </c>
      <c r="F4513" s="3" t="s">
        <v>399</v>
      </c>
      <c r="I4513" s="3" t="s">
        <v>1335</v>
      </c>
    </row>
    <row r="4514" spans="2:9" hidden="1" x14ac:dyDescent="0.4">
      <c r="B4514" s="8" t="s">
        <v>517</v>
      </c>
      <c r="C4514" s="3" t="s">
        <v>6841</v>
      </c>
      <c r="D4514" s="3" t="s">
        <v>7298</v>
      </c>
      <c r="F4514" s="3" t="s">
        <v>399</v>
      </c>
      <c r="I4514" s="3" t="s">
        <v>1335</v>
      </c>
    </row>
    <row r="4515" spans="2:9" hidden="1" x14ac:dyDescent="0.4">
      <c r="B4515" s="8" t="s">
        <v>520</v>
      </c>
      <c r="C4515" s="3" t="s">
        <v>6842</v>
      </c>
      <c r="D4515" s="3" t="s">
        <v>7299</v>
      </c>
      <c r="F4515" s="3" t="s">
        <v>399</v>
      </c>
      <c r="I4515" s="3" t="s">
        <v>1335</v>
      </c>
    </row>
    <row r="4516" spans="2:9" hidden="1" x14ac:dyDescent="0.4">
      <c r="B4516" s="8" t="s">
        <v>517</v>
      </c>
      <c r="C4516" s="3" t="s">
        <v>6843</v>
      </c>
      <c r="D4516" s="3" t="s">
        <v>7300</v>
      </c>
      <c r="F4516" s="3" t="s">
        <v>399</v>
      </c>
      <c r="I4516" s="3" t="s">
        <v>1335</v>
      </c>
    </row>
    <row r="4517" spans="2:9" hidden="1" x14ac:dyDescent="0.4">
      <c r="B4517" s="8" t="s">
        <v>517</v>
      </c>
      <c r="C4517" s="3" t="s">
        <v>6844</v>
      </c>
      <c r="D4517" s="3" t="s">
        <v>7301</v>
      </c>
      <c r="F4517" s="3" t="s">
        <v>399</v>
      </c>
      <c r="I4517" s="3" t="s">
        <v>1335</v>
      </c>
    </row>
    <row r="4518" spans="2:9" hidden="1" x14ac:dyDescent="0.4">
      <c r="B4518" s="8" t="s">
        <v>517</v>
      </c>
      <c r="C4518" s="3" t="s">
        <v>6845</v>
      </c>
      <c r="D4518" s="3" t="s">
        <v>1968</v>
      </c>
      <c r="F4518" s="3" t="s">
        <v>399</v>
      </c>
      <c r="I4518" s="3" t="s">
        <v>1335</v>
      </c>
    </row>
    <row r="4519" spans="2:9" hidden="1" x14ac:dyDescent="0.4">
      <c r="B4519" s="8" t="s">
        <v>517</v>
      </c>
      <c r="C4519" s="3" t="s">
        <v>6846</v>
      </c>
      <c r="D4519" s="3" t="s">
        <v>7302</v>
      </c>
      <c r="F4519" s="3" t="s">
        <v>399</v>
      </c>
      <c r="I4519" s="3" t="s">
        <v>1335</v>
      </c>
    </row>
    <row r="4520" spans="2:9" hidden="1" x14ac:dyDescent="0.4">
      <c r="B4520" s="8" t="s">
        <v>517</v>
      </c>
      <c r="C4520" s="3" t="s">
        <v>6847</v>
      </c>
      <c r="D4520" s="3" t="s">
        <v>7303</v>
      </c>
      <c r="F4520" s="3" t="s">
        <v>399</v>
      </c>
      <c r="I4520" s="3" t="s">
        <v>1335</v>
      </c>
    </row>
    <row r="4521" spans="2:9" hidden="1" x14ac:dyDescent="0.4">
      <c r="B4521" s="8" t="s">
        <v>517</v>
      </c>
      <c r="C4521" s="3" t="s">
        <v>6848</v>
      </c>
      <c r="D4521" s="3" t="s">
        <v>7304</v>
      </c>
      <c r="F4521" s="3" t="s">
        <v>402</v>
      </c>
      <c r="I4521" s="3" t="s">
        <v>245</v>
      </c>
    </row>
    <row r="4522" spans="2:9" hidden="1" x14ac:dyDescent="0.4">
      <c r="B4522" s="8" t="s">
        <v>518</v>
      </c>
      <c r="C4522" s="3" t="s">
        <v>6849</v>
      </c>
      <c r="D4522" s="3" t="s">
        <v>7305</v>
      </c>
      <c r="F4522" s="3" t="s">
        <v>399</v>
      </c>
      <c r="I4522" s="3" t="s">
        <v>1335</v>
      </c>
    </row>
    <row r="4523" spans="2:9" hidden="1" x14ac:dyDescent="0.4">
      <c r="B4523" s="8" t="s">
        <v>518</v>
      </c>
      <c r="C4523" s="3" t="s">
        <v>6850</v>
      </c>
      <c r="D4523" s="3" t="s">
        <v>7306</v>
      </c>
      <c r="F4523" s="3" t="s">
        <v>399</v>
      </c>
      <c r="I4523" s="3" t="s">
        <v>1335</v>
      </c>
    </row>
    <row r="4524" spans="2:9" hidden="1" x14ac:dyDescent="0.4">
      <c r="B4524" s="8" t="s">
        <v>517</v>
      </c>
      <c r="C4524" s="3" t="s">
        <v>6851</v>
      </c>
      <c r="D4524" s="3" t="s">
        <v>7307</v>
      </c>
      <c r="F4524" s="3" t="s">
        <v>399</v>
      </c>
      <c r="I4524" s="3" t="s">
        <v>1335</v>
      </c>
    </row>
    <row r="4525" spans="2:9" hidden="1" x14ac:dyDescent="0.4">
      <c r="B4525" s="8" t="s">
        <v>517</v>
      </c>
      <c r="C4525" s="3" t="s">
        <v>6852</v>
      </c>
      <c r="D4525" s="3" t="s">
        <v>7308</v>
      </c>
      <c r="F4525" s="3" t="s">
        <v>399</v>
      </c>
      <c r="G4525" s="3" t="s">
        <v>1279</v>
      </c>
      <c r="H4525" s="3" t="s">
        <v>402</v>
      </c>
      <c r="I4525" s="3" t="s">
        <v>1335</v>
      </c>
    </row>
    <row r="4526" spans="2:9" hidden="1" x14ac:dyDescent="0.4">
      <c r="B4526" s="8" t="s">
        <v>518</v>
      </c>
      <c r="C4526" s="3" t="s">
        <v>6853</v>
      </c>
      <c r="D4526" s="3" t="s">
        <v>7803</v>
      </c>
      <c r="F4526" s="3" t="s">
        <v>399</v>
      </c>
      <c r="G4526" s="3" t="s">
        <v>1279</v>
      </c>
      <c r="I4526" s="3" t="s">
        <v>1335</v>
      </c>
    </row>
    <row r="4527" spans="2:9" hidden="1" x14ac:dyDescent="0.4">
      <c r="B4527" s="8" t="s">
        <v>517</v>
      </c>
      <c r="C4527" s="3" t="s">
        <v>6854</v>
      </c>
      <c r="D4527" s="3" t="s">
        <v>7309</v>
      </c>
      <c r="F4527" s="3" t="s">
        <v>399</v>
      </c>
      <c r="G4527" s="3" t="s">
        <v>402</v>
      </c>
      <c r="I4527" s="3" t="s">
        <v>1335</v>
      </c>
    </row>
    <row r="4528" spans="2:9" hidden="1" x14ac:dyDescent="0.4">
      <c r="B4528" s="8" t="s">
        <v>517</v>
      </c>
      <c r="C4528" s="3" t="s">
        <v>6855</v>
      </c>
      <c r="D4528" s="3" t="s">
        <v>7310</v>
      </c>
      <c r="F4528" s="3" t="s">
        <v>399</v>
      </c>
      <c r="I4528" s="3" t="s">
        <v>1335</v>
      </c>
    </row>
    <row r="4529" spans="2:9" hidden="1" x14ac:dyDescent="0.4">
      <c r="B4529" s="8" t="s">
        <v>517</v>
      </c>
      <c r="C4529" s="3" t="s">
        <v>6856</v>
      </c>
      <c r="D4529" s="3" t="s">
        <v>7311</v>
      </c>
      <c r="F4529" s="3" t="s">
        <v>399</v>
      </c>
      <c r="I4529" s="3" t="s">
        <v>1335</v>
      </c>
    </row>
    <row r="4530" spans="2:9" hidden="1" x14ac:dyDescent="0.4">
      <c r="B4530" s="8" t="s">
        <v>517</v>
      </c>
      <c r="C4530" s="3" t="s">
        <v>6857</v>
      </c>
      <c r="D4530" s="3" t="s">
        <v>7312</v>
      </c>
      <c r="F4530" s="3" t="s">
        <v>399</v>
      </c>
      <c r="I4530" s="3" t="s">
        <v>1335</v>
      </c>
    </row>
    <row r="4531" spans="2:9" hidden="1" x14ac:dyDescent="0.4">
      <c r="B4531" s="8" t="s">
        <v>517</v>
      </c>
      <c r="C4531" s="3" t="s">
        <v>6858</v>
      </c>
      <c r="D4531" s="3" t="s">
        <v>7313</v>
      </c>
      <c r="F4531" s="3" t="s">
        <v>399</v>
      </c>
      <c r="I4531" s="3" t="s">
        <v>1335</v>
      </c>
    </row>
    <row r="4532" spans="2:9" hidden="1" x14ac:dyDescent="0.4">
      <c r="B4532" s="8" t="s">
        <v>518</v>
      </c>
      <c r="C4532" s="3" t="s">
        <v>6859</v>
      </c>
      <c r="D4532" s="3" t="s">
        <v>7314</v>
      </c>
      <c r="F4532" s="3" t="s">
        <v>399</v>
      </c>
      <c r="I4532" s="3" t="s">
        <v>1335</v>
      </c>
    </row>
    <row r="4533" spans="2:9" hidden="1" x14ac:dyDescent="0.4">
      <c r="B4533" s="8" t="s">
        <v>518</v>
      </c>
      <c r="C4533" s="3" t="s">
        <v>6860</v>
      </c>
      <c r="D4533" s="3" t="s">
        <v>7315</v>
      </c>
      <c r="F4533" s="3" t="s">
        <v>399</v>
      </c>
      <c r="I4533" s="3" t="s">
        <v>1335</v>
      </c>
    </row>
    <row r="4534" spans="2:9" hidden="1" x14ac:dyDescent="0.4">
      <c r="B4534" s="8" t="s">
        <v>517</v>
      </c>
      <c r="C4534" s="3" t="s">
        <v>6861</v>
      </c>
      <c r="D4534" s="3" t="s">
        <v>7316</v>
      </c>
      <c r="F4534" s="3" t="s">
        <v>399</v>
      </c>
      <c r="I4534" s="3" t="s">
        <v>1335</v>
      </c>
    </row>
    <row r="4535" spans="2:9" hidden="1" x14ac:dyDescent="0.4">
      <c r="B4535" s="8" t="s">
        <v>517</v>
      </c>
      <c r="C4535" s="3" t="s">
        <v>6862</v>
      </c>
      <c r="D4535" s="3" t="s">
        <v>7317</v>
      </c>
      <c r="F4535" s="3" t="s">
        <v>399</v>
      </c>
      <c r="I4535" s="3" t="s">
        <v>1335</v>
      </c>
    </row>
    <row r="4536" spans="2:9" hidden="1" x14ac:dyDescent="0.4">
      <c r="B4536" s="8" t="s">
        <v>517</v>
      </c>
      <c r="C4536" s="3" t="s">
        <v>6863</v>
      </c>
      <c r="D4536" s="3" t="s">
        <v>7318</v>
      </c>
      <c r="F4536" s="3" t="s">
        <v>399</v>
      </c>
      <c r="I4536" s="3" t="s">
        <v>1335</v>
      </c>
    </row>
    <row r="4537" spans="2:9" hidden="1" x14ac:dyDescent="0.4">
      <c r="B4537" s="8" t="s">
        <v>518</v>
      </c>
      <c r="C4537" s="3" t="s">
        <v>6864</v>
      </c>
      <c r="D4537" s="3" t="s">
        <v>7319</v>
      </c>
      <c r="F4537" s="3" t="s">
        <v>399</v>
      </c>
      <c r="I4537" s="3" t="s">
        <v>1335</v>
      </c>
    </row>
    <row r="4538" spans="2:9" hidden="1" x14ac:dyDescent="0.4">
      <c r="B4538" s="8" t="s">
        <v>517</v>
      </c>
      <c r="C4538" s="3" t="s">
        <v>6865</v>
      </c>
      <c r="D4538" s="3" t="s">
        <v>7320</v>
      </c>
      <c r="F4538" s="3" t="s">
        <v>399</v>
      </c>
      <c r="G4538" s="3" t="s">
        <v>402</v>
      </c>
      <c r="I4538" s="3" t="s">
        <v>1335</v>
      </c>
    </row>
    <row r="4539" spans="2:9" hidden="1" x14ac:dyDescent="0.4">
      <c r="B4539" s="8" t="s">
        <v>517</v>
      </c>
      <c r="C4539" s="3" t="s">
        <v>6866</v>
      </c>
      <c r="D4539" s="3" t="s">
        <v>7320</v>
      </c>
      <c r="F4539" s="3" t="s">
        <v>399</v>
      </c>
      <c r="G4539" s="3" t="s">
        <v>402</v>
      </c>
      <c r="I4539" s="3" t="s">
        <v>1335</v>
      </c>
    </row>
    <row r="4540" spans="2:9" hidden="1" x14ac:dyDescent="0.4">
      <c r="B4540" s="8" t="s">
        <v>517</v>
      </c>
      <c r="C4540" s="3" t="s">
        <v>6867</v>
      </c>
      <c r="D4540" s="3" t="s">
        <v>7320</v>
      </c>
      <c r="F4540" s="3" t="s">
        <v>399</v>
      </c>
      <c r="G4540" s="3" t="s">
        <v>402</v>
      </c>
      <c r="I4540" s="3" t="s">
        <v>1335</v>
      </c>
    </row>
    <row r="4541" spans="2:9" hidden="1" x14ac:dyDescent="0.4">
      <c r="B4541" s="8" t="s">
        <v>517</v>
      </c>
      <c r="C4541" s="3" t="s">
        <v>6868</v>
      </c>
      <c r="D4541" s="3" t="s">
        <v>7321</v>
      </c>
      <c r="F4541" s="3" t="s">
        <v>399</v>
      </c>
      <c r="I4541" s="3" t="s">
        <v>1335</v>
      </c>
    </row>
    <row r="4542" spans="2:9" hidden="1" x14ac:dyDescent="0.4">
      <c r="B4542" s="8" t="s">
        <v>517</v>
      </c>
      <c r="C4542" s="3" t="s">
        <v>6869</v>
      </c>
      <c r="D4542" s="3" t="s">
        <v>7322</v>
      </c>
      <c r="F4542" s="3" t="s">
        <v>399</v>
      </c>
      <c r="I4542" s="3" t="s">
        <v>1335</v>
      </c>
    </row>
    <row r="4543" spans="2:9" hidden="1" x14ac:dyDescent="0.4">
      <c r="B4543" s="8" t="s">
        <v>517</v>
      </c>
      <c r="C4543" s="3" t="s">
        <v>6870</v>
      </c>
      <c r="D4543" s="3" t="s">
        <v>7323</v>
      </c>
      <c r="F4543" s="3" t="s">
        <v>399</v>
      </c>
      <c r="I4543" s="3" t="s">
        <v>1335</v>
      </c>
    </row>
    <row r="4544" spans="2:9" hidden="1" x14ac:dyDescent="0.4">
      <c r="B4544" s="8" t="s">
        <v>517</v>
      </c>
      <c r="C4544" s="3" t="s">
        <v>6871</v>
      </c>
      <c r="D4544" s="3" t="s">
        <v>7324</v>
      </c>
      <c r="F4544" s="3" t="s">
        <v>399</v>
      </c>
      <c r="I4544" s="3" t="s">
        <v>1335</v>
      </c>
    </row>
    <row r="4545" spans="2:9" hidden="1" x14ac:dyDescent="0.4">
      <c r="B4545" s="8" t="s">
        <v>517</v>
      </c>
      <c r="C4545" s="3" t="s">
        <v>6872</v>
      </c>
      <c r="D4545" s="3" t="s">
        <v>7325</v>
      </c>
      <c r="F4545" s="3" t="s">
        <v>399</v>
      </c>
      <c r="G4545" s="3" t="s">
        <v>1279</v>
      </c>
      <c r="I4545" s="3" t="s">
        <v>1335</v>
      </c>
    </row>
    <row r="4546" spans="2:9" hidden="1" x14ac:dyDescent="0.4">
      <c r="B4546" s="8" t="s">
        <v>529</v>
      </c>
      <c r="C4546" s="3" t="s">
        <v>6873</v>
      </c>
      <c r="D4546" s="3" t="s">
        <v>7326</v>
      </c>
      <c r="F4546" s="3" t="s">
        <v>399</v>
      </c>
      <c r="I4546" s="3" t="s">
        <v>1335</v>
      </c>
    </row>
    <row r="4547" spans="2:9" hidden="1" x14ac:dyDescent="0.4">
      <c r="B4547" s="8" t="s">
        <v>517</v>
      </c>
      <c r="C4547" s="3" t="s">
        <v>6874</v>
      </c>
      <c r="D4547" s="3" t="s">
        <v>7327</v>
      </c>
      <c r="F4547" s="3" t="s">
        <v>399</v>
      </c>
      <c r="I4547" s="3" t="s">
        <v>1335</v>
      </c>
    </row>
    <row r="4548" spans="2:9" hidden="1" x14ac:dyDescent="0.4">
      <c r="B4548" s="8" t="s">
        <v>517</v>
      </c>
      <c r="C4548" s="3" t="s">
        <v>6875</v>
      </c>
      <c r="D4548" s="3" t="s">
        <v>7328</v>
      </c>
      <c r="F4548" s="3" t="s">
        <v>399</v>
      </c>
      <c r="I4548" s="3" t="s">
        <v>1335</v>
      </c>
    </row>
    <row r="4549" spans="2:9" hidden="1" x14ac:dyDescent="0.4">
      <c r="B4549" s="8" t="s">
        <v>518</v>
      </c>
      <c r="C4549" s="3" t="s">
        <v>6876</v>
      </c>
      <c r="D4549" s="3" t="s">
        <v>7329</v>
      </c>
      <c r="F4549" s="3" t="s">
        <v>399</v>
      </c>
      <c r="I4549" s="3" t="s">
        <v>1335</v>
      </c>
    </row>
    <row r="4550" spans="2:9" hidden="1" x14ac:dyDescent="0.4">
      <c r="B4550" s="8" t="s">
        <v>517</v>
      </c>
      <c r="C4550" s="3" t="s">
        <v>6877</v>
      </c>
      <c r="D4550" s="3" t="s">
        <v>7330</v>
      </c>
      <c r="F4550" s="3" t="s">
        <v>399</v>
      </c>
      <c r="I4550" s="3" t="s">
        <v>1335</v>
      </c>
    </row>
    <row r="4551" spans="2:9" hidden="1" x14ac:dyDescent="0.4">
      <c r="B4551" s="8" t="s">
        <v>520</v>
      </c>
      <c r="C4551" s="3" t="s">
        <v>6878</v>
      </c>
      <c r="D4551" s="3" t="s">
        <v>7331</v>
      </c>
      <c r="F4551" s="3" t="s">
        <v>399</v>
      </c>
      <c r="I4551" s="3" t="s">
        <v>1335</v>
      </c>
    </row>
    <row r="4552" spans="2:9" hidden="1" x14ac:dyDescent="0.4">
      <c r="B4552" s="8" t="s">
        <v>517</v>
      </c>
      <c r="C4552" s="3" t="s">
        <v>6879</v>
      </c>
      <c r="D4552" s="3" t="s">
        <v>7332</v>
      </c>
      <c r="F4552" s="3" t="s">
        <v>399</v>
      </c>
      <c r="I4552" s="3" t="s">
        <v>1335</v>
      </c>
    </row>
    <row r="4553" spans="2:9" hidden="1" x14ac:dyDescent="0.4">
      <c r="B4553" s="8" t="s">
        <v>517</v>
      </c>
      <c r="C4553" s="3" t="s">
        <v>6880</v>
      </c>
      <c r="D4553" s="3" t="s">
        <v>7333</v>
      </c>
      <c r="F4553" s="3" t="s">
        <v>399</v>
      </c>
      <c r="I4553" s="3" t="s">
        <v>1335</v>
      </c>
    </row>
    <row r="4554" spans="2:9" hidden="1" x14ac:dyDescent="0.4">
      <c r="B4554" s="8" t="s">
        <v>517</v>
      </c>
      <c r="C4554" s="3" t="s">
        <v>6881</v>
      </c>
      <c r="D4554" s="3" t="s">
        <v>7334</v>
      </c>
      <c r="F4554" s="3" t="s">
        <v>399</v>
      </c>
      <c r="I4554" s="3" t="s">
        <v>1335</v>
      </c>
    </row>
    <row r="4555" spans="2:9" hidden="1" x14ac:dyDescent="0.4">
      <c r="B4555" s="8" t="s">
        <v>517</v>
      </c>
      <c r="C4555" s="3" t="s">
        <v>6882</v>
      </c>
      <c r="D4555" s="3" t="s">
        <v>7335</v>
      </c>
      <c r="F4555" s="3" t="s">
        <v>399</v>
      </c>
      <c r="I4555" s="3" t="s">
        <v>1335</v>
      </c>
    </row>
    <row r="4556" spans="2:9" hidden="1" x14ac:dyDescent="0.4">
      <c r="B4556" s="8" t="s">
        <v>517</v>
      </c>
      <c r="C4556" s="3" t="s">
        <v>6883</v>
      </c>
      <c r="D4556" s="3" t="s">
        <v>7336</v>
      </c>
      <c r="F4556" s="3" t="s">
        <v>399</v>
      </c>
      <c r="I4556" s="3" t="s">
        <v>1335</v>
      </c>
    </row>
    <row r="4557" spans="2:9" hidden="1" x14ac:dyDescent="0.4">
      <c r="B4557" s="8" t="s">
        <v>518</v>
      </c>
      <c r="C4557" s="3" t="s">
        <v>6884</v>
      </c>
      <c r="D4557" s="3" t="s">
        <v>7337</v>
      </c>
      <c r="F4557" s="3" t="s">
        <v>399</v>
      </c>
      <c r="I4557" s="3" t="s">
        <v>1335</v>
      </c>
    </row>
    <row r="4558" spans="2:9" hidden="1" x14ac:dyDescent="0.4">
      <c r="B4558" s="8" t="s">
        <v>517</v>
      </c>
      <c r="C4558" s="3" t="s">
        <v>6885</v>
      </c>
      <c r="D4558" s="3" t="s">
        <v>7338</v>
      </c>
      <c r="F4558" s="3" t="s">
        <v>399</v>
      </c>
      <c r="I4558" s="3" t="s">
        <v>1335</v>
      </c>
    </row>
    <row r="4559" spans="2:9" hidden="1" x14ac:dyDescent="0.4">
      <c r="B4559" s="8" t="s">
        <v>518</v>
      </c>
      <c r="C4559" s="3" t="s">
        <v>6886</v>
      </c>
      <c r="D4559" s="3" t="s">
        <v>7339</v>
      </c>
      <c r="F4559" s="3" t="s">
        <v>399</v>
      </c>
      <c r="I4559" s="3" t="s">
        <v>1335</v>
      </c>
    </row>
    <row r="4560" spans="2:9" hidden="1" x14ac:dyDescent="0.4">
      <c r="B4560" s="8" t="s">
        <v>517</v>
      </c>
      <c r="C4560" s="3" t="s">
        <v>6887</v>
      </c>
      <c r="D4560" s="3" t="s">
        <v>7340</v>
      </c>
      <c r="F4560" s="3" t="s">
        <v>399</v>
      </c>
      <c r="I4560" s="3" t="s">
        <v>1335</v>
      </c>
    </row>
    <row r="4561" spans="2:9" hidden="1" x14ac:dyDescent="0.4">
      <c r="B4561" s="8" t="s">
        <v>517</v>
      </c>
      <c r="C4561" s="3" t="s">
        <v>6888</v>
      </c>
      <c r="D4561" s="3" t="s">
        <v>7342</v>
      </c>
      <c r="F4561" s="3" t="s">
        <v>399</v>
      </c>
      <c r="I4561" s="3" t="s">
        <v>1335</v>
      </c>
    </row>
    <row r="4562" spans="2:9" hidden="1" x14ac:dyDescent="0.4">
      <c r="B4562" s="8" t="s">
        <v>517</v>
      </c>
      <c r="C4562" s="3" t="s">
        <v>6889</v>
      </c>
      <c r="D4562" s="3" t="s">
        <v>7341</v>
      </c>
      <c r="F4562" s="3" t="s">
        <v>399</v>
      </c>
      <c r="I4562" s="3" t="s">
        <v>1335</v>
      </c>
    </row>
    <row r="4563" spans="2:9" hidden="1" x14ac:dyDescent="0.4">
      <c r="B4563" s="8" t="s">
        <v>518</v>
      </c>
      <c r="C4563" s="3" t="s">
        <v>6890</v>
      </c>
      <c r="D4563" s="3" t="s">
        <v>7344</v>
      </c>
      <c r="F4563" s="3" t="s">
        <v>399</v>
      </c>
      <c r="I4563" s="3" t="s">
        <v>1335</v>
      </c>
    </row>
    <row r="4564" spans="2:9" hidden="1" x14ac:dyDescent="0.4">
      <c r="B4564" s="8" t="s">
        <v>517</v>
      </c>
      <c r="C4564" s="3" t="s">
        <v>6891</v>
      </c>
      <c r="D4564" s="3" t="s">
        <v>7345</v>
      </c>
      <c r="F4564" s="3" t="s">
        <v>399</v>
      </c>
      <c r="I4564" s="3" t="s">
        <v>1335</v>
      </c>
    </row>
    <row r="4565" spans="2:9" hidden="1" x14ac:dyDescent="0.4">
      <c r="B4565" s="8" t="s">
        <v>529</v>
      </c>
      <c r="C4565" s="3" t="s">
        <v>6892</v>
      </c>
      <c r="D4565" s="3" t="s">
        <v>7343</v>
      </c>
      <c r="F4565" s="3" t="s">
        <v>399</v>
      </c>
      <c r="I4565" s="3" t="s">
        <v>1335</v>
      </c>
    </row>
    <row r="4566" spans="2:9" hidden="1" x14ac:dyDescent="0.4">
      <c r="B4566" s="8" t="s">
        <v>517</v>
      </c>
      <c r="C4566" s="3" t="s">
        <v>6893</v>
      </c>
      <c r="D4566" s="3" t="s">
        <v>7346</v>
      </c>
      <c r="F4566" s="3" t="s">
        <v>399</v>
      </c>
      <c r="I4566" s="3" t="s">
        <v>1335</v>
      </c>
    </row>
    <row r="4567" spans="2:9" hidden="1" x14ac:dyDescent="0.4">
      <c r="B4567" s="8" t="s">
        <v>517</v>
      </c>
      <c r="C4567" s="3" t="s">
        <v>6894</v>
      </c>
      <c r="D4567" s="3" t="s">
        <v>7356</v>
      </c>
      <c r="F4567" s="3" t="s">
        <v>399</v>
      </c>
      <c r="I4567" s="3" t="s">
        <v>1335</v>
      </c>
    </row>
    <row r="4568" spans="2:9" hidden="1" x14ac:dyDescent="0.4">
      <c r="B4568" s="8" t="s">
        <v>517</v>
      </c>
      <c r="C4568" s="3" t="s">
        <v>6895</v>
      </c>
      <c r="D4568" s="3" t="s">
        <v>7357</v>
      </c>
      <c r="F4568" s="3" t="s">
        <v>399</v>
      </c>
      <c r="I4568" s="3" t="s">
        <v>1335</v>
      </c>
    </row>
    <row r="4569" spans="2:9" hidden="1" x14ac:dyDescent="0.4">
      <c r="B4569" s="8" t="s">
        <v>517</v>
      </c>
      <c r="C4569" s="3" t="s">
        <v>6896</v>
      </c>
      <c r="D4569" s="3" t="s">
        <v>7347</v>
      </c>
      <c r="F4569" s="3" t="s">
        <v>399</v>
      </c>
      <c r="G4569" s="3" t="s">
        <v>1279</v>
      </c>
      <c r="I4569" s="3" t="s">
        <v>1335</v>
      </c>
    </row>
    <row r="4570" spans="2:9" hidden="1" x14ac:dyDescent="0.4">
      <c r="B4570" s="8" t="s">
        <v>517</v>
      </c>
      <c r="C4570" s="3" t="s">
        <v>6897</v>
      </c>
      <c r="D4570" s="3" t="s">
        <v>7348</v>
      </c>
      <c r="F4570" s="3" t="s">
        <v>399</v>
      </c>
      <c r="I4570" s="3" t="s">
        <v>1335</v>
      </c>
    </row>
    <row r="4571" spans="2:9" hidden="1" x14ac:dyDescent="0.4">
      <c r="B4571" s="8" t="s">
        <v>517</v>
      </c>
      <c r="C4571" s="3" t="s">
        <v>6898</v>
      </c>
      <c r="D4571" s="3" t="s">
        <v>7349</v>
      </c>
      <c r="F4571" s="3" t="s">
        <v>399</v>
      </c>
      <c r="I4571" s="3" t="s">
        <v>1335</v>
      </c>
    </row>
    <row r="4572" spans="2:9" ht="29.25" hidden="1" x14ac:dyDescent="0.4">
      <c r="B4572" s="8" t="s">
        <v>517</v>
      </c>
      <c r="C4572" s="3" t="s">
        <v>6899</v>
      </c>
      <c r="D4572" s="3" t="s">
        <v>7350</v>
      </c>
      <c r="F4572" s="3" t="s">
        <v>399</v>
      </c>
      <c r="I4572" s="3" t="s">
        <v>1335</v>
      </c>
    </row>
    <row r="4573" spans="2:9" hidden="1" x14ac:dyDescent="0.4">
      <c r="B4573" s="8" t="s">
        <v>517</v>
      </c>
      <c r="C4573" s="3" t="s">
        <v>6900</v>
      </c>
      <c r="D4573" s="3" t="s">
        <v>7351</v>
      </c>
      <c r="F4573" s="3" t="s">
        <v>399</v>
      </c>
      <c r="I4573" s="3" t="s">
        <v>1335</v>
      </c>
    </row>
    <row r="4574" spans="2:9" hidden="1" x14ac:dyDescent="0.4">
      <c r="B4574" s="8" t="s">
        <v>517</v>
      </c>
      <c r="C4574" s="3" t="s">
        <v>6901</v>
      </c>
      <c r="D4574" s="3" t="s">
        <v>7352</v>
      </c>
      <c r="F4574" s="3" t="s">
        <v>399</v>
      </c>
      <c r="I4574" s="3" t="s">
        <v>1335</v>
      </c>
    </row>
    <row r="4575" spans="2:9" hidden="1" x14ac:dyDescent="0.4">
      <c r="B4575" s="8" t="s">
        <v>517</v>
      </c>
      <c r="C4575" s="3" t="s">
        <v>6902</v>
      </c>
      <c r="D4575" s="3" t="s">
        <v>7353</v>
      </c>
      <c r="F4575" s="3" t="s">
        <v>399</v>
      </c>
      <c r="I4575" s="3" t="s">
        <v>1335</v>
      </c>
    </row>
    <row r="4576" spans="2:9" hidden="1" x14ac:dyDescent="0.4">
      <c r="B4576" s="8" t="s">
        <v>518</v>
      </c>
      <c r="C4576" s="3" t="s">
        <v>6903</v>
      </c>
      <c r="D4576" s="3" t="s">
        <v>7354</v>
      </c>
      <c r="F4576" s="3" t="s">
        <v>399</v>
      </c>
      <c r="I4576" s="3" t="s">
        <v>1335</v>
      </c>
    </row>
    <row r="4577" spans="2:9" hidden="1" x14ac:dyDescent="0.4">
      <c r="B4577" s="8" t="s">
        <v>517</v>
      </c>
      <c r="C4577" s="3" t="s">
        <v>6904</v>
      </c>
      <c r="D4577" s="3" t="s">
        <v>7355</v>
      </c>
      <c r="F4577" s="3" t="s">
        <v>399</v>
      </c>
      <c r="I4577" s="3" t="s">
        <v>1335</v>
      </c>
    </row>
    <row r="4578" spans="2:9" hidden="1" x14ac:dyDescent="0.4">
      <c r="B4578" s="8" t="s">
        <v>517</v>
      </c>
      <c r="C4578" s="3" t="s">
        <v>6905</v>
      </c>
      <c r="D4578" s="3" t="s">
        <v>16573</v>
      </c>
      <c r="F4578" s="3" t="s">
        <v>399</v>
      </c>
      <c r="I4578" s="3" t="s">
        <v>1335</v>
      </c>
    </row>
    <row r="4579" spans="2:9" hidden="1" x14ac:dyDescent="0.4">
      <c r="B4579" s="8" t="s">
        <v>517</v>
      </c>
      <c r="C4579" s="3" t="s">
        <v>6906</v>
      </c>
      <c r="D4579" s="3" t="s">
        <v>16574</v>
      </c>
      <c r="F4579" s="3" t="s">
        <v>399</v>
      </c>
      <c r="I4579" s="3" t="s">
        <v>1335</v>
      </c>
    </row>
    <row r="4580" spans="2:9" hidden="1" x14ac:dyDescent="0.4">
      <c r="B4580" s="8" t="s">
        <v>517</v>
      </c>
      <c r="C4580" s="3" t="s">
        <v>6907</v>
      </c>
      <c r="D4580" s="3" t="s">
        <v>16574</v>
      </c>
      <c r="E4580" s="3" t="s">
        <v>2038</v>
      </c>
      <c r="F4580" s="3" t="s">
        <v>399</v>
      </c>
      <c r="I4580" s="3" t="s">
        <v>1335</v>
      </c>
    </row>
    <row r="4581" spans="2:9" hidden="1" x14ac:dyDescent="0.4">
      <c r="B4581" s="8" t="s">
        <v>518</v>
      </c>
      <c r="C4581" s="3" t="s">
        <v>6908</v>
      </c>
      <c r="D4581" s="3" t="s">
        <v>16575</v>
      </c>
      <c r="F4581" s="3" t="s">
        <v>399</v>
      </c>
      <c r="G4581" s="3" t="s">
        <v>1279</v>
      </c>
      <c r="I4581" s="3" t="s">
        <v>1335</v>
      </c>
    </row>
    <row r="4582" spans="2:9" hidden="1" x14ac:dyDescent="0.4">
      <c r="B4582" s="8" t="s">
        <v>517</v>
      </c>
      <c r="C4582" s="3" t="s">
        <v>6909</v>
      </c>
      <c r="D4582" s="3" t="s">
        <v>16576</v>
      </c>
      <c r="F4582" s="3" t="s">
        <v>399</v>
      </c>
      <c r="I4582" s="3" t="s">
        <v>1335</v>
      </c>
    </row>
    <row r="4583" spans="2:9" hidden="1" x14ac:dyDescent="0.4">
      <c r="B4583" s="8" t="s">
        <v>517</v>
      </c>
      <c r="C4583" s="3" t="s">
        <v>6910</v>
      </c>
      <c r="D4583" s="3" t="s">
        <v>16577</v>
      </c>
      <c r="F4583" s="3" t="s">
        <v>399</v>
      </c>
      <c r="I4583" s="3" t="s">
        <v>1335</v>
      </c>
    </row>
    <row r="4584" spans="2:9" ht="29.25" hidden="1" x14ac:dyDescent="0.4">
      <c r="B4584" s="8" t="s">
        <v>518</v>
      </c>
      <c r="C4584" s="3" t="s">
        <v>6911</v>
      </c>
      <c r="D4584" s="3" t="s">
        <v>16578</v>
      </c>
      <c r="F4584" s="3" t="s">
        <v>399</v>
      </c>
      <c r="I4584" s="3" t="s">
        <v>1335</v>
      </c>
    </row>
    <row r="4585" spans="2:9" hidden="1" x14ac:dyDescent="0.4">
      <c r="B4585" s="8" t="s">
        <v>518</v>
      </c>
      <c r="C4585" s="3" t="s">
        <v>6912</v>
      </c>
      <c r="D4585" s="3" t="s">
        <v>16579</v>
      </c>
      <c r="F4585" s="3" t="s">
        <v>399</v>
      </c>
      <c r="I4585" s="3" t="s">
        <v>1335</v>
      </c>
    </row>
    <row r="4586" spans="2:9" hidden="1" x14ac:dyDescent="0.4">
      <c r="B4586" s="8" t="s">
        <v>518</v>
      </c>
      <c r="C4586" s="3" t="s">
        <v>6913</v>
      </c>
      <c r="D4586" s="3" t="s">
        <v>16580</v>
      </c>
      <c r="F4586" s="3" t="s">
        <v>399</v>
      </c>
      <c r="G4586" s="3" t="s">
        <v>1279</v>
      </c>
      <c r="I4586" s="3" t="s">
        <v>1335</v>
      </c>
    </row>
    <row r="4587" spans="2:9" hidden="1" x14ac:dyDescent="0.4">
      <c r="B4587" s="8" t="s">
        <v>517</v>
      </c>
      <c r="C4587" s="3" t="s">
        <v>6914</v>
      </c>
      <c r="D4587" s="3" t="s">
        <v>16581</v>
      </c>
      <c r="F4587" s="3" t="s">
        <v>399</v>
      </c>
      <c r="G4587" s="3" t="s">
        <v>1279</v>
      </c>
      <c r="I4587" s="3" t="s">
        <v>1335</v>
      </c>
    </row>
    <row r="4588" spans="2:9" ht="29.25" hidden="1" x14ac:dyDescent="0.4">
      <c r="B4588" s="8" t="s">
        <v>518</v>
      </c>
      <c r="C4588" s="3" t="s">
        <v>6915</v>
      </c>
      <c r="D4588" s="3" t="s">
        <v>16582</v>
      </c>
      <c r="F4588" s="3" t="s">
        <v>399</v>
      </c>
      <c r="I4588" s="3" t="s">
        <v>1335</v>
      </c>
    </row>
    <row r="4589" spans="2:9" ht="29.25" hidden="1" x14ac:dyDescent="0.4">
      <c r="B4589" s="8" t="s">
        <v>517</v>
      </c>
      <c r="C4589" s="3" t="s">
        <v>6916</v>
      </c>
      <c r="D4589" s="3" t="s">
        <v>16583</v>
      </c>
      <c r="F4589" s="3" t="s">
        <v>399</v>
      </c>
      <c r="I4589" s="3" t="s">
        <v>1335</v>
      </c>
    </row>
    <row r="4590" spans="2:9" hidden="1" x14ac:dyDescent="0.4">
      <c r="B4590" s="8" t="s">
        <v>517</v>
      </c>
      <c r="C4590" s="3" t="s">
        <v>6917</v>
      </c>
      <c r="D4590" s="3" t="s">
        <v>16584</v>
      </c>
      <c r="F4590" s="3" t="s">
        <v>399</v>
      </c>
      <c r="I4590" s="3" t="s">
        <v>1335</v>
      </c>
    </row>
    <row r="4591" spans="2:9" hidden="1" x14ac:dyDescent="0.4">
      <c r="B4591" s="8" t="s">
        <v>517</v>
      </c>
      <c r="C4591" s="3" t="s">
        <v>6918</v>
      </c>
      <c r="D4591" s="3" t="s">
        <v>16585</v>
      </c>
      <c r="F4591" s="3" t="s">
        <v>399</v>
      </c>
      <c r="I4591" s="3" t="s">
        <v>1335</v>
      </c>
    </row>
    <row r="4592" spans="2:9" hidden="1" x14ac:dyDescent="0.4">
      <c r="B4592" s="8" t="s">
        <v>517</v>
      </c>
      <c r="C4592" s="3" t="s">
        <v>6919</v>
      </c>
      <c r="D4592" s="3" t="s">
        <v>16586</v>
      </c>
      <c r="F4592" s="3" t="s">
        <v>399</v>
      </c>
      <c r="G4592" s="3" t="s">
        <v>1279</v>
      </c>
      <c r="I4592" s="3" t="s">
        <v>1335</v>
      </c>
    </row>
    <row r="4593" spans="2:9" hidden="1" x14ac:dyDescent="0.4">
      <c r="B4593" s="8" t="s">
        <v>517</v>
      </c>
      <c r="C4593" s="3" t="s">
        <v>6920</v>
      </c>
      <c r="D4593" s="3" t="s">
        <v>16587</v>
      </c>
      <c r="F4593" s="3" t="s">
        <v>399</v>
      </c>
      <c r="G4593" s="3" t="s">
        <v>1279</v>
      </c>
      <c r="I4593" s="3" t="s">
        <v>1335</v>
      </c>
    </row>
    <row r="4594" spans="2:9" hidden="1" x14ac:dyDescent="0.4">
      <c r="B4594" s="8" t="s">
        <v>517</v>
      </c>
      <c r="C4594" s="3" t="s">
        <v>6921</v>
      </c>
      <c r="D4594" s="3" t="s">
        <v>16588</v>
      </c>
      <c r="F4594" s="3" t="s">
        <v>399</v>
      </c>
      <c r="G4594" s="3" t="s">
        <v>1279</v>
      </c>
      <c r="I4594" s="3" t="s">
        <v>1335</v>
      </c>
    </row>
    <row r="4595" spans="2:9" hidden="1" x14ac:dyDescent="0.4">
      <c r="B4595" s="8" t="s">
        <v>517</v>
      </c>
      <c r="C4595" s="3" t="s">
        <v>1125</v>
      </c>
      <c r="D4595" s="3" t="s">
        <v>16589</v>
      </c>
      <c r="F4595" s="3" t="s">
        <v>399</v>
      </c>
      <c r="G4595" s="3" t="s">
        <v>402</v>
      </c>
      <c r="I4595" s="3" t="s">
        <v>1335</v>
      </c>
    </row>
    <row r="4596" spans="2:9" hidden="1" x14ac:dyDescent="0.4">
      <c r="B4596" s="8" t="s">
        <v>518</v>
      </c>
      <c r="C4596" s="3" t="s">
        <v>6922</v>
      </c>
      <c r="D4596" s="3" t="s">
        <v>16590</v>
      </c>
      <c r="F4596" s="3" t="s">
        <v>399</v>
      </c>
      <c r="G4596" s="3" t="s">
        <v>1279</v>
      </c>
      <c r="I4596" s="3" t="s">
        <v>1335</v>
      </c>
    </row>
    <row r="4597" spans="2:9" hidden="1" x14ac:dyDescent="0.4">
      <c r="B4597" s="8" t="s">
        <v>517</v>
      </c>
      <c r="C4597" s="3" t="s">
        <v>6923</v>
      </c>
      <c r="D4597" s="3" t="s">
        <v>16591</v>
      </c>
      <c r="F4597" s="3" t="s">
        <v>399</v>
      </c>
      <c r="I4597" s="3" t="s">
        <v>1335</v>
      </c>
    </row>
    <row r="4598" spans="2:9" ht="29.25" hidden="1" x14ac:dyDescent="0.4">
      <c r="B4598" s="8" t="s">
        <v>517</v>
      </c>
      <c r="C4598" s="3" t="s">
        <v>6924</v>
      </c>
      <c r="D4598" s="3" t="s">
        <v>16592</v>
      </c>
      <c r="F4598" s="3" t="s">
        <v>399</v>
      </c>
      <c r="I4598" s="3" t="s">
        <v>1335</v>
      </c>
    </row>
    <row r="4599" spans="2:9" hidden="1" x14ac:dyDescent="0.4">
      <c r="B4599" s="8" t="s">
        <v>517</v>
      </c>
      <c r="C4599" s="3" t="s">
        <v>6925</v>
      </c>
      <c r="D4599" s="3" t="s">
        <v>16593</v>
      </c>
      <c r="F4599" s="3" t="s">
        <v>399</v>
      </c>
      <c r="I4599" s="3" t="s">
        <v>1335</v>
      </c>
    </row>
    <row r="4600" spans="2:9" hidden="1" x14ac:dyDescent="0.4">
      <c r="B4600" s="8" t="s">
        <v>517</v>
      </c>
      <c r="C4600" s="3" t="s">
        <v>6926</v>
      </c>
      <c r="D4600" s="3" t="s">
        <v>16596</v>
      </c>
      <c r="F4600" s="3" t="s">
        <v>399</v>
      </c>
      <c r="I4600" s="3" t="s">
        <v>1335</v>
      </c>
    </row>
    <row r="4601" spans="2:9" hidden="1" x14ac:dyDescent="0.4">
      <c r="B4601" s="8" t="s">
        <v>520</v>
      </c>
      <c r="C4601" s="3" t="s">
        <v>6927</v>
      </c>
      <c r="D4601" s="3" t="s">
        <v>16597</v>
      </c>
      <c r="F4601" s="3" t="s">
        <v>399</v>
      </c>
      <c r="I4601" s="3" t="s">
        <v>1335</v>
      </c>
    </row>
    <row r="4602" spans="2:9" hidden="1" x14ac:dyDescent="0.4">
      <c r="B4602" s="8" t="s">
        <v>517</v>
      </c>
      <c r="C4602" s="3" t="s">
        <v>6928</v>
      </c>
      <c r="D4602" s="3" t="s">
        <v>16598</v>
      </c>
      <c r="F4602" s="3" t="s">
        <v>399</v>
      </c>
      <c r="I4602" s="3" t="s">
        <v>1335</v>
      </c>
    </row>
    <row r="4603" spans="2:9" hidden="1" x14ac:dyDescent="0.4">
      <c r="B4603" s="8" t="s">
        <v>517</v>
      </c>
      <c r="C4603" s="3" t="s">
        <v>6929</v>
      </c>
      <c r="D4603" s="3" t="s">
        <v>16599</v>
      </c>
      <c r="F4603" s="3" t="s">
        <v>399</v>
      </c>
      <c r="I4603" s="3" t="s">
        <v>1335</v>
      </c>
    </row>
    <row r="4604" spans="2:9" ht="29.25" hidden="1" x14ac:dyDescent="0.4">
      <c r="B4604" s="8" t="s">
        <v>517</v>
      </c>
      <c r="C4604" s="3" t="s">
        <v>6930</v>
      </c>
      <c r="D4604" s="3" t="s">
        <v>16595</v>
      </c>
      <c r="F4604" s="3" t="s">
        <v>399</v>
      </c>
      <c r="I4604" s="3" t="s">
        <v>1335</v>
      </c>
    </row>
    <row r="4605" spans="2:9" ht="29.25" hidden="1" x14ac:dyDescent="0.4">
      <c r="B4605" s="8" t="s">
        <v>517</v>
      </c>
      <c r="C4605" s="3" t="s">
        <v>6931</v>
      </c>
      <c r="D4605" s="3" t="s">
        <v>16594</v>
      </c>
      <c r="F4605" s="3" t="s">
        <v>399</v>
      </c>
      <c r="I4605" s="3" t="s">
        <v>1335</v>
      </c>
    </row>
    <row r="4606" spans="2:9" hidden="1" x14ac:dyDescent="0.4">
      <c r="B4606" s="8" t="s">
        <v>517</v>
      </c>
      <c r="C4606" s="3" t="s">
        <v>6932</v>
      </c>
      <c r="D4606" s="3" t="s">
        <v>16600</v>
      </c>
      <c r="F4606" s="3" t="s">
        <v>399</v>
      </c>
      <c r="G4606" s="3" t="s">
        <v>402</v>
      </c>
      <c r="I4606" s="3" t="s">
        <v>245</v>
      </c>
    </row>
    <row r="4607" spans="2:9" hidden="1" x14ac:dyDescent="0.4">
      <c r="B4607" s="8" t="s">
        <v>518</v>
      </c>
      <c r="C4607" s="3" t="s">
        <v>6933</v>
      </c>
      <c r="D4607" s="3" t="s">
        <v>16601</v>
      </c>
      <c r="F4607" s="3" t="s">
        <v>399</v>
      </c>
      <c r="G4607" s="3" t="s">
        <v>402</v>
      </c>
      <c r="I4607" s="3" t="s">
        <v>1335</v>
      </c>
    </row>
    <row r="4608" spans="2:9" ht="29.25" hidden="1" x14ac:dyDescent="0.4">
      <c r="B4608" s="8" t="s">
        <v>517</v>
      </c>
      <c r="C4608" s="3" t="s">
        <v>6934</v>
      </c>
      <c r="D4608" s="3" t="s">
        <v>16602</v>
      </c>
      <c r="F4608" s="3" t="s">
        <v>399</v>
      </c>
      <c r="I4608" s="3" t="s">
        <v>1335</v>
      </c>
    </row>
    <row r="4609" spans="2:9" ht="29.25" hidden="1" x14ac:dyDescent="0.4">
      <c r="B4609" s="8" t="s">
        <v>517</v>
      </c>
      <c r="C4609" s="3" t="s">
        <v>6935</v>
      </c>
      <c r="D4609" s="3" t="s">
        <v>16602</v>
      </c>
      <c r="F4609" s="3" t="s">
        <v>399</v>
      </c>
      <c r="I4609" s="3" t="s">
        <v>1335</v>
      </c>
    </row>
    <row r="4610" spans="2:9" ht="29.25" hidden="1" x14ac:dyDescent="0.4">
      <c r="B4610" s="8" t="s">
        <v>517</v>
      </c>
      <c r="C4610" s="3" t="s">
        <v>6936</v>
      </c>
      <c r="D4610" s="3" t="s">
        <v>16602</v>
      </c>
      <c r="F4610" s="3" t="s">
        <v>399</v>
      </c>
      <c r="I4610" s="3" t="s">
        <v>1335</v>
      </c>
    </row>
    <row r="4611" spans="2:9" hidden="1" x14ac:dyDescent="0.4">
      <c r="B4611" s="8" t="s">
        <v>517</v>
      </c>
      <c r="C4611" s="3" t="s">
        <v>6937</v>
      </c>
      <c r="D4611" s="3" t="s">
        <v>16604</v>
      </c>
      <c r="F4611" s="3" t="s">
        <v>399</v>
      </c>
      <c r="I4611" s="3" t="s">
        <v>1335</v>
      </c>
    </row>
    <row r="4612" spans="2:9" hidden="1" x14ac:dyDescent="0.4">
      <c r="B4612" s="8" t="s">
        <v>517</v>
      </c>
      <c r="C4612" s="3" t="s">
        <v>6938</v>
      </c>
      <c r="D4612" s="3" t="s">
        <v>7358</v>
      </c>
      <c r="F4612" s="3" t="s">
        <v>399</v>
      </c>
      <c r="I4612" s="3" t="s">
        <v>1335</v>
      </c>
    </row>
    <row r="4613" spans="2:9" hidden="1" x14ac:dyDescent="0.4">
      <c r="B4613" s="8" t="s">
        <v>518</v>
      </c>
      <c r="C4613" s="3" t="s">
        <v>6939</v>
      </c>
      <c r="D4613" s="3" t="s">
        <v>16603</v>
      </c>
      <c r="F4613" s="3" t="s">
        <v>399</v>
      </c>
      <c r="I4613" s="3" t="s">
        <v>1335</v>
      </c>
    </row>
    <row r="4614" spans="2:9" hidden="1" x14ac:dyDescent="0.4">
      <c r="B4614" s="8" t="s">
        <v>517</v>
      </c>
      <c r="C4614" s="3" t="s">
        <v>6940</v>
      </c>
      <c r="D4614" s="3" t="s">
        <v>16605</v>
      </c>
      <c r="F4614" s="3" t="s">
        <v>399</v>
      </c>
      <c r="I4614" s="3" t="s">
        <v>1335</v>
      </c>
    </row>
    <row r="4615" spans="2:9" hidden="1" x14ac:dyDescent="0.4">
      <c r="B4615" s="8" t="s">
        <v>517</v>
      </c>
      <c r="C4615" s="3" t="s">
        <v>6941</v>
      </c>
      <c r="D4615" s="3" t="s">
        <v>16606</v>
      </c>
      <c r="F4615" s="3" t="s">
        <v>399</v>
      </c>
      <c r="I4615" s="3" t="s">
        <v>1335</v>
      </c>
    </row>
    <row r="4616" spans="2:9" hidden="1" x14ac:dyDescent="0.4">
      <c r="B4616" s="8" t="s">
        <v>517</v>
      </c>
      <c r="C4616" s="3" t="s">
        <v>6942</v>
      </c>
      <c r="D4616" s="3" t="s">
        <v>16607</v>
      </c>
      <c r="F4616" s="3" t="s">
        <v>399</v>
      </c>
      <c r="I4616" s="3" t="s">
        <v>1335</v>
      </c>
    </row>
    <row r="4617" spans="2:9" hidden="1" x14ac:dyDescent="0.4">
      <c r="B4617" s="8" t="s">
        <v>517</v>
      </c>
      <c r="C4617" s="3" t="s">
        <v>6943</v>
      </c>
      <c r="D4617" s="3" t="s">
        <v>16608</v>
      </c>
      <c r="F4617" s="3" t="s">
        <v>399</v>
      </c>
      <c r="I4617" s="3" t="s">
        <v>1335</v>
      </c>
    </row>
    <row r="4618" spans="2:9" hidden="1" x14ac:dyDescent="0.4">
      <c r="B4618" s="8" t="s">
        <v>518</v>
      </c>
      <c r="C4618" s="3" t="s">
        <v>6944</v>
      </c>
      <c r="D4618" s="3" t="s">
        <v>16609</v>
      </c>
      <c r="F4618" s="3" t="s">
        <v>399</v>
      </c>
      <c r="G4618" s="3" t="s">
        <v>1279</v>
      </c>
      <c r="I4618" s="3" t="s">
        <v>1335</v>
      </c>
    </row>
    <row r="4619" spans="2:9" ht="29.25" hidden="1" x14ac:dyDescent="0.4">
      <c r="B4619" s="8" t="s">
        <v>529</v>
      </c>
      <c r="C4619" s="3" t="s">
        <v>6945</v>
      </c>
      <c r="D4619" s="3" t="s">
        <v>16610</v>
      </c>
      <c r="F4619" s="3" t="s">
        <v>399</v>
      </c>
      <c r="I4619" s="3" t="s">
        <v>1335</v>
      </c>
    </row>
    <row r="4620" spans="2:9" hidden="1" x14ac:dyDescent="0.4">
      <c r="B4620" s="8" t="s">
        <v>520</v>
      </c>
      <c r="C4620" s="3" t="s">
        <v>6946</v>
      </c>
      <c r="D4620" s="3" t="s">
        <v>16611</v>
      </c>
      <c r="F4620" s="3" t="s">
        <v>399</v>
      </c>
      <c r="I4620" s="3" t="s">
        <v>1335</v>
      </c>
    </row>
    <row r="4621" spans="2:9" hidden="1" x14ac:dyDescent="0.4">
      <c r="B4621" s="8" t="s">
        <v>517</v>
      </c>
      <c r="C4621" s="3" t="s">
        <v>6947</v>
      </c>
      <c r="D4621" s="3" t="s">
        <v>16612</v>
      </c>
      <c r="F4621" s="3" t="s">
        <v>399</v>
      </c>
      <c r="I4621" s="3" t="s">
        <v>1335</v>
      </c>
    </row>
    <row r="4622" spans="2:9" hidden="1" x14ac:dyDescent="0.4">
      <c r="B4622" s="8" t="s">
        <v>517</v>
      </c>
      <c r="C4622" s="3" t="s">
        <v>6948</v>
      </c>
      <c r="D4622" s="3" t="s">
        <v>16613</v>
      </c>
      <c r="F4622" s="3" t="s">
        <v>399</v>
      </c>
      <c r="G4622" s="3" t="s">
        <v>402</v>
      </c>
      <c r="I4622" s="3" t="s">
        <v>1335</v>
      </c>
    </row>
    <row r="4623" spans="2:9" ht="29.25" hidden="1" x14ac:dyDescent="0.4">
      <c r="B4623" s="8" t="s">
        <v>517</v>
      </c>
      <c r="C4623" s="3" t="s">
        <v>6949</v>
      </c>
      <c r="D4623" s="3" t="s">
        <v>16614</v>
      </c>
      <c r="F4623" s="3" t="s">
        <v>399</v>
      </c>
      <c r="I4623" s="3" t="s">
        <v>1335</v>
      </c>
    </row>
    <row r="4624" spans="2:9" hidden="1" x14ac:dyDescent="0.4">
      <c r="B4624" s="8" t="s">
        <v>520</v>
      </c>
      <c r="C4624" s="3" t="s">
        <v>6950</v>
      </c>
      <c r="D4624" s="3" t="s">
        <v>16615</v>
      </c>
      <c r="F4624" s="3" t="s">
        <v>399</v>
      </c>
      <c r="G4624" s="3" t="s">
        <v>1279</v>
      </c>
      <c r="I4624" s="3" t="s">
        <v>1335</v>
      </c>
    </row>
    <row r="4625" spans="2:9" ht="29.25" hidden="1" x14ac:dyDescent="0.4">
      <c r="B4625" s="8" t="s">
        <v>517</v>
      </c>
      <c r="C4625" s="3" t="s">
        <v>6951</v>
      </c>
      <c r="D4625" s="3" t="s">
        <v>16616</v>
      </c>
      <c r="F4625" s="3" t="s">
        <v>399</v>
      </c>
      <c r="I4625" s="3" t="s">
        <v>1335</v>
      </c>
    </row>
    <row r="4626" spans="2:9" hidden="1" x14ac:dyDescent="0.4">
      <c r="B4626" s="8" t="s">
        <v>517</v>
      </c>
      <c r="C4626" s="3" t="s">
        <v>6952</v>
      </c>
      <c r="D4626" s="3" t="s">
        <v>16617</v>
      </c>
      <c r="F4626" s="3" t="s">
        <v>399</v>
      </c>
      <c r="I4626" s="3" t="s">
        <v>1335</v>
      </c>
    </row>
    <row r="4627" spans="2:9" hidden="1" x14ac:dyDescent="0.4">
      <c r="B4627" s="8" t="s">
        <v>517</v>
      </c>
      <c r="C4627" s="3" t="s">
        <v>6953</v>
      </c>
      <c r="D4627" s="3" t="s">
        <v>16618</v>
      </c>
      <c r="F4627" s="3" t="s">
        <v>399</v>
      </c>
      <c r="G4627" s="3" t="s">
        <v>1279</v>
      </c>
      <c r="I4627" s="3" t="s">
        <v>1335</v>
      </c>
    </row>
    <row r="4628" spans="2:9" ht="29.25" hidden="1" x14ac:dyDescent="0.4">
      <c r="B4628" s="8" t="s">
        <v>517</v>
      </c>
      <c r="C4628" s="3" t="s">
        <v>6954</v>
      </c>
      <c r="D4628" s="3" t="s">
        <v>16619</v>
      </c>
      <c r="F4628" s="3" t="s">
        <v>399</v>
      </c>
      <c r="I4628" s="3" t="s">
        <v>1335</v>
      </c>
    </row>
    <row r="4629" spans="2:9" hidden="1" x14ac:dyDescent="0.4">
      <c r="B4629" s="8" t="s">
        <v>517</v>
      </c>
      <c r="C4629" s="3" t="s">
        <v>6955</v>
      </c>
      <c r="D4629" s="3" t="s">
        <v>16620</v>
      </c>
      <c r="F4629" s="3" t="s">
        <v>399</v>
      </c>
      <c r="G4629" s="3" t="s">
        <v>1279</v>
      </c>
      <c r="I4629" s="3" t="s">
        <v>1335</v>
      </c>
    </row>
    <row r="4630" spans="2:9" ht="29.25" hidden="1" x14ac:dyDescent="0.4">
      <c r="B4630" s="8" t="s">
        <v>517</v>
      </c>
      <c r="C4630" s="3" t="s">
        <v>6956</v>
      </c>
      <c r="D4630" s="3" t="s">
        <v>16621</v>
      </c>
      <c r="F4630" s="3" t="s">
        <v>399</v>
      </c>
      <c r="I4630" s="3" t="s">
        <v>1335</v>
      </c>
    </row>
    <row r="4631" spans="2:9" hidden="1" x14ac:dyDescent="0.4">
      <c r="B4631" s="8" t="s">
        <v>531</v>
      </c>
      <c r="C4631" s="3" t="s">
        <v>6957</v>
      </c>
      <c r="D4631" s="3" t="s">
        <v>16622</v>
      </c>
      <c r="F4631" s="3" t="s">
        <v>399</v>
      </c>
      <c r="I4631" s="3" t="s">
        <v>1335</v>
      </c>
    </row>
    <row r="4632" spans="2:9" ht="29.25" hidden="1" x14ac:dyDescent="0.4">
      <c r="B4632" s="8" t="s">
        <v>517</v>
      </c>
      <c r="C4632" s="3" t="s">
        <v>6958</v>
      </c>
      <c r="D4632" s="3" t="s">
        <v>16623</v>
      </c>
      <c r="F4632" s="3" t="s">
        <v>399</v>
      </c>
      <c r="I4632" s="3" t="s">
        <v>1335</v>
      </c>
    </row>
    <row r="4633" spans="2:9" hidden="1" x14ac:dyDescent="0.4">
      <c r="B4633" s="8" t="s">
        <v>531</v>
      </c>
      <c r="C4633" s="3" t="s">
        <v>6959</v>
      </c>
      <c r="D4633" s="3" t="s">
        <v>16624</v>
      </c>
      <c r="F4633" s="3" t="s">
        <v>399</v>
      </c>
      <c r="I4633" s="3" t="s">
        <v>1335</v>
      </c>
    </row>
    <row r="4634" spans="2:9" ht="29.25" hidden="1" x14ac:dyDescent="0.4">
      <c r="B4634" s="8" t="s">
        <v>517</v>
      </c>
      <c r="C4634" s="3" t="s">
        <v>6960</v>
      </c>
      <c r="D4634" s="3" t="s">
        <v>16625</v>
      </c>
      <c r="F4634" s="3" t="s">
        <v>399</v>
      </c>
      <c r="G4634" s="3" t="s">
        <v>1279</v>
      </c>
      <c r="I4634" s="3" t="s">
        <v>1335</v>
      </c>
    </row>
    <row r="4635" spans="2:9" ht="29.25" hidden="1" x14ac:dyDescent="0.4">
      <c r="B4635" s="8" t="s">
        <v>517</v>
      </c>
      <c r="C4635" s="3" t="s">
        <v>6961</v>
      </c>
      <c r="D4635" s="3" t="s">
        <v>16626</v>
      </c>
      <c r="F4635" s="3" t="s">
        <v>399</v>
      </c>
      <c r="I4635" s="3" t="s">
        <v>1335</v>
      </c>
    </row>
    <row r="4636" spans="2:9" hidden="1" x14ac:dyDescent="0.4">
      <c r="B4636" s="8" t="s">
        <v>517</v>
      </c>
      <c r="C4636" s="3" t="s">
        <v>6962</v>
      </c>
      <c r="D4636" s="3" t="s">
        <v>16627</v>
      </c>
      <c r="F4636" s="3" t="s">
        <v>399</v>
      </c>
      <c r="I4636" s="3" t="s">
        <v>1335</v>
      </c>
    </row>
    <row r="4637" spans="2:9" hidden="1" x14ac:dyDescent="0.4">
      <c r="B4637" s="8" t="s">
        <v>529</v>
      </c>
      <c r="C4637" s="3" t="s">
        <v>6963</v>
      </c>
      <c r="D4637" s="3" t="s">
        <v>16628</v>
      </c>
      <c r="F4637" s="3" t="s">
        <v>399</v>
      </c>
      <c r="I4637" s="3" t="s">
        <v>1335</v>
      </c>
    </row>
    <row r="4638" spans="2:9" hidden="1" x14ac:dyDescent="0.4">
      <c r="B4638" s="8" t="s">
        <v>517</v>
      </c>
      <c r="C4638" s="3" t="s">
        <v>6964</v>
      </c>
      <c r="D4638" s="3" t="s">
        <v>16629</v>
      </c>
      <c r="F4638" s="3" t="s">
        <v>399</v>
      </c>
      <c r="I4638" s="3" t="s">
        <v>1335</v>
      </c>
    </row>
    <row r="4639" spans="2:9" hidden="1" x14ac:dyDescent="0.4">
      <c r="B4639" s="8" t="s">
        <v>517</v>
      </c>
      <c r="C4639" s="3" t="s">
        <v>6965</v>
      </c>
      <c r="D4639" s="3" t="s">
        <v>16630</v>
      </c>
      <c r="F4639" s="3" t="s">
        <v>399</v>
      </c>
      <c r="I4639" s="3" t="s">
        <v>1335</v>
      </c>
    </row>
    <row r="4640" spans="2:9" ht="29.25" hidden="1" x14ac:dyDescent="0.4">
      <c r="B4640" s="8" t="s">
        <v>517</v>
      </c>
      <c r="C4640" s="3" t="s">
        <v>6966</v>
      </c>
      <c r="D4640" s="3" t="s">
        <v>16631</v>
      </c>
      <c r="F4640" s="3" t="s">
        <v>399</v>
      </c>
      <c r="I4640" s="3" t="s">
        <v>1335</v>
      </c>
    </row>
    <row r="4641" spans="2:9" ht="29.25" hidden="1" x14ac:dyDescent="0.4">
      <c r="B4641" s="8" t="s">
        <v>517</v>
      </c>
      <c r="C4641" s="3" t="s">
        <v>6967</v>
      </c>
      <c r="D4641" s="3" t="s">
        <v>16632</v>
      </c>
      <c r="F4641" s="3" t="s">
        <v>399</v>
      </c>
      <c r="I4641" s="3" t="s">
        <v>1335</v>
      </c>
    </row>
    <row r="4642" spans="2:9" hidden="1" x14ac:dyDescent="0.4">
      <c r="B4642" s="8" t="s">
        <v>517</v>
      </c>
      <c r="C4642" s="3" t="s">
        <v>6968</v>
      </c>
      <c r="D4642" s="3" t="s">
        <v>16633</v>
      </c>
      <c r="F4642" s="3" t="s">
        <v>399</v>
      </c>
      <c r="I4642" s="3" t="s">
        <v>1335</v>
      </c>
    </row>
    <row r="4643" spans="2:9" hidden="1" x14ac:dyDescent="0.4">
      <c r="B4643" s="8" t="s">
        <v>517</v>
      </c>
      <c r="C4643" s="3" t="s">
        <v>6969</v>
      </c>
      <c r="D4643" s="3" t="s">
        <v>7361</v>
      </c>
      <c r="F4643" s="3" t="s">
        <v>399</v>
      </c>
      <c r="I4643" s="3" t="s">
        <v>1335</v>
      </c>
    </row>
    <row r="4644" spans="2:9" hidden="1" x14ac:dyDescent="0.4">
      <c r="B4644" s="8" t="s">
        <v>517</v>
      </c>
      <c r="C4644" s="3" t="s">
        <v>6970</v>
      </c>
      <c r="D4644" s="3" t="s">
        <v>16634</v>
      </c>
      <c r="F4644" s="3" t="s">
        <v>399</v>
      </c>
      <c r="I4644" s="3" t="s">
        <v>1335</v>
      </c>
    </row>
    <row r="4645" spans="2:9" hidden="1" x14ac:dyDescent="0.4">
      <c r="B4645" s="8" t="s">
        <v>531</v>
      </c>
      <c r="C4645" s="3" t="s">
        <v>6971</v>
      </c>
      <c r="D4645" s="3" t="s">
        <v>16635</v>
      </c>
      <c r="F4645" s="3" t="s">
        <v>399</v>
      </c>
      <c r="I4645" s="3" t="s">
        <v>1335</v>
      </c>
    </row>
    <row r="4646" spans="2:9" ht="29.25" hidden="1" x14ac:dyDescent="0.4">
      <c r="B4646" s="8" t="s">
        <v>517</v>
      </c>
      <c r="C4646" s="3" t="s">
        <v>6972</v>
      </c>
      <c r="D4646" s="3" t="s">
        <v>16636</v>
      </c>
      <c r="F4646" s="3" t="s">
        <v>399</v>
      </c>
      <c r="G4646" s="3" t="s">
        <v>1279</v>
      </c>
      <c r="I4646" s="3" t="s">
        <v>1335</v>
      </c>
    </row>
    <row r="4647" spans="2:9" hidden="1" x14ac:dyDescent="0.4">
      <c r="B4647" s="8" t="s">
        <v>517</v>
      </c>
      <c r="C4647" s="3" t="s">
        <v>6973</v>
      </c>
      <c r="D4647" s="3" t="s">
        <v>16637</v>
      </c>
      <c r="F4647" s="3" t="s">
        <v>399</v>
      </c>
      <c r="I4647" s="3" t="s">
        <v>1335</v>
      </c>
    </row>
    <row r="4648" spans="2:9" hidden="1" x14ac:dyDescent="0.4">
      <c r="B4648" s="8" t="s">
        <v>517</v>
      </c>
      <c r="C4648" s="3" t="s">
        <v>6974</v>
      </c>
      <c r="D4648" s="3" t="s">
        <v>16638</v>
      </c>
      <c r="F4648" s="3" t="s">
        <v>399</v>
      </c>
      <c r="I4648" s="3" t="s">
        <v>1335</v>
      </c>
    </row>
    <row r="4649" spans="2:9" hidden="1" x14ac:dyDescent="0.4">
      <c r="B4649" s="8" t="s">
        <v>517</v>
      </c>
      <c r="C4649" s="3" t="s">
        <v>6975</v>
      </c>
      <c r="D4649" s="3" t="s">
        <v>16639</v>
      </c>
      <c r="F4649" s="3" t="s">
        <v>399</v>
      </c>
      <c r="I4649" s="3" t="s">
        <v>1335</v>
      </c>
    </row>
    <row r="4650" spans="2:9" hidden="1" x14ac:dyDescent="0.4">
      <c r="B4650" s="8" t="s">
        <v>531</v>
      </c>
      <c r="C4650" s="3" t="s">
        <v>6976</v>
      </c>
      <c r="D4650" s="3" t="s">
        <v>7362</v>
      </c>
      <c r="F4650" s="3" t="s">
        <v>399</v>
      </c>
      <c r="I4650" s="3" t="s">
        <v>1335</v>
      </c>
    </row>
    <row r="4651" spans="2:9" hidden="1" x14ac:dyDescent="0.4">
      <c r="B4651" s="8" t="s">
        <v>517</v>
      </c>
      <c r="C4651" s="3" t="s">
        <v>6977</v>
      </c>
      <c r="D4651" s="3" t="s">
        <v>7363</v>
      </c>
      <c r="F4651" s="3" t="s">
        <v>399</v>
      </c>
      <c r="I4651" s="3" t="s">
        <v>1335</v>
      </c>
    </row>
    <row r="4652" spans="2:9" hidden="1" x14ac:dyDescent="0.4">
      <c r="B4652" s="8" t="s">
        <v>517</v>
      </c>
      <c r="C4652" s="3" t="s">
        <v>6978</v>
      </c>
      <c r="D4652" s="3" t="s">
        <v>16640</v>
      </c>
      <c r="F4652" s="3" t="s">
        <v>399</v>
      </c>
      <c r="I4652" s="3" t="s">
        <v>1335</v>
      </c>
    </row>
    <row r="4653" spans="2:9" hidden="1" x14ac:dyDescent="0.4">
      <c r="B4653" s="8" t="s">
        <v>517</v>
      </c>
      <c r="C4653" s="3" t="s">
        <v>6979</v>
      </c>
      <c r="D4653" s="3" t="s">
        <v>16641</v>
      </c>
      <c r="F4653" s="3" t="s">
        <v>399</v>
      </c>
      <c r="I4653" s="3" t="s">
        <v>1335</v>
      </c>
    </row>
    <row r="4654" spans="2:9" x14ac:dyDescent="0.4">
      <c r="B4654" s="8" t="s">
        <v>531</v>
      </c>
      <c r="C4654" s="3" t="s">
        <v>6980</v>
      </c>
      <c r="D4654" s="3" t="s">
        <v>16642</v>
      </c>
      <c r="F4654" s="3" t="s">
        <v>1279</v>
      </c>
      <c r="G4654" s="3" t="s">
        <v>399</v>
      </c>
      <c r="I4654" s="3" t="s">
        <v>244</v>
      </c>
    </row>
    <row r="4655" spans="2:9" hidden="1" x14ac:dyDescent="0.4">
      <c r="B4655" s="8" t="s">
        <v>518</v>
      </c>
      <c r="C4655" s="3" t="s">
        <v>6981</v>
      </c>
      <c r="D4655" s="3" t="s">
        <v>7364</v>
      </c>
      <c r="F4655" s="3" t="s">
        <v>399</v>
      </c>
      <c r="I4655" s="3" t="s">
        <v>1335</v>
      </c>
    </row>
    <row r="4656" spans="2:9" hidden="1" x14ac:dyDescent="0.4">
      <c r="B4656" s="8" t="s">
        <v>517</v>
      </c>
      <c r="C4656" s="3" t="s">
        <v>6982</v>
      </c>
      <c r="D4656" s="3" t="s">
        <v>16648</v>
      </c>
      <c r="F4656" s="3" t="s">
        <v>399</v>
      </c>
      <c r="G4656" s="3" t="s">
        <v>1279</v>
      </c>
      <c r="I4656" s="3" t="s">
        <v>1335</v>
      </c>
    </row>
    <row r="4657" spans="2:9" hidden="1" x14ac:dyDescent="0.4">
      <c r="B4657" s="8" t="s">
        <v>517</v>
      </c>
      <c r="C4657" s="3" t="s">
        <v>6983</v>
      </c>
      <c r="D4657" s="3" t="s">
        <v>7804</v>
      </c>
      <c r="F4657" s="3" t="s">
        <v>399</v>
      </c>
      <c r="G4657" s="3" t="s">
        <v>1279</v>
      </c>
      <c r="H4657" s="3" t="s">
        <v>402</v>
      </c>
      <c r="I4657" s="3" t="s">
        <v>1335</v>
      </c>
    </row>
    <row r="4658" spans="2:9" hidden="1" x14ac:dyDescent="0.4">
      <c r="B4658" s="8" t="s">
        <v>517</v>
      </c>
      <c r="C4658" s="3" t="s">
        <v>6984</v>
      </c>
      <c r="D4658" s="3" t="s">
        <v>16649</v>
      </c>
      <c r="F4658" s="3" t="s">
        <v>399</v>
      </c>
      <c r="I4658" s="3" t="s">
        <v>1335</v>
      </c>
    </row>
    <row r="4659" spans="2:9" ht="29.25" hidden="1" x14ac:dyDescent="0.4">
      <c r="B4659" s="8" t="s">
        <v>517</v>
      </c>
      <c r="C4659" s="3" t="s">
        <v>6985</v>
      </c>
      <c r="D4659" s="3" t="s">
        <v>16650</v>
      </c>
      <c r="F4659" s="3" t="s">
        <v>399</v>
      </c>
      <c r="I4659" s="3" t="s">
        <v>1335</v>
      </c>
    </row>
    <row r="4660" spans="2:9" hidden="1" x14ac:dyDescent="0.4">
      <c r="B4660" s="8" t="s">
        <v>517</v>
      </c>
      <c r="C4660" s="3" t="s">
        <v>6986</v>
      </c>
      <c r="D4660" s="3" t="s">
        <v>7365</v>
      </c>
      <c r="F4660" s="3" t="s">
        <v>399</v>
      </c>
      <c r="G4660" s="3" t="s">
        <v>1279</v>
      </c>
      <c r="I4660" s="3" t="s">
        <v>1335</v>
      </c>
    </row>
    <row r="4661" spans="2:9" ht="29.25" hidden="1" x14ac:dyDescent="0.4">
      <c r="B4661" s="8" t="s">
        <v>529</v>
      </c>
      <c r="C4661" s="3" t="s">
        <v>6987</v>
      </c>
      <c r="D4661" s="3" t="s">
        <v>16651</v>
      </c>
      <c r="F4661" s="3" t="s">
        <v>399</v>
      </c>
      <c r="I4661" s="3" t="s">
        <v>1335</v>
      </c>
    </row>
    <row r="4662" spans="2:9" hidden="1" x14ac:dyDescent="0.4">
      <c r="B4662" s="8" t="s">
        <v>517</v>
      </c>
      <c r="C4662" s="3" t="s">
        <v>6988</v>
      </c>
      <c r="D4662" s="3" t="s">
        <v>16652</v>
      </c>
      <c r="F4662" s="3" t="s">
        <v>399</v>
      </c>
      <c r="I4662" s="3" t="s">
        <v>1335</v>
      </c>
    </row>
    <row r="4663" spans="2:9" hidden="1" x14ac:dyDescent="0.4">
      <c r="B4663" s="8" t="s">
        <v>518</v>
      </c>
      <c r="C4663" s="3" t="s">
        <v>6989</v>
      </c>
      <c r="D4663" s="3" t="s">
        <v>16653</v>
      </c>
      <c r="F4663" s="3" t="s">
        <v>399</v>
      </c>
      <c r="I4663" s="3" t="s">
        <v>1335</v>
      </c>
    </row>
    <row r="4664" spans="2:9" hidden="1" x14ac:dyDescent="0.4">
      <c r="B4664" s="8" t="s">
        <v>517</v>
      </c>
      <c r="C4664" s="3" t="s">
        <v>6990</v>
      </c>
      <c r="D4664" s="3" t="s">
        <v>16654</v>
      </c>
      <c r="F4664" s="3" t="s">
        <v>399</v>
      </c>
      <c r="I4664" s="3" t="s">
        <v>1335</v>
      </c>
    </row>
    <row r="4665" spans="2:9" hidden="1" x14ac:dyDescent="0.4">
      <c r="B4665" s="8" t="s">
        <v>518</v>
      </c>
      <c r="C4665" s="3" t="s">
        <v>6991</v>
      </c>
      <c r="D4665" s="3" t="s">
        <v>16655</v>
      </c>
      <c r="F4665" s="3" t="s">
        <v>399</v>
      </c>
      <c r="I4665" s="3" t="s">
        <v>1335</v>
      </c>
    </row>
    <row r="4666" spans="2:9" hidden="1" x14ac:dyDescent="0.4">
      <c r="B4666" s="8" t="s">
        <v>517</v>
      </c>
      <c r="C4666" s="3" t="s">
        <v>6992</v>
      </c>
      <c r="D4666" s="3" t="s">
        <v>16656</v>
      </c>
      <c r="F4666" s="3" t="s">
        <v>399</v>
      </c>
      <c r="G4666" s="3" t="s">
        <v>1279</v>
      </c>
      <c r="I4666" s="3" t="s">
        <v>1335</v>
      </c>
    </row>
    <row r="4667" spans="2:9" hidden="1" x14ac:dyDescent="0.4">
      <c r="B4667" s="8" t="s">
        <v>517</v>
      </c>
      <c r="C4667" s="3" t="s">
        <v>6993</v>
      </c>
      <c r="D4667" s="3" t="s">
        <v>16657</v>
      </c>
      <c r="F4667" s="3" t="s">
        <v>399</v>
      </c>
      <c r="G4667" s="3" t="s">
        <v>402</v>
      </c>
      <c r="I4667" s="3" t="s">
        <v>1335</v>
      </c>
    </row>
    <row r="4668" spans="2:9" hidden="1" x14ac:dyDescent="0.4">
      <c r="B4668" s="8" t="s">
        <v>518</v>
      </c>
      <c r="C4668" s="3" t="s">
        <v>6994</v>
      </c>
      <c r="D4668" s="3" t="s">
        <v>16658</v>
      </c>
      <c r="F4668" s="3" t="s">
        <v>399</v>
      </c>
      <c r="I4668" s="3" t="s">
        <v>1335</v>
      </c>
    </row>
    <row r="4669" spans="2:9" hidden="1" x14ac:dyDescent="0.4">
      <c r="B4669" s="8" t="s">
        <v>517</v>
      </c>
      <c r="C4669" s="3" t="s">
        <v>6995</v>
      </c>
      <c r="D4669" s="3" t="s">
        <v>16659</v>
      </c>
      <c r="F4669" s="3" t="s">
        <v>399</v>
      </c>
      <c r="I4669" s="3" t="s">
        <v>1335</v>
      </c>
    </row>
    <row r="4670" spans="2:9" hidden="1" x14ac:dyDescent="0.4">
      <c r="B4670" s="8" t="s">
        <v>518</v>
      </c>
      <c r="C4670" s="3" t="s">
        <v>6996</v>
      </c>
      <c r="D4670" s="3" t="s">
        <v>16660</v>
      </c>
      <c r="F4670" s="3" t="s">
        <v>399</v>
      </c>
      <c r="I4670" s="3" t="s">
        <v>1335</v>
      </c>
    </row>
    <row r="4671" spans="2:9" hidden="1" x14ac:dyDescent="0.4">
      <c r="B4671" s="8" t="s">
        <v>517</v>
      </c>
      <c r="C4671" s="3" t="s">
        <v>6997</v>
      </c>
      <c r="D4671" s="3" t="s">
        <v>16661</v>
      </c>
      <c r="F4671" s="3" t="s">
        <v>399</v>
      </c>
      <c r="I4671" s="3" t="s">
        <v>1335</v>
      </c>
    </row>
    <row r="4672" spans="2:9" hidden="1" x14ac:dyDescent="0.4">
      <c r="B4672" s="8" t="s">
        <v>517</v>
      </c>
      <c r="C4672" s="3" t="s">
        <v>6998</v>
      </c>
      <c r="D4672" s="3" t="s">
        <v>16662</v>
      </c>
      <c r="F4672" s="3" t="s">
        <v>399</v>
      </c>
      <c r="I4672" s="3" t="s">
        <v>1335</v>
      </c>
    </row>
    <row r="4673" spans="2:9" hidden="1" x14ac:dyDescent="0.4">
      <c r="B4673" s="8" t="s">
        <v>517</v>
      </c>
      <c r="C4673" s="3" t="s">
        <v>6999</v>
      </c>
      <c r="D4673" s="3" t="s">
        <v>16663</v>
      </c>
      <c r="F4673" s="3" t="s">
        <v>399</v>
      </c>
      <c r="I4673" s="3" t="s">
        <v>1335</v>
      </c>
    </row>
    <row r="4674" spans="2:9" hidden="1" x14ac:dyDescent="0.4">
      <c r="B4674" s="8" t="s">
        <v>517</v>
      </c>
      <c r="C4674" s="3" t="s">
        <v>7000</v>
      </c>
      <c r="D4674" s="3" t="s">
        <v>16664</v>
      </c>
      <c r="F4674" s="3" t="s">
        <v>399</v>
      </c>
      <c r="I4674" s="3" t="s">
        <v>1335</v>
      </c>
    </row>
    <row r="4675" spans="2:9" hidden="1" x14ac:dyDescent="0.4">
      <c r="B4675" s="8" t="s">
        <v>517</v>
      </c>
      <c r="C4675" s="3" t="s">
        <v>7001</v>
      </c>
      <c r="D4675" s="3" t="s">
        <v>16647</v>
      </c>
      <c r="F4675" s="3" t="s">
        <v>399</v>
      </c>
      <c r="I4675" s="3" t="s">
        <v>1335</v>
      </c>
    </row>
    <row r="4676" spans="2:9" hidden="1" x14ac:dyDescent="0.4">
      <c r="B4676" s="8" t="s">
        <v>517</v>
      </c>
      <c r="C4676" s="3" t="s">
        <v>7002</v>
      </c>
      <c r="D4676" s="3" t="s">
        <v>16645</v>
      </c>
      <c r="F4676" s="3" t="s">
        <v>399</v>
      </c>
      <c r="I4676" s="3" t="s">
        <v>1335</v>
      </c>
    </row>
    <row r="4677" spans="2:9" ht="29.25" hidden="1" x14ac:dyDescent="0.4">
      <c r="B4677" s="8" t="s">
        <v>518</v>
      </c>
      <c r="C4677" s="3" t="s">
        <v>7003</v>
      </c>
      <c r="D4677" s="3" t="s">
        <v>16644</v>
      </c>
      <c r="F4677" s="3" t="s">
        <v>399</v>
      </c>
      <c r="I4677" s="3" t="s">
        <v>1335</v>
      </c>
    </row>
    <row r="4678" spans="2:9" hidden="1" x14ac:dyDescent="0.4">
      <c r="B4678" s="8" t="s">
        <v>517</v>
      </c>
      <c r="C4678" s="3" t="s">
        <v>7004</v>
      </c>
      <c r="D4678" s="3" t="s">
        <v>16643</v>
      </c>
      <c r="F4678" s="3" t="s">
        <v>399</v>
      </c>
      <c r="I4678" s="3" t="s">
        <v>1335</v>
      </c>
    </row>
    <row r="4679" spans="2:9" ht="29.25" hidden="1" x14ac:dyDescent="0.4">
      <c r="B4679" s="8" t="s">
        <v>517</v>
      </c>
      <c r="C4679" s="3" t="s">
        <v>7005</v>
      </c>
      <c r="D4679" s="3" t="s">
        <v>16646</v>
      </c>
      <c r="F4679" s="3" t="s">
        <v>399</v>
      </c>
      <c r="I4679" s="3" t="s">
        <v>1335</v>
      </c>
    </row>
    <row r="4680" spans="2:9" hidden="1" x14ac:dyDescent="0.4">
      <c r="B4680" s="8" t="s">
        <v>536</v>
      </c>
      <c r="C4680" s="3" t="s">
        <v>414</v>
      </c>
      <c r="D4680" s="3" t="s">
        <v>16665</v>
      </c>
      <c r="F4680" s="3" t="s">
        <v>1279</v>
      </c>
      <c r="I4680" s="3" t="s">
        <v>7801</v>
      </c>
    </row>
    <row r="4681" spans="2:9" hidden="1" x14ac:dyDescent="0.4">
      <c r="B4681" s="8" t="s">
        <v>7806</v>
      </c>
      <c r="C4681" s="3" t="s">
        <v>7807</v>
      </c>
      <c r="D4681" s="3" t="s">
        <v>16666</v>
      </c>
      <c r="F4681" s="3" t="s">
        <v>1279</v>
      </c>
      <c r="I4681" s="3" t="s">
        <v>7801</v>
      </c>
    </row>
    <row r="4682" spans="2:9" hidden="1" x14ac:dyDescent="0.4">
      <c r="B4682" s="8" t="s">
        <v>518</v>
      </c>
      <c r="C4682" s="3" t="s">
        <v>7368</v>
      </c>
      <c r="D4682" s="3" t="s">
        <v>7808</v>
      </c>
      <c r="F4682" s="3" t="s">
        <v>1279</v>
      </c>
      <c r="I4682" s="3" t="s">
        <v>7801</v>
      </c>
    </row>
    <row r="4683" spans="2:9" hidden="1" x14ac:dyDescent="0.4">
      <c r="B4683" s="8" t="s">
        <v>6740</v>
      </c>
      <c r="C4683" s="3" t="s">
        <v>7369</v>
      </c>
      <c r="D4683" s="3" t="s">
        <v>7809</v>
      </c>
      <c r="F4683" s="3" t="s">
        <v>1279</v>
      </c>
      <c r="I4683" s="3" t="s">
        <v>7801</v>
      </c>
    </row>
    <row r="4684" spans="2:9" hidden="1" x14ac:dyDescent="0.4">
      <c r="B4684" s="8" t="s">
        <v>6740</v>
      </c>
      <c r="C4684" s="3" t="s">
        <v>7367</v>
      </c>
      <c r="D4684" s="3" t="s">
        <v>7809</v>
      </c>
      <c r="F4684" s="3" t="s">
        <v>1279</v>
      </c>
      <c r="I4684" s="3" t="s">
        <v>7801</v>
      </c>
    </row>
    <row r="4685" spans="2:9" hidden="1" x14ac:dyDescent="0.4">
      <c r="B4685" s="8" t="s">
        <v>518</v>
      </c>
      <c r="C4685" s="3" t="s">
        <v>7370</v>
      </c>
      <c r="D4685" s="3" t="s">
        <v>7810</v>
      </c>
      <c r="F4685" s="3" t="s">
        <v>1279</v>
      </c>
      <c r="I4685" s="3" t="s">
        <v>7801</v>
      </c>
    </row>
    <row r="4686" spans="2:9" hidden="1" x14ac:dyDescent="0.4">
      <c r="B4686" s="8" t="s">
        <v>6740</v>
      </c>
      <c r="C4686" s="3" t="s">
        <v>7371</v>
      </c>
      <c r="D4686" s="3" t="s">
        <v>7811</v>
      </c>
      <c r="F4686" s="3" t="s">
        <v>1279</v>
      </c>
      <c r="I4686" s="3" t="s">
        <v>7801</v>
      </c>
    </row>
    <row r="4687" spans="2:9" hidden="1" x14ac:dyDescent="0.4">
      <c r="B4687" s="8" t="s">
        <v>518</v>
      </c>
      <c r="C4687" s="3" t="s">
        <v>7372</v>
      </c>
      <c r="D4687" s="3" t="s">
        <v>16668</v>
      </c>
      <c r="F4687" s="3" t="s">
        <v>1279</v>
      </c>
      <c r="I4687" s="3" t="s">
        <v>7801</v>
      </c>
    </row>
    <row r="4688" spans="2:9" hidden="1" x14ac:dyDescent="0.4">
      <c r="B4688" s="8" t="s">
        <v>6740</v>
      </c>
      <c r="C4688" s="3" t="s">
        <v>7373</v>
      </c>
      <c r="D4688" s="3" t="s">
        <v>16669</v>
      </c>
      <c r="F4688" s="3" t="s">
        <v>1279</v>
      </c>
      <c r="I4688" s="3" t="s">
        <v>7801</v>
      </c>
    </row>
    <row r="4689" spans="2:9" hidden="1" x14ac:dyDescent="0.4">
      <c r="B4689" s="8" t="s">
        <v>517</v>
      </c>
      <c r="C4689" s="3" t="s">
        <v>7374</v>
      </c>
      <c r="D4689" s="3" t="s">
        <v>16670</v>
      </c>
      <c r="F4689" s="3" t="s">
        <v>1279</v>
      </c>
      <c r="I4689" s="3" t="s">
        <v>7801</v>
      </c>
    </row>
    <row r="4690" spans="2:9" hidden="1" x14ac:dyDescent="0.4">
      <c r="B4690" s="8" t="s">
        <v>1990</v>
      </c>
      <c r="C4690" s="3" t="s">
        <v>7375</v>
      </c>
      <c r="D4690" s="3" t="s">
        <v>16671</v>
      </c>
      <c r="F4690" s="3" t="s">
        <v>1279</v>
      </c>
      <c r="I4690" s="3" t="s">
        <v>7801</v>
      </c>
    </row>
    <row r="4691" spans="2:9" hidden="1" x14ac:dyDescent="0.4">
      <c r="B4691" s="8" t="s">
        <v>518</v>
      </c>
      <c r="C4691" s="3" t="s">
        <v>7376</v>
      </c>
      <c r="D4691" s="3" t="s">
        <v>16672</v>
      </c>
      <c r="F4691" s="3" t="s">
        <v>1279</v>
      </c>
      <c r="I4691" s="3" t="s">
        <v>7801</v>
      </c>
    </row>
    <row r="4692" spans="2:9" hidden="1" x14ac:dyDescent="0.4">
      <c r="B4692" s="8" t="s">
        <v>6740</v>
      </c>
      <c r="C4692" s="3" t="s">
        <v>7377</v>
      </c>
      <c r="D4692" s="3" t="s">
        <v>16673</v>
      </c>
      <c r="F4692" s="3" t="s">
        <v>1279</v>
      </c>
      <c r="I4692" s="3" t="s">
        <v>7801</v>
      </c>
    </row>
    <row r="4693" spans="2:9" hidden="1" x14ac:dyDescent="0.4">
      <c r="B4693" s="8" t="s">
        <v>517</v>
      </c>
      <c r="C4693" s="3" t="s">
        <v>7378</v>
      </c>
      <c r="D4693" s="3" t="s">
        <v>16674</v>
      </c>
      <c r="F4693" s="3" t="s">
        <v>1279</v>
      </c>
      <c r="I4693" s="3" t="s">
        <v>7801</v>
      </c>
    </row>
    <row r="4694" spans="2:9" hidden="1" x14ac:dyDescent="0.4">
      <c r="B4694" s="8" t="s">
        <v>1990</v>
      </c>
      <c r="C4694" s="3" t="s">
        <v>7379</v>
      </c>
      <c r="D4694" s="3" t="s">
        <v>16675</v>
      </c>
      <c r="F4694" s="3" t="s">
        <v>1279</v>
      </c>
      <c r="I4694" s="3" t="s">
        <v>7801</v>
      </c>
    </row>
    <row r="4695" spans="2:9" hidden="1" x14ac:dyDescent="0.4">
      <c r="B4695" s="8" t="s">
        <v>517</v>
      </c>
      <c r="C4695" s="3" t="s">
        <v>7380</v>
      </c>
      <c r="D4695" s="3" t="s">
        <v>16676</v>
      </c>
      <c r="F4695" s="3" t="s">
        <v>1279</v>
      </c>
      <c r="I4695" s="3" t="s">
        <v>7801</v>
      </c>
    </row>
    <row r="4696" spans="2:9" hidden="1" x14ac:dyDescent="0.4">
      <c r="B4696" s="8" t="s">
        <v>1990</v>
      </c>
      <c r="C4696" s="3" t="s">
        <v>7381</v>
      </c>
      <c r="D4696" s="3" t="s">
        <v>16678</v>
      </c>
      <c r="F4696" s="3" t="s">
        <v>1279</v>
      </c>
      <c r="I4696" s="3" t="s">
        <v>7801</v>
      </c>
    </row>
    <row r="4697" spans="2:9" hidden="1" x14ac:dyDescent="0.4">
      <c r="B4697" s="8" t="s">
        <v>520</v>
      </c>
      <c r="C4697" s="3" t="s">
        <v>7382</v>
      </c>
      <c r="D4697" s="3" t="s">
        <v>16677</v>
      </c>
      <c r="F4697" s="3" t="s">
        <v>1279</v>
      </c>
      <c r="I4697" s="3" t="s">
        <v>7801</v>
      </c>
    </row>
    <row r="4698" spans="2:9" hidden="1" x14ac:dyDescent="0.4">
      <c r="B4698" s="8" t="s">
        <v>7792</v>
      </c>
      <c r="C4698" s="3" t="s">
        <v>7383</v>
      </c>
      <c r="D4698" s="3" t="s">
        <v>16679</v>
      </c>
      <c r="F4698" s="3" t="s">
        <v>1279</v>
      </c>
      <c r="I4698" s="3" t="s">
        <v>7801</v>
      </c>
    </row>
    <row r="4699" spans="2:9" x14ac:dyDescent="0.4">
      <c r="B4699" s="8" t="s">
        <v>517</v>
      </c>
      <c r="C4699" s="3" t="s">
        <v>7384</v>
      </c>
      <c r="D4699" s="3" t="s">
        <v>16667</v>
      </c>
      <c r="F4699" s="3" t="s">
        <v>1279</v>
      </c>
      <c r="I4699" s="3" t="s">
        <v>244</v>
      </c>
    </row>
    <row r="4700" spans="2:9" x14ac:dyDescent="0.4">
      <c r="B4700" s="8" t="s">
        <v>518</v>
      </c>
      <c r="C4700" s="3" t="s">
        <v>7385</v>
      </c>
      <c r="D4700" s="3" t="s">
        <v>16680</v>
      </c>
      <c r="F4700" s="3" t="s">
        <v>1279</v>
      </c>
      <c r="I4700" s="3" t="s">
        <v>244</v>
      </c>
    </row>
    <row r="4701" spans="2:9" x14ac:dyDescent="0.4">
      <c r="B4701" s="8" t="s">
        <v>518</v>
      </c>
      <c r="C4701" s="3" t="s">
        <v>7386</v>
      </c>
      <c r="D4701" s="3" t="s">
        <v>16681</v>
      </c>
      <c r="F4701" s="3" t="s">
        <v>1279</v>
      </c>
      <c r="I4701" s="3" t="s">
        <v>244</v>
      </c>
    </row>
    <row r="4702" spans="2:9" x14ac:dyDescent="0.4">
      <c r="B4702" s="8" t="s">
        <v>517</v>
      </c>
      <c r="C4702" s="3" t="s">
        <v>7387</v>
      </c>
      <c r="D4702" s="3" t="s">
        <v>16682</v>
      </c>
      <c r="F4702" s="3" t="s">
        <v>1279</v>
      </c>
      <c r="I4702" s="3" t="s">
        <v>244</v>
      </c>
    </row>
    <row r="4703" spans="2:9" x14ac:dyDescent="0.4">
      <c r="B4703" s="8" t="s">
        <v>517</v>
      </c>
      <c r="C4703" s="3" t="s">
        <v>7388</v>
      </c>
      <c r="D4703" s="3" t="s">
        <v>16683</v>
      </c>
      <c r="F4703" s="3" t="s">
        <v>1279</v>
      </c>
      <c r="I4703" s="3" t="s">
        <v>244</v>
      </c>
    </row>
    <row r="4704" spans="2:9" x14ac:dyDescent="0.4">
      <c r="B4704" s="8" t="s">
        <v>518</v>
      </c>
      <c r="C4704" s="3" t="s">
        <v>7389</v>
      </c>
      <c r="D4704" s="3" t="s">
        <v>16684</v>
      </c>
      <c r="F4704" s="3" t="s">
        <v>1279</v>
      </c>
      <c r="I4704" s="3" t="s">
        <v>244</v>
      </c>
    </row>
    <row r="4705" spans="2:9" x14ac:dyDescent="0.4">
      <c r="B4705" s="8" t="s">
        <v>517</v>
      </c>
      <c r="C4705" s="3" t="s">
        <v>7390</v>
      </c>
      <c r="D4705" s="3" t="s">
        <v>16685</v>
      </c>
      <c r="F4705" s="3" t="s">
        <v>1279</v>
      </c>
      <c r="I4705" s="3" t="s">
        <v>244</v>
      </c>
    </row>
    <row r="4706" spans="2:9" x14ac:dyDescent="0.4">
      <c r="B4706" s="8" t="s">
        <v>517</v>
      </c>
      <c r="C4706" s="3" t="s">
        <v>7391</v>
      </c>
      <c r="D4706" s="3" t="s">
        <v>7813</v>
      </c>
      <c r="F4706" s="3" t="s">
        <v>1279</v>
      </c>
      <c r="I4706" s="3" t="s">
        <v>244</v>
      </c>
    </row>
    <row r="4707" spans="2:9" x14ac:dyDescent="0.4">
      <c r="B4707" s="8" t="s">
        <v>518</v>
      </c>
      <c r="C4707" s="3" t="s">
        <v>7392</v>
      </c>
      <c r="D4707" s="3" t="s">
        <v>16686</v>
      </c>
      <c r="F4707" s="3" t="s">
        <v>1279</v>
      </c>
      <c r="I4707" s="3" t="s">
        <v>244</v>
      </c>
    </row>
    <row r="4708" spans="2:9" x14ac:dyDescent="0.4">
      <c r="B4708" s="8" t="s">
        <v>517</v>
      </c>
      <c r="C4708" s="3" t="s">
        <v>7393</v>
      </c>
      <c r="D4708" s="3" t="s">
        <v>16687</v>
      </c>
      <c r="F4708" s="3" t="s">
        <v>1279</v>
      </c>
      <c r="I4708" s="3" t="s">
        <v>244</v>
      </c>
    </row>
    <row r="4709" spans="2:9" x14ac:dyDescent="0.4">
      <c r="B4709" s="8" t="s">
        <v>518</v>
      </c>
      <c r="C4709" s="3" t="s">
        <v>7394</v>
      </c>
      <c r="D4709" s="3" t="s">
        <v>16688</v>
      </c>
      <c r="F4709" s="3" t="s">
        <v>1279</v>
      </c>
      <c r="I4709" s="3" t="s">
        <v>244</v>
      </c>
    </row>
    <row r="4710" spans="2:9" x14ac:dyDescent="0.4">
      <c r="B4710" s="8" t="s">
        <v>517</v>
      </c>
      <c r="C4710" s="3" t="s">
        <v>7395</v>
      </c>
      <c r="D4710" s="3" t="s">
        <v>16689</v>
      </c>
      <c r="F4710" s="3" t="s">
        <v>1279</v>
      </c>
      <c r="I4710" s="3" t="s">
        <v>244</v>
      </c>
    </row>
    <row r="4711" spans="2:9" x14ac:dyDescent="0.4">
      <c r="B4711" s="8" t="s">
        <v>517</v>
      </c>
      <c r="C4711" s="3" t="s">
        <v>7396</v>
      </c>
      <c r="D4711" s="3" t="s">
        <v>16690</v>
      </c>
      <c r="F4711" s="3" t="s">
        <v>1279</v>
      </c>
      <c r="I4711" s="3" t="s">
        <v>244</v>
      </c>
    </row>
    <row r="4712" spans="2:9" x14ac:dyDescent="0.4">
      <c r="B4712" s="8" t="s">
        <v>517</v>
      </c>
      <c r="C4712" s="3" t="s">
        <v>7397</v>
      </c>
      <c r="D4712" s="3" t="s">
        <v>16691</v>
      </c>
      <c r="F4712" s="3" t="s">
        <v>1279</v>
      </c>
      <c r="I4712" s="3" t="s">
        <v>244</v>
      </c>
    </row>
    <row r="4713" spans="2:9" x14ac:dyDescent="0.4">
      <c r="B4713" s="8" t="s">
        <v>517</v>
      </c>
      <c r="C4713" s="3" t="s">
        <v>7398</v>
      </c>
      <c r="D4713" s="3" t="s">
        <v>16692</v>
      </c>
      <c r="F4713" s="3" t="s">
        <v>1279</v>
      </c>
      <c r="I4713" s="3" t="s">
        <v>244</v>
      </c>
    </row>
    <row r="4714" spans="2:9" x14ac:dyDescent="0.4">
      <c r="B4714" s="8" t="s">
        <v>517</v>
      </c>
      <c r="C4714" s="3" t="s">
        <v>7399</v>
      </c>
      <c r="D4714" s="3" t="s">
        <v>16693</v>
      </c>
      <c r="F4714" s="3" t="s">
        <v>1279</v>
      </c>
      <c r="I4714" s="3" t="s">
        <v>244</v>
      </c>
    </row>
    <row r="4715" spans="2:9" x14ac:dyDescent="0.4">
      <c r="B4715" s="8" t="s">
        <v>518</v>
      </c>
      <c r="C4715" s="3" t="s">
        <v>7400</v>
      </c>
      <c r="D4715" s="3" t="s">
        <v>16707</v>
      </c>
      <c r="F4715" s="3" t="s">
        <v>1279</v>
      </c>
      <c r="I4715" s="3" t="s">
        <v>244</v>
      </c>
    </row>
    <row r="4716" spans="2:9" x14ac:dyDescent="0.4">
      <c r="B4716" s="8" t="s">
        <v>517</v>
      </c>
      <c r="C4716" s="3" t="s">
        <v>7401</v>
      </c>
      <c r="D4716" s="3" t="s">
        <v>16708</v>
      </c>
      <c r="F4716" s="3" t="s">
        <v>1279</v>
      </c>
      <c r="G4716" s="3" t="s">
        <v>399</v>
      </c>
      <c r="I4716" s="3" t="s">
        <v>244</v>
      </c>
    </row>
    <row r="4717" spans="2:9" x14ac:dyDescent="0.4">
      <c r="B4717" s="8" t="s">
        <v>518</v>
      </c>
      <c r="C4717" s="3" t="s">
        <v>7402</v>
      </c>
      <c r="D4717" s="3" t="s">
        <v>16694</v>
      </c>
      <c r="F4717" s="3" t="s">
        <v>1279</v>
      </c>
      <c r="G4717" s="3" t="s">
        <v>399</v>
      </c>
      <c r="I4717" s="3" t="s">
        <v>244</v>
      </c>
    </row>
    <row r="4718" spans="2:9" x14ac:dyDescent="0.4">
      <c r="B4718" s="8" t="s">
        <v>517</v>
      </c>
      <c r="C4718" s="3" t="s">
        <v>1189</v>
      </c>
      <c r="D4718" s="3" t="s">
        <v>16695</v>
      </c>
      <c r="F4718" s="3" t="s">
        <v>1279</v>
      </c>
      <c r="G4718" s="3" t="s">
        <v>399</v>
      </c>
      <c r="I4718" s="3" t="s">
        <v>244</v>
      </c>
    </row>
    <row r="4719" spans="2:9" x14ac:dyDescent="0.4">
      <c r="B4719" s="8" t="s">
        <v>517</v>
      </c>
      <c r="C4719" s="3" t="s">
        <v>7403</v>
      </c>
      <c r="D4719" s="3" t="s">
        <v>7814</v>
      </c>
      <c r="F4719" s="3" t="s">
        <v>1279</v>
      </c>
      <c r="I4719" s="3" t="s">
        <v>244</v>
      </c>
    </row>
    <row r="4720" spans="2:9" hidden="1" x14ac:dyDescent="0.4">
      <c r="B4720" s="8" t="s">
        <v>517</v>
      </c>
      <c r="C4720" s="3" t="s">
        <v>7403</v>
      </c>
      <c r="D4720" s="3" t="s">
        <v>7814</v>
      </c>
      <c r="F4720" s="3" t="s">
        <v>1279</v>
      </c>
      <c r="I4720" s="3" t="s">
        <v>7801</v>
      </c>
    </row>
    <row r="4721" spans="2:9" hidden="1" x14ac:dyDescent="0.4">
      <c r="B4721" s="8" t="s">
        <v>530</v>
      </c>
      <c r="C4721" s="3" t="s">
        <v>7404</v>
      </c>
      <c r="D4721" s="3" t="s">
        <v>16697</v>
      </c>
      <c r="F4721" s="3" t="s">
        <v>1279</v>
      </c>
      <c r="I4721" s="3" t="s">
        <v>7801</v>
      </c>
    </row>
    <row r="4722" spans="2:9" hidden="1" x14ac:dyDescent="0.4">
      <c r="B4722" s="8" t="s">
        <v>7793</v>
      </c>
      <c r="C4722" s="3" t="s">
        <v>7405</v>
      </c>
      <c r="D4722" s="3" t="s">
        <v>16696</v>
      </c>
      <c r="F4722" s="3" t="s">
        <v>1279</v>
      </c>
      <c r="I4722" s="3" t="s">
        <v>7801</v>
      </c>
    </row>
    <row r="4723" spans="2:9" ht="29.25" x14ac:dyDescent="0.4">
      <c r="B4723" s="8" t="s">
        <v>517</v>
      </c>
      <c r="C4723" s="3" t="s">
        <v>7406</v>
      </c>
      <c r="D4723" s="3" t="s">
        <v>16709</v>
      </c>
      <c r="F4723" s="3" t="s">
        <v>1279</v>
      </c>
      <c r="I4723" s="3" t="s">
        <v>244</v>
      </c>
    </row>
    <row r="4724" spans="2:9" x14ac:dyDescent="0.4">
      <c r="B4724" s="8" t="s">
        <v>517</v>
      </c>
      <c r="C4724" s="3" t="s">
        <v>7407</v>
      </c>
      <c r="D4724" s="3" t="s">
        <v>7815</v>
      </c>
      <c r="F4724" s="3" t="s">
        <v>1279</v>
      </c>
      <c r="I4724" s="3" t="s">
        <v>244</v>
      </c>
    </row>
    <row r="4725" spans="2:9" x14ac:dyDescent="0.4">
      <c r="B4725" s="8" t="s">
        <v>517</v>
      </c>
      <c r="C4725" s="3" t="s">
        <v>7408</v>
      </c>
      <c r="D4725" s="3" t="s">
        <v>7823</v>
      </c>
      <c r="F4725" s="3" t="s">
        <v>1279</v>
      </c>
      <c r="I4725" s="3" t="s">
        <v>244</v>
      </c>
    </row>
    <row r="4726" spans="2:9" x14ac:dyDescent="0.4">
      <c r="B4726" s="8" t="s">
        <v>517</v>
      </c>
      <c r="C4726" s="3" t="s">
        <v>7409</v>
      </c>
      <c r="D4726" s="3" t="s">
        <v>7816</v>
      </c>
      <c r="F4726" s="3" t="s">
        <v>1279</v>
      </c>
      <c r="I4726" s="3" t="s">
        <v>244</v>
      </c>
    </row>
    <row r="4727" spans="2:9" x14ac:dyDescent="0.4">
      <c r="B4727" s="8" t="s">
        <v>520</v>
      </c>
      <c r="C4727" s="3" t="s">
        <v>7410</v>
      </c>
      <c r="D4727" s="3" t="s">
        <v>16698</v>
      </c>
      <c r="F4727" s="3" t="s">
        <v>1279</v>
      </c>
      <c r="I4727" s="3" t="s">
        <v>244</v>
      </c>
    </row>
    <row r="4728" spans="2:9" x14ac:dyDescent="0.4">
      <c r="B4728" s="8" t="s">
        <v>517</v>
      </c>
      <c r="C4728" s="3" t="s">
        <v>7411</v>
      </c>
      <c r="D4728" s="3" t="s">
        <v>16710</v>
      </c>
      <c r="F4728" s="3" t="s">
        <v>1279</v>
      </c>
      <c r="I4728" s="3" t="s">
        <v>244</v>
      </c>
    </row>
    <row r="4729" spans="2:9" x14ac:dyDescent="0.4">
      <c r="B4729" s="8" t="s">
        <v>520</v>
      </c>
      <c r="C4729" s="3" t="s">
        <v>7412</v>
      </c>
      <c r="D4729" s="3" t="s">
        <v>16711</v>
      </c>
      <c r="F4729" s="3" t="s">
        <v>1279</v>
      </c>
      <c r="I4729" s="3" t="s">
        <v>244</v>
      </c>
    </row>
    <row r="4730" spans="2:9" x14ac:dyDescent="0.4">
      <c r="B4730" s="8" t="s">
        <v>517</v>
      </c>
      <c r="C4730" s="3" t="s">
        <v>7413</v>
      </c>
      <c r="D4730" s="3" t="s">
        <v>16712</v>
      </c>
      <c r="F4730" s="3" t="s">
        <v>1279</v>
      </c>
      <c r="I4730" s="3" t="s">
        <v>244</v>
      </c>
    </row>
    <row r="4731" spans="2:9" x14ac:dyDescent="0.4">
      <c r="B4731" s="8" t="s">
        <v>520</v>
      </c>
      <c r="C4731" s="3" t="s">
        <v>7414</v>
      </c>
      <c r="D4731" s="3" t="s">
        <v>7817</v>
      </c>
      <c r="F4731" s="3" t="s">
        <v>1279</v>
      </c>
      <c r="I4731" s="3" t="s">
        <v>244</v>
      </c>
    </row>
    <row r="4732" spans="2:9" x14ac:dyDescent="0.4">
      <c r="B4732" s="8" t="s">
        <v>517</v>
      </c>
      <c r="C4732" s="3" t="s">
        <v>7415</v>
      </c>
      <c r="D4732" s="3" t="s">
        <v>7818</v>
      </c>
      <c r="F4732" s="3" t="s">
        <v>1279</v>
      </c>
      <c r="I4732" s="3" t="s">
        <v>244</v>
      </c>
    </row>
    <row r="4733" spans="2:9" x14ac:dyDescent="0.4">
      <c r="B4733" s="8" t="s">
        <v>517</v>
      </c>
      <c r="C4733" s="3" t="s">
        <v>7416</v>
      </c>
      <c r="D4733" s="3" t="s">
        <v>16713</v>
      </c>
      <c r="F4733" s="3" t="s">
        <v>1279</v>
      </c>
      <c r="I4733" s="3" t="s">
        <v>244</v>
      </c>
    </row>
    <row r="4734" spans="2:9" x14ac:dyDescent="0.4">
      <c r="B4734" s="8" t="s">
        <v>518</v>
      </c>
      <c r="C4734" s="3" t="s">
        <v>7417</v>
      </c>
      <c r="D4734" s="3" t="s">
        <v>16713</v>
      </c>
      <c r="F4734" s="3" t="s">
        <v>1279</v>
      </c>
      <c r="I4734" s="3" t="s">
        <v>244</v>
      </c>
    </row>
    <row r="4735" spans="2:9" x14ac:dyDescent="0.4">
      <c r="B4735" s="8" t="s">
        <v>529</v>
      </c>
      <c r="C4735" s="3" t="s">
        <v>7418</v>
      </c>
      <c r="D4735" s="3" t="s">
        <v>16714</v>
      </c>
      <c r="F4735" s="3" t="s">
        <v>1279</v>
      </c>
      <c r="I4735" s="3" t="s">
        <v>244</v>
      </c>
    </row>
    <row r="4736" spans="2:9" x14ac:dyDescent="0.4">
      <c r="B4736" s="8" t="s">
        <v>517</v>
      </c>
      <c r="C4736" s="3" t="s">
        <v>7419</v>
      </c>
      <c r="D4736" s="3" t="s">
        <v>16714</v>
      </c>
      <c r="F4736" s="3" t="s">
        <v>1279</v>
      </c>
      <c r="I4736" s="3" t="s">
        <v>244</v>
      </c>
    </row>
    <row r="4737" spans="2:9" x14ac:dyDescent="0.4">
      <c r="B4737" s="8" t="s">
        <v>517</v>
      </c>
      <c r="C4737" s="3" t="s">
        <v>7420</v>
      </c>
      <c r="D4737" s="3" t="s">
        <v>16714</v>
      </c>
      <c r="F4737" s="3" t="s">
        <v>1279</v>
      </c>
      <c r="I4737" s="3" t="s">
        <v>244</v>
      </c>
    </row>
    <row r="4738" spans="2:9" x14ac:dyDescent="0.4">
      <c r="B4738" s="8" t="s">
        <v>518</v>
      </c>
      <c r="C4738" s="3" t="s">
        <v>7421</v>
      </c>
      <c r="D4738" s="3" t="s">
        <v>16715</v>
      </c>
      <c r="F4738" s="3" t="s">
        <v>1279</v>
      </c>
      <c r="I4738" s="3" t="s">
        <v>244</v>
      </c>
    </row>
    <row r="4739" spans="2:9" x14ac:dyDescent="0.4">
      <c r="B4739" s="8" t="s">
        <v>517</v>
      </c>
      <c r="C4739" s="3" t="s">
        <v>7422</v>
      </c>
      <c r="D4739" s="3" t="s">
        <v>16715</v>
      </c>
      <c r="F4739" s="3" t="s">
        <v>1279</v>
      </c>
      <c r="I4739" s="3" t="s">
        <v>244</v>
      </c>
    </row>
    <row r="4740" spans="2:9" x14ac:dyDescent="0.4">
      <c r="B4740" s="8" t="s">
        <v>518</v>
      </c>
      <c r="C4740" s="3" t="s">
        <v>7423</v>
      </c>
      <c r="D4740" s="3" t="s">
        <v>16715</v>
      </c>
      <c r="F4740" s="3" t="s">
        <v>1279</v>
      </c>
      <c r="I4740" s="3" t="s">
        <v>244</v>
      </c>
    </row>
    <row r="4741" spans="2:9" x14ac:dyDescent="0.4">
      <c r="B4741" s="8" t="s">
        <v>517</v>
      </c>
      <c r="C4741" s="3" t="s">
        <v>7424</v>
      </c>
      <c r="D4741" s="3" t="s">
        <v>16716</v>
      </c>
      <c r="F4741" s="3" t="s">
        <v>1279</v>
      </c>
      <c r="I4741" s="3" t="s">
        <v>244</v>
      </c>
    </row>
    <row r="4742" spans="2:9" x14ac:dyDescent="0.4">
      <c r="B4742" s="8" t="s">
        <v>517</v>
      </c>
      <c r="C4742" s="3" t="s">
        <v>7425</v>
      </c>
      <c r="D4742" s="3" t="s">
        <v>16717</v>
      </c>
      <c r="F4742" s="3" t="s">
        <v>1279</v>
      </c>
      <c r="I4742" s="3" t="s">
        <v>244</v>
      </c>
    </row>
    <row r="4743" spans="2:9" x14ac:dyDescent="0.4">
      <c r="B4743" s="8" t="s">
        <v>517</v>
      </c>
      <c r="C4743" s="3" t="s">
        <v>7426</v>
      </c>
      <c r="D4743" s="3" t="s">
        <v>16717</v>
      </c>
      <c r="F4743" s="3" t="s">
        <v>1279</v>
      </c>
      <c r="I4743" s="3" t="s">
        <v>244</v>
      </c>
    </row>
    <row r="4744" spans="2:9" x14ac:dyDescent="0.4">
      <c r="B4744" s="8" t="s">
        <v>531</v>
      </c>
      <c r="C4744" s="3" t="s">
        <v>7427</v>
      </c>
      <c r="D4744" s="3" t="s">
        <v>16718</v>
      </c>
      <c r="F4744" s="3" t="s">
        <v>1279</v>
      </c>
      <c r="I4744" s="3" t="s">
        <v>244</v>
      </c>
    </row>
    <row r="4745" spans="2:9" x14ac:dyDescent="0.4">
      <c r="B4745" s="8" t="s">
        <v>517</v>
      </c>
      <c r="C4745" s="3" t="s">
        <v>7428</v>
      </c>
      <c r="D4745" s="3" t="s">
        <v>7820</v>
      </c>
      <c r="F4745" s="3" t="s">
        <v>1279</v>
      </c>
      <c r="I4745" s="3" t="s">
        <v>244</v>
      </c>
    </row>
    <row r="4746" spans="2:9" x14ac:dyDescent="0.4">
      <c r="B4746" s="8" t="s">
        <v>517</v>
      </c>
      <c r="C4746" s="3" t="s">
        <v>7429</v>
      </c>
      <c r="D4746" s="3" t="s">
        <v>16701</v>
      </c>
      <c r="F4746" s="3" t="s">
        <v>1279</v>
      </c>
      <c r="I4746" s="3" t="s">
        <v>244</v>
      </c>
    </row>
    <row r="4747" spans="2:9" x14ac:dyDescent="0.4">
      <c r="B4747" s="8" t="s">
        <v>529</v>
      </c>
      <c r="C4747" s="3" t="s">
        <v>7430</v>
      </c>
      <c r="D4747" s="3" t="s">
        <v>16719</v>
      </c>
      <c r="F4747" s="3" t="s">
        <v>1279</v>
      </c>
      <c r="I4747" s="3" t="s">
        <v>244</v>
      </c>
    </row>
    <row r="4748" spans="2:9" x14ac:dyDescent="0.4">
      <c r="B4748" s="8" t="s">
        <v>517</v>
      </c>
      <c r="C4748" s="3" t="s">
        <v>7431</v>
      </c>
      <c r="D4748" s="3" t="s">
        <v>16706</v>
      </c>
      <c r="F4748" s="3" t="s">
        <v>1279</v>
      </c>
      <c r="I4748" s="3" t="s">
        <v>244</v>
      </c>
    </row>
    <row r="4749" spans="2:9" x14ac:dyDescent="0.4">
      <c r="B4749" s="8" t="s">
        <v>517</v>
      </c>
      <c r="C4749" s="3" t="s">
        <v>7432</v>
      </c>
      <c r="D4749" s="3" t="s">
        <v>16720</v>
      </c>
      <c r="F4749" s="3" t="s">
        <v>1279</v>
      </c>
      <c r="I4749" s="3" t="s">
        <v>244</v>
      </c>
    </row>
    <row r="4750" spans="2:9" x14ac:dyDescent="0.4">
      <c r="B4750" s="8" t="s">
        <v>517</v>
      </c>
      <c r="C4750" s="3" t="s">
        <v>7433</v>
      </c>
      <c r="D4750" s="3" t="s">
        <v>16721</v>
      </c>
      <c r="F4750" s="3" t="s">
        <v>1279</v>
      </c>
      <c r="I4750" s="3" t="s">
        <v>244</v>
      </c>
    </row>
    <row r="4751" spans="2:9" x14ac:dyDescent="0.4">
      <c r="B4751" s="8" t="s">
        <v>530</v>
      </c>
      <c r="C4751" s="3" t="s">
        <v>7434</v>
      </c>
      <c r="D4751" s="3" t="s">
        <v>16722</v>
      </c>
      <c r="F4751" s="3" t="s">
        <v>1279</v>
      </c>
      <c r="I4751" s="3" t="s">
        <v>244</v>
      </c>
    </row>
    <row r="4752" spans="2:9" x14ac:dyDescent="0.4">
      <c r="B4752" s="8" t="s">
        <v>517</v>
      </c>
      <c r="C4752" s="3" t="s">
        <v>7435</v>
      </c>
      <c r="D4752" s="3" t="s">
        <v>16723</v>
      </c>
      <c r="F4752" s="3" t="s">
        <v>1279</v>
      </c>
      <c r="I4752" s="3" t="s">
        <v>244</v>
      </c>
    </row>
    <row r="4753" spans="2:9" x14ac:dyDescent="0.4">
      <c r="B4753" s="8" t="s">
        <v>517</v>
      </c>
      <c r="C4753" s="3" t="s">
        <v>7436</v>
      </c>
      <c r="D4753" s="3" t="s">
        <v>16724</v>
      </c>
      <c r="F4753" s="3" t="s">
        <v>1279</v>
      </c>
      <c r="I4753" s="3" t="s">
        <v>244</v>
      </c>
    </row>
    <row r="4754" spans="2:9" x14ac:dyDescent="0.4">
      <c r="B4754" s="8" t="s">
        <v>517</v>
      </c>
      <c r="C4754" s="3" t="s">
        <v>7437</v>
      </c>
      <c r="D4754" s="3" t="s">
        <v>16725</v>
      </c>
      <c r="F4754" s="3" t="s">
        <v>1279</v>
      </c>
      <c r="I4754" s="3" t="s">
        <v>244</v>
      </c>
    </row>
    <row r="4755" spans="2:9" x14ac:dyDescent="0.4">
      <c r="B4755" s="8" t="s">
        <v>517</v>
      </c>
      <c r="C4755" s="3" t="s">
        <v>7438</v>
      </c>
      <c r="D4755" s="3" t="s">
        <v>16726</v>
      </c>
      <c r="F4755" s="3" t="s">
        <v>1279</v>
      </c>
      <c r="I4755" s="3" t="s">
        <v>244</v>
      </c>
    </row>
    <row r="4756" spans="2:9" x14ac:dyDescent="0.4">
      <c r="B4756" s="8" t="s">
        <v>517</v>
      </c>
      <c r="C4756" s="3" t="s">
        <v>7439</v>
      </c>
      <c r="D4756" s="3" t="s">
        <v>7821</v>
      </c>
      <c r="F4756" s="3" t="s">
        <v>1279</v>
      </c>
      <c r="I4756" s="3" t="s">
        <v>244</v>
      </c>
    </row>
    <row r="4757" spans="2:9" x14ac:dyDescent="0.4">
      <c r="B4757" s="8" t="s">
        <v>517</v>
      </c>
      <c r="C4757" s="3" t="s">
        <v>7440</v>
      </c>
      <c r="D4757" s="3" t="s">
        <v>7822</v>
      </c>
      <c r="F4757" s="3" t="s">
        <v>1279</v>
      </c>
      <c r="I4757" s="3" t="s">
        <v>244</v>
      </c>
    </row>
    <row r="4758" spans="2:9" x14ac:dyDescent="0.4">
      <c r="B4758" s="8" t="s">
        <v>517</v>
      </c>
      <c r="C4758" s="3" t="s">
        <v>7441</v>
      </c>
      <c r="D4758" s="3" t="s">
        <v>7822</v>
      </c>
      <c r="F4758" s="3" t="s">
        <v>1279</v>
      </c>
      <c r="I4758" s="3" t="s">
        <v>244</v>
      </c>
    </row>
    <row r="4759" spans="2:9" x14ac:dyDescent="0.4">
      <c r="B4759" s="8" t="s">
        <v>517</v>
      </c>
      <c r="C4759" s="3" t="s">
        <v>7442</v>
      </c>
      <c r="D4759" s="3" t="s">
        <v>16727</v>
      </c>
      <c r="F4759" s="3" t="s">
        <v>1279</v>
      </c>
      <c r="I4759" s="3" t="s">
        <v>244</v>
      </c>
    </row>
    <row r="4760" spans="2:9" x14ac:dyDescent="0.4">
      <c r="B4760" s="8" t="s">
        <v>518</v>
      </c>
      <c r="C4760" s="3" t="s">
        <v>7443</v>
      </c>
      <c r="D4760" s="3" t="s">
        <v>16728</v>
      </c>
      <c r="F4760" s="3" t="s">
        <v>1279</v>
      </c>
      <c r="I4760" s="3" t="s">
        <v>244</v>
      </c>
    </row>
    <row r="4761" spans="2:9" x14ac:dyDescent="0.4">
      <c r="B4761" s="8" t="s">
        <v>518</v>
      </c>
      <c r="C4761" s="3" t="s">
        <v>7444</v>
      </c>
      <c r="D4761" s="3" t="s">
        <v>16729</v>
      </c>
      <c r="F4761" s="3" t="s">
        <v>1279</v>
      </c>
      <c r="I4761" s="3" t="s">
        <v>244</v>
      </c>
    </row>
    <row r="4762" spans="2:9" x14ac:dyDescent="0.4">
      <c r="B4762" s="8" t="s">
        <v>517</v>
      </c>
      <c r="C4762" s="3" t="s">
        <v>7445</v>
      </c>
      <c r="D4762" s="3" t="s">
        <v>16730</v>
      </c>
      <c r="F4762" s="3" t="s">
        <v>1279</v>
      </c>
      <c r="I4762" s="3" t="s">
        <v>244</v>
      </c>
    </row>
    <row r="4763" spans="2:9" x14ac:dyDescent="0.4">
      <c r="B4763" s="8" t="s">
        <v>518</v>
      </c>
      <c r="C4763" s="3" t="s">
        <v>6944</v>
      </c>
      <c r="D4763" s="3" t="s">
        <v>16731</v>
      </c>
      <c r="F4763" s="3" t="s">
        <v>1279</v>
      </c>
      <c r="G4763" s="3" t="s">
        <v>399</v>
      </c>
      <c r="I4763" s="3" t="s">
        <v>244</v>
      </c>
    </row>
    <row r="4764" spans="2:9" x14ac:dyDescent="0.4">
      <c r="B4764" s="8" t="s">
        <v>518</v>
      </c>
      <c r="C4764" s="3" t="s">
        <v>7446</v>
      </c>
      <c r="D4764" s="3" t="s">
        <v>16732</v>
      </c>
      <c r="F4764" s="3" t="s">
        <v>1279</v>
      </c>
      <c r="I4764" s="3" t="s">
        <v>244</v>
      </c>
    </row>
    <row r="4765" spans="2:9" x14ac:dyDescent="0.4">
      <c r="B4765" s="8" t="s">
        <v>517</v>
      </c>
      <c r="C4765" s="3" t="s">
        <v>7447</v>
      </c>
      <c r="D4765" s="3" t="s">
        <v>16733</v>
      </c>
      <c r="F4765" s="3" t="s">
        <v>1279</v>
      </c>
      <c r="I4765" s="3" t="s">
        <v>244</v>
      </c>
    </row>
    <row r="4766" spans="2:9" x14ac:dyDescent="0.4">
      <c r="B4766" s="8" t="s">
        <v>518</v>
      </c>
      <c r="C4766" s="3" t="s">
        <v>7448</v>
      </c>
      <c r="D4766" s="3" t="s">
        <v>16734</v>
      </c>
      <c r="F4766" s="3" t="s">
        <v>1279</v>
      </c>
      <c r="I4766" s="3" t="s">
        <v>244</v>
      </c>
    </row>
    <row r="4767" spans="2:9" x14ac:dyDescent="0.4">
      <c r="B4767" s="8" t="s">
        <v>518</v>
      </c>
      <c r="C4767" s="3" t="s">
        <v>7449</v>
      </c>
      <c r="D4767" s="3" t="s">
        <v>16734</v>
      </c>
      <c r="F4767" s="3" t="s">
        <v>1279</v>
      </c>
      <c r="I4767" s="3" t="s">
        <v>244</v>
      </c>
    </row>
    <row r="4768" spans="2:9" x14ac:dyDescent="0.4">
      <c r="B4768" s="8" t="s">
        <v>518</v>
      </c>
      <c r="C4768" s="3" t="s">
        <v>7450</v>
      </c>
      <c r="D4768" s="3" t="s">
        <v>16735</v>
      </c>
      <c r="E4768" s="3" t="s">
        <v>432</v>
      </c>
      <c r="F4768" s="3" t="s">
        <v>1279</v>
      </c>
      <c r="I4768" s="3" t="s">
        <v>244</v>
      </c>
    </row>
    <row r="4769" spans="2:9" x14ac:dyDescent="0.4">
      <c r="B4769" s="8" t="s">
        <v>517</v>
      </c>
      <c r="C4769" s="3" t="s">
        <v>7451</v>
      </c>
      <c r="D4769" s="3" t="s">
        <v>16736</v>
      </c>
      <c r="F4769" s="3" t="s">
        <v>1279</v>
      </c>
      <c r="I4769" s="3" t="s">
        <v>244</v>
      </c>
    </row>
    <row r="4770" spans="2:9" x14ac:dyDescent="0.4">
      <c r="B4770" s="8" t="s">
        <v>517</v>
      </c>
      <c r="C4770" s="3" t="s">
        <v>7452</v>
      </c>
      <c r="D4770" s="3" t="s">
        <v>16737</v>
      </c>
      <c r="F4770" s="3" t="s">
        <v>1279</v>
      </c>
      <c r="I4770" s="3" t="s">
        <v>244</v>
      </c>
    </row>
    <row r="4771" spans="2:9" x14ac:dyDescent="0.4">
      <c r="B4771" s="8" t="s">
        <v>517</v>
      </c>
      <c r="C4771" s="3" t="s">
        <v>7453</v>
      </c>
      <c r="D4771" s="3" t="s">
        <v>16738</v>
      </c>
      <c r="F4771" s="3" t="s">
        <v>1279</v>
      </c>
      <c r="I4771" s="3" t="s">
        <v>244</v>
      </c>
    </row>
    <row r="4772" spans="2:9" x14ac:dyDescent="0.4">
      <c r="B4772" s="8" t="s">
        <v>532</v>
      </c>
      <c r="C4772" s="3" t="s">
        <v>7454</v>
      </c>
      <c r="D4772" s="3" t="s">
        <v>7824</v>
      </c>
      <c r="F4772" s="3" t="s">
        <v>1279</v>
      </c>
      <c r="I4772" s="3" t="s">
        <v>244</v>
      </c>
    </row>
    <row r="4773" spans="2:9" x14ac:dyDescent="0.4">
      <c r="B4773" s="8" t="s">
        <v>518</v>
      </c>
      <c r="C4773" s="3" t="s">
        <v>7455</v>
      </c>
      <c r="D4773" s="3" t="s">
        <v>7825</v>
      </c>
      <c r="F4773" s="3" t="s">
        <v>1279</v>
      </c>
      <c r="I4773" s="3" t="s">
        <v>244</v>
      </c>
    </row>
    <row r="4774" spans="2:9" x14ac:dyDescent="0.4">
      <c r="B4774" s="8" t="s">
        <v>517</v>
      </c>
      <c r="C4774" s="3" t="s">
        <v>7456</v>
      </c>
      <c r="D4774" s="3" t="s">
        <v>7826</v>
      </c>
      <c r="F4774" s="3" t="s">
        <v>1279</v>
      </c>
      <c r="I4774" s="3" t="s">
        <v>244</v>
      </c>
    </row>
    <row r="4775" spans="2:9" x14ac:dyDescent="0.4">
      <c r="B4775" s="8" t="s">
        <v>518</v>
      </c>
      <c r="C4775" s="3" t="s">
        <v>7457</v>
      </c>
      <c r="D4775" s="3" t="s">
        <v>7827</v>
      </c>
      <c r="F4775" s="3" t="s">
        <v>1279</v>
      </c>
      <c r="I4775" s="3" t="s">
        <v>244</v>
      </c>
    </row>
    <row r="4776" spans="2:9" x14ac:dyDescent="0.4">
      <c r="B4776" s="8" t="s">
        <v>517</v>
      </c>
      <c r="C4776" s="3" t="s">
        <v>7458</v>
      </c>
      <c r="D4776" s="3" t="s">
        <v>7828</v>
      </c>
      <c r="F4776" s="3" t="s">
        <v>1279</v>
      </c>
      <c r="I4776" s="3" t="s">
        <v>244</v>
      </c>
    </row>
    <row r="4777" spans="2:9" x14ac:dyDescent="0.4">
      <c r="B4777" s="8" t="s">
        <v>518</v>
      </c>
      <c r="C4777" s="3" t="s">
        <v>7459</v>
      </c>
      <c r="D4777" s="3" t="s">
        <v>7829</v>
      </c>
      <c r="F4777" s="3" t="s">
        <v>1279</v>
      </c>
      <c r="I4777" s="3" t="s">
        <v>244</v>
      </c>
    </row>
    <row r="4778" spans="2:9" x14ac:dyDescent="0.4">
      <c r="B4778" s="8" t="s">
        <v>518</v>
      </c>
      <c r="C4778" s="3" t="s">
        <v>7460</v>
      </c>
      <c r="D4778" s="3" t="s">
        <v>7829</v>
      </c>
      <c r="F4778" s="3" t="s">
        <v>1279</v>
      </c>
      <c r="I4778" s="3" t="s">
        <v>244</v>
      </c>
    </row>
    <row r="4779" spans="2:9" x14ac:dyDescent="0.4">
      <c r="B4779" s="8" t="s">
        <v>518</v>
      </c>
      <c r="C4779" s="3" t="s">
        <v>7461</v>
      </c>
      <c r="D4779" s="3" t="s">
        <v>16705</v>
      </c>
      <c r="F4779" s="3" t="s">
        <v>1279</v>
      </c>
      <c r="I4779" s="3" t="s">
        <v>244</v>
      </c>
    </row>
    <row r="4780" spans="2:9" x14ac:dyDescent="0.4">
      <c r="B4780" s="8" t="s">
        <v>531</v>
      </c>
      <c r="C4780" s="3" t="s">
        <v>7462</v>
      </c>
      <c r="D4780" s="3" t="s">
        <v>7830</v>
      </c>
      <c r="F4780" s="3" t="s">
        <v>1279</v>
      </c>
      <c r="I4780" s="3" t="s">
        <v>244</v>
      </c>
    </row>
    <row r="4781" spans="2:9" x14ac:dyDescent="0.4">
      <c r="B4781" s="8" t="s">
        <v>529</v>
      </c>
      <c r="C4781" s="3" t="s">
        <v>7463</v>
      </c>
      <c r="D4781" s="3" t="s">
        <v>7831</v>
      </c>
      <c r="F4781" s="3" t="s">
        <v>1279</v>
      </c>
      <c r="I4781" s="3" t="s">
        <v>244</v>
      </c>
    </row>
    <row r="4782" spans="2:9" x14ac:dyDescent="0.4">
      <c r="B4782" s="8" t="s">
        <v>520</v>
      </c>
      <c r="C4782" s="3" t="s">
        <v>7464</v>
      </c>
      <c r="D4782" s="3" t="s">
        <v>7832</v>
      </c>
      <c r="F4782" s="3" t="s">
        <v>1279</v>
      </c>
      <c r="I4782" s="3" t="s">
        <v>244</v>
      </c>
    </row>
    <row r="4783" spans="2:9" x14ac:dyDescent="0.4">
      <c r="B4783" s="8" t="s">
        <v>517</v>
      </c>
      <c r="C4783" s="3" t="s">
        <v>7465</v>
      </c>
      <c r="D4783" s="3" t="s">
        <v>7833</v>
      </c>
      <c r="F4783" s="3" t="s">
        <v>1279</v>
      </c>
      <c r="I4783" s="3" t="s">
        <v>244</v>
      </c>
    </row>
    <row r="4784" spans="2:9" x14ac:dyDescent="0.4">
      <c r="B4784" s="8" t="s">
        <v>517</v>
      </c>
      <c r="C4784" s="3" t="s">
        <v>7466</v>
      </c>
      <c r="D4784" s="3" t="s">
        <v>7834</v>
      </c>
      <c r="F4784" s="3" t="s">
        <v>1279</v>
      </c>
      <c r="I4784" s="3" t="s">
        <v>244</v>
      </c>
    </row>
    <row r="4785" spans="2:9" x14ac:dyDescent="0.4">
      <c r="B4785" s="8" t="s">
        <v>520</v>
      </c>
      <c r="C4785" s="3" t="s">
        <v>7467</v>
      </c>
      <c r="D4785" s="3" t="s">
        <v>7835</v>
      </c>
      <c r="F4785" s="3" t="s">
        <v>1279</v>
      </c>
      <c r="I4785" s="3" t="s">
        <v>244</v>
      </c>
    </row>
    <row r="4786" spans="2:9" x14ac:dyDescent="0.4">
      <c r="B4786" s="8" t="s">
        <v>517</v>
      </c>
      <c r="C4786" s="3" t="s">
        <v>7468</v>
      </c>
      <c r="D4786" s="3" t="s">
        <v>7836</v>
      </c>
      <c r="F4786" s="3" t="s">
        <v>1279</v>
      </c>
      <c r="I4786" s="3" t="s">
        <v>244</v>
      </c>
    </row>
    <row r="4787" spans="2:9" x14ac:dyDescent="0.4">
      <c r="B4787" s="8" t="s">
        <v>530</v>
      </c>
      <c r="C4787" s="3" t="s">
        <v>7469</v>
      </c>
      <c r="D4787" s="3" t="s">
        <v>7837</v>
      </c>
      <c r="F4787" s="3" t="s">
        <v>1279</v>
      </c>
      <c r="I4787" s="3" t="s">
        <v>244</v>
      </c>
    </row>
    <row r="4788" spans="2:9" x14ac:dyDescent="0.4">
      <c r="B4788" s="8" t="s">
        <v>532</v>
      </c>
      <c r="C4788" s="3" t="s">
        <v>7470</v>
      </c>
      <c r="D4788" s="3" t="s">
        <v>7838</v>
      </c>
      <c r="F4788" s="3" t="s">
        <v>1279</v>
      </c>
      <c r="I4788" s="3" t="s">
        <v>244</v>
      </c>
    </row>
    <row r="4789" spans="2:9" x14ac:dyDescent="0.4">
      <c r="B4789" s="8" t="s">
        <v>529</v>
      </c>
      <c r="C4789" s="3" t="s">
        <v>7471</v>
      </c>
      <c r="D4789" s="3" t="s">
        <v>7839</v>
      </c>
      <c r="F4789" s="3" t="s">
        <v>1279</v>
      </c>
      <c r="I4789" s="3" t="s">
        <v>244</v>
      </c>
    </row>
    <row r="4790" spans="2:9" x14ac:dyDescent="0.4">
      <c r="B4790" s="8" t="s">
        <v>520</v>
      </c>
      <c r="C4790" s="3" t="s">
        <v>7472</v>
      </c>
      <c r="D4790" s="3" t="s">
        <v>7840</v>
      </c>
      <c r="F4790" s="3" t="s">
        <v>1279</v>
      </c>
      <c r="I4790" s="3" t="s">
        <v>244</v>
      </c>
    </row>
    <row r="4791" spans="2:9" x14ac:dyDescent="0.4">
      <c r="B4791" s="8" t="s">
        <v>518</v>
      </c>
      <c r="C4791" s="3" t="s">
        <v>7473</v>
      </c>
      <c r="D4791" s="3" t="s">
        <v>7841</v>
      </c>
      <c r="F4791" s="3" t="s">
        <v>1279</v>
      </c>
      <c r="I4791" s="3" t="s">
        <v>244</v>
      </c>
    </row>
    <row r="4792" spans="2:9" x14ac:dyDescent="0.4">
      <c r="B4792" s="8" t="s">
        <v>520</v>
      </c>
      <c r="C4792" s="3" t="s">
        <v>7474</v>
      </c>
      <c r="D4792" s="3" t="s">
        <v>7842</v>
      </c>
      <c r="F4792" s="3" t="s">
        <v>1279</v>
      </c>
      <c r="I4792" s="3" t="s">
        <v>244</v>
      </c>
    </row>
    <row r="4793" spans="2:9" x14ac:dyDescent="0.4">
      <c r="B4793" s="8" t="s">
        <v>518</v>
      </c>
      <c r="C4793" s="3" t="s">
        <v>7475</v>
      </c>
      <c r="D4793" s="3" t="s">
        <v>7843</v>
      </c>
      <c r="F4793" s="3" t="s">
        <v>1279</v>
      </c>
      <c r="I4793" s="3" t="s">
        <v>244</v>
      </c>
    </row>
    <row r="4794" spans="2:9" x14ac:dyDescent="0.4">
      <c r="B4794" s="8" t="s">
        <v>517</v>
      </c>
      <c r="C4794" s="3" t="s">
        <v>7476</v>
      </c>
      <c r="D4794" s="3" t="s">
        <v>7844</v>
      </c>
      <c r="F4794" s="3" t="s">
        <v>1279</v>
      </c>
      <c r="I4794" s="3" t="s">
        <v>244</v>
      </c>
    </row>
    <row r="4795" spans="2:9" x14ac:dyDescent="0.4">
      <c r="B4795" s="8" t="s">
        <v>517</v>
      </c>
      <c r="C4795" s="3" t="s">
        <v>7477</v>
      </c>
      <c r="D4795" s="3" t="s">
        <v>7845</v>
      </c>
      <c r="F4795" s="3" t="s">
        <v>1279</v>
      </c>
      <c r="I4795" s="3" t="s">
        <v>244</v>
      </c>
    </row>
    <row r="4796" spans="2:9" x14ac:dyDescent="0.4">
      <c r="B4796" s="8" t="s">
        <v>517</v>
      </c>
      <c r="C4796" s="3" t="s">
        <v>7478</v>
      </c>
      <c r="D4796" s="3" t="s">
        <v>7846</v>
      </c>
      <c r="F4796" s="3" t="s">
        <v>1279</v>
      </c>
      <c r="I4796" s="3" t="s">
        <v>244</v>
      </c>
    </row>
    <row r="4797" spans="2:9" x14ac:dyDescent="0.4">
      <c r="B4797" s="8" t="s">
        <v>531</v>
      </c>
      <c r="C4797" s="3" t="s">
        <v>7479</v>
      </c>
      <c r="D4797" s="3" t="s">
        <v>7847</v>
      </c>
      <c r="F4797" s="3" t="s">
        <v>1279</v>
      </c>
      <c r="I4797" s="3" t="s">
        <v>244</v>
      </c>
    </row>
    <row r="4798" spans="2:9" x14ac:dyDescent="0.4">
      <c r="B4798" s="8" t="s">
        <v>531</v>
      </c>
      <c r="C4798" s="3" t="s">
        <v>7480</v>
      </c>
      <c r="D4798" s="3" t="s">
        <v>7848</v>
      </c>
      <c r="F4798" s="3" t="s">
        <v>1279</v>
      </c>
      <c r="I4798" s="3" t="s">
        <v>244</v>
      </c>
    </row>
    <row r="4799" spans="2:9" x14ac:dyDescent="0.4">
      <c r="B4799" s="8" t="s">
        <v>518</v>
      </c>
      <c r="C4799" s="3" t="s">
        <v>7481</v>
      </c>
      <c r="D4799" s="3" t="s">
        <v>7849</v>
      </c>
      <c r="F4799" s="3" t="s">
        <v>1279</v>
      </c>
      <c r="I4799" s="3" t="s">
        <v>244</v>
      </c>
    </row>
    <row r="4800" spans="2:9" x14ac:dyDescent="0.4">
      <c r="B4800" s="8" t="s">
        <v>518</v>
      </c>
      <c r="C4800" s="3" t="s">
        <v>7482</v>
      </c>
      <c r="D4800" s="3" t="s">
        <v>7850</v>
      </c>
      <c r="F4800" s="3" t="s">
        <v>1279</v>
      </c>
      <c r="I4800" s="3" t="s">
        <v>244</v>
      </c>
    </row>
    <row r="4801" spans="2:9" x14ac:dyDescent="0.4">
      <c r="B4801" s="8" t="s">
        <v>531</v>
      </c>
      <c r="C4801" s="3" t="s">
        <v>7483</v>
      </c>
      <c r="D4801" s="3" t="s">
        <v>7851</v>
      </c>
      <c r="F4801" s="3" t="s">
        <v>1279</v>
      </c>
      <c r="I4801" s="3" t="s">
        <v>244</v>
      </c>
    </row>
    <row r="4802" spans="2:9" x14ac:dyDescent="0.4">
      <c r="B4802" s="8" t="s">
        <v>518</v>
      </c>
      <c r="C4802" s="3" t="s">
        <v>7484</v>
      </c>
      <c r="D4802" s="3" t="s">
        <v>7852</v>
      </c>
      <c r="F4802" s="3" t="s">
        <v>1279</v>
      </c>
      <c r="I4802" s="3" t="s">
        <v>244</v>
      </c>
    </row>
    <row r="4803" spans="2:9" x14ac:dyDescent="0.4">
      <c r="B4803" s="8" t="s">
        <v>518</v>
      </c>
      <c r="C4803" s="3" t="s">
        <v>7485</v>
      </c>
      <c r="D4803" s="3" t="s">
        <v>7853</v>
      </c>
      <c r="F4803" s="3" t="s">
        <v>1279</v>
      </c>
      <c r="I4803" s="3" t="s">
        <v>244</v>
      </c>
    </row>
    <row r="4804" spans="2:9" x14ac:dyDescent="0.4">
      <c r="B4804" s="8" t="s">
        <v>518</v>
      </c>
      <c r="C4804" s="3" t="s">
        <v>7486</v>
      </c>
      <c r="D4804" s="3" t="s">
        <v>7854</v>
      </c>
      <c r="F4804" s="3" t="s">
        <v>1279</v>
      </c>
      <c r="I4804" s="3" t="s">
        <v>244</v>
      </c>
    </row>
    <row r="4805" spans="2:9" x14ac:dyDescent="0.4">
      <c r="B4805" s="8" t="s">
        <v>531</v>
      </c>
      <c r="C4805" s="3" t="s">
        <v>7487</v>
      </c>
      <c r="D4805" s="3" t="s">
        <v>7855</v>
      </c>
      <c r="F4805" s="3" t="s">
        <v>1279</v>
      </c>
      <c r="I4805" s="3" t="s">
        <v>244</v>
      </c>
    </row>
    <row r="4806" spans="2:9" x14ac:dyDescent="0.4">
      <c r="B4806" s="8" t="s">
        <v>518</v>
      </c>
      <c r="C4806" s="3" t="s">
        <v>7488</v>
      </c>
      <c r="D4806" s="3" t="s">
        <v>7856</v>
      </c>
      <c r="F4806" s="3" t="s">
        <v>1279</v>
      </c>
      <c r="I4806" s="3" t="s">
        <v>244</v>
      </c>
    </row>
    <row r="4807" spans="2:9" x14ac:dyDescent="0.4">
      <c r="B4807" s="8" t="s">
        <v>1278</v>
      </c>
      <c r="C4807" s="3" t="s">
        <v>7489</v>
      </c>
      <c r="D4807" s="3" t="s">
        <v>7857</v>
      </c>
      <c r="F4807" s="3" t="s">
        <v>1279</v>
      </c>
      <c r="I4807" s="3" t="s">
        <v>244</v>
      </c>
    </row>
    <row r="4808" spans="2:9" x14ac:dyDescent="0.4">
      <c r="B4808" s="8" t="s">
        <v>518</v>
      </c>
      <c r="C4808" s="3" t="s">
        <v>7490</v>
      </c>
      <c r="D4808" s="3" t="s">
        <v>16702</v>
      </c>
      <c r="F4808" s="3" t="s">
        <v>1279</v>
      </c>
      <c r="I4808" s="3" t="s">
        <v>244</v>
      </c>
    </row>
    <row r="4809" spans="2:9" x14ac:dyDescent="0.4">
      <c r="B4809" s="8" t="s">
        <v>531</v>
      </c>
      <c r="C4809" s="3" t="s">
        <v>7491</v>
      </c>
      <c r="D4809" s="3" t="s">
        <v>16703</v>
      </c>
      <c r="F4809" s="3" t="s">
        <v>1279</v>
      </c>
      <c r="I4809" s="3" t="s">
        <v>244</v>
      </c>
    </row>
    <row r="4810" spans="2:9" x14ac:dyDescent="0.4">
      <c r="B4810" s="8" t="s">
        <v>518</v>
      </c>
      <c r="C4810" s="3" t="s">
        <v>7492</v>
      </c>
      <c r="D4810" s="3" t="s">
        <v>16704</v>
      </c>
      <c r="F4810" s="3" t="s">
        <v>1279</v>
      </c>
      <c r="I4810" s="3" t="s">
        <v>244</v>
      </c>
    </row>
    <row r="4811" spans="2:9" x14ac:dyDescent="0.4">
      <c r="B4811" s="8" t="s">
        <v>530</v>
      </c>
      <c r="C4811" s="3" t="s">
        <v>7493</v>
      </c>
      <c r="D4811" s="3" t="s">
        <v>7858</v>
      </c>
      <c r="F4811" s="3" t="s">
        <v>1279</v>
      </c>
      <c r="I4811" s="3" t="s">
        <v>244</v>
      </c>
    </row>
    <row r="4812" spans="2:9" x14ac:dyDescent="0.4">
      <c r="B4812" s="8" t="s">
        <v>517</v>
      </c>
      <c r="C4812" s="3" t="s">
        <v>7494</v>
      </c>
      <c r="D4812" s="3" t="s">
        <v>7859</v>
      </c>
      <c r="F4812" s="3" t="s">
        <v>1279</v>
      </c>
      <c r="I4812" s="3" t="s">
        <v>244</v>
      </c>
    </row>
    <row r="4813" spans="2:9" x14ac:dyDescent="0.4">
      <c r="B4813" s="8" t="s">
        <v>518</v>
      </c>
      <c r="C4813" s="3" t="s">
        <v>7495</v>
      </c>
      <c r="D4813" s="3" t="s">
        <v>7860</v>
      </c>
      <c r="F4813" s="3" t="s">
        <v>1279</v>
      </c>
      <c r="I4813" s="3" t="s">
        <v>244</v>
      </c>
    </row>
    <row r="4814" spans="2:9" x14ac:dyDescent="0.4">
      <c r="B4814" s="8" t="s">
        <v>520</v>
      </c>
      <c r="C4814" s="3" t="s">
        <v>7496</v>
      </c>
      <c r="D4814" s="3" t="s">
        <v>7861</v>
      </c>
      <c r="F4814" s="3" t="s">
        <v>1279</v>
      </c>
      <c r="I4814" s="3" t="s">
        <v>244</v>
      </c>
    </row>
    <row r="4815" spans="2:9" x14ac:dyDescent="0.4">
      <c r="B4815" s="8" t="s">
        <v>517</v>
      </c>
      <c r="C4815" s="3" t="s">
        <v>7497</v>
      </c>
      <c r="D4815" s="3" t="s">
        <v>7862</v>
      </c>
      <c r="F4815" s="3" t="s">
        <v>1279</v>
      </c>
      <c r="I4815" s="3" t="s">
        <v>244</v>
      </c>
    </row>
    <row r="4816" spans="2:9" x14ac:dyDescent="0.4">
      <c r="B4816" s="8" t="s">
        <v>517</v>
      </c>
      <c r="C4816" s="3" t="s">
        <v>7498</v>
      </c>
      <c r="D4816" s="3" t="s">
        <v>7863</v>
      </c>
      <c r="F4816" s="3" t="s">
        <v>1279</v>
      </c>
      <c r="I4816" s="3" t="s">
        <v>244</v>
      </c>
    </row>
    <row r="4817" spans="2:9" x14ac:dyDescent="0.4">
      <c r="B4817" s="8" t="s">
        <v>529</v>
      </c>
      <c r="C4817" s="3" t="s">
        <v>7499</v>
      </c>
      <c r="D4817" s="3" t="s">
        <v>16700</v>
      </c>
      <c r="F4817" s="3" t="s">
        <v>1279</v>
      </c>
      <c r="I4817" s="3" t="s">
        <v>244</v>
      </c>
    </row>
    <row r="4818" spans="2:9" x14ac:dyDescent="0.4">
      <c r="B4818" s="8" t="s">
        <v>517</v>
      </c>
      <c r="C4818" s="3" t="s">
        <v>7500</v>
      </c>
      <c r="D4818" s="3" t="s">
        <v>7864</v>
      </c>
      <c r="F4818" s="3" t="s">
        <v>1279</v>
      </c>
      <c r="I4818" s="3" t="s">
        <v>244</v>
      </c>
    </row>
    <row r="4819" spans="2:9" x14ac:dyDescent="0.4">
      <c r="B4819" s="8" t="s">
        <v>518</v>
      </c>
      <c r="C4819" s="3" t="s">
        <v>7501</v>
      </c>
      <c r="D4819" s="3" t="s">
        <v>16699</v>
      </c>
      <c r="F4819" s="3" t="s">
        <v>1279</v>
      </c>
      <c r="I4819" s="3" t="s">
        <v>244</v>
      </c>
    </row>
    <row r="4820" spans="2:9" x14ac:dyDescent="0.4">
      <c r="B4820" s="8" t="s">
        <v>518</v>
      </c>
      <c r="C4820" s="3" t="s">
        <v>7502</v>
      </c>
      <c r="D4820" s="3" t="s">
        <v>7865</v>
      </c>
      <c r="F4820" s="3" t="s">
        <v>1279</v>
      </c>
      <c r="I4820" s="3" t="s">
        <v>244</v>
      </c>
    </row>
    <row r="4821" spans="2:9" x14ac:dyDescent="0.4">
      <c r="B4821" s="8" t="s">
        <v>532</v>
      </c>
      <c r="C4821" s="3" t="s">
        <v>7503</v>
      </c>
      <c r="D4821" s="3" t="s">
        <v>7866</v>
      </c>
      <c r="F4821" s="3" t="s">
        <v>1279</v>
      </c>
      <c r="I4821" s="3" t="s">
        <v>244</v>
      </c>
    </row>
    <row r="4822" spans="2:9" x14ac:dyDescent="0.4">
      <c r="B4822" s="8" t="s">
        <v>518</v>
      </c>
      <c r="C4822" s="3" t="s">
        <v>7504</v>
      </c>
      <c r="D4822" s="3" t="s">
        <v>7867</v>
      </c>
      <c r="F4822" s="3" t="s">
        <v>1279</v>
      </c>
      <c r="I4822" s="3" t="s">
        <v>244</v>
      </c>
    </row>
    <row r="4823" spans="2:9" x14ac:dyDescent="0.4">
      <c r="B4823" s="8" t="s">
        <v>518</v>
      </c>
      <c r="C4823" s="3" t="s">
        <v>7505</v>
      </c>
      <c r="D4823" s="3" t="s">
        <v>7868</v>
      </c>
      <c r="F4823" s="3" t="s">
        <v>1279</v>
      </c>
      <c r="I4823" s="3" t="s">
        <v>244</v>
      </c>
    </row>
    <row r="4824" spans="2:9" x14ac:dyDescent="0.4">
      <c r="B4824" s="8" t="s">
        <v>517</v>
      </c>
      <c r="C4824" s="3" t="s">
        <v>7506</v>
      </c>
      <c r="D4824" s="3" t="s">
        <v>7869</v>
      </c>
      <c r="F4824" s="3" t="s">
        <v>1279</v>
      </c>
      <c r="I4824" s="3" t="s">
        <v>244</v>
      </c>
    </row>
    <row r="4825" spans="2:9" x14ac:dyDescent="0.4">
      <c r="B4825" s="8" t="s">
        <v>518</v>
      </c>
      <c r="C4825" s="3" t="s">
        <v>7507</v>
      </c>
      <c r="D4825" s="3" t="s">
        <v>7870</v>
      </c>
      <c r="F4825" s="3" t="s">
        <v>1279</v>
      </c>
      <c r="I4825" s="3" t="s">
        <v>244</v>
      </c>
    </row>
    <row r="4826" spans="2:9" x14ac:dyDescent="0.4">
      <c r="B4826" s="8" t="s">
        <v>517</v>
      </c>
      <c r="C4826" s="3" t="s">
        <v>7508</v>
      </c>
      <c r="D4826" s="3" t="s">
        <v>7871</v>
      </c>
      <c r="F4826" s="3" t="s">
        <v>1279</v>
      </c>
      <c r="I4826" s="3" t="s">
        <v>244</v>
      </c>
    </row>
    <row r="4827" spans="2:9" x14ac:dyDescent="0.4">
      <c r="B4827" s="8" t="s">
        <v>531</v>
      </c>
      <c r="C4827" s="3" t="s">
        <v>7509</v>
      </c>
      <c r="D4827" s="3" t="s">
        <v>7872</v>
      </c>
      <c r="F4827" s="3" t="s">
        <v>1279</v>
      </c>
      <c r="I4827" s="3" t="s">
        <v>244</v>
      </c>
    </row>
    <row r="4828" spans="2:9" x14ac:dyDescent="0.4">
      <c r="B4828" s="8" t="s">
        <v>517</v>
      </c>
      <c r="C4828" s="3" t="s">
        <v>7510</v>
      </c>
      <c r="D4828" s="3" t="s">
        <v>7873</v>
      </c>
      <c r="F4828" s="3" t="s">
        <v>1279</v>
      </c>
      <c r="I4828" s="3" t="s">
        <v>244</v>
      </c>
    </row>
    <row r="4829" spans="2:9" x14ac:dyDescent="0.4">
      <c r="B4829" s="8" t="s">
        <v>518</v>
      </c>
      <c r="C4829" s="3" t="s">
        <v>7511</v>
      </c>
      <c r="D4829" s="3" t="s">
        <v>7874</v>
      </c>
      <c r="F4829" s="3" t="s">
        <v>1279</v>
      </c>
      <c r="I4829" s="3" t="s">
        <v>244</v>
      </c>
    </row>
    <row r="4830" spans="2:9" x14ac:dyDescent="0.4">
      <c r="B4830" s="8" t="s">
        <v>518</v>
      </c>
      <c r="C4830" s="3" t="s">
        <v>7512</v>
      </c>
      <c r="D4830" s="3" t="s">
        <v>7875</v>
      </c>
      <c r="F4830" s="3" t="s">
        <v>1279</v>
      </c>
      <c r="I4830" s="3" t="s">
        <v>244</v>
      </c>
    </row>
    <row r="4831" spans="2:9" x14ac:dyDescent="0.4">
      <c r="B4831" s="8" t="s">
        <v>529</v>
      </c>
      <c r="C4831" s="3" t="s">
        <v>7513</v>
      </c>
      <c r="D4831" s="3" t="s">
        <v>7876</v>
      </c>
      <c r="F4831" s="3" t="s">
        <v>1279</v>
      </c>
      <c r="I4831" s="3" t="s">
        <v>244</v>
      </c>
    </row>
    <row r="4832" spans="2:9" x14ac:dyDescent="0.4">
      <c r="B4832" s="8" t="s">
        <v>529</v>
      </c>
      <c r="C4832" s="3" t="s">
        <v>7514</v>
      </c>
      <c r="D4832" s="3" t="s">
        <v>7877</v>
      </c>
      <c r="F4832" s="3" t="s">
        <v>1279</v>
      </c>
      <c r="I4832" s="3" t="s">
        <v>244</v>
      </c>
    </row>
    <row r="4833" spans="2:9" x14ac:dyDescent="0.4">
      <c r="B4833" s="8" t="s">
        <v>518</v>
      </c>
      <c r="C4833" s="3" t="s">
        <v>7515</v>
      </c>
      <c r="D4833" s="3" t="s">
        <v>7878</v>
      </c>
      <c r="F4833" s="3" t="s">
        <v>1279</v>
      </c>
      <c r="I4833" s="3" t="s">
        <v>244</v>
      </c>
    </row>
    <row r="4834" spans="2:9" x14ac:dyDescent="0.4">
      <c r="B4834" s="8" t="s">
        <v>517</v>
      </c>
      <c r="C4834" s="3" t="s">
        <v>7516</v>
      </c>
      <c r="D4834" s="3" t="s">
        <v>7879</v>
      </c>
      <c r="F4834" s="3" t="s">
        <v>1279</v>
      </c>
      <c r="I4834" s="3" t="s">
        <v>244</v>
      </c>
    </row>
    <row r="4835" spans="2:9" x14ac:dyDescent="0.4">
      <c r="B4835" s="8" t="s">
        <v>518</v>
      </c>
      <c r="C4835" s="3" t="s">
        <v>7517</v>
      </c>
      <c r="D4835" s="3" t="s">
        <v>7880</v>
      </c>
      <c r="F4835" s="3" t="s">
        <v>1279</v>
      </c>
      <c r="I4835" s="3" t="s">
        <v>244</v>
      </c>
    </row>
    <row r="4836" spans="2:9" x14ac:dyDescent="0.4">
      <c r="B4836" s="8" t="s">
        <v>518</v>
      </c>
      <c r="C4836" s="3" t="s">
        <v>7518</v>
      </c>
      <c r="D4836" s="3" t="s">
        <v>7881</v>
      </c>
      <c r="F4836" s="3" t="s">
        <v>1279</v>
      </c>
      <c r="I4836" s="3" t="s">
        <v>244</v>
      </c>
    </row>
    <row r="4837" spans="2:9" x14ac:dyDescent="0.4">
      <c r="B4837" s="8" t="s">
        <v>517</v>
      </c>
      <c r="C4837" s="3" t="s">
        <v>7519</v>
      </c>
      <c r="D4837" s="3" t="s">
        <v>7882</v>
      </c>
      <c r="F4837" s="3" t="s">
        <v>1279</v>
      </c>
      <c r="I4837" s="3" t="s">
        <v>244</v>
      </c>
    </row>
    <row r="4838" spans="2:9" x14ac:dyDescent="0.4">
      <c r="B4838" s="8" t="s">
        <v>530</v>
      </c>
      <c r="C4838" s="3" t="s">
        <v>7520</v>
      </c>
      <c r="D4838" s="3" t="s">
        <v>7883</v>
      </c>
      <c r="F4838" s="3" t="s">
        <v>1279</v>
      </c>
      <c r="I4838" s="3" t="s">
        <v>244</v>
      </c>
    </row>
    <row r="4839" spans="2:9" x14ac:dyDescent="0.4">
      <c r="B4839" s="8" t="s">
        <v>517</v>
      </c>
      <c r="C4839" s="3" t="s">
        <v>7521</v>
      </c>
      <c r="D4839" s="3" t="s">
        <v>7884</v>
      </c>
      <c r="F4839" s="3" t="s">
        <v>1279</v>
      </c>
      <c r="I4839" s="3" t="s">
        <v>244</v>
      </c>
    </row>
    <row r="4840" spans="2:9" x14ac:dyDescent="0.4">
      <c r="B4840" s="8" t="s">
        <v>517</v>
      </c>
      <c r="C4840" s="3" t="s">
        <v>7522</v>
      </c>
      <c r="D4840" s="3" t="s">
        <v>7885</v>
      </c>
      <c r="F4840" s="3" t="s">
        <v>1279</v>
      </c>
      <c r="I4840" s="3" t="s">
        <v>244</v>
      </c>
    </row>
    <row r="4841" spans="2:9" x14ac:dyDescent="0.4">
      <c r="B4841" s="8" t="s">
        <v>517</v>
      </c>
      <c r="C4841" s="3" t="s">
        <v>7523</v>
      </c>
      <c r="D4841" s="3" t="s">
        <v>7886</v>
      </c>
      <c r="F4841" s="3" t="s">
        <v>1279</v>
      </c>
      <c r="I4841" s="3" t="s">
        <v>244</v>
      </c>
    </row>
    <row r="4842" spans="2:9" x14ac:dyDescent="0.4">
      <c r="B4842" s="8" t="s">
        <v>518</v>
      </c>
      <c r="C4842" s="3" t="s">
        <v>7524</v>
      </c>
      <c r="D4842" s="3" t="s">
        <v>7887</v>
      </c>
      <c r="F4842" s="3" t="s">
        <v>1279</v>
      </c>
      <c r="I4842" s="3" t="s">
        <v>244</v>
      </c>
    </row>
    <row r="4843" spans="2:9" x14ac:dyDescent="0.4">
      <c r="B4843" s="8" t="s">
        <v>518</v>
      </c>
      <c r="C4843" s="3" t="s">
        <v>7525</v>
      </c>
      <c r="D4843" s="3" t="s">
        <v>7888</v>
      </c>
      <c r="F4843" s="3" t="s">
        <v>1279</v>
      </c>
      <c r="I4843" s="3" t="s">
        <v>244</v>
      </c>
    </row>
    <row r="4844" spans="2:9" x14ac:dyDescent="0.4">
      <c r="B4844" s="8" t="s">
        <v>530</v>
      </c>
      <c r="C4844" s="3" t="s">
        <v>7526</v>
      </c>
      <c r="D4844" s="3" t="s">
        <v>7889</v>
      </c>
      <c r="F4844" s="3" t="s">
        <v>1279</v>
      </c>
      <c r="I4844" s="3" t="s">
        <v>244</v>
      </c>
    </row>
    <row r="4845" spans="2:9" x14ac:dyDescent="0.4">
      <c r="B4845" s="8" t="s">
        <v>530</v>
      </c>
      <c r="C4845" s="3" t="s">
        <v>7527</v>
      </c>
      <c r="D4845" s="3" t="s">
        <v>7890</v>
      </c>
      <c r="F4845" s="3" t="s">
        <v>1279</v>
      </c>
      <c r="I4845" s="3" t="s">
        <v>244</v>
      </c>
    </row>
    <row r="4846" spans="2:9" x14ac:dyDescent="0.4">
      <c r="B4846" s="8" t="s">
        <v>518</v>
      </c>
      <c r="C4846" s="3" t="s">
        <v>7528</v>
      </c>
      <c r="D4846" s="3" t="s">
        <v>7891</v>
      </c>
      <c r="F4846" s="3" t="s">
        <v>1279</v>
      </c>
      <c r="I4846" s="3" t="s">
        <v>244</v>
      </c>
    </row>
    <row r="4847" spans="2:9" x14ac:dyDescent="0.4">
      <c r="B4847" s="8" t="s">
        <v>517</v>
      </c>
      <c r="C4847" s="3" t="s">
        <v>7529</v>
      </c>
      <c r="D4847" s="3" t="s">
        <v>7892</v>
      </c>
      <c r="F4847" s="3" t="s">
        <v>1279</v>
      </c>
      <c r="I4847" s="3" t="s">
        <v>244</v>
      </c>
    </row>
    <row r="4848" spans="2:9" x14ac:dyDescent="0.4">
      <c r="B4848" s="8" t="s">
        <v>518</v>
      </c>
      <c r="C4848" s="3" t="s">
        <v>7530</v>
      </c>
      <c r="D4848" s="3" t="s">
        <v>7893</v>
      </c>
      <c r="F4848" s="3" t="s">
        <v>1279</v>
      </c>
      <c r="I4848" s="3" t="s">
        <v>244</v>
      </c>
    </row>
    <row r="4849" spans="2:9" x14ac:dyDescent="0.4">
      <c r="B4849" s="8" t="s">
        <v>517</v>
      </c>
      <c r="C4849" s="3" t="s">
        <v>7531</v>
      </c>
      <c r="D4849" s="3" t="s">
        <v>7894</v>
      </c>
      <c r="F4849" s="3" t="s">
        <v>1279</v>
      </c>
      <c r="I4849" s="3" t="s">
        <v>244</v>
      </c>
    </row>
    <row r="4850" spans="2:9" x14ac:dyDescent="0.4">
      <c r="B4850" s="8" t="s">
        <v>517</v>
      </c>
      <c r="C4850" s="3" t="s">
        <v>7532</v>
      </c>
      <c r="D4850" s="3" t="s">
        <v>7895</v>
      </c>
      <c r="F4850" s="3" t="s">
        <v>1279</v>
      </c>
      <c r="I4850" s="3" t="s">
        <v>244</v>
      </c>
    </row>
    <row r="4851" spans="2:9" x14ac:dyDescent="0.4">
      <c r="B4851" s="8" t="s">
        <v>520</v>
      </c>
      <c r="C4851" s="3" t="s">
        <v>7533</v>
      </c>
      <c r="D4851" s="3" t="s">
        <v>7896</v>
      </c>
      <c r="F4851" s="3" t="s">
        <v>1279</v>
      </c>
      <c r="I4851" s="3" t="s">
        <v>244</v>
      </c>
    </row>
    <row r="4852" spans="2:9" x14ac:dyDescent="0.4">
      <c r="B4852" s="8" t="s">
        <v>532</v>
      </c>
      <c r="C4852" s="3" t="s">
        <v>7534</v>
      </c>
      <c r="D4852" s="3" t="s">
        <v>7897</v>
      </c>
      <c r="F4852" s="3" t="s">
        <v>1279</v>
      </c>
      <c r="I4852" s="3" t="s">
        <v>244</v>
      </c>
    </row>
    <row r="4853" spans="2:9" x14ac:dyDescent="0.4">
      <c r="B4853" s="8" t="s">
        <v>518</v>
      </c>
      <c r="C4853" s="3" t="s">
        <v>7535</v>
      </c>
      <c r="D4853" s="3" t="s">
        <v>7898</v>
      </c>
      <c r="F4853" s="3" t="s">
        <v>1279</v>
      </c>
      <c r="I4853" s="3" t="s">
        <v>244</v>
      </c>
    </row>
    <row r="4854" spans="2:9" x14ac:dyDescent="0.4">
      <c r="B4854" s="8" t="s">
        <v>518</v>
      </c>
      <c r="C4854" s="3" t="s">
        <v>7536</v>
      </c>
      <c r="D4854" s="3" t="s">
        <v>7899</v>
      </c>
      <c r="F4854" s="3" t="s">
        <v>1279</v>
      </c>
      <c r="I4854" s="3" t="s">
        <v>244</v>
      </c>
    </row>
    <row r="4855" spans="2:9" x14ac:dyDescent="0.4">
      <c r="B4855" s="8" t="s">
        <v>517</v>
      </c>
      <c r="C4855" s="3" t="s">
        <v>7537</v>
      </c>
      <c r="D4855" s="3" t="s">
        <v>7900</v>
      </c>
      <c r="F4855" s="3" t="s">
        <v>1279</v>
      </c>
      <c r="I4855" s="3" t="s">
        <v>244</v>
      </c>
    </row>
    <row r="4856" spans="2:9" x14ac:dyDescent="0.4">
      <c r="B4856" s="8" t="s">
        <v>518</v>
      </c>
      <c r="C4856" s="3" t="s">
        <v>7538</v>
      </c>
      <c r="D4856" s="3" t="s">
        <v>7901</v>
      </c>
      <c r="F4856" s="3" t="s">
        <v>1279</v>
      </c>
      <c r="I4856" s="3" t="s">
        <v>244</v>
      </c>
    </row>
    <row r="4857" spans="2:9" x14ac:dyDescent="0.4">
      <c r="B4857" s="8" t="s">
        <v>518</v>
      </c>
      <c r="C4857" s="3" t="s">
        <v>7539</v>
      </c>
      <c r="D4857" s="3" t="s">
        <v>7902</v>
      </c>
      <c r="F4857" s="3" t="s">
        <v>1279</v>
      </c>
      <c r="I4857" s="3" t="s">
        <v>244</v>
      </c>
    </row>
    <row r="4858" spans="2:9" x14ac:dyDescent="0.4">
      <c r="B4858" s="8" t="s">
        <v>532</v>
      </c>
      <c r="C4858" s="3" t="s">
        <v>7540</v>
      </c>
      <c r="D4858" s="3" t="s">
        <v>7903</v>
      </c>
      <c r="F4858" s="3" t="s">
        <v>1279</v>
      </c>
      <c r="I4858" s="3" t="s">
        <v>244</v>
      </c>
    </row>
    <row r="4859" spans="2:9" x14ac:dyDescent="0.4">
      <c r="B4859" s="8" t="s">
        <v>518</v>
      </c>
      <c r="C4859" s="3" t="s">
        <v>7541</v>
      </c>
      <c r="D4859" s="3" t="s">
        <v>7904</v>
      </c>
      <c r="F4859" s="3" t="s">
        <v>1279</v>
      </c>
      <c r="I4859" s="3" t="s">
        <v>244</v>
      </c>
    </row>
    <row r="4860" spans="2:9" x14ac:dyDescent="0.4">
      <c r="B4860" s="8" t="s">
        <v>520</v>
      </c>
      <c r="C4860" s="3" t="s">
        <v>7542</v>
      </c>
      <c r="D4860" s="3" t="s">
        <v>7905</v>
      </c>
      <c r="F4860" s="3" t="s">
        <v>1279</v>
      </c>
      <c r="I4860" s="3" t="s">
        <v>244</v>
      </c>
    </row>
    <row r="4861" spans="2:9" x14ac:dyDescent="0.4">
      <c r="B4861" s="8" t="s">
        <v>517</v>
      </c>
      <c r="C4861" s="3" t="s">
        <v>7543</v>
      </c>
      <c r="D4861" s="3" t="s">
        <v>7906</v>
      </c>
      <c r="F4861" s="3" t="s">
        <v>1279</v>
      </c>
      <c r="I4861" s="3" t="s">
        <v>244</v>
      </c>
    </row>
    <row r="4862" spans="2:9" x14ac:dyDescent="0.4">
      <c r="B4862" s="8" t="s">
        <v>517</v>
      </c>
      <c r="C4862" s="3" t="s">
        <v>7544</v>
      </c>
      <c r="D4862" s="3" t="s">
        <v>7907</v>
      </c>
      <c r="F4862" s="3" t="s">
        <v>1279</v>
      </c>
      <c r="I4862" s="3" t="s">
        <v>244</v>
      </c>
    </row>
    <row r="4863" spans="2:9" x14ac:dyDescent="0.4">
      <c r="B4863" s="8" t="s">
        <v>517</v>
      </c>
      <c r="C4863" s="3" t="s">
        <v>7545</v>
      </c>
      <c r="D4863" s="3" t="s">
        <v>7908</v>
      </c>
      <c r="F4863" s="3" t="s">
        <v>1279</v>
      </c>
      <c r="I4863" s="3" t="s">
        <v>244</v>
      </c>
    </row>
    <row r="4864" spans="2:9" x14ac:dyDescent="0.4">
      <c r="B4864" s="8" t="s">
        <v>517</v>
      </c>
      <c r="C4864" s="3" t="s">
        <v>7546</v>
      </c>
      <c r="D4864" s="3" t="s">
        <v>7909</v>
      </c>
      <c r="F4864" s="3" t="s">
        <v>1279</v>
      </c>
      <c r="I4864" s="3" t="s">
        <v>244</v>
      </c>
    </row>
    <row r="4865" spans="2:9" x14ac:dyDescent="0.4">
      <c r="B4865" s="8" t="s">
        <v>517</v>
      </c>
      <c r="C4865" s="3" t="s">
        <v>7547</v>
      </c>
      <c r="D4865" s="3" t="s">
        <v>7910</v>
      </c>
      <c r="F4865" s="3" t="s">
        <v>1279</v>
      </c>
      <c r="I4865" s="3" t="s">
        <v>244</v>
      </c>
    </row>
    <row r="4866" spans="2:9" x14ac:dyDescent="0.4">
      <c r="B4866" s="8" t="s">
        <v>518</v>
      </c>
      <c r="C4866" s="3" t="s">
        <v>7548</v>
      </c>
      <c r="D4866" s="3" t="s">
        <v>7911</v>
      </c>
      <c r="F4866" s="3" t="s">
        <v>1279</v>
      </c>
      <c r="I4866" s="3" t="s">
        <v>244</v>
      </c>
    </row>
    <row r="4867" spans="2:9" x14ac:dyDescent="0.4">
      <c r="B4867" s="8" t="s">
        <v>520</v>
      </c>
      <c r="C4867" s="3" t="s">
        <v>7549</v>
      </c>
      <c r="D4867" s="3" t="s">
        <v>7912</v>
      </c>
      <c r="F4867" s="3" t="s">
        <v>1279</v>
      </c>
      <c r="I4867" s="3" t="s">
        <v>244</v>
      </c>
    </row>
    <row r="4868" spans="2:9" x14ac:dyDescent="0.4">
      <c r="B4868" s="8" t="s">
        <v>518</v>
      </c>
      <c r="C4868" s="3" t="s">
        <v>7550</v>
      </c>
      <c r="D4868" s="3" t="s">
        <v>7913</v>
      </c>
      <c r="F4868" s="3" t="s">
        <v>1279</v>
      </c>
      <c r="I4868" s="3" t="s">
        <v>244</v>
      </c>
    </row>
    <row r="4869" spans="2:9" x14ac:dyDescent="0.4">
      <c r="B4869" s="8" t="s">
        <v>517</v>
      </c>
      <c r="C4869" s="3" t="s">
        <v>7551</v>
      </c>
      <c r="D4869" s="3" t="s">
        <v>7914</v>
      </c>
      <c r="F4869" s="3" t="s">
        <v>1279</v>
      </c>
      <c r="I4869" s="3" t="s">
        <v>244</v>
      </c>
    </row>
    <row r="4870" spans="2:9" x14ac:dyDescent="0.4">
      <c r="B4870" s="8" t="s">
        <v>517</v>
      </c>
      <c r="C4870" s="3" t="s">
        <v>7552</v>
      </c>
      <c r="D4870" s="3" t="s">
        <v>7915</v>
      </c>
      <c r="F4870" s="3" t="s">
        <v>1279</v>
      </c>
      <c r="I4870" s="3" t="s">
        <v>244</v>
      </c>
    </row>
    <row r="4871" spans="2:9" x14ac:dyDescent="0.4">
      <c r="B4871" s="8" t="s">
        <v>517</v>
      </c>
      <c r="C4871" s="3" t="s">
        <v>7553</v>
      </c>
      <c r="D4871" s="3" t="s">
        <v>7916</v>
      </c>
      <c r="F4871" s="3" t="s">
        <v>1279</v>
      </c>
      <c r="I4871" s="3" t="s">
        <v>244</v>
      </c>
    </row>
    <row r="4872" spans="2:9" x14ac:dyDescent="0.4">
      <c r="B4872" s="8" t="s">
        <v>518</v>
      </c>
      <c r="C4872" s="3" t="s">
        <v>7554</v>
      </c>
      <c r="D4872" s="3" t="s">
        <v>7917</v>
      </c>
      <c r="F4872" s="3" t="s">
        <v>1279</v>
      </c>
      <c r="I4872" s="3" t="s">
        <v>244</v>
      </c>
    </row>
    <row r="4873" spans="2:9" x14ac:dyDescent="0.4">
      <c r="B4873" s="8" t="s">
        <v>518</v>
      </c>
      <c r="C4873" s="3" t="s">
        <v>7555</v>
      </c>
      <c r="D4873" s="3" t="s">
        <v>7918</v>
      </c>
      <c r="F4873" s="3" t="s">
        <v>1279</v>
      </c>
      <c r="I4873" s="3" t="s">
        <v>244</v>
      </c>
    </row>
    <row r="4874" spans="2:9" x14ac:dyDescent="0.4">
      <c r="B4874" s="8" t="s">
        <v>529</v>
      </c>
      <c r="C4874" s="3" t="s">
        <v>7556</v>
      </c>
      <c r="D4874" s="3" t="s">
        <v>7919</v>
      </c>
      <c r="F4874" s="3" t="s">
        <v>1279</v>
      </c>
      <c r="I4874" s="3" t="s">
        <v>244</v>
      </c>
    </row>
    <row r="4875" spans="2:9" x14ac:dyDescent="0.4">
      <c r="B4875" s="8" t="s">
        <v>518</v>
      </c>
      <c r="C4875" s="3" t="s">
        <v>7557</v>
      </c>
      <c r="D4875" s="3" t="s">
        <v>7920</v>
      </c>
      <c r="F4875" s="3" t="s">
        <v>1279</v>
      </c>
      <c r="I4875" s="3" t="s">
        <v>244</v>
      </c>
    </row>
    <row r="4876" spans="2:9" x14ac:dyDescent="0.4">
      <c r="B4876" s="8" t="s">
        <v>532</v>
      </c>
      <c r="C4876" s="3" t="s">
        <v>7558</v>
      </c>
      <c r="D4876" s="3" t="s">
        <v>7921</v>
      </c>
      <c r="F4876" s="3" t="s">
        <v>1279</v>
      </c>
      <c r="I4876" s="3" t="s">
        <v>244</v>
      </c>
    </row>
    <row r="4877" spans="2:9" x14ac:dyDescent="0.4">
      <c r="B4877" s="8" t="s">
        <v>517</v>
      </c>
      <c r="C4877" s="3" t="s">
        <v>7559</v>
      </c>
      <c r="D4877" s="3" t="s">
        <v>7922</v>
      </c>
      <c r="F4877" s="3" t="s">
        <v>1279</v>
      </c>
      <c r="I4877" s="3" t="s">
        <v>244</v>
      </c>
    </row>
    <row r="4878" spans="2:9" x14ac:dyDescent="0.4">
      <c r="B4878" s="8" t="s">
        <v>517</v>
      </c>
      <c r="C4878" s="3" t="s">
        <v>7560</v>
      </c>
      <c r="D4878" s="3" t="s">
        <v>7923</v>
      </c>
      <c r="F4878" s="3" t="s">
        <v>1279</v>
      </c>
      <c r="I4878" s="3" t="s">
        <v>244</v>
      </c>
    </row>
    <row r="4879" spans="2:9" x14ac:dyDescent="0.4">
      <c r="B4879" s="8" t="s">
        <v>531</v>
      </c>
      <c r="C4879" s="3" t="s">
        <v>7561</v>
      </c>
      <c r="D4879" s="3" t="s">
        <v>7924</v>
      </c>
      <c r="F4879" s="3" t="s">
        <v>1279</v>
      </c>
      <c r="I4879" s="3" t="s">
        <v>244</v>
      </c>
    </row>
    <row r="4880" spans="2:9" x14ac:dyDescent="0.4">
      <c r="B4880" s="8" t="s">
        <v>531</v>
      </c>
      <c r="C4880" s="3" t="s">
        <v>7562</v>
      </c>
      <c r="D4880" s="3" t="s">
        <v>7925</v>
      </c>
      <c r="F4880" s="3" t="s">
        <v>1279</v>
      </c>
      <c r="I4880" s="3" t="s">
        <v>244</v>
      </c>
    </row>
    <row r="4881" spans="2:9" x14ac:dyDescent="0.4">
      <c r="B4881" s="8" t="s">
        <v>517</v>
      </c>
      <c r="C4881" s="3" t="s">
        <v>7563</v>
      </c>
      <c r="D4881" s="3" t="s">
        <v>7926</v>
      </c>
      <c r="F4881" s="3" t="s">
        <v>1279</v>
      </c>
      <c r="I4881" s="3" t="s">
        <v>244</v>
      </c>
    </row>
    <row r="4882" spans="2:9" x14ac:dyDescent="0.4">
      <c r="B4882" s="8" t="s">
        <v>518</v>
      </c>
      <c r="C4882" s="3" t="s">
        <v>7564</v>
      </c>
      <c r="D4882" s="3" t="s">
        <v>7927</v>
      </c>
      <c r="F4882" s="3" t="s">
        <v>1279</v>
      </c>
      <c r="I4882" s="3" t="s">
        <v>244</v>
      </c>
    </row>
    <row r="4883" spans="2:9" x14ac:dyDescent="0.4">
      <c r="B4883" s="8" t="s">
        <v>518</v>
      </c>
      <c r="C4883" s="3" t="s">
        <v>7565</v>
      </c>
      <c r="D4883" s="3" t="s">
        <v>7928</v>
      </c>
      <c r="F4883" s="3" t="s">
        <v>1279</v>
      </c>
      <c r="I4883" s="3" t="s">
        <v>244</v>
      </c>
    </row>
    <row r="4884" spans="2:9" x14ac:dyDescent="0.4">
      <c r="B4884" s="8" t="s">
        <v>531</v>
      </c>
      <c r="C4884" s="3" t="s">
        <v>7566</v>
      </c>
      <c r="D4884" s="3" t="s">
        <v>7929</v>
      </c>
      <c r="F4884" s="3" t="s">
        <v>1279</v>
      </c>
      <c r="I4884" s="3" t="s">
        <v>244</v>
      </c>
    </row>
    <row r="4885" spans="2:9" x14ac:dyDescent="0.4">
      <c r="B4885" s="8" t="s">
        <v>531</v>
      </c>
      <c r="C4885" s="3" t="s">
        <v>7567</v>
      </c>
      <c r="D4885" s="3" t="s">
        <v>7930</v>
      </c>
      <c r="F4885" s="3" t="s">
        <v>1279</v>
      </c>
      <c r="I4885" s="3" t="s">
        <v>244</v>
      </c>
    </row>
    <row r="4886" spans="2:9" x14ac:dyDescent="0.4">
      <c r="B4886" s="8" t="s">
        <v>518</v>
      </c>
      <c r="C4886" s="3" t="s">
        <v>7568</v>
      </c>
      <c r="D4886" s="3" t="s">
        <v>7931</v>
      </c>
      <c r="F4886" s="3" t="s">
        <v>1279</v>
      </c>
      <c r="I4886" s="3" t="s">
        <v>244</v>
      </c>
    </row>
    <row r="4887" spans="2:9" x14ac:dyDescent="0.4">
      <c r="B4887" s="8" t="s">
        <v>518</v>
      </c>
      <c r="C4887" s="3" t="s">
        <v>7569</v>
      </c>
      <c r="D4887" s="3" t="s">
        <v>7931</v>
      </c>
      <c r="F4887" s="3" t="s">
        <v>1279</v>
      </c>
      <c r="I4887" s="3" t="s">
        <v>244</v>
      </c>
    </row>
    <row r="4888" spans="2:9" x14ac:dyDescent="0.4">
      <c r="B4888" s="8" t="s">
        <v>517</v>
      </c>
      <c r="C4888" s="3" t="s">
        <v>7570</v>
      </c>
      <c r="D4888" s="3" t="s">
        <v>7932</v>
      </c>
      <c r="F4888" s="3" t="s">
        <v>1279</v>
      </c>
      <c r="I4888" s="3" t="s">
        <v>244</v>
      </c>
    </row>
    <row r="4889" spans="2:9" x14ac:dyDescent="0.4">
      <c r="B4889" s="8" t="s">
        <v>518</v>
      </c>
      <c r="C4889" s="3" t="s">
        <v>7571</v>
      </c>
      <c r="D4889" s="3" t="s">
        <v>7933</v>
      </c>
      <c r="F4889" s="3" t="s">
        <v>1279</v>
      </c>
      <c r="I4889" s="3" t="s">
        <v>244</v>
      </c>
    </row>
    <row r="4890" spans="2:9" x14ac:dyDescent="0.4">
      <c r="B4890" s="8" t="s">
        <v>529</v>
      </c>
      <c r="C4890" s="3" t="s">
        <v>7572</v>
      </c>
      <c r="D4890" s="3" t="s">
        <v>7934</v>
      </c>
      <c r="F4890" s="3" t="s">
        <v>1279</v>
      </c>
      <c r="I4890" s="3" t="s">
        <v>244</v>
      </c>
    </row>
    <row r="4891" spans="2:9" x14ac:dyDescent="0.4">
      <c r="B4891" s="8" t="s">
        <v>518</v>
      </c>
      <c r="C4891" s="3" t="s">
        <v>7573</v>
      </c>
      <c r="D4891" s="3" t="s">
        <v>7935</v>
      </c>
      <c r="F4891" s="3" t="s">
        <v>1279</v>
      </c>
      <c r="I4891" s="3" t="s">
        <v>244</v>
      </c>
    </row>
    <row r="4892" spans="2:9" x14ac:dyDescent="0.4">
      <c r="B4892" s="8" t="s">
        <v>520</v>
      </c>
      <c r="C4892" s="3" t="s">
        <v>7574</v>
      </c>
      <c r="D4892" s="3" t="s">
        <v>7936</v>
      </c>
      <c r="F4892" s="3" t="s">
        <v>1279</v>
      </c>
      <c r="I4892" s="3" t="s">
        <v>244</v>
      </c>
    </row>
    <row r="4893" spans="2:9" x14ac:dyDescent="0.4">
      <c r="B4893" s="8" t="s">
        <v>517</v>
      </c>
      <c r="C4893" s="3" t="s">
        <v>7575</v>
      </c>
      <c r="D4893" s="3" t="s">
        <v>7937</v>
      </c>
      <c r="F4893" s="3" t="s">
        <v>1279</v>
      </c>
      <c r="I4893" s="3" t="s">
        <v>244</v>
      </c>
    </row>
    <row r="4894" spans="2:9" x14ac:dyDescent="0.4">
      <c r="B4894" s="8" t="s">
        <v>518</v>
      </c>
      <c r="C4894" s="3" t="s">
        <v>7576</v>
      </c>
      <c r="D4894" s="3" t="s">
        <v>7938</v>
      </c>
      <c r="F4894" s="3" t="s">
        <v>1279</v>
      </c>
      <c r="I4894" s="3" t="s">
        <v>244</v>
      </c>
    </row>
    <row r="4895" spans="2:9" x14ac:dyDescent="0.4">
      <c r="B4895" s="8" t="s">
        <v>518</v>
      </c>
      <c r="C4895" s="3" t="s">
        <v>7577</v>
      </c>
      <c r="D4895" s="3" t="s">
        <v>7939</v>
      </c>
      <c r="F4895" s="3" t="s">
        <v>1279</v>
      </c>
      <c r="I4895" s="3" t="s">
        <v>244</v>
      </c>
    </row>
    <row r="4896" spans="2:9" x14ac:dyDescent="0.4">
      <c r="B4896" s="8" t="s">
        <v>518</v>
      </c>
      <c r="C4896" s="3" t="s">
        <v>7578</v>
      </c>
      <c r="D4896" s="3" t="s">
        <v>7939</v>
      </c>
      <c r="F4896" s="3" t="s">
        <v>1279</v>
      </c>
      <c r="I4896" s="3" t="s">
        <v>244</v>
      </c>
    </row>
    <row r="4897" spans="2:9" x14ac:dyDescent="0.4">
      <c r="B4897" s="8" t="s">
        <v>529</v>
      </c>
      <c r="C4897" s="3" t="s">
        <v>7579</v>
      </c>
      <c r="D4897" s="3" t="s">
        <v>7940</v>
      </c>
      <c r="F4897" s="3" t="s">
        <v>1279</v>
      </c>
      <c r="I4897" s="3" t="s">
        <v>244</v>
      </c>
    </row>
    <row r="4898" spans="2:9" x14ac:dyDescent="0.4">
      <c r="B4898" s="8" t="s">
        <v>517</v>
      </c>
      <c r="C4898" s="3" t="s">
        <v>7580</v>
      </c>
      <c r="D4898" s="3" t="s">
        <v>7941</v>
      </c>
      <c r="F4898" s="3" t="s">
        <v>1279</v>
      </c>
      <c r="I4898" s="3" t="s">
        <v>244</v>
      </c>
    </row>
    <row r="4899" spans="2:9" x14ac:dyDescent="0.4">
      <c r="B4899" s="8" t="s">
        <v>517</v>
      </c>
      <c r="C4899" s="3" t="s">
        <v>7581</v>
      </c>
      <c r="D4899" s="3" t="s">
        <v>7360</v>
      </c>
      <c r="F4899" s="3" t="s">
        <v>1279</v>
      </c>
      <c r="I4899" s="3" t="s">
        <v>244</v>
      </c>
    </row>
    <row r="4900" spans="2:9" x14ac:dyDescent="0.4">
      <c r="B4900" s="8" t="s">
        <v>517</v>
      </c>
      <c r="C4900" s="3" t="s">
        <v>7582</v>
      </c>
      <c r="D4900" s="3" t="s">
        <v>7942</v>
      </c>
      <c r="F4900" s="3" t="s">
        <v>1279</v>
      </c>
      <c r="I4900" s="3" t="s">
        <v>244</v>
      </c>
    </row>
    <row r="4901" spans="2:9" x14ac:dyDescent="0.4">
      <c r="B4901" s="8" t="s">
        <v>517</v>
      </c>
      <c r="C4901" s="3" t="s">
        <v>7583</v>
      </c>
      <c r="D4901" s="3" t="s">
        <v>7943</v>
      </c>
      <c r="F4901" s="3" t="s">
        <v>1279</v>
      </c>
      <c r="I4901" s="3" t="s">
        <v>244</v>
      </c>
    </row>
    <row r="4902" spans="2:9" x14ac:dyDescent="0.4">
      <c r="B4902" s="8" t="s">
        <v>517</v>
      </c>
      <c r="C4902" s="3" t="s">
        <v>7584</v>
      </c>
      <c r="D4902" s="3" t="s">
        <v>7944</v>
      </c>
      <c r="F4902" s="3" t="s">
        <v>1279</v>
      </c>
      <c r="I4902" s="3" t="s">
        <v>244</v>
      </c>
    </row>
    <row r="4903" spans="2:9" x14ac:dyDescent="0.4">
      <c r="B4903" s="8" t="s">
        <v>529</v>
      </c>
      <c r="C4903" s="3" t="s">
        <v>7585</v>
      </c>
      <c r="D4903" s="3" t="s">
        <v>7945</v>
      </c>
      <c r="F4903" s="3" t="s">
        <v>1279</v>
      </c>
      <c r="I4903" s="3" t="s">
        <v>244</v>
      </c>
    </row>
    <row r="4904" spans="2:9" x14ac:dyDescent="0.4">
      <c r="B4904" s="8" t="s">
        <v>517</v>
      </c>
      <c r="C4904" s="3" t="s">
        <v>7586</v>
      </c>
      <c r="D4904" s="3" t="s">
        <v>7946</v>
      </c>
      <c r="F4904" s="3" t="s">
        <v>1279</v>
      </c>
      <c r="I4904" s="3" t="s">
        <v>244</v>
      </c>
    </row>
    <row r="4905" spans="2:9" x14ac:dyDescent="0.4">
      <c r="B4905" s="8" t="s">
        <v>520</v>
      </c>
      <c r="C4905" s="3" t="s">
        <v>7587</v>
      </c>
      <c r="D4905" s="3" t="s">
        <v>7947</v>
      </c>
      <c r="F4905" s="3" t="s">
        <v>1279</v>
      </c>
      <c r="I4905" s="3" t="s">
        <v>244</v>
      </c>
    </row>
    <row r="4906" spans="2:9" x14ac:dyDescent="0.4">
      <c r="B4906" s="8" t="s">
        <v>517</v>
      </c>
      <c r="C4906" s="3" t="s">
        <v>7588</v>
      </c>
      <c r="D4906" s="3" t="s">
        <v>7948</v>
      </c>
      <c r="F4906" s="3" t="s">
        <v>1279</v>
      </c>
      <c r="I4906" s="3" t="s">
        <v>244</v>
      </c>
    </row>
    <row r="4907" spans="2:9" x14ac:dyDescent="0.4">
      <c r="B4907" s="8" t="s">
        <v>518</v>
      </c>
      <c r="C4907" s="3" t="s">
        <v>7590</v>
      </c>
      <c r="D4907" s="3" t="s">
        <v>7949</v>
      </c>
      <c r="F4907" s="3" t="s">
        <v>1279</v>
      </c>
      <c r="I4907" s="3" t="s">
        <v>244</v>
      </c>
    </row>
    <row r="4908" spans="2:9" x14ac:dyDescent="0.4">
      <c r="B4908" s="8" t="s">
        <v>517</v>
      </c>
      <c r="C4908" s="3" t="s">
        <v>7589</v>
      </c>
      <c r="D4908" s="3" t="s">
        <v>7950</v>
      </c>
      <c r="F4908" s="3" t="s">
        <v>1279</v>
      </c>
      <c r="I4908" s="3" t="s">
        <v>244</v>
      </c>
    </row>
    <row r="4909" spans="2:9" x14ac:dyDescent="0.4">
      <c r="B4909" s="8" t="s">
        <v>517</v>
      </c>
      <c r="C4909" s="3" t="s">
        <v>7591</v>
      </c>
      <c r="D4909" s="3" t="s">
        <v>7951</v>
      </c>
      <c r="F4909" s="3" t="s">
        <v>1279</v>
      </c>
      <c r="I4909" s="3" t="s">
        <v>244</v>
      </c>
    </row>
    <row r="4910" spans="2:9" x14ac:dyDescent="0.4">
      <c r="B4910" s="8" t="s">
        <v>517</v>
      </c>
      <c r="C4910" s="3" t="s">
        <v>7592</v>
      </c>
      <c r="D4910" s="3" t="s">
        <v>7952</v>
      </c>
      <c r="F4910" s="3" t="s">
        <v>1279</v>
      </c>
      <c r="I4910" s="3" t="s">
        <v>244</v>
      </c>
    </row>
    <row r="4911" spans="2:9" x14ac:dyDescent="0.4">
      <c r="B4911" s="8" t="s">
        <v>517</v>
      </c>
      <c r="C4911" s="3" t="s">
        <v>7593</v>
      </c>
      <c r="D4911" s="3" t="s">
        <v>7953</v>
      </c>
      <c r="F4911" s="3" t="s">
        <v>1279</v>
      </c>
      <c r="I4911" s="3" t="s">
        <v>244</v>
      </c>
    </row>
    <row r="4912" spans="2:9" x14ac:dyDescent="0.4">
      <c r="B4912" s="8" t="s">
        <v>517</v>
      </c>
      <c r="C4912" s="3" t="s">
        <v>7594</v>
      </c>
      <c r="D4912" s="3" t="s">
        <v>7954</v>
      </c>
      <c r="F4912" s="3" t="s">
        <v>1279</v>
      </c>
      <c r="I4912" s="3" t="s">
        <v>244</v>
      </c>
    </row>
    <row r="4913" spans="2:9" x14ac:dyDescent="0.4">
      <c r="B4913" s="8" t="s">
        <v>517</v>
      </c>
      <c r="C4913" s="3" t="s">
        <v>7595</v>
      </c>
      <c r="D4913" s="3" t="s">
        <v>7955</v>
      </c>
      <c r="F4913" s="3" t="s">
        <v>1279</v>
      </c>
      <c r="I4913" s="3" t="s">
        <v>244</v>
      </c>
    </row>
    <row r="4914" spans="2:9" x14ac:dyDescent="0.4">
      <c r="B4914" s="8" t="s">
        <v>517</v>
      </c>
      <c r="C4914" s="3" t="s">
        <v>7596</v>
      </c>
      <c r="D4914" s="3" t="s">
        <v>7956</v>
      </c>
      <c r="F4914" s="3" t="s">
        <v>1279</v>
      </c>
      <c r="I4914" s="3" t="s">
        <v>244</v>
      </c>
    </row>
    <row r="4915" spans="2:9" x14ac:dyDescent="0.4">
      <c r="B4915" s="8" t="s">
        <v>520</v>
      </c>
      <c r="C4915" s="3" t="s">
        <v>7597</v>
      </c>
      <c r="D4915" s="3" t="s">
        <v>7957</v>
      </c>
      <c r="F4915" s="3" t="s">
        <v>1279</v>
      </c>
      <c r="I4915" s="3" t="s">
        <v>244</v>
      </c>
    </row>
    <row r="4916" spans="2:9" x14ac:dyDescent="0.4">
      <c r="B4916" s="8" t="s">
        <v>517</v>
      </c>
      <c r="C4916" s="3" t="s">
        <v>7598</v>
      </c>
      <c r="D4916" s="3" t="s">
        <v>7958</v>
      </c>
      <c r="F4916" s="3" t="s">
        <v>1279</v>
      </c>
      <c r="I4916" s="3" t="s">
        <v>244</v>
      </c>
    </row>
    <row r="4917" spans="2:9" x14ac:dyDescent="0.4">
      <c r="B4917" s="8" t="s">
        <v>518</v>
      </c>
      <c r="C4917" s="3" t="s">
        <v>7599</v>
      </c>
      <c r="D4917" s="3" t="s">
        <v>7959</v>
      </c>
      <c r="F4917" s="3" t="s">
        <v>1279</v>
      </c>
      <c r="I4917" s="3" t="s">
        <v>244</v>
      </c>
    </row>
    <row r="4918" spans="2:9" x14ac:dyDescent="0.4">
      <c r="B4918" s="8" t="s">
        <v>517</v>
      </c>
      <c r="C4918" s="3" t="s">
        <v>7600</v>
      </c>
      <c r="D4918" s="3" t="s">
        <v>7960</v>
      </c>
      <c r="F4918" s="3" t="s">
        <v>1279</v>
      </c>
      <c r="I4918" s="3" t="s">
        <v>244</v>
      </c>
    </row>
    <row r="4919" spans="2:9" x14ac:dyDescent="0.4">
      <c r="B4919" s="8" t="s">
        <v>517</v>
      </c>
      <c r="C4919" s="3" t="s">
        <v>7601</v>
      </c>
      <c r="D4919" s="3" t="s">
        <v>7961</v>
      </c>
      <c r="F4919" s="3" t="s">
        <v>1279</v>
      </c>
      <c r="I4919" s="3" t="s">
        <v>244</v>
      </c>
    </row>
    <row r="4920" spans="2:9" x14ac:dyDescent="0.4">
      <c r="B4920" s="8" t="s">
        <v>517</v>
      </c>
      <c r="C4920" s="3" t="s">
        <v>7602</v>
      </c>
      <c r="D4920" s="3" t="s">
        <v>7962</v>
      </c>
      <c r="F4920" s="3" t="s">
        <v>1279</v>
      </c>
      <c r="I4920" s="3" t="s">
        <v>244</v>
      </c>
    </row>
    <row r="4921" spans="2:9" x14ac:dyDescent="0.4">
      <c r="B4921" s="8" t="s">
        <v>517</v>
      </c>
      <c r="C4921" s="3" t="s">
        <v>7603</v>
      </c>
      <c r="D4921" s="3" t="s">
        <v>7963</v>
      </c>
      <c r="F4921" s="3" t="s">
        <v>1279</v>
      </c>
      <c r="I4921" s="3" t="s">
        <v>244</v>
      </c>
    </row>
    <row r="4922" spans="2:9" x14ac:dyDescent="0.4">
      <c r="B4922" s="8" t="s">
        <v>532</v>
      </c>
      <c r="C4922" s="3" t="s">
        <v>7604</v>
      </c>
      <c r="D4922" s="3" t="s">
        <v>7964</v>
      </c>
      <c r="F4922" s="3" t="s">
        <v>1279</v>
      </c>
      <c r="I4922" s="3" t="s">
        <v>244</v>
      </c>
    </row>
    <row r="4923" spans="2:9" x14ac:dyDescent="0.4">
      <c r="B4923" s="8" t="s">
        <v>520</v>
      </c>
      <c r="C4923" s="3" t="s">
        <v>7605</v>
      </c>
      <c r="D4923" s="3" t="s">
        <v>7965</v>
      </c>
      <c r="F4923" s="3" t="s">
        <v>1279</v>
      </c>
      <c r="I4923" s="3" t="s">
        <v>244</v>
      </c>
    </row>
    <row r="4924" spans="2:9" x14ac:dyDescent="0.4">
      <c r="B4924" s="8" t="s">
        <v>517</v>
      </c>
      <c r="C4924" s="3" t="s">
        <v>7606</v>
      </c>
      <c r="D4924" s="3" t="s">
        <v>7266</v>
      </c>
      <c r="F4924" s="3" t="s">
        <v>1279</v>
      </c>
      <c r="I4924" s="3" t="s">
        <v>244</v>
      </c>
    </row>
    <row r="4925" spans="2:9" x14ac:dyDescent="0.4">
      <c r="B4925" s="8" t="s">
        <v>517</v>
      </c>
      <c r="C4925" s="3" t="s">
        <v>7607</v>
      </c>
      <c r="D4925" s="3" t="s">
        <v>7966</v>
      </c>
      <c r="F4925" s="3" t="s">
        <v>1279</v>
      </c>
      <c r="I4925" s="3" t="s">
        <v>244</v>
      </c>
    </row>
    <row r="4926" spans="2:9" x14ac:dyDescent="0.4">
      <c r="B4926" s="8" t="s">
        <v>518</v>
      </c>
      <c r="C4926" s="3" t="s">
        <v>7608</v>
      </c>
      <c r="D4926" s="3" t="s">
        <v>7967</v>
      </c>
      <c r="F4926" s="3" t="s">
        <v>1279</v>
      </c>
      <c r="I4926" s="3" t="s">
        <v>244</v>
      </c>
    </row>
    <row r="4927" spans="2:9" x14ac:dyDescent="0.4">
      <c r="B4927" s="8" t="s">
        <v>520</v>
      </c>
      <c r="C4927" s="3" t="s">
        <v>7609</v>
      </c>
      <c r="D4927" s="3" t="s">
        <v>7968</v>
      </c>
      <c r="F4927" s="3" t="s">
        <v>1279</v>
      </c>
      <c r="I4927" s="3" t="s">
        <v>244</v>
      </c>
    </row>
    <row r="4928" spans="2:9" x14ac:dyDescent="0.4">
      <c r="B4928" s="8" t="s">
        <v>518</v>
      </c>
      <c r="C4928" s="3" t="s">
        <v>7610</v>
      </c>
      <c r="D4928" s="3" t="s">
        <v>7969</v>
      </c>
      <c r="F4928" s="3" t="s">
        <v>1279</v>
      </c>
      <c r="I4928" s="3" t="s">
        <v>244</v>
      </c>
    </row>
    <row r="4929" spans="2:9" x14ac:dyDescent="0.4">
      <c r="B4929" s="8" t="s">
        <v>517</v>
      </c>
      <c r="C4929" s="3" t="s">
        <v>7611</v>
      </c>
      <c r="D4929" s="3" t="s">
        <v>7916</v>
      </c>
      <c r="F4929" s="3" t="s">
        <v>1279</v>
      </c>
      <c r="I4929" s="3" t="s">
        <v>244</v>
      </c>
    </row>
    <row r="4930" spans="2:9" x14ac:dyDescent="0.4">
      <c r="B4930" s="8" t="s">
        <v>517</v>
      </c>
      <c r="C4930" s="3" t="s">
        <v>7612</v>
      </c>
      <c r="D4930" s="3" t="s">
        <v>7970</v>
      </c>
      <c r="F4930" s="3" t="s">
        <v>1279</v>
      </c>
      <c r="I4930" s="3" t="s">
        <v>244</v>
      </c>
    </row>
    <row r="4931" spans="2:9" x14ac:dyDescent="0.4">
      <c r="B4931" s="8" t="s">
        <v>517</v>
      </c>
      <c r="C4931" s="3" t="s">
        <v>7613</v>
      </c>
      <c r="D4931" s="3" t="s">
        <v>7971</v>
      </c>
      <c r="F4931" s="3" t="s">
        <v>1279</v>
      </c>
      <c r="I4931" s="3" t="s">
        <v>244</v>
      </c>
    </row>
    <row r="4932" spans="2:9" x14ac:dyDescent="0.4">
      <c r="B4932" s="8" t="s">
        <v>517</v>
      </c>
      <c r="C4932" s="3" t="s">
        <v>7614</v>
      </c>
      <c r="D4932" s="3" t="s">
        <v>7972</v>
      </c>
      <c r="F4932" s="3" t="s">
        <v>1279</v>
      </c>
      <c r="I4932" s="3" t="s">
        <v>244</v>
      </c>
    </row>
    <row r="4933" spans="2:9" x14ac:dyDescent="0.4">
      <c r="B4933" s="8" t="s">
        <v>520</v>
      </c>
      <c r="C4933" s="3" t="s">
        <v>7615</v>
      </c>
      <c r="D4933" s="3" t="s">
        <v>7973</v>
      </c>
      <c r="F4933" s="3" t="s">
        <v>1279</v>
      </c>
      <c r="I4933" s="3" t="s">
        <v>244</v>
      </c>
    </row>
    <row r="4934" spans="2:9" x14ac:dyDescent="0.4">
      <c r="B4934" s="8" t="s">
        <v>517</v>
      </c>
      <c r="C4934" s="3" t="s">
        <v>7616</v>
      </c>
      <c r="D4934" s="3" t="s">
        <v>7974</v>
      </c>
      <c r="F4934" s="3" t="s">
        <v>1279</v>
      </c>
      <c r="I4934" s="3" t="s">
        <v>244</v>
      </c>
    </row>
    <row r="4935" spans="2:9" x14ac:dyDescent="0.4">
      <c r="B4935" s="8" t="s">
        <v>518</v>
      </c>
      <c r="C4935" s="3" t="s">
        <v>7617</v>
      </c>
      <c r="D4935" s="3" t="s">
        <v>7975</v>
      </c>
      <c r="F4935" s="3" t="s">
        <v>1279</v>
      </c>
      <c r="I4935" s="3" t="s">
        <v>244</v>
      </c>
    </row>
    <row r="4936" spans="2:9" x14ac:dyDescent="0.4">
      <c r="B4936" s="8" t="s">
        <v>518</v>
      </c>
      <c r="C4936" s="3" t="s">
        <v>7618</v>
      </c>
      <c r="D4936" s="3" t="s">
        <v>7975</v>
      </c>
      <c r="F4936" s="3" t="s">
        <v>1279</v>
      </c>
      <c r="I4936" s="3" t="s">
        <v>244</v>
      </c>
    </row>
    <row r="4937" spans="2:9" x14ac:dyDescent="0.4">
      <c r="B4937" s="8" t="s">
        <v>518</v>
      </c>
      <c r="C4937" s="3" t="s">
        <v>7619</v>
      </c>
      <c r="D4937" s="3" t="s">
        <v>7976</v>
      </c>
      <c r="F4937" s="3" t="s">
        <v>1279</v>
      </c>
      <c r="I4937" s="3" t="s">
        <v>244</v>
      </c>
    </row>
    <row r="4938" spans="2:9" x14ac:dyDescent="0.4">
      <c r="B4938" s="8" t="s">
        <v>518</v>
      </c>
      <c r="C4938" s="3" t="s">
        <v>7620</v>
      </c>
      <c r="D4938" s="3" t="s">
        <v>7977</v>
      </c>
      <c r="F4938" s="3" t="s">
        <v>1279</v>
      </c>
      <c r="I4938" s="3" t="s">
        <v>244</v>
      </c>
    </row>
    <row r="4939" spans="2:9" x14ac:dyDescent="0.4">
      <c r="B4939" s="8" t="s">
        <v>517</v>
      </c>
      <c r="C4939" s="3" t="s">
        <v>7621</v>
      </c>
      <c r="D4939" s="3" t="s">
        <v>7978</v>
      </c>
      <c r="F4939" s="3" t="s">
        <v>1279</v>
      </c>
      <c r="I4939" s="3" t="s">
        <v>244</v>
      </c>
    </row>
    <row r="4940" spans="2:9" x14ac:dyDescent="0.4">
      <c r="B4940" s="8" t="s">
        <v>529</v>
      </c>
      <c r="C4940" s="3" t="s">
        <v>7622</v>
      </c>
      <c r="D4940" s="3" t="s">
        <v>7979</v>
      </c>
      <c r="F4940" s="3" t="s">
        <v>1279</v>
      </c>
      <c r="I4940" s="3" t="s">
        <v>244</v>
      </c>
    </row>
    <row r="4941" spans="2:9" x14ac:dyDescent="0.4">
      <c r="B4941" s="8" t="s">
        <v>529</v>
      </c>
      <c r="C4941" s="3" t="s">
        <v>7623</v>
      </c>
      <c r="D4941" s="3" t="s">
        <v>7980</v>
      </c>
      <c r="F4941" s="3" t="s">
        <v>1279</v>
      </c>
      <c r="I4941" s="3" t="s">
        <v>244</v>
      </c>
    </row>
    <row r="4942" spans="2:9" x14ac:dyDescent="0.4">
      <c r="B4942" s="8" t="s">
        <v>518</v>
      </c>
      <c r="C4942" s="3" t="s">
        <v>7624</v>
      </c>
      <c r="D4942" s="3" t="s">
        <v>7981</v>
      </c>
      <c r="F4942" s="3" t="s">
        <v>1279</v>
      </c>
      <c r="I4942" s="3" t="s">
        <v>244</v>
      </c>
    </row>
    <row r="4943" spans="2:9" x14ac:dyDescent="0.4">
      <c r="B4943" s="8" t="s">
        <v>520</v>
      </c>
      <c r="C4943" s="3" t="s">
        <v>7625</v>
      </c>
      <c r="D4943" s="3" t="s">
        <v>7982</v>
      </c>
      <c r="F4943" s="3" t="s">
        <v>1279</v>
      </c>
      <c r="I4943" s="3" t="s">
        <v>244</v>
      </c>
    </row>
    <row r="4944" spans="2:9" x14ac:dyDescent="0.4">
      <c r="B4944" s="8" t="s">
        <v>518</v>
      </c>
      <c r="C4944" s="3" t="s">
        <v>7626</v>
      </c>
      <c r="D4944" s="3" t="s">
        <v>7983</v>
      </c>
      <c r="F4944" s="3" t="s">
        <v>1279</v>
      </c>
      <c r="I4944" s="3" t="s">
        <v>244</v>
      </c>
    </row>
    <row r="4945" spans="2:9" x14ac:dyDescent="0.4">
      <c r="B4945" s="8" t="s">
        <v>517</v>
      </c>
      <c r="C4945" s="3" t="s">
        <v>7627</v>
      </c>
      <c r="D4945" s="3" t="s">
        <v>7984</v>
      </c>
      <c r="F4945" s="3" t="s">
        <v>1279</v>
      </c>
      <c r="I4945" s="3" t="s">
        <v>244</v>
      </c>
    </row>
    <row r="4946" spans="2:9" x14ac:dyDescent="0.4">
      <c r="B4946" s="8" t="s">
        <v>518</v>
      </c>
      <c r="C4946" s="3" t="s">
        <v>7628</v>
      </c>
      <c r="D4946" s="3" t="s">
        <v>7984</v>
      </c>
      <c r="F4946" s="3" t="s">
        <v>1279</v>
      </c>
      <c r="I4946" s="3" t="s">
        <v>244</v>
      </c>
    </row>
    <row r="4947" spans="2:9" x14ac:dyDescent="0.4">
      <c r="B4947" s="8" t="s">
        <v>517</v>
      </c>
      <c r="C4947" s="3" t="s">
        <v>7629</v>
      </c>
      <c r="D4947" s="3" t="s">
        <v>7985</v>
      </c>
      <c r="F4947" s="3" t="s">
        <v>1279</v>
      </c>
      <c r="I4947" s="3" t="s">
        <v>244</v>
      </c>
    </row>
    <row r="4948" spans="2:9" x14ac:dyDescent="0.4">
      <c r="B4948" s="8" t="s">
        <v>529</v>
      </c>
      <c r="C4948" s="3" t="s">
        <v>7630</v>
      </c>
      <c r="D4948" s="3" t="s">
        <v>7986</v>
      </c>
      <c r="F4948" s="3" t="s">
        <v>1279</v>
      </c>
      <c r="I4948" s="3" t="s">
        <v>244</v>
      </c>
    </row>
    <row r="4949" spans="2:9" x14ac:dyDescent="0.4">
      <c r="B4949" s="8" t="s">
        <v>517</v>
      </c>
      <c r="C4949" s="3" t="s">
        <v>7631</v>
      </c>
      <c r="D4949" s="3" t="s">
        <v>7987</v>
      </c>
      <c r="F4949" s="3" t="s">
        <v>1279</v>
      </c>
      <c r="I4949" s="3" t="s">
        <v>244</v>
      </c>
    </row>
    <row r="4950" spans="2:9" x14ac:dyDescent="0.4">
      <c r="B4950" s="8" t="s">
        <v>518</v>
      </c>
      <c r="C4950" s="3" t="s">
        <v>7632</v>
      </c>
      <c r="D4950" s="3" t="s">
        <v>7988</v>
      </c>
      <c r="F4950" s="3" t="s">
        <v>1279</v>
      </c>
      <c r="I4950" s="3" t="s">
        <v>244</v>
      </c>
    </row>
    <row r="4951" spans="2:9" x14ac:dyDescent="0.4">
      <c r="B4951" s="8" t="s">
        <v>518</v>
      </c>
      <c r="C4951" s="3" t="s">
        <v>7633</v>
      </c>
      <c r="D4951" s="3" t="s">
        <v>7989</v>
      </c>
      <c r="F4951" s="3" t="s">
        <v>1279</v>
      </c>
      <c r="I4951" s="3" t="s">
        <v>244</v>
      </c>
    </row>
    <row r="4952" spans="2:9" x14ac:dyDescent="0.4">
      <c r="B4952" s="8" t="s">
        <v>517</v>
      </c>
      <c r="C4952" s="3" t="s">
        <v>7634</v>
      </c>
      <c r="D4952" s="3" t="s">
        <v>7990</v>
      </c>
      <c r="F4952" s="3" t="s">
        <v>1279</v>
      </c>
      <c r="I4952" s="3" t="s">
        <v>244</v>
      </c>
    </row>
    <row r="4953" spans="2:9" x14ac:dyDescent="0.4">
      <c r="B4953" s="8" t="s">
        <v>517</v>
      </c>
      <c r="C4953" s="3" t="s">
        <v>7635</v>
      </c>
      <c r="D4953" s="3" t="s">
        <v>7991</v>
      </c>
      <c r="F4953" s="3" t="s">
        <v>1279</v>
      </c>
      <c r="I4953" s="3" t="s">
        <v>244</v>
      </c>
    </row>
    <row r="4954" spans="2:9" x14ac:dyDescent="0.4">
      <c r="B4954" s="8" t="s">
        <v>518</v>
      </c>
      <c r="C4954" s="3" t="s">
        <v>7636</v>
      </c>
      <c r="D4954" s="3" t="s">
        <v>7992</v>
      </c>
      <c r="F4954" s="3" t="s">
        <v>1279</v>
      </c>
      <c r="I4954" s="3" t="s">
        <v>244</v>
      </c>
    </row>
    <row r="4955" spans="2:9" x14ac:dyDescent="0.4">
      <c r="B4955" s="8" t="s">
        <v>529</v>
      </c>
      <c r="C4955" s="3" t="s">
        <v>7637</v>
      </c>
      <c r="D4955" s="3" t="s">
        <v>7993</v>
      </c>
      <c r="F4955" s="3" t="s">
        <v>1279</v>
      </c>
      <c r="I4955" s="3" t="s">
        <v>244</v>
      </c>
    </row>
    <row r="4956" spans="2:9" x14ac:dyDescent="0.4">
      <c r="B4956" s="8" t="s">
        <v>518</v>
      </c>
      <c r="C4956" s="3" t="s">
        <v>7638</v>
      </c>
      <c r="D4956" s="3" t="s">
        <v>7994</v>
      </c>
      <c r="F4956" s="3" t="s">
        <v>1279</v>
      </c>
      <c r="I4956" s="3" t="s">
        <v>244</v>
      </c>
    </row>
    <row r="4957" spans="2:9" x14ac:dyDescent="0.4">
      <c r="B4957" s="8" t="s">
        <v>520</v>
      </c>
      <c r="C4957" s="3" t="s">
        <v>7639</v>
      </c>
      <c r="D4957" s="3" t="s">
        <v>7995</v>
      </c>
      <c r="F4957" s="3" t="s">
        <v>1279</v>
      </c>
      <c r="I4957" s="3" t="s">
        <v>244</v>
      </c>
    </row>
    <row r="4958" spans="2:9" x14ac:dyDescent="0.4">
      <c r="B4958" s="8" t="s">
        <v>520</v>
      </c>
      <c r="C4958" s="3" t="s">
        <v>7640</v>
      </c>
      <c r="D4958" s="3" t="s">
        <v>7996</v>
      </c>
      <c r="F4958" s="3" t="s">
        <v>1279</v>
      </c>
      <c r="I4958" s="3" t="s">
        <v>244</v>
      </c>
    </row>
    <row r="4959" spans="2:9" x14ac:dyDescent="0.4">
      <c r="B4959" s="8" t="s">
        <v>517</v>
      </c>
      <c r="C4959" s="3" t="s">
        <v>7641</v>
      </c>
      <c r="D4959" s="3" t="s">
        <v>7997</v>
      </c>
      <c r="E4959" s="3" t="s">
        <v>1272</v>
      </c>
      <c r="F4959" s="3" t="s">
        <v>1279</v>
      </c>
      <c r="I4959" s="3" t="s">
        <v>244</v>
      </c>
    </row>
    <row r="4960" spans="2:9" x14ac:dyDescent="0.4">
      <c r="B4960" s="8" t="s">
        <v>517</v>
      </c>
      <c r="C4960" s="3" t="s">
        <v>7642</v>
      </c>
      <c r="D4960" s="3" t="s">
        <v>7998</v>
      </c>
      <c r="E4960" s="3" t="s">
        <v>1272</v>
      </c>
      <c r="F4960" s="3" t="s">
        <v>1279</v>
      </c>
      <c r="I4960" s="3" t="s">
        <v>244</v>
      </c>
    </row>
    <row r="4961" spans="2:9" x14ac:dyDescent="0.4">
      <c r="B4961" s="8" t="s">
        <v>518</v>
      </c>
      <c r="C4961" s="3" t="s">
        <v>7643</v>
      </c>
      <c r="D4961" s="3" t="s">
        <v>7999</v>
      </c>
      <c r="E4961" s="3" t="s">
        <v>1272</v>
      </c>
      <c r="F4961" s="3" t="s">
        <v>1279</v>
      </c>
      <c r="I4961" s="3" t="s">
        <v>244</v>
      </c>
    </row>
    <row r="4962" spans="2:9" x14ac:dyDescent="0.4">
      <c r="B4962" s="8" t="s">
        <v>517</v>
      </c>
      <c r="C4962" s="3" t="s">
        <v>7644</v>
      </c>
      <c r="D4962" s="3" t="s">
        <v>8000</v>
      </c>
      <c r="E4962" s="3" t="s">
        <v>1272</v>
      </c>
      <c r="F4962" s="3" t="s">
        <v>1279</v>
      </c>
      <c r="I4962" s="3" t="s">
        <v>244</v>
      </c>
    </row>
    <row r="4963" spans="2:9" x14ac:dyDescent="0.4">
      <c r="B4963" s="8" t="s">
        <v>517</v>
      </c>
      <c r="C4963" s="3" t="s">
        <v>7645</v>
      </c>
      <c r="D4963" s="3" t="s">
        <v>8001</v>
      </c>
      <c r="F4963" s="3" t="s">
        <v>1279</v>
      </c>
      <c r="I4963" s="3" t="s">
        <v>244</v>
      </c>
    </row>
    <row r="4964" spans="2:9" x14ac:dyDescent="0.4">
      <c r="B4964" s="8" t="s">
        <v>520</v>
      </c>
      <c r="C4964" s="3" t="s">
        <v>7646</v>
      </c>
      <c r="D4964" s="3" t="s">
        <v>8002</v>
      </c>
      <c r="F4964" s="3" t="s">
        <v>1279</v>
      </c>
      <c r="I4964" s="3" t="s">
        <v>244</v>
      </c>
    </row>
    <row r="4965" spans="2:9" x14ac:dyDescent="0.4">
      <c r="B4965" s="8" t="s">
        <v>517</v>
      </c>
      <c r="C4965" s="3" t="s">
        <v>7647</v>
      </c>
      <c r="D4965" s="3" t="s">
        <v>8002</v>
      </c>
      <c r="E4965" s="3" t="s">
        <v>1272</v>
      </c>
      <c r="F4965" s="3" t="s">
        <v>1279</v>
      </c>
      <c r="I4965" s="3" t="s">
        <v>244</v>
      </c>
    </row>
    <row r="4966" spans="2:9" x14ac:dyDescent="0.4">
      <c r="B4966" s="8" t="s">
        <v>517</v>
      </c>
      <c r="C4966" s="3" t="s">
        <v>7648</v>
      </c>
      <c r="D4966" s="3" t="s">
        <v>8003</v>
      </c>
      <c r="F4966" s="3" t="s">
        <v>1279</v>
      </c>
      <c r="I4966" s="3" t="s">
        <v>244</v>
      </c>
    </row>
    <row r="4967" spans="2:9" x14ac:dyDescent="0.4">
      <c r="B4967" s="8" t="s">
        <v>517</v>
      </c>
      <c r="C4967" s="3" t="s">
        <v>7649</v>
      </c>
      <c r="D4967" s="3" t="s">
        <v>8004</v>
      </c>
      <c r="F4967" s="3" t="s">
        <v>1279</v>
      </c>
      <c r="I4967" s="3" t="s">
        <v>244</v>
      </c>
    </row>
    <row r="4968" spans="2:9" x14ac:dyDescent="0.4">
      <c r="B4968" s="8" t="s">
        <v>520</v>
      </c>
      <c r="C4968" s="3" t="s">
        <v>7650</v>
      </c>
      <c r="D4968" s="3" t="s">
        <v>8005</v>
      </c>
      <c r="F4968" s="3" t="s">
        <v>1279</v>
      </c>
      <c r="I4968" s="3" t="s">
        <v>244</v>
      </c>
    </row>
    <row r="4969" spans="2:9" x14ac:dyDescent="0.4">
      <c r="B4969" s="8" t="s">
        <v>518</v>
      </c>
      <c r="C4969" s="3" t="s">
        <v>7651</v>
      </c>
      <c r="D4969" s="3" t="s">
        <v>8006</v>
      </c>
      <c r="F4969" s="3" t="s">
        <v>1279</v>
      </c>
      <c r="I4969" s="3" t="s">
        <v>244</v>
      </c>
    </row>
    <row r="4970" spans="2:9" x14ac:dyDescent="0.4">
      <c r="B4970" s="8" t="s">
        <v>518</v>
      </c>
      <c r="C4970" s="3" t="s">
        <v>7652</v>
      </c>
      <c r="D4970" s="3" t="s">
        <v>8007</v>
      </c>
      <c r="F4970" s="3" t="s">
        <v>1279</v>
      </c>
      <c r="I4970" s="3" t="s">
        <v>244</v>
      </c>
    </row>
    <row r="4971" spans="2:9" x14ac:dyDescent="0.4">
      <c r="B4971" s="8" t="s">
        <v>529</v>
      </c>
      <c r="C4971" s="3" t="s">
        <v>7653</v>
      </c>
      <c r="D4971" s="3" t="s">
        <v>8008</v>
      </c>
      <c r="F4971" s="3" t="s">
        <v>1279</v>
      </c>
      <c r="I4971" s="3" t="s">
        <v>244</v>
      </c>
    </row>
    <row r="4972" spans="2:9" x14ac:dyDescent="0.4">
      <c r="B4972" s="8" t="s">
        <v>518</v>
      </c>
      <c r="C4972" s="3" t="s">
        <v>7654</v>
      </c>
      <c r="D4972" s="3" t="s">
        <v>8009</v>
      </c>
      <c r="F4972" s="3" t="s">
        <v>1279</v>
      </c>
      <c r="I4972" s="3" t="s">
        <v>244</v>
      </c>
    </row>
    <row r="4973" spans="2:9" x14ac:dyDescent="0.4">
      <c r="B4973" s="8" t="s">
        <v>529</v>
      </c>
      <c r="C4973" s="3" t="s">
        <v>7655</v>
      </c>
      <c r="D4973" s="3" t="s">
        <v>8010</v>
      </c>
      <c r="F4973" s="3" t="s">
        <v>1279</v>
      </c>
      <c r="I4973" s="3" t="s">
        <v>244</v>
      </c>
    </row>
    <row r="4974" spans="2:9" x14ac:dyDescent="0.4">
      <c r="B4974" s="8" t="s">
        <v>518</v>
      </c>
      <c r="C4974" s="3" t="s">
        <v>7656</v>
      </c>
      <c r="D4974" s="3" t="s">
        <v>8011</v>
      </c>
      <c r="F4974" s="3" t="s">
        <v>1279</v>
      </c>
      <c r="I4974" s="3" t="s">
        <v>244</v>
      </c>
    </row>
    <row r="4975" spans="2:9" x14ac:dyDescent="0.4">
      <c r="B4975" s="8" t="s">
        <v>529</v>
      </c>
      <c r="C4975" s="3" t="s">
        <v>7657</v>
      </c>
      <c r="D4975" s="3" t="s">
        <v>8012</v>
      </c>
      <c r="F4975" s="3" t="s">
        <v>1279</v>
      </c>
      <c r="I4975" s="3" t="s">
        <v>244</v>
      </c>
    </row>
    <row r="4976" spans="2:9" x14ac:dyDescent="0.4">
      <c r="B4976" s="8" t="s">
        <v>517</v>
      </c>
      <c r="C4976" s="3" t="s">
        <v>7658</v>
      </c>
      <c r="D4976" s="3" t="s">
        <v>8013</v>
      </c>
      <c r="F4976" s="3" t="s">
        <v>1279</v>
      </c>
      <c r="I4976" s="3" t="s">
        <v>244</v>
      </c>
    </row>
    <row r="4977" spans="2:9" x14ac:dyDescent="0.4">
      <c r="B4977" s="8" t="s">
        <v>517</v>
      </c>
      <c r="C4977" s="3" t="s">
        <v>7659</v>
      </c>
      <c r="D4977" s="3" t="s">
        <v>8014</v>
      </c>
      <c r="F4977" s="3" t="s">
        <v>1279</v>
      </c>
      <c r="I4977" s="3" t="s">
        <v>244</v>
      </c>
    </row>
    <row r="4978" spans="2:9" x14ac:dyDescent="0.4">
      <c r="B4978" s="8" t="s">
        <v>518</v>
      </c>
      <c r="C4978" s="3" t="s">
        <v>7660</v>
      </c>
      <c r="D4978" s="3" t="s">
        <v>8015</v>
      </c>
      <c r="F4978" s="3" t="s">
        <v>1279</v>
      </c>
      <c r="I4978" s="3" t="s">
        <v>244</v>
      </c>
    </row>
    <row r="4979" spans="2:9" x14ac:dyDescent="0.4">
      <c r="B4979" s="8" t="s">
        <v>517</v>
      </c>
      <c r="C4979" s="3" t="s">
        <v>7661</v>
      </c>
      <c r="D4979" s="3" t="s">
        <v>8016</v>
      </c>
      <c r="F4979" s="3" t="s">
        <v>1279</v>
      </c>
      <c r="I4979" s="3" t="s">
        <v>244</v>
      </c>
    </row>
    <row r="4980" spans="2:9" x14ac:dyDescent="0.4">
      <c r="B4980" s="8" t="s">
        <v>517</v>
      </c>
      <c r="C4980" s="3" t="s">
        <v>7662</v>
      </c>
      <c r="D4980" s="3" t="s">
        <v>8017</v>
      </c>
      <c r="F4980" s="3" t="s">
        <v>1279</v>
      </c>
      <c r="I4980" s="3" t="s">
        <v>244</v>
      </c>
    </row>
    <row r="4981" spans="2:9" x14ac:dyDescent="0.4">
      <c r="B4981" s="8" t="s">
        <v>517</v>
      </c>
      <c r="C4981" s="3" t="s">
        <v>7663</v>
      </c>
      <c r="D4981" s="3" t="s">
        <v>8018</v>
      </c>
      <c r="F4981" s="3" t="s">
        <v>1279</v>
      </c>
      <c r="I4981" s="3" t="s">
        <v>244</v>
      </c>
    </row>
    <row r="4982" spans="2:9" x14ac:dyDescent="0.4">
      <c r="B4982" s="8" t="s">
        <v>529</v>
      </c>
      <c r="C4982" s="3" t="s">
        <v>7664</v>
      </c>
      <c r="D4982" s="3" t="s">
        <v>8019</v>
      </c>
      <c r="F4982" s="3" t="s">
        <v>1279</v>
      </c>
      <c r="I4982" s="3" t="s">
        <v>244</v>
      </c>
    </row>
    <row r="4983" spans="2:9" x14ac:dyDescent="0.4">
      <c r="B4983" s="8" t="s">
        <v>517</v>
      </c>
      <c r="C4983" s="3" t="s">
        <v>7665</v>
      </c>
      <c r="D4983" s="3" t="s">
        <v>8020</v>
      </c>
      <c r="F4983" s="3" t="s">
        <v>1279</v>
      </c>
      <c r="I4983" s="3" t="s">
        <v>244</v>
      </c>
    </row>
    <row r="4984" spans="2:9" x14ac:dyDescent="0.4">
      <c r="B4984" s="8" t="s">
        <v>530</v>
      </c>
      <c r="C4984" s="3" t="s">
        <v>7666</v>
      </c>
      <c r="D4984" s="3" t="s">
        <v>8021</v>
      </c>
      <c r="F4984" s="3" t="s">
        <v>1279</v>
      </c>
      <c r="I4984" s="3" t="s">
        <v>244</v>
      </c>
    </row>
    <row r="4985" spans="2:9" x14ac:dyDescent="0.4">
      <c r="B4985" s="8" t="s">
        <v>520</v>
      </c>
      <c r="C4985" s="3" t="s">
        <v>7667</v>
      </c>
      <c r="D4985" s="3" t="s">
        <v>8022</v>
      </c>
      <c r="F4985" s="3" t="s">
        <v>1279</v>
      </c>
      <c r="I4985" s="3" t="s">
        <v>244</v>
      </c>
    </row>
    <row r="4986" spans="2:9" x14ac:dyDescent="0.4">
      <c r="B4986" s="8" t="s">
        <v>517</v>
      </c>
      <c r="C4986" s="3" t="s">
        <v>7668</v>
      </c>
      <c r="D4986" s="3" t="s">
        <v>8023</v>
      </c>
      <c r="F4986" s="3" t="s">
        <v>1279</v>
      </c>
      <c r="I4986" s="3" t="s">
        <v>244</v>
      </c>
    </row>
    <row r="4987" spans="2:9" x14ac:dyDescent="0.4">
      <c r="B4987" s="8" t="s">
        <v>530</v>
      </c>
      <c r="C4987" s="3" t="s">
        <v>7669</v>
      </c>
      <c r="D4987" s="3" t="s">
        <v>8024</v>
      </c>
      <c r="F4987" s="3" t="s">
        <v>1279</v>
      </c>
      <c r="I4987" s="3" t="s">
        <v>244</v>
      </c>
    </row>
    <row r="4988" spans="2:9" x14ac:dyDescent="0.4">
      <c r="B4988" s="8" t="s">
        <v>517</v>
      </c>
      <c r="C4988" s="3" t="s">
        <v>7670</v>
      </c>
      <c r="D4988" s="3" t="s">
        <v>8025</v>
      </c>
      <c r="F4988" s="3" t="s">
        <v>1279</v>
      </c>
      <c r="I4988" s="3" t="s">
        <v>244</v>
      </c>
    </row>
    <row r="4989" spans="2:9" x14ac:dyDescent="0.4">
      <c r="B4989" s="8" t="s">
        <v>520</v>
      </c>
      <c r="C4989" s="3" t="s">
        <v>7671</v>
      </c>
      <c r="D4989" s="3" t="s">
        <v>8025</v>
      </c>
      <c r="F4989" s="3" t="s">
        <v>1279</v>
      </c>
      <c r="I4989" s="3" t="s">
        <v>244</v>
      </c>
    </row>
    <row r="4990" spans="2:9" x14ac:dyDescent="0.4">
      <c r="B4990" s="8" t="s">
        <v>517</v>
      </c>
      <c r="C4990" s="3" t="s">
        <v>7672</v>
      </c>
      <c r="D4990" s="3" t="s">
        <v>8026</v>
      </c>
      <c r="F4990" s="3" t="s">
        <v>1279</v>
      </c>
      <c r="I4990" s="3" t="s">
        <v>244</v>
      </c>
    </row>
    <row r="4991" spans="2:9" x14ac:dyDescent="0.4">
      <c r="B4991" s="8" t="s">
        <v>517</v>
      </c>
      <c r="C4991" s="3" t="s">
        <v>7673</v>
      </c>
      <c r="D4991" s="3" t="s">
        <v>8027</v>
      </c>
      <c r="F4991" s="3" t="s">
        <v>1279</v>
      </c>
      <c r="I4991" s="3" t="s">
        <v>244</v>
      </c>
    </row>
    <row r="4992" spans="2:9" x14ac:dyDescent="0.4">
      <c r="B4992" s="8" t="s">
        <v>518</v>
      </c>
      <c r="C4992" s="3" t="s">
        <v>7794</v>
      </c>
      <c r="D4992" s="3" t="s">
        <v>8028</v>
      </c>
      <c r="F4992" s="3" t="s">
        <v>1279</v>
      </c>
      <c r="I4992" s="3" t="s">
        <v>244</v>
      </c>
    </row>
    <row r="4993" spans="2:9" x14ac:dyDescent="0.4">
      <c r="B4993" s="8" t="s">
        <v>517</v>
      </c>
      <c r="C4993" s="3" t="s">
        <v>7674</v>
      </c>
      <c r="D4993" s="3" t="s">
        <v>8029</v>
      </c>
      <c r="F4993" s="3" t="s">
        <v>1279</v>
      </c>
      <c r="I4993" s="3" t="s">
        <v>244</v>
      </c>
    </row>
    <row r="4994" spans="2:9" x14ac:dyDescent="0.4">
      <c r="B4994" s="8" t="s">
        <v>517</v>
      </c>
      <c r="C4994" s="3" t="s">
        <v>7675</v>
      </c>
      <c r="D4994" s="3" t="s">
        <v>8030</v>
      </c>
      <c r="F4994" s="3" t="s">
        <v>1279</v>
      </c>
      <c r="I4994" s="3" t="s">
        <v>244</v>
      </c>
    </row>
    <row r="4995" spans="2:9" x14ac:dyDescent="0.4">
      <c r="B4995" s="8" t="s">
        <v>517</v>
      </c>
      <c r="C4995" s="3" t="s">
        <v>7676</v>
      </c>
      <c r="D4995" s="3" t="s">
        <v>8031</v>
      </c>
      <c r="F4995" s="3" t="s">
        <v>1279</v>
      </c>
      <c r="I4995" s="3" t="s">
        <v>244</v>
      </c>
    </row>
    <row r="4996" spans="2:9" x14ac:dyDescent="0.4">
      <c r="B4996" s="8" t="s">
        <v>520</v>
      </c>
      <c r="C4996" s="3" t="s">
        <v>7677</v>
      </c>
      <c r="D4996" s="3" t="s">
        <v>8032</v>
      </c>
      <c r="F4996" s="3" t="s">
        <v>1279</v>
      </c>
      <c r="I4996" s="3" t="s">
        <v>244</v>
      </c>
    </row>
    <row r="4997" spans="2:9" x14ac:dyDescent="0.4">
      <c r="B4997" s="8" t="s">
        <v>518</v>
      </c>
      <c r="C4997" s="3" t="s">
        <v>7678</v>
      </c>
      <c r="D4997" s="3" t="s">
        <v>8033</v>
      </c>
      <c r="F4997" s="3" t="s">
        <v>1279</v>
      </c>
      <c r="I4997" s="3" t="s">
        <v>244</v>
      </c>
    </row>
    <row r="4998" spans="2:9" x14ac:dyDescent="0.4">
      <c r="B4998" s="8" t="s">
        <v>518</v>
      </c>
      <c r="C4998" s="3" t="s">
        <v>7679</v>
      </c>
      <c r="D4998" s="3" t="s">
        <v>8034</v>
      </c>
      <c r="F4998" s="3" t="s">
        <v>1279</v>
      </c>
      <c r="I4998" s="3" t="s">
        <v>244</v>
      </c>
    </row>
    <row r="4999" spans="2:9" x14ac:dyDescent="0.4">
      <c r="B4999" s="8" t="s">
        <v>518</v>
      </c>
      <c r="C4999" s="3" t="s">
        <v>7680</v>
      </c>
      <c r="D4999" s="3" t="s">
        <v>8034</v>
      </c>
      <c r="F4999" s="3" t="s">
        <v>1279</v>
      </c>
      <c r="I4999" s="3" t="s">
        <v>244</v>
      </c>
    </row>
    <row r="5000" spans="2:9" x14ac:dyDescent="0.4">
      <c r="B5000" s="8" t="s">
        <v>532</v>
      </c>
      <c r="C5000" s="3" t="s">
        <v>7681</v>
      </c>
      <c r="D5000" s="3" t="s">
        <v>8035</v>
      </c>
      <c r="F5000" s="3" t="s">
        <v>1279</v>
      </c>
      <c r="I5000" s="3" t="s">
        <v>244</v>
      </c>
    </row>
    <row r="5001" spans="2:9" x14ac:dyDescent="0.4">
      <c r="B5001" s="8" t="s">
        <v>520</v>
      </c>
      <c r="C5001" s="3" t="s">
        <v>7682</v>
      </c>
      <c r="D5001" s="3" t="s">
        <v>8036</v>
      </c>
      <c r="F5001" s="3" t="s">
        <v>1279</v>
      </c>
      <c r="I5001" s="3" t="s">
        <v>244</v>
      </c>
    </row>
    <row r="5002" spans="2:9" x14ac:dyDescent="0.4">
      <c r="B5002" s="8" t="s">
        <v>529</v>
      </c>
      <c r="C5002" s="3" t="s">
        <v>7683</v>
      </c>
      <c r="D5002" s="3" t="s">
        <v>8037</v>
      </c>
      <c r="F5002" s="3" t="s">
        <v>1279</v>
      </c>
      <c r="I5002" s="3" t="s">
        <v>244</v>
      </c>
    </row>
    <row r="5003" spans="2:9" x14ac:dyDescent="0.4">
      <c r="B5003" s="8" t="s">
        <v>529</v>
      </c>
      <c r="C5003" s="3" t="s">
        <v>7684</v>
      </c>
      <c r="D5003" s="3" t="s">
        <v>8038</v>
      </c>
      <c r="F5003" s="3" t="s">
        <v>1279</v>
      </c>
      <c r="I5003" s="3" t="s">
        <v>244</v>
      </c>
    </row>
    <row r="5004" spans="2:9" x14ac:dyDescent="0.4">
      <c r="B5004" s="8" t="s">
        <v>517</v>
      </c>
      <c r="C5004" s="3" t="s">
        <v>7685</v>
      </c>
      <c r="D5004" s="3" t="s">
        <v>8039</v>
      </c>
      <c r="F5004" s="3" t="s">
        <v>1279</v>
      </c>
      <c r="I5004" s="3" t="s">
        <v>244</v>
      </c>
    </row>
    <row r="5005" spans="2:9" x14ac:dyDescent="0.4">
      <c r="B5005" s="8" t="s">
        <v>517</v>
      </c>
      <c r="C5005" s="3" t="s">
        <v>7686</v>
      </c>
      <c r="D5005" s="3" t="s">
        <v>8040</v>
      </c>
      <c r="F5005" s="3" t="s">
        <v>1279</v>
      </c>
      <c r="I5005" s="3" t="s">
        <v>244</v>
      </c>
    </row>
    <row r="5006" spans="2:9" x14ac:dyDescent="0.4">
      <c r="B5006" s="8" t="s">
        <v>529</v>
      </c>
      <c r="C5006" s="3" t="s">
        <v>7687</v>
      </c>
      <c r="D5006" s="3" t="s">
        <v>8041</v>
      </c>
      <c r="F5006" s="3" t="s">
        <v>1279</v>
      </c>
      <c r="I5006" s="3" t="s">
        <v>244</v>
      </c>
    </row>
    <row r="5007" spans="2:9" x14ac:dyDescent="0.4">
      <c r="B5007" s="8" t="s">
        <v>517</v>
      </c>
      <c r="C5007" s="3" t="s">
        <v>7688</v>
      </c>
      <c r="D5007" s="3" t="s">
        <v>8042</v>
      </c>
      <c r="F5007" s="3" t="s">
        <v>1279</v>
      </c>
      <c r="I5007" s="3" t="s">
        <v>244</v>
      </c>
    </row>
    <row r="5008" spans="2:9" x14ac:dyDescent="0.4">
      <c r="B5008" s="8" t="s">
        <v>517</v>
      </c>
      <c r="C5008" s="3" t="s">
        <v>7689</v>
      </c>
      <c r="D5008" s="3" t="s">
        <v>8043</v>
      </c>
      <c r="F5008" s="3" t="s">
        <v>1279</v>
      </c>
      <c r="I5008" s="3" t="s">
        <v>244</v>
      </c>
    </row>
    <row r="5009" spans="2:9" x14ac:dyDescent="0.4">
      <c r="B5009" s="8" t="s">
        <v>517</v>
      </c>
      <c r="C5009" s="3" t="s">
        <v>7690</v>
      </c>
      <c r="D5009" s="3" t="s">
        <v>8044</v>
      </c>
      <c r="F5009" s="3" t="s">
        <v>1279</v>
      </c>
      <c r="I5009" s="3" t="s">
        <v>244</v>
      </c>
    </row>
    <row r="5010" spans="2:9" x14ac:dyDescent="0.4">
      <c r="B5010" s="8" t="s">
        <v>517</v>
      </c>
      <c r="C5010" s="3" t="s">
        <v>7691</v>
      </c>
      <c r="D5010" s="3" t="s">
        <v>8045</v>
      </c>
      <c r="F5010" s="3" t="s">
        <v>1279</v>
      </c>
      <c r="I5010" s="3" t="s">
        <v>244</v>
      </c>
    </row>
    <row r="5011" spans="2:9" x14ac:dyDescent="0.4">
      <c r="B5011" s="8" t="s">
        <v>518</v>
      </c>
      <c r="C5011" s="3" t="s">
        <v>7692</v>
      </c>
      <c r="D5011" s="3" t="s">
        <v>8046</v>
      </c>
      <c r="F5011" s="3" t="s">
        <v>1279</v>
      </c>
      <c r="I5011" s="3" t="s">
        <v>244</v>
      </c>
    </row>
    <row r="5012" spans="2:9" x14ac:dyDescent="0.4">
      <c r="B5012" s="8" t="s">
        <v>518</v>
      </c>
      <c r="C5012" s="3" t="s">
        <v>7693</v>
      </c>
      <c r="D5012" s="3" t="s">
        <v>8047</v>
      </c>
      <c r="F5012" s="3" t="s">
        <v>1279</v>
      </c>
      <c r="I5012" s="3" t="s">
        <v>244</v>
      </c>
    </row>
    <row r="5013" spans="2:9" x14ac:dyDescent="0.4">
      <c r="B5013" s="8" t="s">
        <v>517</v>
      </c>
      <c r="C5013" s="3" t="s">
        <v>7694</v>
      </c>
      <c r="D5013" s="3" t="s">
        <v>8048</v>
      </c>
      <c r="F5013" s="3" t="s">
        <v>1279</v>
      </c>
      <c r="I5013" s="3" t="s">
        <v>244</v>
      </c>
    </row>
    <row r="5014" spans="2:9" x14ac:dyDescent="0.4">
      <c r="B5014" s="8" t="s">
        <v>529</v>
      </c>
      <c r="C5014" s="3" t="s">
        <v>7695</v>
      </c>
      <c r="D5014" s="3" t="s">
        <v>8049</v>
      </c>
      <c r="F5014" s="3" t="s">
        <v>1279</v>
      </c>
      <c r="I5014" s="3" t="s">
        <v>244</v>
      </c>
    </row>
    <row r="5015" spans="2:9" x14ac:dyDescent="0.4">
      <c r="B5015" s="8" t="s">
        <v>518</v>
      </c>
      <c r="C5015" s="3" t="s">
        <v>7696</v>
      </c>
      <c r="D5015" s="3" t="s">
        <v>8050</v>
      </c>
      <c r="F5015" s="3" t="s">
        <v>1279</v>
      </c>
      <c r="I5015" s="3" t="s">
        <v>244</v>
      </c>
    </row>
    <row r="5016" spans="2:9" x14ac:dyDescent="0.4">
      <c r="B5016" s="8" t="s">
        <v>517</v>
      </c>
      <c r="C5016" s="3" t="s">
        <v>7697</v>
      </c>
      <c r="D5016" s="3" t="s">
        <v>8051</v>
      </c>
      <c r="F5016" s="3" t="s">
        <v>1279</v>
      </c>
      <c r="I5016" s="3" t="s">
        <v>244</v>
      </c>
    </row>
    <row r="5017" spans="2:9" x14ac:dyDescent="0.4">
      <c r="B5017" s="8" t="s">
        <v>518</v>
      </c>
      <c r="C5017" s="3" t="s">
        <v>7698</v>
      </c>
      <c r="D5017" s="3" t="s">
        <v>8052</v>
      </c>
      <c r="F5017" s="3" t="s">
        <v>1279</v>
      </c>
      <c r="I5017" s="3" t="s">
        <v>244</v>
      </c>
    </row>
    <row r="5018" spans="2:9" x14ac:dyDescent="0.4">
      <c r="B5018" s="8" t="s">
        <v>517</v>
      </c>
      <c r="C5018" s="3" t="s">
        <v>7699</v>
      </c>
      <c r="D5018" s="3" t="s">
        <v>8053</v>
      </c>
      <c r="F5018" s="3" t="s">
        <v>1279</v>
      </c>
      <c r="I5018" s="3" t="s">
        <v>244</v>
      </c>
    </row>
    <row r="5019" spans="2:9" x14ac:dyDescent="0.4">
      <c r="B5019" s="8" t="s">
        <v>518</v>
      </c>
      <c r="C5019" s="3" t="s">
        <v>7700</v>
      </c>
      <c r="D5019" s="3" t="s">
        <v>8054</v>
      </c>
      <c r="F5019" s="3" t="s">
        <v>1279</v>
      </c>
      <c r="I5019" s="3" t="s">
        <v>244</v>
      </c>
    </row>
    <row r="5020" spans="2:9" x14ac:dyDescent="0.4">
      <c r="B5020" s="8" t="s">
        <v>517</v>
      </c>
      <c r="C5020" s="3" t="s">
        <v>7701</v>
      </c>
      <c r="D5020" s="3" t="s">
        <v>8055</v>
      </c>
      <c r="F5020" s="3" t="s">
        <v>1279</v>
      </c>
      <c r="I5020" s="3" t="s">
        <v>244</v>
      </c>
    </row>
    <row r="5021" spans="2:9" x14ac:dyDescent="0.4">
      <c r="B5021" s="8" t="s">
        <v>517</v>
      </c>
      <c r="C5021" s="3" t="s">
        <v>7702</v>
      </c>
      <c r="D5021" s="3" t="s">
        <v>8056</v>
      </c>
      <c r="F5021" s="3" t="s">
        <v>1279</v>
      </c>
      <c r="I5021" s="3" t="s">
        <v>244</v>
      </c>
    </row>
    <row r="5022" spans="2:9" x14ac:dyDescent="0.4">
      <c r="B5022" s="8" t="s">
        <v>517</v>
      </c>
      <c r="C5022" s="3" t="s">
        <v>7703</v>
      </c>
      <c r="D5022" s="3" t="s">
        <v>8057</v>
      </c>
      <c r="F5022" s="3" t="s">
        <v>1279</v>
      </c>
      <c r="I5022" s="3" t="s">
        <v>244</v>
      </c>
    </row>
    <row r="5023" spans="2:9" x14ac:dyDescent="0.4">
      <c r="B5023" s="8" t="s">
        <v>517</v>
      </c>
      <c r="C5023" s="3" t="s">
        <v>7704</v>
      </c>
      <c r="D5023" s="3" t="s">
        <v>8058</v>
      </c>
      <c r="F5023" s="3" t="s">
        <v>1279</v>
      </c>
      <c r="I5023" s="3" t="s">
        <v>244</v>
      </c>
    </row>
    <row r="5024" spans="2:9" x14ac:dyDescent="0.4">
      <c r="B5024" s="8" t="s">
        <v>517</v>
      </c>
      <c r="C5024" s="3" t="s">
        <v>7705</v>
      </c>
      <c r="D5024" s="3" t="s">
        <v>8059</v>
      </c>
      <c r="F5024" s="3" t="s">
        <v>1279</v>
      </c>
      <c r="I5024" s="3" t="s">
        <v>244</v>
      </c>
    </row>
    <row r="5025" spans="2:9" x14ac:dyDescent="0.4">
      <c r="B5025" s="8" t="s">
        <v>517</v>
      </c>
      <c r="C5025" s="3" t="s">
        <v>7706</v>
      </c>
      <c r="D5025" s="3" t="s">
        <v>8060</v>
      </c>
      <c r="F5025" s="3" t="s">
        <v>1279</v>
      </c>
      <c r="I5025" s="3" t="s">
        <v>244</v>
      </c>
    </row>
    <row r="5026" spans="2:9" x14ac:dyDescent="0.4">
      <c r="B5026" s="8" t="s">
        <v>517</v>
      </c>
      <c r="C5026" s="3" t="s">
        <v>7707</v>
      </c>
      <c r="D5026" s="3" t="s">
        <v>8061</v>
      </c>
      <c r="F5026" s="3" t="s">
        <v>1279</v>
      </c>
      <c r="I5026" s="3" t="s">
        <v>244</v>
      </c>
    </row>
    <row r="5027" spans="2:9" x14ac:dyDescent="0.4">
      <c r="B5027" s="8" t="s">
        <v>518</v>
      </c>
      <c r="C5027" s="3" t="s">
        <v>7708</v>
      </c>
      <c r="D5027" s="3" t="s">
        <v>8062</v>
      </c>
      <c r="F5027" s="3" t="s">
        <v>1279</v>
      </c>
      <c r="I5027" s="3" t="s">
        <v>244</v>
      </c>
    </row>
    <row r="5028" spans="2:9" x14ac:dyDescent="0.4">
      <c r="B5028" s="8" t="s">
        <v>517</v>
      </c>
      <c r="C5028" s="3" t="s">
        <v>7709</v>
      </c>
      <c r="D5028" s="3" t="s">
        <v>8063</v>
      </c>
      <c r="F5028" s="3" t="s">
        <v>1279</v>
      </c>
      <c r="I5028" s="3" t="s">
        <v>244</v>
      </c>
    </row>
    <row r="5029" spans="2:9" x14ac:dyDescent="0.4">
      <c r="B5029" s="8" t="s">
        <v>517</v>
      </c>
      <c r="C5029" s="3" t="s">
        <v>7710</v>
      </c>
      <c r="D5029" s="3" t="s">
        <v>8064</v>
      </c>
      <c r="F5029" s="3" t="s">
        <v>1279</v>
      </c>
      <c r="I5029" s="3" t="s">
        <v>244</v>
      </c>
    </row>
    <row r="5030" spans="2:9" x14ac:dyDescent="0.4">
      <c r="B5030" s="8" t="s">
        <v>517</v>
      </c>
      <c r="C5030" s="3" t="s">
        <v>7711</v>
      </c>
      <c r="D5030" s="3" t="s">
        <v>8065</v>
      </c>
      <c r="F5030" s="3" t="s">
        <v>1279</v>
      </c>
      <c r="I5030" s="3" t="s">
        <v>244</v>
      </c>
    </row>
    <row r="5031" spans="2:9" x14ac:dyDescent="0.4">
      <c r="B5031" s="8" t="s">
        <v>517</v>
      </c>
      <c r="C5031" s="3" t="s">
        <v>7712</v>
      </c>
      <c r="D5031" s="3" t="s">
        <v>8066</v>
      </c>
      <c r="F5031" s="3" t="s">
        <v>1279</v>
      </c>
      <c r="I5031" s="3" t="s">
        <v>244</v>
      </c>
    </row>
    <row r="5032" spans="2:9" x14ac:dyDescent="0.4">
      <c r="B5032" s="8" t="s">
        <v>529</v>
      </c>
      <c r="C5032" s="3" t="s">
        <v>7713</v>
      </c>
      <c r="D5032" s="3" t="s">
        <v>8067</v>
      </c>
      <c r="F5032" s="3" t="s">
        <v>1279</v>
      </c>
      <c r="I5032" s="3" t="s">
        <v>244</v>
      </c>
    </row>
    <row r="5033" spans="2:9" x14ac:dyDescent="0.4">
      <c r="B5033" s="8" t="s">
        <v>517</v>
      </c>
      <c r="C5033" s="3" t="s">
        <v>7714</v>
      </c>
      <c r="D5033" s="3" t="s">
        <v>8068</v>
      </c>
      <c r="F5033" s="3" t="s">
        <v>1279</v>
      </c>
      <c r="I5033" s="3" t="s">
        <v>244</v>
      </c>
    </row>
    <row r="5034" spans="2:9" x14ac:dyDescent="0.4">
      <c r="B5034" s="8" t="s">
        <v>529</v>
      </c>
      <c r="C5034" s="3" t="s">
        <v>7715</v>
      </c>
      <c r="D5034" s="3" t="s">
        <v>8069</v>
      </c>
      <c r="F5034" s="3" t="s">
        <v>1279</v>
      </c>
      <c r="I5034" s="3" t="s">
        <v>244</v>
      </c>
    </row>
    <row r="5035" spans="2:9" x14ac:dyDescent="0.4">
      <c r="B5035" s="8" t="s">
        <v>517</v>
      </c>
      <c r="C5035" s="3" t="s">
        <v>7716</v>
      </c>
      <c r="D5035" s="3" t="s">
        <v>8070</v>
      </c>
      <c r="F5035" s="3" t="s">
        <v>1279</v>
      </c>
      <c r="I5035" s="3" t="s">
        <v>244</v>
      </c>
    </row>
    <row r="5036" spans="2:9" x14ac:dyDescent="0.4">
      <c r="B5036" s="8" t="s">
        <v>517</v>
      </c>
      <c r="C5036" s="3" t="s">
        <v>7795</v>
      </c>
      <c r="D5036" s="3" t="s">
        <v>8071</v>
      </c>
      <c r="F5036" s="3" t="s">
        <v>1279</v>
      </c>
      <c r="I5036" s="3" t="s">
        <v>244</v>
      </c>
    </row>
    <row r="5037" spans="2:9" x14ac:dyDescent="0.4">
      <c r="B5037" s="8" t="s">
        <v>520</v>
      </c>
      <c r="C5037" s="3" t="s">
        <v>7717</v>
      </c>
      <c r="D5037" s="3" t="s">
        <v>8072</v>
      </c>
      <c r="F5037" s="3" t="s">
        <v>1279</v>
      </c>
      <c r="I5037" s="3" t="s">
        <v>244</v>
      </c>
    </row>
    <row r="5038" spans="2:9" x14ac:dyDescent="0.4">
      <c r="B5038" s="8" t="s">
        <v>517</v>
      </c>
      <c r="C5038" s="3" t="s">
        <v>7718</v>
      </c>
      <c r="D5038" s="3" t="s">
        <v>8073</v>
      </c>
      <c r="F5038" s="3" t="s">
        <v>1279</v>
      </c>
      <c r="I5038" s="3" t="s">
        <v>244</v>
      </c>
    </row>
    <row r="5039" spans="2:9" x14ac:dyDescent="0.4">
      <c r="B5039" s="8" t="s">
        <v>518</v>
      </c>
      <c r="C5039" s="3" t="s">
        <v>7719</v>
      </c>
      <c r="D5039" s="3" t="s">
        <v>8074</v>
      </c>
      <c r="F5039" s="3" t="s">
        <v>1279</v>
      </c>
      <c r="I5039" s="3" t="s">
        <v>244</v>
      </c>
    </row>
    <row r="5040" spans="2:9" x14ac:dyDescent="0.4">
      <c r="B5040" s="8" t="s">
        <v>520</v>
      </c>
      <c r="C5040" s="3" t="s">
        <v>7720</v>
      </c>
      <c r="D5040" s="3" t="s">
        <v>8075</v>
      </c>
      <c r="F5040" s="3" t="s">
        <v>1279</v>
      </c>
      <c r="I5040" s="3" t="s">
        <v>244</v>
      </c>
    </row>
    <row r="5041" spans="2:9" x14ac:dyDescent="0.4">
      <c r="B5041" s="8" t="s">
        <v>529</v>
      </c>
      <c r="C5041" s="3" t="s">
        <v>7721</v>
      </c>
      <c r="D5041" s="3" t="s">
        <v>8076</v>
      </c>
      <c r="F5041" s="3" t="s">
        <v>1279</v>
      </c>
      <c r="I5041" s="3" t="s">
        <v>244</v>
      </c>
    </row>
    <row r="5042" spans="2:9" x14ac:dyDescent="0.4">
      <c r="B5042" s="8" t="s">
        <v>517</v>
      </c>
      <c r="C5042" s="3" t="s">
        <v>7722</v>
      </c>
      <c r="D5042" s="3" t="s">
        <v>8076</v>
      </c>
      <c r="F5042" s="3" t="s">
        <v>1279</v>
      </c>
      <c r="I5042" s="3" t="s">
        <v>244</v>
      </c>
    </row>
    <row r="5043" spans="2:9" x14ac:dyDescent="0.4">
      <c r="B5043" s="8" t="s">
        <v>518</v>
      </c>
      <c r="C5043" s="3" t="s">
        <v>7723</v>
      </c>
      <c r="D5043" s="3" t="s">
        <v>8077</v>
      </c>
      <c r="F5043" s="3" t="s">
        <v>1279</v>
      </c>
      <c r="I5043" s="3" t="s">
        <v>244</v>
      </c>
    </row>
    <row r="5044" spans="2:9" x14ac:dyDescent="0.4">
      <c r="B5044" s="8" t="s">
        <v>518</v>
      </c>
      <c r="C5044" s="3" t="s">
        <v>7724</v>
      </c>
      <c r="D5044" s="3" t="s">
        <v>8078</v>
      </c>
      <c r="F5044" s="3" t="s">
        <v>1279</v>
      </c>
      <c r="I5044" s="3" t="s">
        <v>244</v>
      </c>
    </row>
    <row r="5045" spans="2:9" x14ac:dyDescent="0.4">
      <c r="B5045" s="8" t="s">
        <v>517</v>
      </c>
      <c r="C5045" s="3" t="s">
        <v>7725</v>
      </c>
      <c r="D5045" s="3" t="s">
        <v>8079</v>
      </c>
      <c r="F5045" s="3" t="s">
        <v>1279</v>
      </c>
      <c r="I5045" s="3" t="s">
        <v>244</v>
      </c>
    </row>
    <row r="5046" spans="2:9" x14ac:dyDescent="0.4">
      <c r="B5046" s="8" t="s">
        <v>517</v>
      </c>
      <c r="C5046" s="3" t="s">
        <v>7726</v>
      </c>
      <c r="D5046" s="3" t="s">
        <v>8080</v>
      </c>
      <c r="F5046" s="3" t="s">
        <v>1279</v>
      </c>
      <c r="I5046" s="3" t="s">
        <v>244</v>
      </c>
    </row>
    <row r="5047" spans="2:9" x14ac:dyDescent="0.4">
      <c r="B5047" s="8" t="s">
        <v>518</v>
      </c>
      <c r="C5047" s="3" t="s">
        <v>7727</v>
      </c>
      <c r="D5047" s="3" t="s">
        <v>8081</v>
      </c>
      <c r="F5047" s="3" t="s">
        <v>1279</v>
      </c>
      <c r="I5047" s="3" t="s">
        <v>244</v>
      </c>
    </row>
    <row r="5048" spans="2:9" x14ac:dyDescent="0.4">
      <c r="B5048" s="8" t="s">
        <v>532</v>
      </c>
      <c r="C5048" s="3" t="s">
        <v>7728</v>
      </c>
      <c r="D5048" s="3" t="s">
        <v>8082</v>
      </c>
      <c r="F5048" s="3" t="s">
        <v>1279</v>
      </c>
      <c r="I5048" s="3" t="s">
        <v>244</v>
      </c>
    </row>
    <row r="5049" spans="2:9" x14ac:dyDescent="0.4">
      <c r="B5049" s="8" t="s">
        <v>517</v>
      </c>
      <c r="C5049" s="3" t="s">
        <v>7729</v>
      </c>
      <c r="D5049" s="3" t="s">
        <v>8083</v>
      </c>
      <c r="F5049" s="3" t="s">
        <v>1279</v>
      </c>
      <c r="I5049" s="3" t="s">
        <v>244</v>
      </c>
    </row>
    <row r="5050" spans="2:9" x14ac:dyDescent="0.4">
      <c r="B5050" s="8" t="s">
        <v>517</v>
      </c>
      <c r="C5050" s="3" t="s">
        <v>7730</v>
      </c>
      <c r="D5050" s="3" t="s">
        <v>8084</v>
      </c>
      <c r="F5050" s="3" t="s">
        <v>1279</v>
      </c>
      <c r="I5050" s="3" t="s">
        <v>244</v>
      </c>
    </row>
    <row r="5051" spans="2:9" x14ac:dyDescent="0.4">
      <c r="B5051" s="8" t="s">
        <v>517</v>
      </c>
      <c r="C5051" s="3" t="s">
        <v>7731</v>
      </c>
      <c r="D5051" s="3" t="s">
        <v>8085</v>
      </c>
      <c r="F5051" s="3" t="s">
        <v>1279</v>
      </c>
      <c r="I5051" s="3" t="s">
        <v>244</v>
      </c>
    </row>
    <row r="5052" spans="2:9" x14ac:dyDescent="0.4">
      <c r="B5052" s="8" t="s">
        <v>517</v>
      </c>
      <c r="C5052" s="3" t="s">
        <v>7732</v>
      </c>
      <c r="D5052" s="3" t="s">
        <v>8086</v>
      </c>
      <c r="F5052" s="3" t="s">
        <v>1279</v>
      </c>
      <c r="I5052" s="3" t="s">
        <v>244</v>
      </c>
    </row>
    <row r="5053" spans="2:9" x14ac:dyDescent="0.4">
      <c r="B5053" s="8" t="s">
        <v>517</v>
      </c>
      <c r="C5053" s="3" t="s">
        <v>7733</v>
      </c>
      <c r="D5053" s="3" t="s">
        <v>419</v>
      </c>
      <c r="F5053" s="3" t="s">
        <v>1279</v>
      </c>
      <c r="I5053" s="3" t="s">
        <v>244</v>
      </c>
    </row>
    <row r="5054" spans="2:9" x14ac:dyDescent="0.4">
      <c r="B5054" s="8" t="s">
        <v>520</v>
      </c>
      <c r="C5054" s="3" t="s">
        <v>7734</v>
      </c>
      <c r="D5054" s="3" t="s">
        <v>419</v>
      </c>
      <c r="F5054" s="3" t="s">
        <v>1279</v>
      </c>
      <c r="I5054" s="3" t="s">
        <v>244</v>
      </c>
    </row>
    <row r="5055" spans="2:9" x14ac:dyDescent="0.4">
      <c r="B5055" s="8" t="s">
        <v>517</v>
      </c>
      <c r="C5055" s="3" t="s">
        <v>7735</v>
      </c>
      <c r="D5055" s="3" t="s">
        <v>419</v>
      </c>
      <c r="F5055" s="3" t="s">
        <v>1279</v>
      </c>
      <c r="I5055" s="3" t="s">
        <v>244</v>
      </c>
    </row>
    <row r="5056" spans="2:9" x14ac:dyDescent="0.4">
      <c r="B5056" s="8" t="s">
        <v>517</v>
      </c>
      <c r="C5056" s="3" t="s">
        <v>7736</v>
      </c>
      <c r="D5056" s="3" t="s">
        <v>8087</v>
      </c>
      <c r="F5056" s="3" t="s">
        <v>1279</v>
      </c>
      <c r="I5056" s="3" t="s">
        <v>244</v>
      </c>
    </row>
    <row r="5057" spans="2:9" x14ac:dyDescent="0.4">
      <c r="B5057" s="8" t="s">
        <v>520</v>
      </c>
      <c r="C5057" s="3" t="s">
        <v>7737</v>
      </c>
      <c r="D5057" s="3" t="s">
        <v>8087</v>
      </c>
      <c r="F5057" s="3" t="s">
        <v>1279</v>
      </c>
      <c r="I5057" s="3" t="s">
        <v>244</v>
      </c>
    </row>
    <row r="5058" spans="2:9" x14ac:dyDescent="0.4">
      <c r="B5058" s="8" t="s">
        <v>532</v>
      </c>
      <c r="C5058" s="3" t="s">
        <v>7738</v>
      </c>
      <c r="D5058" s="3" t="s">
        <v>8088</v>
      </c>
      <c r="F5058" s="3" t="s">
        <v>1279</v>
      </c>
      <c r="I5058" s="3" t="s">
        <v>244</v>
      </c>
    </row>
    <row r="5059" spans="2:9" x14ac:dyDescent="0.4">
      <c r="B5059" s="8" t="s">
        <v>518</v>
      </c>
      <c r="C5059" s="3" t="s">
        <v>7739</v>
      </c>
      <c r="D5059" s="3" t="s">
        <v>8089</v>
      </c>
      <c r="F5059" s="3" t="s">
        <v>1279</v>
      </c>
      <c r="I5059" s="3" t="s">
        <v>244</v>
      </c>
    </row>
    <row r="5060" spans="2:9" x14ac:dyDescent="0.4">
      <c r="B5060" s="8" t="s">
        <v>517</v>
      </c>
      <c r="C5060" s="3" t="s">
        <v>7740</v>
      </c>
      <c r="D5060" s="3" t="s">
        <v>8090</v>
      </c>
      <c r="F5060" s="3" t="s">
        <v>1279</v>
      </c>
      <c r="I5060" s="3" t="s">
        <v>244</v>
      </c>
    </row>
    <row r="5061" spans="2:9" x14ac:dyDescent="0.4">
      <c r="B5061" s="8" t="s">
        <v>517</v>
      </c>
      <c r="C5061" s="3" t="s">
        <v>7741</v>
      </c>
      <c r="D5061" s="3" t="s">
        <v>8091</v>
      </c>
      <c r="F5061" s="3" t="s">
        <v>1279</v>
      </c>
      <c r="I5061" s="3" t="s">
        <v>244</v>
      </c>
    </row>
    <row r="5062" spans="2:9" x14ac:dyDescent="0.4">
      <c r="B5062" s="8" t="s">
        <v>531</v>
      </c>
      <c r="C5062" s="3" t="s">
        <v>7742</v>
      </c>
      <c r="D5062" s="3" t="s">
        <v>8092</v>
      </c>
      <c r="F5062" s="3" t="s">
        <v>1279</v>
      </c>
      <c r="I5062" s="3" t="s">
        <v>244</v>
      </c>
    </row>
    <row r="5063" spans="2:9" x14ac:dyDescent="0.4">
      <c r="B5063" s="8" t="s">
        <v>517</v>
      </c>
      <c r="C5063" s="3" t="s">
        <v>7743</v>
      </c>
      <c r="D5063" s="3" t="s">
        <v>8093</v>
      </c>
      <c r="F5063" s="3" t="s">
        <v>1279</v>
      </c>
      <c r="I5063" s="3" t="s">
        <v>244</v>
      </c>
    </row>
    <row r="5064" spans="2:9" x14ac:dyDescent="0.4">
      <c r="B5064" s="8" t="s">
        <v>517</v>
      </c>
      <c r="C5064" s="3" t="s">
        <v>7744</v>
      </c>
      <c r="D5064" s="3" t="s">
        <v>8094</v>
      </c>
      <c r="F5064" s="3" t="s">
        <v>1279</v>
      </c>
      <c r="I5064" s="3" t="s">
        <v>244</v>
      </c>
    </row>
    <row r="5065" spans="2:9" x14ac:dyDescent="0.4">
      <c r="B5065" s="8" t="s">
        <v>517</v>
      </c>
      <c r="C5065" s="3" t="s">
        <v>7745</v>
      </c>
      <c r="D5065" s="3" t="s">
        <v>8095</v>
      </c>
      <c r="F5065" s="3" t="s">
        <v>1279</v>
      </c>
      <c r="I5065" s="3" t="s">
        <v>244</v>
      </c>
    </row>
    <row r="5066" spans="2:9" x14ac:dyDescent="0.4">
      <c r="B5066" s="8" t="s">
        <v>520</v>
      </c>
      <c r="C5066" s="3" t="s">
        <v>7746</v>
      </c>
      <c r="D5066" s="3" t="s">
        <v>8096</v>
      </c>
      <c r="F5066" s="3" t="s">
        <v>1279</v>
      </c>
      <c r="I5066" s="3" t="s">
        <v>244</v>
      </c>
    </row>
    <row r="5067" spans="2:9" x14ac:dyDescent="0.4">
      <c r="B5067" s="8" t="s">
        <v>520</v>
      </c>
      <c r="C5067" s="3" t="s">
        <v>7747</v>
      </c>
      <c r="D5067" s="3" t="s">
        <v>8096</v>
      </c>
      <c r="F5067" s="3" t="s">
        <v>1279</v>
      </c>
      <c r="I5067" s="3" t="s">
        <v>244</v>
      </c>
    </row>
    <row r="5068" spans="2:9" x14ac:dyDescent="0.4">
      <c r="B5068" s="8" t="s">
        <v>518</v>
      </c>
      <c r="C5068" s="3" t="s">
        <v>7748</v>
      </c>
      <c r="D5068" s="3" t="s">
        <v>8097</v>
      </c>
      <c r="F5068" s="3" t="s">
        <v>1279</v>
      </c>
      <c r="I5068" s="3" t="s">
        <v>244</v>
      </c>
    </row>
    <row r="5069" spans="2:9" x14ac:dyDescent="0.4">
      <c r="B5069" s="8" t="s">
        <v>517</v>
      </c>
      <c r="C5069" s="3" t="s">
        <v>7749</v>
      </c>
      <c r="D5069" s="3" t="s">
        <v>8098</v>
      </c>
      <c r="F5069" s="3" t="s">
        <v>1279</v>
      </c>
      <c r="I5069" s="3" t="s">
        <v>244</v>
      </c>
    </row>
    <row r="5070" spans="2:9" x14ac:dyDescent="0.4">
      <c r="B5070" s="8" t="s">
        <v>518</v>
      </c>
      <c r="C5070" s="3" t="s">
        <v>7750</v>
      </c>
      <c r="D5070" s="3" t="s">
        <v>8099</v>
      </c>
      <c r="F5070" s="3" t="s">
        <v>1279</v>
      </c>
      <c r="I5070" s="3" t="s">
        <v>244</v>
      </c>
    </row>
    <row r="5071" spans="2:9" x14ac:dyDescent="0.4">
      <c r="B5071" s="8" t="s">
        <v>518</v>
      </c>
      <c r="C5071" s="3" t="s">
        <v>7751</v>
      </c>
      <c r="D5071" s="3" t="s">
        <v>8100</v>
      </c>
      <c r="F5071" s="3" t="s">
        <v>1279</v>
      </c>
      <c r="I5071" s="3" t="s">
        <v>244</v>
      </c>
    </row>
    <row r="5072" spans="2:9" x14ac:dyDescent="0.4">
      <c r="B5072" s="8" t="s">
        <v>518</v>
      </c>
      <c r="C5072" s="3" t="s">
        <v>7752</v>
      </c>
      <c r="D5072" s="3" t="s">
        <v>8101</v>
      </c>
      <c r="F5072" s="3" t="s">
        <v>1279</v>
      </c>
      <c r="I5072" s="3" t="s">
        <v>244</v>
      </c>
    </row>
    <row r="5073" spans="2:9" x14ac:dyDescent="0.4">
      <c r="B5073" s="8" t="s">
        <v>532</v>
      </c>
      <c r="C5073" s="3" t="s">
        <v>7753</v>
      </c>
      <c r="D5073" s="3" t="s">
        <v>8102</v>
      </c>
      <c r="F5073" s="3" t="s">
        <v>1279</v>
      </c>
      <c r="I5073" s="3" t="s">
        <v>244</v>
      </c>
    </row>
    <row r="5074" spans="2:9" x14ac:dyDescent="0.4">
      <c r="B5074" s="8" t="s">
        <v>517</v>
      </c>
      <c r="C5074" s="3" t="s">
        <v>7754</v>
      </c>
      <c r="D5074" s="3" t="s">
        <v>8103</v>
      </c>
      <c r="F5074" s="3" t="s">
        <v>1279</v>
      </c>
      <c r="I5074" s="3" t="s">
        <v>244</v>
      </c>
    </row>
    <row r="5075" spans="2:9" x14ac:dyDescent="0.4">
      <c r="B5075" s="8" t="s">
        <v>520</v>
      </c>
      <c r="C5075" s="3" t="s">
        <v>7755</v>
      </c>
      <c r="D5075" s="3" t="s">
        <v>8104</v>
      </c>
      <c r="F5075" s="3" t="s">
        <v>1279</v>
      </c>
      <c r="I5075" s="3" t="s">
        <v>244</v>
      </c>
    </row>
    <row r="5076" spans="2:9" x14ac:dyDescent="0.4">
      <c r="B5076" s="8" t="s">
        <v>520</v>
      </c>
      <c r="C5076" s="3" t="s">
        <v>7756</v>
      </c>
      <c r="D5076" s="3" t="s">
        <v>8105</v>
      </c>
      <c r="F5076" s="3" t="s">
        <v>1279</v>
      </c>
      <c r="I5076" s="3" t="s">
        <v>244</v>
      </c>
    </row>
    <row r="5077" spans="2:9" x14ac:dyDescent="0.4">
      <c r="B5077" s="8" t="s">
        <v>517</v>
      </c>
      <c r="C5077" s="3" t="s">
        <v>7757</v>
      </c>
      <c r="D5077" s="3" t="s">
        <v>8104</v>
      </c>
      <c r="F5077" s="3" t="s">
        <v>1279</v>
      </c>
      <c r="I5077" s="3" t="s">
        <v>244</v>
      </c>
    </row>
    <row r="5078" spans="2:9" x14ac:dyDescent="0.4">
      <c r="B5078" s="8" t="s">
        <v>517</v>
      </c>
      <c r="C5078" s="3" t="s">
        <v>7758</v>
      </c>
      <c r="D5078" s="3" t="s">
        <v>8106</v>
      </c>
      <c r="F5078" s="3" t="s">
        <v>1279</v>
      </c>
      <c r="I5078" s="3" t="s">
        <v>244</v>
      </c>
    </row>
    <row r="5079" spans="2:9" x14ac:dyDescent="0.4">
      <c r="B5079" s="8" t="s">
        <v>520</v>
      </c>
      <c r="C5079" s="3" t="s">
        <v>7759</v>
      </c>
      <c r="D5079" s="3" t="s">
        <v>8107</v>
      </c>
      <c r="F5079" s="3" t="s">
        <v>1279</v>
      </c>
      <c r="I5079" s="3" t="s">
        <v>244</v>
      </c>
    </row>
    <row r="5080" spans="2:9" x14ac:dyDescent="0.4">
      <c r="B5080" s="8" t="s">
        <v>518</v>
      </c>
      <c r="C5080" s="3" t="s">
        <v>7760</v>
      </c>
      <c r="D5080" s="3" t="s">
        <v>8108</v>
      </c>
      <c r="F5080" s="3" t="s">
        <v>1279</v>
      </c>
      <c r="I5080" s="3" t="s">
        <v>244</v>
      </c>
    </row>
    <row r="5081" spans="2:9" x14ac:dyDescent="0.4">
      <c r="B5081" s="8" t="s">
        <v>520</v>
      </c>
      <c r="C5081" s="3" t="s">
        <v>7761</v>
      </c>
      <c r="D5081" s="3" t="s">
        <v>8109</v>
      </c>
      <c r="F5081" s="3" t="s">
        <v>1279</v>
      </c>
      <c r="I5081" s="3" t="s">
        <v>244</v>
      </c>
    </row>
    <row r="5082" spans="2:9" x14ac:dyDescent="0.4">
      <c r="B5082" s="8" t="s">
        <v>517</v>
      </c>
      <c r="C5082" s="3" t="s">
        <v>7762</v>
      </c>
      <c r="D5082" s="3" t="s">
        <v>8110</v>
      </c>
      <c r="F5082" s="3" t="s">
        <v>1279</v>
      </c>
      <c r="I5082" s="3" t="s">
        <v>244</v>
      </c>
    </row>
    <row r="5083" spans="2:9" x14ac:dyDescent="0.4">
      <c r="B5083" s="8" t="s">
        <v>520</v>
      </c>
      <c r="C5083" s="3" t="s">
        <v>500</v>
      </c>
      <c r="D5083" s="3" t="s">
        <v>8111</v>
      </c>
      <c r="F5083" s="3" t="s">
        <v>1279</v>
      </c>
      <c r="I5083" s="3" t="s">
        <v>244</v>
      </c>
    </row>
    <row r="5084" spans="2:9" x14ac:dyDescent="0.4">
      <c r="B5084" s="8" t="s">
        <v>520</v>
      </c>
      <c r="C5084" s="3" t="s">
        <v>7763</v>
      </c>
      <c r="D5084" s="3" t="s">
        <v>8112</v>
      </c>
      <c r="F5084" s="3" t="s">
        <v>1279</v>
      </c>
      <c r="I5084" s="3" t="s">
        <v>244</v>
      </c>
    </row>
    <row r="5085" spans="2:9" x14ac:dyDescent="0.4">
      <c r="B5085" s="8" t="s">
        <v>529</v>
      </c>
      <c r="C5085" s="3" t="s">
        <v>7764</v>
      </c>
      <c r="D5085" s="3" t="s">
        <v>8113</v>
      </c>
      <c r="F5085" s="3" t="s">
        <v>1279</v>
      </c>
      <c r="I5085" s="3" t="s">
        <v>244</v>
      </c>
    </row>
    <row r="5086" spans="2:9" x14ac:dyDescent="0.4">
      <c r="B5086" s="8" t="s">
        <v>518</v>
      </c>
      <c r="C5086" s="3" t="s">
        <v>7765</v>
      </c>
      <c r="D5086" s="3" t="s">
        <v>8114</v>
      </c>
      <c r="F5086" s="3" t="s">
        <v>1279</v>
      </c>
      <c r="I5086" s="3" t="s">
        <v>244</v>
      </c>
    </row>
    <row r="5087" spans="2:9" x14ac:dyDescent="0.4">
      <c r="B5087" s="8" t="s">
        <v>517</v>
      </c>
      <c r="C5087" s="3" t="s">
        <v>7766</v>
      </c>
      <c r="D5087" s="3" t="s">
        <v>8115</v>
      </c>
      <c r="F5087" s="3" t="s">
        <v>1279</v>
      </c>
      <c r="I5087" s="3" t="s">
        <v>244</v>
      </c>
    </row>
    <row r="5088" spans="2:9" x14ac:dyDescent="0.4">
      <c r="B5088" s="8" t="s">
        <v>7796</v>
      </c>
      <c r="C5088" s="3" t="s">
        <v>7767</v>
      </c>
      <c r="D5088" s="3" t="s">
        <v>8116</v>
      </c>
      <c r="F5088" s="3" t="s">
        <v>1279</v>
      </c>
      <c r="I5088" s="3" t="s">
        <v>244</v>
      </c>
    </row>
    <row r="5089" spans="2:9" x14ac:dyDescent="0.4">
      <c r="B5089" s="8" t="s">
        <v>531</v>
      </c>
      <c r="C5089" s="3" t="s">
        <v>7768</v>
      </c>
      <c r="D5089" s="3" t="s">
        <v>8117</v>
      </c>
      <c r="F5089" s="3" t="s">
        <v>1279</v>
      </c>
      <c r="I5089" s="3" t="s">
        <v>244</v>
      </c>
    </row>
    <row r="5090" spans="2:9" x14ac:dyDescent="0.4">
      <c r="B5090" s="8" t="s">
        <v>529</v>
      </c>
      <c r="C5090" s="3" t="s">
        <v>7769</v>
      </c>
      <c r="D5090" s="3" t="s">
        <v>8118</v>
      </c>
      <c r="F5090" s="3" t="s">
        <v>1279</v>
      </c>
      <c r="I5090" s="3" t="s">
        <v>244</v>
      </c>
    </row>
    <row r="5091" spans="2:9" x14ac:dyDescent="0.4">
      <c r="B5091" s="8" t="s">
        <v>520</v>
      </c>
      <c r="C5091" s="3" t="s">
        <v>7770</v>
      </c>
      <c r="D5091" s="3" t="s">
        <v>8119</v>
      </c>
      <c r="F5091" s="3" t="s">
        <v>1279</v>
      </c>
      <c r="I5091" s="3" t="s">
        <v>244</v>
      </c>
    </row>
    <row r="5092" spans="2:9" x14ac:dyDescent="0.4">
      <c r="B5092" s="8" t="s">
        <v>518</v>
      </c>
      <c r="C5092" s="3" t="s">
        <v>3085</v>
      </c>
      <c r="D5092" s="3" t="s">
        <v>8120</v>
      </c>
      <c r="F5092" s="3" t="s">
        <v>1279</v>
      </c>
      <c r="I5092" s="3" t="s">
        <v>244</v>
      </c>
    </row>
    <row r="5093" spans="2:9" x14ac:dyDescent="0.4">
      <c r="B5093" s="8" t="s">
        <v>517</v>
      </c>
      <c r="C5093" s="3" t="s">
        <v>3084</v>
      </c>
      <c r="D5093" s="3" t="s">
        <v>8121</v>
      </c>
      <c r="F5093" s="3" t="s">
        <v>1279</v>
      </c>
      <c r="I5093" s="3" t="s">
        <v>244</v>
      </c>
    </row>
    <row r="5094" spans="2:9" x14ac:dyDescent="0.4">
      <c r="B5094" s="8" t="s">
        <v>520</v>
      </c>
      <c r="C5094" s="3" t="s">
        <v>7771</v>
      </c>
      <c r="D5094" s="3" t="s">
        <v>8122</v>
      </c>
      <c r="F5094" s="3" t="s">
        <v>1279</v>
      </c>
      <c r="I5094" s="3" t="s">
        <v>244</v>
      </c>
    </row>
    <row r="5095" spans="2:9" x14ac:dyDescent="0.4">
      <c r="B5095" s="8" t="s">
        <v>517</v>
      </c>
      <c r="C5095" s="3" t="s">
        <v>7772</v>
      </c>
      <c r="D5095" s="3" t="s">
        <v>8123</v>
      </c>
      <c r="F5095" s="3" t="s">
        <v>1279</v>
      </c>
      <c r="I5095" s="3" t="s">
        <v>244</v>
      </c>
    </row>
    <row r="5096" spans="2:9" x14ac:dyDescent="0.4">
      <c r="B5096" s="8" t="s">
        <v>518</v>
      </c>
      <c r="C5096" s="3" t="s">
        <v>7773</v>
      </c>
      <c r="D5096" s="3" t="s">
        <v>8124</v>
      </c>
      <c r="F5096" s="3" t="s">
        <v>1279</v>
      </c>
      <c r="I5096" s="3" t="s">
        <v>244</v>
      </c>
    </row>
    <row r="5097" spans="2:9" x14ac:dyDescent="0.4">
      <c r="B5097" s="8" t="s">
        <v>517</v>
      </c>
      <c r="C5097" s="3" t="s">
        <v>7774</v>
      </c>
      <c r="D5097" s="3" t="s">
        <v>8125</v>
      </c>
      <c r="F5097" s="3" t="s">
        <v>1279</v>
      </c>
      <c r="I5097" s="3" t="s">
        <v>244</v>
      </c>
    </row>
    <row r="5098" spans="2:9" x14ac:dyDescent="0.4">
      <c r="B5098" s="8" t="s">
        <v>1005</v>
      </c>
      <c r="C5098" s="3" t="s">
        <v>7775</v>
      </c>
      <c r="D5098" s="3" t="s">
        <v>8126</v>
      </c>
      <c r="F5098" s="3" t="s">
        <v>1279</v>
      </c>
      <c r="I5098" s="3" t="s">
        <v>244</v>
      </c>
    </row>
    <row r="5099" spans="2:9" x14ac:dyDescent="0.4">
      <c r="B5099" s="8" t="s">
        <v>517</v>
      </c>
      <c r="C5099" s="3" t="s">
        <v>7776</v>
      </c>
      <c r="D5099" s="3" t="s">
        <v>8127</v>
      </c>
      <c r="F5099" s="3" t="s">
        <v>1279</v>
      </c>
      <c r="I5099" s="3" t="s">
        <v>244</v>
      </c>
    </row>
    <row r="5100" spans="2:9" x14ac:dyDescent="0.4">
      <c r="B5100" s="8" t="s">
        <v>1278</v>
      </c>
      <c r="C5100" s="3" t="s">
        <v>7777</v>
      </c>
      <c r="D5100" s="3" t="s">
        <v>8127</v>
      </c>
      <c r="F5100" s="3" t="s">
        <v>1279</v>
      </c>
      <c r="I5100" s="3" t="s">
        <v>244</v>
      </c>
    </row>
    <row r="5101" spans="2:9" x14ac:dyDescent="0.4">
      <c r="B5101" s="8" t="s">
        <v>517</v>
      </c>
      <c r="C5101" s="3" t="s">
        <v>7778</v>
      </c>
      <c r="D5101" s="3" t="s">
        <v>8128</v>
      </c>
      <c r="F5101" s="3" t="s">
        <v>1279</v>
      </c>
      <c r="I5101" s="3" t="s">
        <v>244</v>
      </c>
    </row>
    <row r="5102" spans="2:9" x14ac:dyDescent="0.4">
      <c r="B5102" s="8" t="s">
        <v>517</v>
      </c>
      <c r="C5102" s="3" t="s">
        <v>7779</v>
      </c>
      <c r="D5102" s="3" t="s">
        <v>8129</v>
      </c>
      <c r="F5102" s="3" t="s">
        <v>1279</v>
      </c>
      <c r="I5102" s="3" t="s">
        <v>244</v>
      </c>
    </row>
    <row r="5103" spans="2:9" x14ac:dyDescent="0.4">
      <c r="B5103" s="8" t="s">
        <v>517</v>
      </c>
      <c r="C5103" s="3" t="s">
        <v>7780</v>
      </c>
      <c r="D5103" s="3" t="s">
        <v>8130</v>
      </c>
      <c r="F5103" s="3" t="s">
        <v>1279</v>
      </c>
      <c r="I5103" s="3" t="s">
        <v>244</v>
      </c>
    </row>
    <row r="5104" spans="2:9" x14ac:dyDescent="0.4">
      <c r="B5104" s="8" t="s">
        <v>517</v>
      </c>
      <c r="C5104" s="3" t="s">
        <v>7781</v>
      </c>
      <c r="D5104" s="3" t="s">
        <v>8131</v>
      </c>
      <c r="F5104" s="3" t="s">
        <v>1279</v>
      </c>
      <c r="I5104" s="3" t="s">
        <v>244</v>
      </c>
    </row>
    <row r="5105" spans="2:9" x14ac:dyDescent="0.4">
      <c r="B5105" s="8" t="s">
        <v>517</v>
      </c>
      <c r="C5105" s="3" t="s">
        <v>7782</v>
      </c>
      <c r="D5105" s="3" t="s">
        <v>8132</v>
      </c>
      <c r="F5105" s="3" t="s">
        <v>1279</v>
      </c>
      <c r="I5105" s="3" t="s">
        <v>244</v>
      </c>
    </row>
    <row r="5106" spans="2:9" x14ac:dyDescent="0.4">
      <c r="B5106" s="8" t="s">
        <v>517</v>
      </c>
      <c r="C5106" s="3" t="s">
        <v>7783</v>
      </c>
      <c r="D5106" s="3" t="s">
        <v>8133</v>
      </c>
      <c r="F5106" s="3" t="s">
        <v>1279</v>
      </c>
      <c r="I5106" s="3" t="s">
        <v>244</v>
      </c>
    </row>
    <row r="5107" spans="2:9" x14ac:dyDescent="0.4">
      <c r="B5107" s="8" t="s">
        <v>517</v>
      </c>
      <c r="C5107" s="3" t="s">
        <v>1387</v>
      </c>
      <c r="D5107" s="3" t="s">
        <v>8134</v>
      </c>
      <c r="F5107" s="3" t="s">
        <v>1279</v>
      </c>
      <c r="I5107" s="3" t="s">
        <v>244</v>
      </c>
    </row>
    <row r="5108" spans="2:9" x14ac:dyDescent="0.4">
      <c r="B5108" s="8" t="s">
        <v>517</v>
      </c>
      <c r="C5108" s="3" t="s">
        <v>7784</v>
      </c>
      <c r="D5108" s="3" t="s">
        <v>8135</v>
      </c>
      <c r="F5108" s="3" t="s">
        <v>1279</v>
      </c>
      <c r="I5108" s="3" t="s">
        <v>244</v>
      </c>
    </row>
    <row r="5109" spans="2:9" x14ac:dyDescent="0.4">
      <c r="B5109" s="8" t="s">
        <v>517</v>
      </c>
      <c r="C5109" s="3" t="s">
        <v>7785</v>
      </c>
      <c r="D5109" s="3" t="s">
        <v>8136</v>
      </c>
      <c r="F5109" s="3" t="s">
        <v>1279</v>
      </c>
      <c r="I5109" s="3" t="s">
        <v>244</v>
      </c>
    </row>
    <row r="5110" spans="2:9" x14ac:dyDescent="0.4">
      <c r="B5110" s="8" t="s">
        <v>517</v>
      </c>
      <c r="C5110" s="3" t="s">
        <v>7786</v>
      </c>
      <c r="D5110" s="3" t="s">
        <v>8137</v>
      </c>
      <c r="F5110" s="3" t="s">
        <v>1279</v>
      </c>
      <c r="I5110" s="3" t="s">
        <v>244</v>
      </c>
    </row>
    <row r="5111" spans="2:9" x14ac:dyDescent="0.4">
      <c r="B5111" s="8" t="s">
        <v>517</v>
      </c>
      <c r="C5111" s="3" t="s">
        <v>7787</v>
      </c>
      <c r="D5111" s="3" t="s">
        <v>7812</v>
      </c>
      <c r="F5111" s="3" t="s">
        <v>1279</v>
      </c>
      <c r="I5111" s="3" t="s">
        <v>244</v>
      </c>
    </row>
    <row r="5112" spans="2:9" x14ac:dyDescent="0.4">
      <c r="B5112" s="8" t="s">
        <v>517</v>
      </c>
      <c r="C5112" s="3" t="s">
        <v>7788</v>
      </c>
      <c r="D5112" s="3" t="s">
        <v>8138</v>
      </c>
      <c r="F5112" s="3" t="s">
        <v>1279</v>
      </c>
      <c r="I5112" s="3" t="s">
        <v>244</v>
      </c>
    </row>
    <row r="5113" spans="2:9" x14ac:dyDescent="0.4">
      <c r="B5113" s="8" t="s">
        <v>520</v>
      </c>
      <c r="C5113" s="3" t="s">
        <v>7789</v>
      </c>
      <c r="D5113" s="3" t="s">
        <v>8139</v>
      </c>
      <c r="F5113" s="3" t="s">
        <v>1279</v>
      </c>
      <c r="I5113" s="3" t="s">
        <v>244</v>
      </c>
    </row>
    <row r="5114" spans="2:9" x14ac:dyDescent="0.4">
      <c r="B5114" s="8" t="s">
        <v>517</v>
      </c>
      <c r="C5114" s="3" t="s">
        <v>7790</v>
      </c>
      <c r="D5114" s="3" t="s">
        <v>8140</v>
      </c>
      <c r="F5114" s="3" t="s">
        <v>1279</v>
      </c>
      <c r="I5114" s="3" t="s">
        <v>244</v>
      </c>
    </row>
    <row r="5115" spans="2:9" x14ac:dyDescent="0.4">
      <c r="B5115" s="8" t="s">
        <v>517</v>
      </c>
      <c r="C5115" s="3" t="s">
        <v>7791</v>
      </c>
      <c r="D5115" s="3" t="s">
        <v>8141</v>
      </c>
      <c r="F5115" s="3" t="s">
        <v>1279</v>
      </c>
      <c r="I5115" s="3" t="s">
        <v>244</v>
      </c>
    </row>
    <row r="5116" spans="2:9" hidden="1" x14ac:dyDescent="0.4">
      <c r="B5116" s="8" t="s">
        <v>520</v>
      </c>
      <c r="C5116" s="3" t="s">
        <v>8142</v>
      </c>
      <c r="D5116" s="3" t="s">
        <v>8202</v>
      </c>
      <c r="F5116" s="3" t="s">
        <v>1277</v>
      </c>
      <c r="I5116" s="3" t="s">
        <v>254</v>
      </c>
    </row>
    <row r="5117" spans="2:9" hidden="1" x14ac:dyDescent="0.4">
      <c r="B5117" s="8" t="s">
        <v>536</v>
      </c>
      <c r="C5117" s="3" t="str">
        <f>"-lax"</f>
        <v>-lax</v>
      </c>
      <c r="D5117" s="3" t="s">
        <v>8203</v>
      </c>
      <c r="F5117" s="3" t="s">
        <v>1277</v>
      </c>
      <c r="I5117" s="3" t="s">
        <v>254</v>
      </c>
    </row>
    <row r="5118" spans="2:9" hidden="1" x14ac:dyDescent="0.4">
      <c r="B5118" s="8" t="s">
        <v>532</v>
      </c>
      <c r="C5118" s="3" t="s">
        <v>8143</v>
      </c>
      <c r="D5118" s="3" t="s">
        <v>8204</v>
      </c>
      <c r="F5118" s="3" t="s">
        <v>1277</v>
      </c>
      <c r="I5118" s="3" t="s">
        <v>254</v>
      </c>
    </row>
    <row r="5119" spans="2:9" hidden="1" x14ac:dyDescent="0.4">
      <c r="B5119" s="8" t="s">
        <v>517</v>
      </c>
      <c r="C5119" s="3" t="s">
        <v>8144</v>
      </c>
      <c r="D5119" s="3" t="s">
        <v>8205</v>
      </c>
      <c r="F5119" s="3" t="s">
        <v>1277</v>
      </c>
      <c r="I5119" s="3" t="s">
        <v>254</v>
      </c>
    </row>
    <row r="5120" spans="2:9" hidden="1" x14ac:dyDescent="0.4">
      <c r="B5120" s="8" t="s">
        <v>532</v>
      </c>
      <c r="C5120" s="3" t="s">
        <v>8145</v>
      </c>
      <c r="D5120" s="3" t="s">
        <v>8206</v>
      </c>
      <c r="F5120" s="3" t="s">
        <v>1277</v>
      </c>
      <c r="I5120" s="3" t="s">
        <v>254</v>
      </c>
    </row>
    <row r="5121" spans="2:9" hidden="1" x14ac:dyDescent="0.4">
      <c r="B5121" s="8" t="s">
        <v>518</v>
      </c>
      <c r="C5121" s="3" t="s">
        <v>8146</v>
      </c>
      <c r="D5121" s="3" t="s">
        <v>8207</v>
      </c>
      <c r="F5121" s="3" t="s">
        <v>1277</v>
      </c>
      <c r="I5121" s="3" t="s">
        <v>254</v>
      </c>
    </row>
    <row r="5122" spans="2:9" hidden="1" x14ac:dyDescent="0.4">
      <c r="B5122" s="8" t="s">
        <v>531</v>
      </c>
      <c r="C5122" s="3" t="s">
        <v>8147</v>
      </c>
      <c r="D5122" s="3" t="s">
        <v>8208</v>
      </c>
      <c r="F5122" s="3" t="s">
        <v>1277</v>
      </c>
      <c r="I5122" s="3" t="s">
        <v>254</v>
      </c>
    </row>
    <row r="5123" spans="2:9" hidden="1" x14ac:dyDescent="0.4">
      <c r="B5123" s="8" t="s">
        <v>529</v>
      </c>
      <c r="C5123" s="3" t="s">
        <v>8148</v>
      </c>
      <c r="D5123" s="3" t="s">
        <v>8209</v>
      </c>
      <c r="F5123" s="3" t="s">
        <v>1277</v>
      </c>
      <c r="I5123" s="3" t="s">
        <v>254</v>
      </c>
    </row>
    <row r="5124" spans="2:9" hidden="1" x14ac:dyDescent="0.4">
      <c r="B5124" s="8" t="s">
        <v>520</v>
      </c>
      <c r="C5124" s="3" t="s">
        <v>8149</v>
      </c>
      <c r="D5124" s="3" t="s">
        <v>8241</v>
      </c>
      <c r="F5124" s="3" t="s">
        <v>1277</v>
      </c>
      <c r="I5124" s="3" t="s">
        <v>254</v>
      </c>
    </row>
    <row r="5125" spans="2:9" hidden="1" x14ac:dyDescent="0.4">
      <c r="B5125" s="8" t="s">
        <v>529</v>
      </c>
      <c r="C5125" s="3" t="s">
        <v>8150</v>
      </c>
      <c r="D5125" s="3" t="s">
        <v>8210</v>
      </c>
      <c r="F5125" s="3" t="s">
        <v>1277</v>
      </c>
      <c r="I5125" s="3" t="s">
        <v>254</v>
      </c>
    </row>
    <row r="5126" spans="2:9" hidden="1" x14ac:dyDescent="0.4">
      <c r="B5126" s="8" t="s">
        <v>529</v>
      </c>
      <c r="C5126" s="3" t="s">
        <v>8151</v>
      </c>
      <c r="D5126" s="3" t="s">
        <v>8211</v>
      </c>
      <c r="F5126" s="3" t="s">
        <v>1277</v>
      </c>
      <c r="I5126" s="3" t="s">
        <v>254</v>
      </c>
    </row>
    <row r="5127" spans="2:9" hidden="1" x14ac:dyDescent="0.4">
      <c r="B5127" s="8" t="s">
        <v>517</v>
      </c>
      <c r="C5127" s="3" t="s">
        <v>8152</v>
      </c>
      <c r="D5127" s="3" t="s">
        <v>8212</v>
      </c>
      <c r="F5127" s="3" t="s">
        <v>1277</v>
      </c>
      <c r="I5127" s="3" t="s">
        <v>254</v>
      </c>
    </row>
    <row r="5128" spans="2:9" hidden="1" x14ac:dyDescent="0.4">
      <c r="B5128" s="8" t="s">
        <v>529</v>
      </c>
      <c r="C5128" s="3" t="s">
        <v>8153</v>
      </c>
      <c r="D5128" s="3" t="s">
        <v>8213</v>
      </c>
      <c r="F5128" s="3" t="s">
        <v>1277</v>
      </c>
      <c r="I5128" s="3" t="s">
        <v>254</v>
      </c>
    </row>
    <row r="5129" spans="2:9" hidden="1" x14ac:dyDescent="0.4">
      <c r="B5129" s="8" t="s">
        <v>517</v>
      </c>
      <c r="C5129" s="3" t="s">
        <v>8154</v>
      </c>
      <c r="D5129" s="3" t="s">
        <v>8214</v>
      </c>
      <c r="F5129" s="3" t="s">
        <v>1277</v>
      </c>
      <c r="I5129" s="3" t="s">
        <v>254</v>
      </c>
    </row>
    <row r="5130" spans="2:9" hidden="1" x14ac:dyDescent="0.4">
      <c r="B5130" s="8" t="s">
        <v>531</v>
      </c>
      <c r="C5130" s="3" t="s">
        <v>8155</v>
      </c>
      <c r="D5130" s="3" t="s">
        <v>8215</v>
      </c>
      <c r="F5130" s="3" t="s">
        <v>1277</v>
      </c>
      <c r="I5130" s="3" t="s">
        <v>254</v>
      </c>
    </row>
    <row r="5131" spans="2:9" hidden="1" x14ac:dyDescent="0.4">
      <c r="B5131" s="8" t="s">
        <v>518</v>
      </c>
      <c r="C5131" s="3" t="s">
        <v>8156</v>
      </c>
      <c r="D5131" s="3" t="s">
        <v>8216</v>
      </c>
      <c r="F5131" s="3" t="s">
        <v>1277</v>
      </c>
      <c r="I5131" s="3" t="s">
        <v>254</v>
      </c>
    </row>
    <row r="5132" spans="2:9" hidden="1" x14ac:dyDescent="0.4">
      <c r="B5132" s="8" t="s">
        <v>517</v>
      </c>
      <c r="C5132" s="3" t="s">
        <v>8157</v>
      </c>
      <c r="D5132" s="3" t="s">
        <v>8217</v>
      </c>
      <c r="F5132" s="3" t="s">
        <v>1277</v>
      </c>
      <c r="I5132" s="3" t="s">
        <v>254</v>
      </c>
    </row>
    <row r="5133" spans="2:9" hidden="1" x14ac:dyDescent="0.4">
      <c r="B5133" s="8" t="s">
        <v>517</v>
      </c>
      <c r="C5133" s="3" t="s">
        <v>8158</v>
      </c>
      <c r="D5133" s="3" t="s">
        <v>8218</v>
      </c>
      <c r="F5133" s="3" t="s">
        <v>1277</v>
      </c>
      <c r="I5133" s="3" t="s">
        <v>254</v>
      </c>
    </row>
    <row r="5134" spans="2:9" hidden="1" x14ac:dyDescent="0.4">
      <c r="B5134" s="8" t="s">
        <v>529</v>
      </c>
      <c r="C5134" s="3" t="s">
        <v>8159</v>
      </c>
      <c r="D5134" s="3" t="s">
        <v>8219</v>
      </c>
      <c r="F5134" s="3" t="s">
        <v>1277</v>
      </c>
      <c r="I5134" s="3" t="s">
        <v>254</v>
      </c>
    </row>
    <row r="5135" spans="2:9" hidden="1" x14ac:dyDescent="0.4">
      <c r="B5135" s="8" t="s">
        <v>531</v>
      </c>
      <c r="C5135" s="3" t="s">
        <v>8160</v>
      </c>
      <c r="D5135" s="3" t="s">
        <v>8220</v>
      </c>
      <c r="F5135" s="3" t="s">
        <v>1277</v>
      </c>
      <c r="I5135" s="3" t="s">
        <v>254</v>
      </c>
    </row>
    <row r="5136" spans="2:9" hidden="1" x14ac:dyDescent="0.4">
      <c r="B5136" s="8" t="s">
        <v>532</v>
      </c>
      <c r="C5136" s="3" t="s">
        <v>8161</v>
      </c>
      <c r="D5136" s="3" t="s">
        <v>8221</v>
      </c>
      <c r="F5136" s="3" t="s">
        <v>1277</v>
      </c>
      <c r="I5136" s="3" t="s">
        <v>254</v>
      </c>
    </row>
    <row r="5137" spans="2:9" hidden="1" x14ac:dyDescent="0.4">
      <c r="B5137" s="8" t="s">
        <v>520</v>
      </c>
      <c r="C5137" s="3" t="s">
        <v>8162</v>
      </c>
      <c r="D5137" s="3" t="s">
        <v>8222</v>
      </c>
      <c r="F5137" s="3" t="s">
        <v>1277</v>
      </c>
      <c r="I5137" s="3" t="s">
        <v>254</v>
      </c>
    </row>
    <row r="5138" spans="2:9" hidden="1" x14ac:dyDescent="0.4">
      <c r="B5138" s="8" t="s">
        <v>517</v>
      </c>
      <c r="C5138" s="3" t="s">
        <v>8163</v>
      </c>
      <c r="D5138" s="3" t="s">
        <v>8223</v>
      </c>
      <c r="F5138" s="3" t="s">
        <v>1277</v>
      </c>
      <c r="I5138" s="3" t="s">
        <v>254</v>
      </c>
    </row>
    <row r="5139" spans="2:9" hidden="1" x14ac:dyDescent="0.4">
      <c r="B5139" s="8" t="s">
        <v>518</v>
      </c>
      <c r="C5139" s="3" t="s">
        <v>8164</v>
      </c>
      <c r="D5139" s="3" t="s">
        <v>8224</v>
      </c>
      <c r="F5139" s="3" t="s">
        <v>1277</v>
      </c>
      <c r="I5139" s="3" t="s">
        <v>254</v>
      </c>
    </row>
    <row r="5140" spans="2:9" hidden="1" x14ac:dyDescent="0.4">
      <c r="B5140" s="8" t="s">
        <v>520</v>
      </c>
      <c r="C5140" s="3" t="s">
        <v>8165</v>
      </c>
      <c r="D5140" s="3" t="s">
        <v>8225</v>
      </c>
      <c r="F5140" s="3" t="s">
        <v>1277</v>
      </c>
      <c r="I5140" s="3" t="s">
        <v>254</v>
      </c>
    </row>
    <row r="5141" spans="2:9" hidden="1" x14ac:dyDescent="0.4">
      <c r="B5141" s="8" t="s">
        <v>517</v>
      </c>
      <c r="C5141" s="3" t="s">
        <v>8166</v>
      </c>
      <c r="D5141" s="3" t="s">
        <v>8226</v>
      </c>
      <c r="F5141" s="3" t="s">
        <v>1277</v>
      </c>
      <c r="I5141" s="3" t="s">
        <v>254</v>
      </c>
    </row>
    <row r="5142" spans="2:9" hidden="1" x14ac:dyDescent="0.4">
      <c r="B5142" s="8" t="s">
        <v>517</v>
      </c>
      <c r="C5142" s="3" t="s">
        <v>8167</v>
      </c>
      <c r="D5142" s="3" t="s">
        <v>8227</v>
      </c>
      <c r="F5142" s="3" t="s">
        <v>1277</v>
      </c>
      <c r="I5142" s="3" t="s">
        <v>254</v>
      </c>
    </row>
    <row r="5143" spans="2:9" hidden="1" x14ac:dyDescent="0.4">
      <c r="B5143" s="8" t="s">
        <v>517</v>
      </c>
      <c r="C5143" s="3" t="s">
        <v>8168</v>
      </c>
      <c r="D5143" s="3" t="s">
        <v>8228</v>
      </c>
      <c r="F5143" s="3" t="s">
        <v>1277</v>
      </c>
      <c r="I5143" s="3" t="s">
        <v>254</v>
      </c>
    </row>
    <row r="5144" spans="2:9" hidden="1" x14ac:dyDescent="0.4">
      <c r="B5144" s="8" t="s">
        <v>529</v>
      </c>
      <c r="C5144" s="3" t="s">
        <v>8169</v>
      </c>
      <c r="D5144" s="3" t="s">
        <v>8229</v>
      </c>
      <c r="F5144" s="3" t="s">
        <v>1277</v>
      </c>
      <c r="I5144" s="3" t="s">
        <v>254</v>
      </c>
    </row>
    <row r="5145" spans="2:9" hidden="1" x14ac:dyDescent="0.4">
      <c r="B5145" s="8" t="s">
        <v>517</v>
      </c>
      <c r="C5145" s="3" t="s">
        <v>8170</v>
      </c>
      <c r="D5145" s="3" t="s">
        <v>8230</v>
      </c>
      <c r="F5145" s="3" t="s">
        <v>1277</v>
      </c>
      <c r="I5145" s="3" t="s">
        <v>254</v>
      </c>
    </row>
    <row r="5146" spans="2:9" hidden="1" x14ac:dyDescent="0.4">
      <c r="B5146" s="8" t="s">
        <v>517</v>
      </c>
      <c r="C5146" s="3" t="s">
        <v>8171</v>
      </c>
      <c r="D5146" s="3" t="s">
        <v>8231</v>
      </c>
      <c r="F5146" s="3" t="s">
        <v>1277</v>
      </c>
      <c r="I5146" s="3" t="s">
        <v>254</v>
      </c>
    </row>
    <row r="5147" spans="2:9" hidden="1" x14ac:dyDescent="0.4">
      <c r="B5147" s="8" t="s">
        <v>518</v>
      </c>
      <c r="C5147" s="3" t="s">
        <v>8172</v>
      </c>
      <c r="D5147" s="3" t="s">
        <v>8232</v>
      </c>
      <c r="F5147" s="3" t="s">
        <v>1277</v>
      </c>
      <c r="I5147" s="3" t="s">
        <v>254</v>
      </c>
    </row>
    <row r="5148" spans="2:9" hidden="1" x14ac:dyDescent="0.4">
      <c r="B5148" s="8" t="s">
        <v>517</v>
      </c>
      <c r="C5148" s="3" t="s">
        <v>8173</v>
      </c>
      <c r="D5148" s="3" t="s">
        <v>8233</v>
      </c>
      <c r="F5148" s="3" t="s">
        <v>1277</v>
      </c>
      <c r="I5148" s="3" t="s">
        <v>254</v>
      </c>
    </row>
    <row r="5149" spans="2:9" hidden="1" x14ac:dyDescent="0.4">
      <c r="B5149" s="8" t="s">
        <v>517</v>
      </c>
      <c r="C5149" s="3" t="s">
        <v>8174</v>
      </c>
      <c r="D5149" s="3" t="s">
        <v>8234</v>
      </c>
      <c r="F5149" s="3" t="s">
        <v>1277</v>
      </c>
      <c r="I5149" s="3" t="s">
        <v>254</v>
      </c>
    </row>
    <row r="5150" spans="2:9" hidden="1" x14ac:dyDescent="0.4">
      <c r="B5150" s="8" t="s">
        <v>517</v>
      </c>
      <c r="C5150" s="3" t="s">
        <v>8175</v>
      </c>
      <c r="D5150" s="3" t="s">
        <v>8235</v>
      </c>
      <c r="F5150" s="3" t="s">
        <v>1277</v>
      </c>
      <c r="I5150" s="3" t="s">
        <v>254</v>
      </c>
    </row>
    <row r="5151" spans="2:9" hidden="1" x14ac:dyDescent="0.4">
      <c r="B5151" s="8" t="s">
        <v>520</v>
      </c>
      <c r="C5151" s="3" t="s">
        <v>8176</v>
      </c>
      <c r="D5151" s="3" t="s">
        <v>8236</v>
      </c>
      <c r="F5151" s="3" t="s">
        <v>1277</v>
      </c>
      <c r="I5151" s="3" t="s">
        <v>254</v>
      </c>
    </row>
    <row r="5152" spans="2:9" hidden="1" x14ac:dyDescent="0.4">
      <c r="B5152" s="8" t="s">
        <v>517</v>
      </c>
      <c r="C5152" s="3" t="s">
        <v>8177</v>
      </c>
      <c r="D5152" s="3" t="s">
        <v>8237</v>
      </c>
      <c r="F5152" s="3" t="s">
        <v>1277</v>
      </c>
      <c r="I5152" s="3" t="s">
        <v>254</v>
      </c>
    </row>
    <row r="5153" spans="2:9" hidden="1" x14ac:dyDescent="0.4">
      <c r="B5153" s="8" t="s">
        <v>517</v>
      </c>
      <c r="C5153" s="3" t="s">
        <v>8178</v>
      </c>
      <c r="D5153" s="3" t="s">
        <v>8238</v>
      </c>
      <c r="F5153" s="3" t="s">
        <v>1277</v>
      </c>
      <c r="I5153" s="3" t="s">
        <v>254</v>
      </c>
    </row>
    <row r="5154" spans="2:9" hidden="1" x14ac:dyDescent="0.4">
      <c r="B5154" s="8" t="s">
        <v>517</v>
      </c>
      <c r="C5154" s="3" t="s">
        <v>8179</v>
      </c>
      <c r="D5154" s="3" t="s">
        <v>8239</v>
      </c>
      <c r="F5154" s="3" t="s">
        <v>1277</v>
      </c>
      <c r="I5154" s="3" t="s">
        <v>254</v>
      </c>
    </row>
    <row r="5155" spans="2:9" hidden="1" x14ac:dyDescent="0.4">
      <c r="B5155" s="8" t="s">
        <v>517</v>
      </c>
      <c r="C5155" s="3" t="s">
        <v>8180</v>
      </c>
      <c r="D5155" s="3" t="s">
        <v>8240</v>
      </c>
      <c r="F5155" s="3" t="s">
        <v>1277</v>
      </c>
      <c r="I5155" s="3" t="s">
        <v>254</v>
      </c>
    </row>
    <row r="5156" spans="2:9" hidden="1" x14ac:dyDescent="0.4">
      <c r="B5156" s="8" t="s">
        <v>532</v>
      </c>
      <c r="C5156" s="3" t="s">
        <v>8181</v>
      </c>
      <c r="D5156" s="3" t="s">
        <v>8242</v>
      </c>
      <c r="F5156" s="3" t="s">
        <v>1277</v>
      </c>
      <c r="I5156" s="3" t="s">
        <v>254</v>
      </c>
    </row>
    <row r="5157" spans="2:9" hidden="1" x14ac:dyDescent="0.4">
      <c r="B5157" s="8" t="s">
        <v>518</v>
      </c>
      <c r="C5157" s="3" t="s">
        <v>8182</v>
      </c>
      <c r="D5157" s="3" t="s">
        <v>8243</v>
      </c>
      <c r="F5157" s="3" t="s">
        <v>1277</v>
      </c>
      <c r="I5157" s="3" t="s">
        <v>254</v>
      </c>
    </row>
    <row r="5158" spans="2:9" hidden="1" x14ac:dyDescent="0.4">
      <c r="B5158" s="8" t="s">
        <v>531</v>
      </c>
      <c r="C5158" s="3" t="s">
        <v>8183</v>
      </c>
      <c r="D5158" s="3" t="s">
        <v>8244</v>
      </c>
      <c r="F5158" s="3" t="s">
        <v>1277</v>
      </c>
      <c r="I5158" s="3" t="s">
        <v>254</v>
      </c>
    </row>
    <row r="5159" spans="2:9" hidden="1" x14ac:dyDescent="0.4">
      <c r="B5159" s="8" t="s">
        <v>518</v>
      </c>
      <c r="C5159" s="3" t="s">
        <v>8184</v>
      </c>
      <c r="D5159" s="3" t="s">
        <v>8245</v>
      </c>
      <c r="F5159" s="3" t="s">
        <v>1277</v>
      </c>
      <c r="I5159" s="3" t="s">
        <v>254</v>
      </c>
    </row>
    <row r="5160" spans="2:9" hidden="1" x14ac:dyDescent="0.4">
      <c r="B5160" s="8" t="s">
        <v>518</v>
      </c>
      <c r="C5160" s="3" t="s">
        <v>8185</v>
      </c>
      <c r="D5160" s="3" t="s">
        <v>8246</v>
      </c>
      <c r="F5160" s="3" t="s">
        <v>1277</v>
      </c>
      <c r="I5160" s="3" t="s">
        <v>254</v>
      </c>
    </row>
    <row r="5161" spans="2:9" hidden="1" x14ac:dyDescent="0.4">
      <c r="B5161" s="8" t="s">
        <v>517</v>
      </c>
      <c r="C5161" s="3" t="s">
        <v>8186</v>
      </c>
      <c r="D5161" s="3" t="s">
        <v>8247</v>
      </c>
      <c r="F5161" s="3" t="s">
        <v>1277</v>
      </c>
      <c r="I5161" s="3" t="s">
        <v>254</v>
      </c>
    </row>
    <row r="5162" spans="2:9" hidden="1" x14ac:dyDescent="0.4">
      <c r="B5162" s="8" t="s">
        <v>517</v>
      </c>
      <c r="C5162" s="3" t="s">
        <v>8187</v>
      </c>
      <c r="D5162" s="3" t="s">
        <v>8248</v>
      </c>
      <c r="F5162" s="3" t="s">
        <v>1277</v>
      </c>
      <c r="I5162" s="3" t="s">
        <v>254</v>
      </c>
    </row>
    <row r="5163" spans="2:9" hidden="1" x14ac:dyDescent="0.4">
      <c r="B5163" s="8" t="s">
        <v>520</v>
      </c>
      <c r="C5163" s="3" t="s">
        <v>8188</v>
      </c>
      <c r="D5163" s="3" t="s">
        <v>8249</v>
      </c>
      <c r="F5163" s="3" t="s">
        <v>1277</v>
      </c>
      <c r="I5163" s="3" t="s">
        <v>254</v>
      </c>
    </row>
    <row r="5164" spans="2:9" hidden="1" x14ac:dyDescent="0.4">
      <c r="B5164" s="8" t="s">
        <v>531</v>
      </c>
      <c r="C5164" s="3" t="s">
        <v>8189</v>
      </c>
      <c r="D5164" s="3" t="s">
        <v>8250</v>
      </c>
      <c r="F5164" s="3" t="s">
        <v>1277</v>
      </c>
      <c r="I5164" s="3" t="s">
        <v>254</v>
      </c>
    </row>
    <row r="5165" spans="2:9" hidden="1" x14ac:dyDescent="0.4">
      <c r="B5165" s="8" t="s">
        <v>517</v>
      </c>
      <c r="C5165" s="3" t="s">
        <v>8190</v>
      </c>
      <c r="D5165" s="3" t="s">
        <v>8251</v>
      </c>
      <c r="F5165" s="3" t="s">
        <v>1277</v>
      </c>
      <c r="I5165" s="3" t="s">
        <v>254</v>
      </c>
    </row>
    <row r="5166" spans="2:9" hidden="1" x14ac:dyDescent="0.4">
      <c r="B5166" s="8" t="s">
        <v>517</v>
      </c>
      <c r="C5166" s="3" t="s">
        <v>8191</v>
      </c>
      <c r="D5166" s="3" t="s">
        <v>8252</v>
      </c>
      <c r="F5166" s="3" t="s">
        <v>1277</v>
      </c>
      <c r="I5166" s="3" t="s">
        <v>254</v>
      </c>
    </row>
    <row r="5167" spans="2:9" hidden="1" x14ac:dyDescent="0.4">
      <c r="B5167" s="8" t="s">
        <v>518</v>
      </c>
      <c r="C5167" s="3" t="s">
        <v>8192</v>
      </c>
      <c r="D5167" s="3" t="s">
        <v>8253</v>
      </c>
      <c r="F5167" s="3" t="s">
        <v>1277</v>
      </c>
      <c r="I5167" s="3" t="s">
        <v>254</v>
      </c>
    </row>
    <row r="5168" spans="2:9" hidden="1" x14ac:dyDescent="0.4">
      <c r="B5168" s="8" t="s">
        <v>517</v>
      </c>
      <c r="C5168" s="3" t="s">
        <v>8193</v>
      </c>
      <c r="D5168" s="3" t="s">
        <v>8254</v>
      </c>
      <c r="F5168" s="3" t="s">
        <v>1277</v>
      </c>
      <c r="I5168" s="3" t="s">
        <v>254</v>
      </c>
    </row>
    <row r="5169" spans="2:9" hidden="1" x14ac:dyDescent="0.4">
      <c r="B5169" s="8" t="s">
        <v>520</v>
      </c>
      <c r="C5169" s="3" t="s">
        <v>8194</v>
      </c>
      <c r="D5169" s="3" t="s">
        <v>8255</v>
      </c>
      <c r="F5169" s="3" t="s">
        <v>1277</v>
      </c>
      <c r="I5169" s="3" t="s">
        <v>254</v>
      </c>
    </row>
    <row r="5170" spans="2:9" hidden="1" x14ac:dyDescent="0.4">
      <c r="B5170" s="8" t="s">
        <v>518</v>
      </c>
      <c r="C5170" s="3" t="s">
        <v>8195</v>
      </c>
      <c r="D5170" s="3" t="s">
        <v>8256</v>
      </c>
      <c r="F5170" s="3" t="s">
        <v>1277</v>
      </c>
      <c r="I5170" s="3" t="s">
        <v>254</v>
      </c>
    </row>
    <row r="5171" spans="2:9" hidden="1" x14ac:dyDescent="0.4">
      <c r="B5171" s="8" t="s">
        <v>518</v>
      </c>
      <c r="C5171" s="3" t="s">
        <v>8196</v>
      </c>
      <c r="D5171" s="3" t="s">
        <v>8257</v>
      </c>
      <c r="F5171" s="3" t="s">
        <v>1277</v>
      </c>
      <c r="I5171" s="3" t="s">
        <v>254</v>
      </c>
    </row>
    <row r="5172" spans="2:9" hidden="1" x14ac:dyDescent="0.4">
      <c r="B5172" s="8" t="s">
        <v>518</v>
      </c>
      <c r="C5172" s="3" t="s">
        <v>8197</v>
      </c>
      <c r="D5172" s="3" t="s">
        <v>8258</v>
      </c>
      <c r="F5172" s="3" t="s">
        <v>1277</v>
      </c>
      <c r="I5172" s="3" t="s">
        <v>254</v>
      </c>
    </row>
    <row r="5173" spans="2:9" hidden="1" x14ac:dyDescent="0.4">
      <c r="B5173" s="8" t="s">
        <v>518</v>
      </c>
      <c r="C5173" s="3" t="s">
        <v>8198</v>
      </c>
      <c r="D5173" s="3" t="s">
        <v>8259</v>
      </c>
      <c r="F5173" s="3" t="s">
        <v>1277</v>
      </c>
      <c r="I5173" s="3" t="s">
        <v>254</v>
      </c>
    </row>
    <row r="5174" spans="2:9" hidden="1" x14ac:dyDescent="0.4">
      <c r="B5174" s="8" t="s">
        <v>518</v>
      </c>
      <c r="C5174" s="3" t="s">
        <v>8199</v>
      </c>
      <c r="D5174" s="3" t="s">
        <v>8260</v>
      </c>
      <c r="F5174" s="3" t="s">
        <v>1277</v>
      </c>
      <c r="I5174" s="3" t="s">
        <v>254</v>
      </c>
    </row>
    <row r="5175" spans="2:9" hidden="1" x14ac:dyDescent="0.4">
      <c r="B5175" s="8" t="s">
        <v>529</v>
      </c>
      <c r="C5175" s="3" t="s">
        <v>8200</v>
      </c>
      <c r="D5175" s="3" t="s">
        <v>8261</v>
      </c>
      <c r="F5175" s="3" t="s">
        <v>1277</v>
      </c>
      <c r="I5175" s="3" t="s">
        <v>254</v>
      </c>
    </row>
    <row r="5176" spans="2:9" hidden="1" x14ac:dyDescent="0.4">
      <c r="B5176" s="8" t="s">
        <v>518</v>
      </c>
      <c r="C5176" s="3" t="s">
        <v>8201</v>
      </c>
      <c r="D5176" s="3" t="s">
        <v>8262</v>
      </c>
      <c r="F5176" s="3" t="s">
        <v>1277</v>
      </c>
      <c r="I5176" s="3" t="s">
        <v>254</v>
      </c>
    </row>
    <row r="5177" spans="2:9" hidden="1" x14ac:dyDescent="0.4">
      <c r="B5177" s="8" t="s">
        <v>532</v>
      </c>
      <c r="C5177" s="3" t="s">
        <v>8478</v>
      </c>
      <c r="D5177" s="3" t="s">
        <v>8263</v>
      </c>
      <c r="F5177" s="3" t="s">
        <v>1277</v>
      </c>
      <c r="I5177" s="3" t="s">
        <v>254</v>
      </c>
    </row>
    <row r="5178" spans="2:9" hidden="1" x14ac:dyDescent="0.4">
      <c r="B5178" s="8" t="s">
        <v>517</v>
      </c>
      <c r="C5178" s="3" t="s">
        <v>8302</v>
      </c>
      <c r="D5178" s="3" t="s">
        <v>8264</v>
      </c>
      <c r="F5178" s="3" t="s">
        <v>1277</v>
      </c>
      <c r="I5178" s="3" t="s">
        <v>254</v>
      </c>
    </row>
    <row r="5179" spans="2:9" hidden="1" x14ac:dyDescent="0.4">
      <c r="B5179" s="8" t="s">
        <v>518</v>
      </c>
      <c r="C5179" s="3" t="s">
        <v>8303</v>
      </c>
      <c r="D5179" s="3" t="s">
        <v>8265</v>
      </c>
      <c r="F5179" s="3" t="s">
        <v>1277</v>
      </c>
      <c r="I5179" s="3" t="s">
        <v>254</v>
      </c>
    </row>
    <row r="5180" spans="2:9" hidden="1" x14ac:dyDescent="0.4">
      <c r="B5180" s="8" t="s">
        <v>518</v>
      </c>
      <c r="C5180" s="3" t="s">
        <v>8304</v>
      </c>
      <c r="D5180" s="3" t="s">
        <v>8266</v>
      </c>
      <c r="F5180" s="3" t="s">
        <v>1277</v>
      </c>
      <c r="I5180" s="3" t="s">
        <v>254</v>
      </c>
    </row>
    <row r="5181" spans="2:9" hidden="1" x14ac:dyDescent="0.4">
      <c r="B5181" s="8" t="s">
        <v>517</v>
      </c>
      <c r="C5181" s="3" t="s">
        <v>8305</v>
      </c>
      <c r="D5181" s="3" t="s">
        <v>8267</v>
      </c>
      <c r="F5181" s="3" t="s">
        <v>1277</v>
      </c>
      <c r="I5181" s="3" t="s">
        <v>254</v>
      </c>
    </row>
    <row r="5182" spans="2:9" hidden="1" x14ac:dyDescent="0.4">
      <c r="B5182" s="8" t="s">
        <v>532</v>
      </c>
      <c r="C5182" s="3" t="s">
        <v>8479</v>
      </c>
      <c r="D5182" s="3" t="s">
        <v>8268</v>
      </c>
      <c r="F5182" s="3" t="s">
        <v>1277</v>
      </c>
      <c r="I5182" s="3" t="s">
        <v>254</v>
      </c>
    </row>
    <row r="5183" spans="2:9" hidden="1" x14ac:dyDescent="0.4">
      <c r="B5183" s="8" t="s">
        <v>517</v>
      </c>
      <c r="C5183" s="3" t="s">
        <v>8480</v>
      </c>
      <c r="D5183" s="3" t="s">
        <v>8269</v>
      </c>
      <c r="F5183" s="3" t="s">
        <v>1277</v>
      </c>
      <c r="I5183" s="3" t="s">
        <v>254</v>
      </c>
    </row>
    <row r="5184" spans="2:9" hidden="1" x14ac:dyDescent="0.4">
      <c r="B5184" s="8" t="s">
        <v>529</v>
      </c>
      <c r="C5184" s="3" t="s">
        <v>8481</v>
      </c>
      <c r="D5184" s="3" t="s">
        <v>8270</v>
      </c>
      <c r="F5184" s="3" t="s">
        <v>1277</v>
      </c>
      <c r="I5184" s="3" t="s">
        <v>254</v>
      </c>
    </row>
    <row r="5185" spans="2:9" hidden="1" x14ac:dyDescent="0.4">
      <c r="B5185" s="8" t="s">
        <v>529</v>
      </c>
      <c r="C5185" s="3" t="s">
        <v>8482</v>
      </c>
      <c r="D5185" s="3" t="s">
        <v>8271</v>
      </c>
      <c r="F5185" s="3" t="s">
        <v>1277</v>
      </c>
      <c r="I5185" s="3" t="s">
        <v>254</v>
      </c>
    </row>
    <row r="5186" spans="2:9" hidden="1" x14ac:dyDescent="0.4">
      <c r="B5186" s="8" t="s">
        <v>517</v>
      </c>
      <c r="C5186" s="3" t="s">
        <v>8483</v>
      </c>
      <c r="D5186" s="3" t="s">
        <v>8272</v>
      </c>
      <c r="F5186" s="3" t="s">
        <v>1277</v>
      </c>
      <c r="I5186" s="3" t="s">
        <v>254</v>
      </c>
    </row>
    <row r="5187" spans="2:9" hidden="1" x14ac:dyDescent="0.4">
      <c r="B5187" s="8" t="s">
        <v>518</v>
      </c>
      <c r="C5187" s="3" t="s">
        <v>8306</v>
      </c>
      <c r="D5187" s="3" t="s">
        <v>8273</v>
      </c>
      <c r="F5187" s="3" t="s">
        <v>1277</v>
      </c>
      <c r="I5187" s="3" t="s">
        <v>254</v>
      </c>
    </row>
    <row r="5188" spans="2:9" hidden="1" x14ac:dyDescent="0.4">
      <c r="B5188" s="8" t="s">
        <v>518</v>
      </c>
      <c r="C5188" s="3" t="s">
        <v>8307</v>
      </c>
      <c r="D5188" s="3" t="s">
        <v>8274</v>
      </c>
      <c r="F5188" s="3" t="s">
        <v>1277</v>
      </c>
      <c r="I5188" s="3" t="s">
        <v>254</v>
      </c>
    </row>
    <row r="5189" spans="2:9" hidden="1" x14ac:dyDescent="0.4">
      <c r="B5189" s="8" t="s">
        <v>517</v>
      </c>
      <c r="C5189" s="3" t="s">
        <v>8308</v>
      </c>
      <c r="D5189" s="3" t="s">
        <v>8309</v>
      </c>
      <c r="F5189" s="3" t="s">
        <v>1277</v>
      </c>
      <c r="I5189" s="3" t="s">
        <v>254</v>
      </c>
    </row>
    <row r="5190" spans="2:9" hidden="1" x14ac:dyDescent="0.4">
      <c r="B5190" s="8" t="s">
        <v>517</v>
      </c>
      <c r="C5190" s="3" t="s">
        <v>8311</v>
      </c>
      <c r="D5190" s="3" t="s">
        <v>8310</v>
      </c>
      <c r="F5190" s="3" t="s">
        <v>1277</v>
      </c>
      <c r="I5190" s="3" t="s">
        <v>254</v>
      </c>
    </row>
    <row r="5191" spans="2:9" hidden="1" x14ac:dyDescent="0.4">
      <c r="B5191" s="8" t="s">
        <v>518</v>
      </c>
      <c r="C5191" s="3" t="s">
        <v>8484</v>
      </c>
      <c r="D5191" s="3" t="s">
        <v>8275</v>
      </c>
      <c r="F5191" s="3" t="s">
        <v>1277</v>
      </c>
      <c r="I5191" s="3" t="s">
        <v>254</v>
      </c>
    </row>
    <row r="5192" spans="2:9" hidden="1" x14ac:dyDescent="0.4">
      <c r="B5192" s="8" t="s">
        <v>518</v>
      </c>
      <c r="C5192" s="3" t="s">
        <v>8312</v>
      </c>
      <c r="D5192" s="3" t="s">
        <v>8276</v>
      </c>
      <c r="F5192" s="3" t="s">
        <v>1277</v>
      </c>
      <c r="I5192" s="3" t="s">
        <v>254</v>
      </c>
    </row>
    <row r="5193" spans="2:9" hidden="1" x14ac:dyDescent="0.4">
      <c r="B5193" s="8" t="s">
        <v>529</v>
      </c>
      <c r="C5193" s="3" t="s">
        <v>8486</v>
      </c>
      <c r="D5193" s="3" t="s">
        <v>8277</v>
      </c>
      <c r="F5193" s="3" t="s">
        <v>1277</v>
      </c>
      <c r="I5193" s="3" t="s">
        <v>254</v>
      </c>
    </row>
    <row r="5194" spans="2:9" hidden="1" x14ac:dyDescent="0.4">
      <c r="B5194" s="8" t="s">
        <v>531</v>
      </c>
      <c r="C5194" s="3" t="s">
        <v>8485</v>
      </c>
      <c r="D5194" s="3" t="s">
        <v>8278</v>
      </c>
      <c r="F5194" s="3" t="s">
        <v>1277</v>
      </c>
      <c r="I5194" s="3" t="s">
        <v>254</v>
      </c>
    </row>
    <row r="5195" spans="2:9" hidden="1" x14ac:dyDescent="0.4">
      <c r="B5195" s="8" t="s">
        <v>517</v>
      </c>
      <c r="C5195" s="3" t="s">
        <v>8313</v>
      </c>
      <c r="D5195" s="3" t="s">
        <v>8279</v>
      </c>
      <c r="F5195" s="3" t="s">
        <v>1277</v>
      </c>
      <c r="I5195" s="3" t="s">
        <v>254</v>
      </c>
    </row>
    <row r="5196" spans="2:9" hidden="1" x14ac:dyDescent="0.4">
      <c r="B5196" s="8" t="s">
        <v>518</v>
      </c>
      <c r="C5196" s="3" t="s">
        <v>8314</v>
      </c>
      <c r="D5196" s="3" t="s">
        <v>8280</v>
      </c>
      <c r="F5196" s="3" t="s">
        <v>1277</v>
      </c>
      <c r="I5196" s="3" t="s">
        <v>254</v>
      </c>
    </row>
    <row r="5197" spans="2:9" hidden="1" x14ac:dyDescent="0.4">
      <c r="B5197" s="8" t="s">
        <v>518</v>
      </c>
      <c r="C5197" s="3" t="s">
        <v>8315</v>
      </c>
      <c r="D5197" s="3" t="s">
        <v>8281</v>
      </c>
      <c r="F5197" s="3" t="s">
        <v>1277</v>
      </c>
      <c r="I5197" s="3" t="s">
        <v>254</v>
      </c>
    </row>
    <row r="5198" spans="2:9" hidden="1" x14ac:dyDescent="0.4">
      <c r="B5198" s="8" t="s">
        <v>518</v>
      </c>
      <c r="C5198" s="3" t="s">
        <v>8316</v>
      </c>
      <c r="D5198" s="3" t="s">
        <v>8282</v>
      </c>
      <c r="F5198" s="3" t="s">
        <v>1277</v>
      </c>
      <c r="I5198" s="3" t="s">
        <v>254</v>
      </c>
    </row>
    <row r="5199" spans="2:9" hidden="1" x14ac:dyDescent="0.4">
      <c r="B5199" s="8" t="s">
        <v>520</v>
      </c>
      <c r="C5199" s="3" t="s">
        <v>8317</v>
      </c>
      <c r="D5199" s="3" t="s">
        <v>8283</v>
      </c>
      <c r="F5199" s="3" t="s">
        <v>1277</v>
      </c>
      <c r="I5199" s="3" t="s">
        <v>254</v>
      </c>
    </row>
    <row r="5200" spans="2:9" hidden="1" x14ac:dyDescent="0.4">
      <c r="B5200" s="8" t="s">
        <v>517</v>
      </c>
      <c r="C5200" s="3" t="s">
        <v>8318</v>
      </c>
      <c r="D5200" s="3" t="s">
        <v>8284</v>
      </c>
      <c r="F5200" s="3" t="s">
        <v>1277</v>
      </c>
      <c r="I5200" s="3" t="s">
        <v>254</v>
      </c>
    </row>
    <row r="5201" spans="2:9" hidden="1" x14ac:dyDescent="0.4">
      <c r="B5201" s="8" t="s">
        <v>517</v>
      </c>
      <c r="C5201" s="3" t="s">
        <v>8319</v>
      </c>
      <c r="D5201" s="3" t="s">
        <v>8285</v>
      </c>
      <c r="F5201" s="3" t="s">
        <v>1277</v>
      </c>
      <c r="I5201" s="3" t="s">
        <v>254</v>
      </c>
    </row>
    <row r="5202" spans="2:9" hidden="1" x14ac:dyDescent="0.4">
      <c r="B5202" s="8" t="s">
        <v>518</v>
      </c>
      <c r="C5202" s="3" t="s">
        <v>8320</v>
      </c>
      <c r="D5202" s="3" t="s">
        <v>8286</v>
      </c>
      <c r="F5202" s="3" t="s">
        <v>1277</v>
      </c>
      <c r="I5202" s="3" t="s">
        <v>254</v>
      </c>
    </row>
    <row r="5203" spans="2:9" hidden="1" x14ac:dyDescent="0.4">
      <c r="B5203" s="8" t="s">
        <v>518</v>
      </c>
      <c r="C5203" s="3" t="s">
        <v>8321</v>
      </c>
      <c r="D5203" s="3" t="s">
        <v>8287</v>
      </c>
      <c r="F5203" s="3" t="s">
        <v>1277</v>
      </c>
      <c r="I5203" s="3" t="s">
        <v>254</v>
      </c>
    </row>
    <row r="5204" spans="2:9" hidden="1" x14ac:dyDescent="0.4">
      <c r="B5204" s="8" t="s">
        <v>517</v>
      </c>
      <c r="C5204" s="3" t="s">
        <v>8322</v>
      </c>
      <c r="D5204" s="3" t="s">
        <v>8288</v>
      </c>
      <c r="F5204" s="3" t="s">
        <v>1277</v>
      </c>
      <c r="I5204" s="3" t="s">
        <v>254</v>
      </c>
    </row>
    <row r="5205" spans="2:9" hidden="1" x14ac:dyDescent="0.4">
      <c r="B5205" s="8" t="s">
        <v>518</v>
      </c>
      <c r="C5205" s="3" t="s">
        <v>8323</v>
      </c>
      <c r="D5205" s="3" t="s">
        <v>8289</v>
      </c>
      <c r="F5205" s="3" t="s">
        <v>1277</v>
      </c>
      <c r="I5205" s="3" t="s">
        <v>254</v>
      </c>
    </row>
    <row r="5206" spans="2:9" hidden="1" x14ac:dyDescent="0.4">
      <c r="B5206" s="8" t="s">
        <v>518</v>
      </c>
      <c r="C5206" s="3" t="s">
        <v>8324</v>
      </c>
      <c r="D5206" s="3" t="s">
        <v>8290</v>
      </c>
      <c r="F5206" s="3" t="s">
        <v>1277</v>
      </c>
      <c r="I5206" s="3" t="s">
        <v>254</v>
      </c>
    </row>
    <row r="5207" spans="2:9" hidden="1" x14ac:dyDescent="0.4">
      <c r="B5207" s="8" t="s">
        <v>517</v>
      </c>
      <c r="C5207" s="3" t="s">
        <v>8325</v>
      </c>
      <c r="D5207" s="3" t="s">
        <v>8291</v>
      </c>
      <c r="F5207" s="3" t="s">
        <v>1277</v>
      </c>
      <c r="I5207" s="3" t="s">
        <v>254</v>
      </c>
    </row>
    <row r="5208" spans="2:9" hidden="1" x14ac:dyDescent="0.4">
      <c r="B5208" s="8" t="s">
        <v>518</v>
      </c>
      <c r="C5208" s="3" t="s">
        <v>8326</v>
      </c>
      <c r="D5208" s="3" t="s">
        <v>8292</v>
      </c>
      <c r="F5208" s="3" t="s">
        <v>1277</v>
      </c>
      <c r="I5208" s="3" t="s">
        <v>254</v>
      </c>
    </row>
    <row r="5209" spans="2:9" hidden="1" x14ac:dyDescent="0.4">
      <c r="B5209" s="8" t="s">
        <v>531</v>
      </c>
      <c r="C5209" s="3" t="s">
        <v>8327</v>
      </c>
      <c r="D5209" s="3" t="s">
        <v>8293</v>
      </c>
      <c r="F5209" s="3" t="s">
        <v>1277</v>
      </c>
      <c r="I5209" s="3" t="s">
        <v>254</v>
      </c>
    </row>
    <row r="5210" spans="2:9" hidden="1" x14ac:dyDescent="0.4">
      <c r="B5210" s="8" t="s">
        <v>517</v>
      </c>
      <c r="C5210" s="3" t="s">
        <v>8328</v>
      </c>
      <c r="D5210" s="3" t="s">
        <v>8294</v>
      </c>
      <c r="F5210" s="3" t="s">
        <v>1277</v>
      </c>
      <c r="I5210" s="3" t="s">
        <v>254</v>
      </c>
    </row>
    <row r="5211" spans="2:9" hidden="1" x14ac:dyDescent="0.4">
      <c r="B5211" s="8" t="s">
        <v>529</v>
      </c>
      <c r="C5211" s="3" t="s">
        <v>8329</v>
      </c>
      <c r="D5211" s="3" t="s">
        <v>8295</v>
      </c>
      <c r="F5211" s="3" t="s">
        <v>1277</v>
      </c>
      <c r="I5211" s="3" t="s">
        <v>254</v>
      </c>
    </row>
    <row r="5212" spans="2:9" hidden="1" x14ac:dyDescent="0.4">
      <c r="B5212" s="8" t="s">
        <v>518</v>
      </c>
      <c r="C5212" s="3" t="s">
        <v>8330</v>
      </c>
      <c r="D5212" s="3" t="s">
        <v>8296</v>
      </c>
      <c r="F5212" s="3" t="s">
        <v>1277</v>
      </c>
      <c r="I5212" s="3" t="s">
        <v>254</v>
      </c>
    </row>
    <row r="5213" spans="2:9" hidden="1" x14ac:dyDescent="0.4">
      <c r="B5213" s="8" t="s">
        <v>518</v>
      </c>
      <c r="C5213" s="3" t="s">
        <v>8331</v>
      </c>
      <c r="D5213" s="3" t="s">
        <v>8297</v>
      </c>
      <c r="F5213" s="3" t="s">
        <v>1277</v>
      </c>
      <c r="I5213" s="3" t="s">
        <v>254</v>
      </c>
    </row>
    <row r="5214" spans="2:9" hidden="1" x14ac:dyDescent="0.4">
      <c r="B5214" s="8" t="s">
        <v>531</v>
      </c>
      <c r="C5214" s="3" t="s">
        <v>8332</v>
      </c>
      <c r="D5214" s="3" t="s">
        <v>8298</v>
      </c>
      <c r="F5214" s="3" t="s">
        <v>1277</v>
      </c>
      <c r="I5214" s="3" t="s">
        <v>254</v>
      </c>
    </row>
    <row r="5215" spans="2:9" hidden="1" x14ac:dyDescent="0.4">
      <c r="B5215" s="8" t="s">
        <v>518</v>
      </c>
      <c r="C5215" s="3" t="s">
        <v>8333</v>
      </c>
      <c r="D5215" s="3" t="s">
        <v>8299</v>
      </c>
      <c r="F5215" s="3" t="s">
        <v>1277</v>
      </c>
      <c r="I5215" s="3" t="s">
        <v>254</v>
      </c>
    </row>
    <row r="5216" spans="2:9" hidden="1" x14ac:dyDescent="0.4">
      <c r="B5216" s="8" t="s">
        <v>529</v>
      </c>
      <c r="C5216" s="3" t="s">
        <v>8334</v>
      </c>
      <c r="D5216" s="3" t="s">
        <v>8300</v>
      </c>
      <c r="F5216" s="3" t="s">
        <v>1277</v>
      </c>
      <c r="I5216" s="3" t="s">
        <v>254</v>
      </c>
    </row>
    <row r="5217" spans="2:9" hidden="1" x14ac:dyDescent="0.4">
      <c r="B5217" s="8" t="s">
        <v>517</v>
      </c>
      <c r="C5217" s="3" t="s">
        <v>8335</v>
      </c>
      <c r="D5217" s="3" t="s">
        <v>8301</v>
      </c>
      <c r="F5217" s="3" t="s">
        <v>1277</v>
      </c>
      <c r="I5217" s="3" t="s">
        <v>254</v>
      </c>
    </row>
    <row r="5218" spans="2:9" hidden="1" x14ac:dyDescent="0.4">
      <c r="B5218" s="8" t="s">
        <v>536</v>
      </c>
      <c r="C5218" s="3" t="str">
        <f>"-(o)ze"</f>
        <v>-(o)ze</v>
      </c>
      <c r="D5218" s="3" t="s">
        <v>8336</v>
      </c>
      <c r="F5218" s="3" t="s">
        <v>1124</v>
      </c>
      <c r="I5218" s="3" t="s">
        <v>254</v>
      </c>
    </row>
    <row r="5219" spans="2:9" hidden="1" x14ac:dyDescent="0.4">
      <c r="B5219" s="8" t="s">
        <v>517</v>
      </c>
      <c r="C5219" s="3" t="s">
        <v>8338</v>
      </c>
      <c r="D5219" s="3" t="s">
        <v>8487</v>
      </c>
      <c r="E5219" s="3" t="s">
        <v>1272</v>
      </c>
      <c r="F5219" s="3" t="s">
        <v>1277</v>
      </c>
      <c r="I5219" s="3" t="s">
        <v>8337</v>
      </c>
    </row>
    <row r="5220" spans="2:9" hidden="1" x14ac:dyDescent="0.4">
      <c r="B5220" s="8" t="s">
        <v>518</v>
      </c>
      <c r="C5220" s="3" t="s">
        <v>8339</v>
      </c>
      <c r="D5220" s="3" t="s">
        <v>8488</v>
      </c>
      <c r="E5220" s="3" t="s">
        <v>1272</v>
      </c>
      <c r="F5220" s="3" t="s">
        <v>1277</v>
      </c>
      <c r="I5220" s="3" t="s">
        <v>8337</v>
      </c>
    </row>
    <row r="5221" spans="2:9" hidden="1" x14ac:dyDescent="0.4">
      <c r="B5221" s="8" t="s">
        <v>517</v>
      </c>
      <c r="C5221" s="3" t="s">
        <v>1261</v>
      </c>
      <c r="D5221" s="3" t="s">
        <v>8489</v>
      </c>
      <c r="E5221" s="3" t="s">
        <v>1272</v>
      </c>
      <c r="F5221" s="3" t="s">
        <v>1277</v>
      </c>
      <c r="I5221" s="3" t="s">
        <v>8337</v>
      </c>
    </row>
    <row r="5222" spans="2:9" hidden="1" x14ac:dyDescent="0.4">
      <c r="B5222" s="8" t="s">
        <v>518</v>
      </c>
      <c r="C5222" s="3" t="s">
        <v>8340</v>
      </c>
      <c r="D5222" s="3" t="s">
        <v>8490</v>
      </c>
      <c r="E5222" s="3" t="s">
        <v>1272</v>
      </c>
      <c r="F5222" s="3" t="s">
        <v>1277</v>
      </c>
      <c r="I5222" s="3" t="s">
        <v>8337</v>
      </c>
    </row>
    <row r="5223" spans="2:9" hidden="1" x14ac:dyDescent="0.4">
      <c r="B5223" s="8" t="s">
        <v>518</v>
      </c>
      <c r="C5223" s="3" t="s">
        <v>8341</v>
      </c>
      <c r="D5223" s="3" t="s">
        <v>8491</v>
      </c>
      <c r="E5223" s="3" t="s">
        <v>1272</v>
      </c>
      <c r="F5223" s="3" t="s">
        <v>1277</v>
      </c>
      <c r="I5223" s="3" t="s">
        <v>8337</v>
      </c>
    </row>
    <row r="5224" spans="2:9" hidden="1" x14ac:dyDescent="0.4">
      <c r="B5224" s="8" t="s">
        <v>532</v>
      </c>
      <c r="C5224" s="3" t="s">
        <v>8342</v>
      </c>
      <c r="D5224" s="3" t="s">
        <v>8492</v>
      </c>
      <c r="E5224" s="3" t="s">
        <v>1272</v>
      </c>
      <c r="F5224" s="3" t="s">
        <v>1277</v>
      </c>
      <c r="I5224" s="3" t="s">
        <v>8337</v>
      </c>
    </row>
    <row r="5225" spans="2:9" hidden="1" x14ac:dyDescent="0.4">
      <c r="B5225" s="8" t="s">
        <v>517</v>
      </c>
      <c r="C5225" s="3" t="s">
        <v>8343</v>
      </c>
      <c r="D5225" s="3" t="s">
        <v>8493</v>
      </c>
      <c r="E5225" s="3" t="s">
        <v>1272</v>
      </c>
      <c r="F5225" s="3" t="s">
        <v>1277</v>
      </c>
      <c r="I5225" s="3" t="s">
        <v>8337</v>
      </c>
    </row>
    <row r="5226" spans="2:9" hidden="1" x14ac:dyDescent="0.4">
      <c r="B5226" s="8" t="s">
        <v>518</v>
      </c>
      <c r="C5226" s="3" t="s">
        <v>8344</v>
      </c>
      <c r="D5226" s="3" t="s">
        <v>8494</v>
      </c>
      <c r="E5226" s="3" t="s">
        <v>1272</v>
      </c>
      <c r="F5226" s="3" t="s">
        <v>1277</v>
      </c>
      <c r="I5226" s="3" t="s">
        <v>8337</v>
      </c>
    </row>
    <row r="5227" spans="2:9" hidden="1" x14ac:dyDescent="0.4">
      <c r="B5227" s="8" t="s">
        <v>517</v>
      </c>
      <c r="C5227" s="3" t="s">
        <v>8345</v>
      </c>
      <c r="D5227" s="3" t="s">
        <v>8495</v>
      </c>
      <c r="E5227" s="3" t="s">
        <v>1272</v>
      </c>
      <c r="F5227" s="3" t="s">
        <v>1277</v>
      </c>
      <c r="I5227" s="3" t="s">
        <v>8337</v>
      </c>
    </row>
    <row r="5228" spans="2:9" hidden="1" x14ac:dyDescent="0.4">
      <c r="B5228" s="8" t="s">
        <v>517</v>
      </c>
      <c r="C5228" s="3" t="s">
        <v>8346</v>
      </c>
      <c r="D5228" s="3" t="s">
        <v>8496</v>
      </c>
      <c r="E5228" s="3" t="s">
        <v>1272</v>
      </c>
      <c r="F5228" s="3" t="s">
        <v>1277</v>
      </c>
      <c r="I5228" s="3" t="s">
        <v>8337</v>
      </c>
    </row>
    <row r="5229" spans="2:9" hidden="1" x14ac:dyDescent="0.4">
      <c r="B5229" s="8" t="s">
        <v>517</v>
      </c>
      <c r="C5229" s="3" t="s">
        <v>8347</v>
      </c>
      <c r="D5229" s="3" t="s">
        <v>8497</v>
      </c>
      <c r="E5229" s="3" t="s">
        <v>1272</v>
      </c>
      <c r="F5229" s="3" t="s">
        <v>1277</v>
      </c>
      <c r="I5229" s="3" t="s">
        <v>8337</v>
      </c>
    </row>
    <row r="5230" spans="2:9" hidden="1" x14ac:dyDescent="0.4">
      <c r="B5230" s="8" t="s">
        <v>529</v>
      </c>
      <c r="C5230" s="3" t="s">
        <v>8348</v>
      </c>
      <c r="D5230" s="3" t="s">
        <v>8498</v>
      </c>
      <c r="E5230" s="3" t="s">
        <v>1272</v>
      </c>
      <c r="F5230" s="3" t="s">
        <v>1277</v>
      </c>
      <c r="I5230" s="3" t="s">
        <v>8337</v>
      </c>
    </row>
    <row r="5231" spans="2:9" hidden="1" x14ac:dyDescent="0.4">
      <c r="B5231" s="8" t="s">
        <v>517</v>
      </c>
      <c r="C5231" s="3" t="s">
        <v>8349</v>
      </c>
      <c r="D5231" s="3" t="s">
        <v>8499</v>
      </c>
      <c r="E5231" s="3" t="s">
        <v>1272</v>
      </c>
      <c r="F5231" s="3" t="s">
        <v>1277</v>
      </c>
      <c r="I5231" s="3" t="s">
        <v>8337</v>
      </c>
    </row>
    <row r="5232" spans="2:9" hidden="1" x14ac:dyDescent="0.4">
      <c r="B5232" s="8" t="s">
        <v>532</v>
      </c>
      <c r="C5232" s="3" t="s">
        <v>8350</v>
      </c>
      <c r="D5232" s="3" t="s">
        <v>8500</v>
      </c>
      <c r="E5232" s="3" t="s">
        <v>1272</v>
      </c>
      <c r="F5232" s="3" t="s">
        <v>1277</v>
      </c>
      <c r="I5232" s="3" t="s">
        <v>8337</v>
      </c>
    </row>
    <row r="5233" spans="2:9" hidden="1" x14ac:dyDescent="0.4">
      <c r="B5233" s="8" t="s">
        <v>529</v>
      </c>
      <c r="C5233" s="3" t="s">
        <v>8351</v>
      </c>
      <c r="D5233" s="3" t="s">
        <v>8501</v>
      </c>
      <c r="E5233" s="3" t="s">
        <v>1272</v>
      </c>
      <c r="F5233" s="3" t="s">
        <v>1277</v>
      </c>
      <c r="I5233" s="3" t="s">
        <v>8337</v>
      </c>
    </row>
    <row r="5234" spans="2:9" hidden="1" x14ac:dyDescent="0.4">
      <c r="B5234" s="8" t="s">
        <v>517</v>
      </c>
      <c r="C5234" s="3" t="s">
        <v>8352</v>
      </c>
      <c r="D5234" s="3" t="s">
        <v>8502</v>
      </c>
      <c r="E5234" s="3" t="s">
        <v>1272</v>
      </c>
      <c r="F5234" s="3" t="s">
        <v>1277</v>
      </c>
      <c r="I5234" s="3" t="s">
        <v>8337</v>
      </c>
    </row>
    <row r="5235" spans="2:9" hidden="1" x14ac:dyDescent="0.4">
      <c r="B5235" s="8" t="s">
        <v>517</v>
      </c>
      <c r="C5235" s="3" t="s">
        <v>8353</v>
      </c>
      <c r="D5235" s="3" t="s">
        <v>8503</v>
      </c>
      <c r="E5235" s="3" t="s">
        <v>1272</v>
      </c>
      <c r="F5235" s="3" t="s">
        <v>1277</v>
      </c>
      <c r="I5235" s="3" t="s">
        <v>8337</v>
      </c>
    </row>
    <row r="5236" spans="2:9" hidden="1" x14ac:dyDescent="0.4">
      <c r="B5236" s="8" t="s">
        <v>518</v>
      </c>
      <c r="C5236" s="3" t="s">
        <v>8354</v>
      </c>
      <c r="D5236" s="3" t="s">
        <v>8504</v>
      </c>
      <c r="E5236" s="3" t="s">
        <v>1272</v>
      </c>
      <c r="F5236" s="3" t="s">
        <v>1277</v>
      </c>
      <c r="I5236" s="3" t="s">
        <v>8337</v>
      </c>
    </row>
    <row r="5237" spans="2:9" hidden="1" x14ac:dyDescent="0.4">
      <c r="B5237" s="8" t="s">
        <v>517</v>
      </c>
      <c r="C5237" s="3" t="s">
        <v>8355</v>
      </c>
      <c r="D5237" s="3" t="s">
        <v>8505</v>
      </c>
      <c r="E5237" s="3" t="s">
        <v>1272</v>
      </c>
      <c r="F5237" s="3" t="s">
        <v>1277</v>
      </c>
      <c r="I5237" s="3" t="s">
        <v>8337</v>
      </c>
    </row>
    <row r="5238" spans="2:9" hidden="1" x14ac:dyDescent="0.4">
      <c r="B5238" s="8" t="s">
        <v>517</v>
      </c>
      <c r="C5238" s="3" t="s">
        <v>8356</v>
      </c>
      <c r="D5238" s="3" t="s">
        <v>8506</v>
      </c>
      <c r="E5238" s="3" t="s">
        <v>1272</v>
      </c>
      <c r="F5238" s="3" t="s">
        <v>1277</v>
      </c>
      <c r="I5238" s="3" t="s">
        <v>8337</v>
      </c>
    </row>
    <row r="5239" spans="2:9" hidden="1" x14ac:dyDescent="0.4">
      <c r="B5239" s="8" t="s">
        <v>517</v>
      </c>
      <c r="C5239" s="3" t="s">
        <v>8357</v>
      </c>
      <c r="D5239" s="3" t="s">
        <v>8507</v>
      </c>
      <c r="E5239" s="3" t="s">
        <v>1272</v>
      </c>
      <c r="F5239" s="3" t="s">
        <v>1277</v>
      </c>
      <c r="I5239" s="3" t="s">
        <v>8337</v>
      </c>
    </row>
    <row r="5240" spans="2:9" hidden="1" x14ac:dyDescent="0.4">
      <c r="B5240" s="8" t="s">
        <v>517</v>
      </c>
      <c r="C5240" s="3" t="s">
        <v>8358</v>
      </c>
      <c r="D5240" s="3" t="s">
        <v>8508</v>
      </c>
      <c r="E5240" s="3" t="s">
        <v>1272</v>
      </c>
      <c r="F5240" s="3" t="s">
        <v>1277</v>
      </c>
      <c r="I5240" s="3" t="s">
        <v>8337</v>
      </c>
    </row>
    <row r="5241" spans="2:9" hidden="1" x14ac:dyDescent="0.4">
      <c r="B5241" s="8" t="s">
        <v>518</v>
      </c>
      <c r="C5241" s="3" t="s">
        <v>8359</v>
      </c>
      <c r="D5241" s="3" t="s">
        <v>8509</v>
      </c>
      <c r="E5241" s="3" t="s">
        <v>1272</v>
      </c>
      <c r="F5241" s="3" t="s">
        <v>1277</v>
      </c>
      <c r="I5241" s="3" t="s">
        <v>8337</v>
      </c>
    </row>
    <row r="5242" spans="2:9" hidden="1" x14ac:dyDescent="0.4">
      <c r="B5242" s="8" t="s">
        <v>526</v>
      </c>
      <c r="C5242" s="3" t="s">
        <v>8360</v>
      </c>
      <c r="D5242" s="3" t="s">
        <v>8510</v>
      </c>
      <c r="E5242" s="3" t="s">
        <v>1272</v>
      </c>
      <c r="F5242" s="3" t="s">
        <v>1277</v>
      </c>
      <c r="I5242" s="3" t="s">
        <v>8337</v>
      </c>
    </row>
    <row r="5243" spans="2:9" hidden="1" x14ac:dyDescent="0.4">
      <c r="B5243" s="8" t="s">
        <v>4060</v>
      </c>
      <c r="C5243" s="3" t="s">
        <v>8361</v>
      </c>
      <c r="D5243" s="3" t="s">
        <v>8511</v>
      </c>
      <c r="E5243" s="3" t="s">
        <v>1272</v>
      </c>
      <c r="F5243" s="3" t="s">
        <v>1277</v>
      </c>
      <c r="I5243" s="3" t="s">
        <v>8337</v>
      </c>
    </row>
    <row r="5244" spans="2:9" hidden="1" x14ac:dyDescent="0.4">
      <c r="B5244" s="8" t="s">
        <v>4062</v>
      </c>
      <c r="C5244" s="3" t="s">
        <v>8362</v>
      </c>
      <c r="D5244" s="3" t="s">
        <v>8512</v>
      </c>
      <c r="E5244" s="3" t="s">
        <v>1272</v>
      </c>
      <c r="F5244" s="3" t="s">
        <v>1277</v>
      </c>
      <c r="I5244" s="3" t="s">
        <v>8337</v>
      </c>
    </row>
    <row r="5245" spans="2:9" hidden="1" x14ac:dyDescent="0.4">
      <c r="B5245" s="8" t="s">
        <v>520</v>
      </c>
      <c r="C5245" s="3" t="s">
        <v>8363</v>
      </c>
      <c r="D5245" s="3" t="s">
        <v>8513</v>
      </c>
      <c r="F5245" s="3" t="s">
        <v>1277</v>
      </c>
      <c r="I5245" s="3" t="s">
        <v>8337</v>
      </c>
    </row>
    <row r="5246" spans="2:9" hidden="1" x14ac:dyDescent="0.4">
      <c r="B5246" s="8" t="s">
        <v>529</v>
      </c>
      <c r="C5246" s="3" t="s">
        <v>8364</v>
      </c>
      <c r="D5246" s="3" t="s">
        <v>8514</v>
      </c>
      <c r="E5246" s="3" t="s">
        <v>1272</v>
      </c>
      <c r="F5246" s="3" t="s">
        <v>1277</v>
      </c>
      <c r="I5246" s="3" t="s">
        <v>8337</v>
      </c>
    </row>
    <row r="5247" spans="2:9" hidden="1" x14ac:dyDescent="0.4">
      <c r="B5247" s="8" t="s">
        <v>518</v>
      </c>
      <c r="C5247" s="3" t="s">
        <v>8365</v>
      </c>
      <c r="D5247" s="3" t="s">
        <v>8515</v>
      </c>
      <c r="E5247" s="3" t="s">
        <v>1272</v>
      </c>
      <c r="F5247" s="3" t="s">
        <v>1277</v>
      </c>
      <c r="I5247" s="3" t="s">
        <v>8337</v>
      </c>
    </row>
    <row r="5248" spans="2:9" hidden="1" x14ac:dyDescent="0.4">
      <c r="B5248" s="8" t="s">
        <v>520</v>
      </c>
      <c r="C5248" s="3" t="s">
        <v>8366</v>
      </c>
      <c r="D5248" s="3" t="s">
        <v>8516</v>
      </c>
      <c r="E5248" s="3" t="s">
        <v>1272</v>
      </c>
      <c r="F5248" s="3" t="s">
        <v>1277</v>
      </c>
      <c r="I5248" s="3" t="s">
        <v>8337</v>
      </c>
    </row>
    <row r="5249" spans="2:9" hidden="1" x14ac:dyDescent="0.4">
      <c r="B5249" s="8" t="s">
        <v>518</v>
      </c>
      <c r="C5249" s="3" t="s">
        <v>8367</v>
      </c>
      <c r="D5249" s="3" t="s">
        <v>8517</v>
      </c>
      <c r="E5249" s="3" t="s">
        <v>1272</v>
      </c>
      <c r="F5249" s="3" t="s">
        <v>1277</v>
      </c>
      <c r="I5249" s="3" t="s">
        <v>8337</v>
      </c>
    </row>
    <row r="5250" spans="2:9" hidden="1" x14ac:dyDescent="0.4">
      <c r="B5250" s="8" t="s">
        <v>520</v>
      </c>
      <c r="C5250" s="3" t="s">
        <v>8368</v>
      </c>
      <c r="D5250" s="3" t="s">
        <v>8518</v>
      </c>
      <c r="E5250" s="3" t="s">
        <v>1272</v>
      </c>
      <c r="F5250" s="3" t="s">
        <v>1277</v>
      </c>
      <c r="I5250" s="3" t="s">
        <v>8337</v>
      </c>
    </row>
    <row r="5251" spans="2:9" hidden="1" x14ac:dyDescent="0.4">
      <c r="B5251" s="8" t="s">
        <v>517</v>
      </c>
      <c r="C5251" s="3" t="s">
        <v>1262</v>
      </c>
      <c r="D5251" s="3" t="s">
        <v>8520</v>
      </c>
      <c r="E5251" s="3" t="s">
        <v>1272</v>
      </c>
      <c r="F5251" s="3" t="s">
        <v>1277</v>
      </c>
      <c r="I5251" s="3" t="s">
        <v>8337</v>
      </c>
    </row>
    <row r="5252" spans="2:9" hidden="1" x14ac:dyDescent="0.4">
      <c r="B5252" s="8" t="s">
        <v>517</v>
      </c>
      <c r="C5252" s="3" t="s">
        <v>1234</v>
      </c>
      <c r="D5252" s="3" t="s">
        <v>8519</v>
      </c>
      <c r="E5252" s="3" t="s">
        <v>1272</v>
      </c>
      <c r="F5252" s="3" t="s">
        <v>1277</v>
      </c>
      <c r="I5252" s="3" t="s">
        <v>8337</v>
      </c>
    </row>
    <row r="5253" spans="2:9" hidden="1" x14ac:dyDescent="0.4">
      <c r="B5253" s="8" t="s">
        <v>517</v>
      </c>
      <c r="C5253" s="3" t="s">
        <v>1263</v>
      </c>
      <c r="D5253" s="3" t="s">
        <v>1270</v>
      </c>
      <c r="E5253" s="3" t="s">
        <v>7805</v>
      </c>
      <c r="F5253" s="3" t="s">
        <v>1277</v>
      </c>
      <c r="I5253" s="3" t="s">
        <v>8337</v>
      </c>
    </row>
    <row r="5254" spans="2:9" hidden="1" x14ac:dyDescent="0.4">
      <c r="B5254" s="8" t="s">
        <v>517</v>
      </c>
      <c r="C5254" s="3" t="s">
        <v>8369</v>
      </c>
      <c r="D5254" s="3" t="s">
        <v>8521</v>
      </c>
      <c r="E5254" s="3" t="s">
        <v>1272</v>
      </c>
      <c r="F5254" s="3" t="s">
        <v>1277</v>
      </c>
      <c r="I5254" s="3" t="s">
        <v>8337</v>
      </c>
    </row>
    <row r="5255" spans="2:9" hidden="1" x14ac:dyDescent="0.4">
      <c r="B5255" s="8" t="s">
        <v>517</v>
      </c>
      <c r="C5255" s="3" t="s">
        <v>8370</v>
      </c>
      <c r="D5255" s="3" t="s">
        <v>8522</v>
      </c>
      <c r="E5255" s="3" t="s">
        <v>1272</v>
      </c>
      <c r="F5255" s="3" t="s">
        <v>1277</v>
      </c>
      <c r="I5255" s="3" t="s">
        <v>8337</v>
      </c>
    </row>
    <row r="5256" spans="2:9" hidden="1" x14ac:dyDescent="0.4">
      <c r="B5256" s="8" t="s">
        <v>532</v>
      </c>
      <c r="C5256" s="3" t="s">
        <v>8371</v>
      </c>
      <c r="D5256" s="3" t="s">
        <v>8523</v>
      </c>
      <c r="E5256" s="3" t="s">
        <v>1272</v>
      </c>
      <c r="F5256" s="3" t="s">
        <v>1277</v>
      </c>
      <c r="I5256" s="3" t="s">
        <v>8337</v>
      </c>
    </row>
    <row r="5257" spans="2:9" hidden="1" x14ac:dyDescent="0.4">
      <c r="B5257" s="8" t="s">
        <v>518</v>
      </c>
      <c r="C5257" s="3" t="s">
        <v>8372</v>
      </c>
      <c r="D5257" s="3" t="s">
        <v>8524</v>
      </c>
      <c r="E5257" s="3" t="s">
        <v>1272</v>
      </c>
      <c r="F5257" s="3" t="s">
        <v>1277</v>
      </c>
      <c r="I5257" s="3" t="s">
        <v>8337</v>
      </c>
    </row>
    <row r="5258" spans="2:9" hidden="1" x14ac:dyDescent="0.4">
      <c r="B5258" s="8" t="s">
        <v>518</v>
      </c>
      <c r="C5258" s="3" t="s">
        <v>8373</v>
      </c>
      <c r="D5258" s="3" t="s">
        <v>8525</v>
      </c>
      <c r="E5258" s="3" t="s">
        <v>1272</v>
      </c>
      <c r="F5258" s="3" t="s">
        <v>1277</v>
      </c>
      <c r="I5258" s="3" t="s">
        <v>8337</v>
      </c>
    </row>
    <row r="5259" spans="2:9" hidden="1" x14ac:dyDescent="0.4">
      <c r="B5259" s="8" t="s">
        <v>518</v>
      </c>
      <c r="C5259" s="3" t="s">
        <v>8374</v>
      </c>
      <c r="D5259" s="3" t="s">
        <v>8532</v>
      </c>
      <c r="E5259" s="3" t="s">
        <v>1272</v>
      </c>
      <c r="F5259" s="3" t="s">
        <v>1277</v>
      </c>
      <c r="I5259" s="3" t="s">
        <v>8337</v>
      </c>
    </row>
    <row r="5260" spans="2:9" hidden="1" x14ac:dyDescent="0.4">
      <c r="B5260" s="8" t="s">
        <v>517</v>
      </c>
      <c r="C5260" s="3" t="s">
        <v>8375</v>
      </c>
      <c r="D5260" s="3" t="s">
        <v>8526</v>
      </c>
      <c r="E5260" s="3" t="s">
        <v>1272</v>
      </c>
      <c r="F5260" s="3" t="s">
        <v>1277</v>
      </c>
      <c r="I5260" s="3" t="s">
        <v>8337</v>
      </c>
    </row>
    <row r="5261" spans="2:9" hidden="1" x14ac:dyDescent="0.4">
      <c r="B5261" s="8" t="s">
        <v>536</v>
      </c>
      <c r="C5261" s="3" t="s">
        <v>457</v>
      </c>
      <c r="D5261" s="3" t="s">
        <v>8527</v>
      </c>
      <c r="E5261" s="3" t="s">
        <v>1272</v>
      </c>
      <c r="F5261" s="3" t="s">
        <v>1277</v>
      </c>
      <c r="I5261" s="3" t="s">
        <v>8337</v>
      </c>
    </row>
    <row r="5262" spans="2:9" hidden="1" x14ac:dyDescent="0.4">
      <c r="B5262" s="8" t="s">
        <v>536</v>
      </c>
      <c r="C5262" s="3" t="s">
        <v>8376</v>
      </c>
      <c r="D5262" s="3" t="s">
        <v>8528</v>
      </c>
      <c r="E5262" s="3" t="s">
        <v>1272</v>
      </c>
      <c r="F5262" s="3" t="s">
        <v>1277</v>
      </c>
      <c r="I5262" s="3" t="s">
        <v>8337</v>
      </c>
    </row>
    <row r="5263" spans="2:9" hidden="1" x14ac:dyDescent="0.4">
      <c r="B5263" s="8" t="s">
        <v>517</v>
      </c>
      <c r="C5263" s="3" t="s">
        <v>8377</v>
      </c>
      <c r="D5263" s="3" t="s">
        <v>8529</v>
      </c>
      <c r="E5263" s="3" t="s">
        <v>1272</v>
      </c>
      <c r="F5263" s="3" t="s">
        <v>1277</v>
      </c>
      <c r="I5263" s="3" t="s">
        <v>8337</v>
      </c>
    </row>
    <row r="5264" spans="2:9" hidden="1" x14ac:dyDescent="0.4">
      <c r="B5264" s="8" t="s">
        <v>517</v>
      </c>
      <c r="C5264" s="3" t="s">
        <v>8378</v>
      </c>
      <c r="D5264" s="3" t="s">
        <v>8530</v>
      </c>
      <c r="E5264" s="3" t="s">
        <v>1272</v>
      </c>
      <c r="F5264" s="3" t="s">
        <v>1277</v>
      </c>
      <c r="I5264" s="3" t="s">
        <v>8337</v>
      </c>
    </row>
    <row r="5265" spans="2:9" hidden="1" x14ac:dyDescent="0.4">
      <c r="B5265" s="8" t="s">
        <v>517</v>
      </c>
      <c r="C5265" s="3" t="s">
        <v>8379</v>
      </c>
      <c r="D5265" s="3" t="s">
        <v>8531</v>
      </c>
      <c r="E5265" s="3" t="s">
        <v>1272</v>
      </c>
      <c r="F5265" s="3" t="s">
        <v>1277</v>
      </c>
      <c r="I5265" s="3" t="s">
        <v>8337</v>
      </c>
    </row>
    <row r="5266" spans="2:9" hidden="1" x14ac:dyDescent="0.4">
      <c r="B5266" s="8" t="s">
        <v>518</v>
      </c>
      <c r="C5266" s="3" t="s">
        <v>8380</v>
      </c>
      <c r="D5266" s="3" t="s">
        <v>8533</v>
      </c>
      <c r="E5266" s="3" t="s">
        <v>1272</v>
      </c>
      <c r="F5266" s="3" t="s">
        <v>1277</v>
      </c>
      <c r="I5266" s="3" t="s">
        <v>8337</v>
      </c>
    </row>
    <row r="5267" spans="2:9" hidden="1" x14ac:dyDescent="0.4">
      <c r="B5267" s="8" t="s">
        <v>517</v>
      </c>
      <c r="C5267" s="3" t="s">
        <v>8381</v>
      </c>
      <c r="D5267" s="3" t="s">
        <v>8534</v>
      </c>
      <c r="E5267" s="3" t="s">
        <v>1272</v>
      </c>
      <c r="F5267" s="3" t="s">
        <v>1277</v>
      </c>
      <c r="I5267" s="3" t="s">
        <v>8337</v>
      </c>
    </row>
    <row r="5268" spans="2:9" hidden="1" x14ac:dyDescent="0.4">
      <c r="B5268" s="8" t="s">
        <v>517</v>
      </c>
      <c r="C5268" s="3" t="s">
        <v>8382</v>
      </c>
      <c r="D5268" s="3" t="s">
        <v>8535</v>
      </c>
      <c r="F5268" s="3" t="s">
        <v>1277</v>
      </c>
      <c r="I5268" s="3" t="s">
        <v>8337</v>
      </c>
    </row>
    <row r="5269" spans="2:9" hidden="1" x14ac:dyDescent="0.4">
      <c r="B5269" s="8" t="s">
        <v>518</v>
      </c>
      <c r="C5269" s="3" t="s">
        <v>8383</v>
      </c>
      <c r="D5269" s="3" t="s">
        <v>8536</v>
      </c>
      <c r="F5269" s="3" t="s">
        <v>1277</v>
      </c>
      <c r="I5269" s="3" t="s">
        <v>8337</v>
      </c>
    </row>
    <row r="5270" spans="2:9" hidden="1" x14ac:dyDescent="0.4">
      <c r="B5270" s="8" t="s">
        <v>520</v>
      </c>
      <c r="C5270" s="3" t="s">
        <v>8384</v>
      </c>
      <c r="D5270" s="3" t="s">
        <v>8537</v>
      </c>
      <c r="F5270" s="3" t="s">
        <v>1277</v>
      </c>
      <c r="I5270" s="3" t="s">
        <v>8337</v>
      </c>
    </row>
    <row r="5271" spans="2:9" hidden="1" x14ac:dyDescent="0.4">
      <c r="B5271" s="8" t="s">
        <v>517</v>
      </c>
      <c r="C5271" s="3" t="s">
        <v>8385</v>
      </c>
      <c r="D5271" s="3" t="s">
        <v>8538</v>
      </c>
      <c r="F5271" s="3" t="s">
        <v>1277</v>
      </c>
      <c r="I5271" s="3" t="s">
        <v>8337</v>
      </c>
    </row>
    <row r="5272" spans="2:9" hidden="1" x14ac:dyDescent="0.4">
      <c r="B5272" s="8" t="s">
        <v>520</v>
      </c>
      <c r="C5272" s="3" t="s">
        <v>8386</v>
      </c>
      <c r="D5272" s="3" t="s">
        <v>8539</v>
      </c>
      <c r="F5272" s="3" t="s">
        <v>1277</v>
      </c>
      <c r="I5272" s="3" t="s">
        <v>8337</v>
      </c>
    </row>
    <row r="5273" spans="2:9" hidden="1" x14ac:dyDescent="0.4">
      <c r="B5273" s="8" t="s">
        <v>517</v>
      </c>
      <c r="C5273" s="3" t="s">
        <v>8387</v>
      </c>
      <c r="D5273" s="3" t="s">
        <v>8540</v>
      </c>
      <c r="F5273" s="3" t="s">
        <v>1277</v>
      </c>
      <c r="I5273" s="3" t="s">
        <v>8337</v>
      </c>
    </row>
    <row r="5274" spans="2:9" hidden="1" x14ac:dyDescent="0.4">
      <c r="B5274" s="8" t="s">
        <v>515</v>
      </c>
      <c r="C5274" s="3" t="s">
        <v>8541</v>
      </c>
      <c r="D5274" s="3" t="s">
        <v>8542</v>
      </c>
      <c r="E5274" s="3" t="s">
        <v>1272</v>
      </c>
      <c r="F5274" s="3" t="s">
        <v>1277</v>
      </c>
      <c r="I5274" s="3" t="s">
        <v>8337</v>
      </c>
    </row>
    <row r="5275" spans="2:9" hidden="1" x14ac:dyDescent="0.4">
      <c r="B5275" s="8" t="s">
        <v>517</v>
      </c>
      <c r="C5275" s="3" t="s">
        <v>232</v>
      </c>
      <c r="D5275" s="3" t="s">
        <v>8543</v>
      </c>
      <c r="E5275" s="3" t="s">
        <v>7805</v>
      </c>
      <c r="F5275" s="3" t="s">
        <v>1277</v>
      </c>
      <c r="I5275" s="3" t="s">
        <v>8337</v>
      </c>
    </row>
    <row r="5276" spans="2:9" hidden="1" x14ac:dyDescent="0.4">
      <c r="B5276" s="8" t="s">
        <v>517</v>
      </c>
      <c r="C5276" s="3" t="s">
        <v>8388</v>
      </c>
      <c r="D5276" s="3" t="s">
        <v>8543</v>
      </c>
      <c r="E5276" s="3" t="s">
        <v>7805</v>
      </c>
      <c r="F5276" s="3" t="s">
        <v>1277</v>
      </c>
      <c r="I5276" s="3" t="s">
        <v>8337</v>
      </c>
    </row>
    <row r="5277" spans="2:9" hidden="1" x14ac:dyDescent="0.4">
      <c r="B5277" s="8" t="s">
        <v>517</v>
      </c>
      <c r="C5277" s="3" t="s">
        <v>8389</v>
      </c>
      <c r="D5277" s="3" t="s">
        <v>8543</v>
      </c>
      <c r="E5277" s="3" t="s">
        <v>7805</v>
      </c>
      <c r="F5277" s="3" t="s">
        <v>1277</v>
      </c>
      <c r="I5277" s="3" t="s">
        <v>8337</v>
      </c>
    </row>
    <row r="5278" spans="2:9" hidden="1" x14ac:dyDescent="0.4">
      <c r="B5278" s="8" t="s">
        <v>517</v>
      </c>
      <c r="C5278" s="3" t="s">
        <v>8390</v>
      </c>
      <c r="D5278" s="3" t="s">
        <v>8544</v>
      </c>
      <c r="E5278" s="3" t="s">
        <v>1272</v>
      </c>
      <c r="F5278" s="3" t="s">
        <v>1277</v>
      </c>
      <c r="I5278" s="3" t="s">
        <v>8337</v>
      </c>
    </row>
    <row r="5279" spans="2:9" hidden="1" x14ac:dyDescent="0.4">
      <c r="B5279" s="8" t="s">
        <v>517</v>
      </c>
      <c r="C5279" s="3" t="s">
        <v>8391</v>
      </c>
      <c r="D5279" s="3" t="s">
        <v>8545</v>
      </c>
      <c r="E5279" s="3" t="s">
        <v>1272</v>
      </c>
      <c r="F5279" s="3" t="s">
        <v>1277</v>
      </c>
      <c r="I5279" s="3" t="s">
        <v>8337</v>
      </c>
    </row>
    <row r="5280" spans="2:9" hidden="1" x14ac:dyDescent="0.4">
      <c r="B5280" s="8" t="s">
        <v>517</v>
      </c>
      <c r="C5280" s="3" t="s">
        <v>8392</v>
      </c>
      <c r="D5280" s="3" t="s">
        <v>8546</v>
      </c>
      <c r="E5280" s="3" t="s">
        <v>1272</v>
      </c>
      <c r="F5280" s="3" t="s">
        <v>1277</v>
      </c>
      <c r="I5280" s="3" t="s">
        <v>8337</v>
      </c>
    </row>
    <row r="5281" spans="2:9" hidden="1" x14ac:dyDescent="0.4">
      <c r="B5281" s="8" t="s">
        <v>517</v>
      </c>
      <c r="C5281" s="3" t="s">
        <v>8393</v>
      </c>
      <c r="D5281" s="3" t="s">
        <v>8547</v>
      </c>
      <c r="E5281" s="3" t="s">
        <v>1272</v>
      </c>
      <c r="F5281" s="3" t="s">
        <v>1277</v>
      </c>
      <c r="I5281" s="3" t="s">
        <v>8337</v>
      </c>
    </row>
    <row r="5282" spans="2:9" hidden="1" x14ac:dyDescent="0.4">
      <c r="B5282" s="8" t="s">
        <v>517</v>
      </c>
      <c r="C5282" s="3" t="s">
        <v>8394</v>
      </c>
      <c r="D5282" s="3" t="s">
        <v>8548</v>
      </c>
      <c r="E5282" s="3" t="s">
        <v>1272</v>
      </c>
      <c r="F5282" s="3" t="s">
        <v>1277</v>
      </c>
      <c r="I5282" s="3" t="s">
        <v>8337</v>
      </c>
    </row>
    <row r="5283" spans="2:9" hidden="1" x14ac:dyDescent="0.4">
      <c r="B5283" s="8" t="s">
        <v>517</v>
      </c>
      <c r="C5283" s="3" t="s">
        <v>8395</v>
      </c>
      <c r="D5283" s="3" t="s">
        <v>8549</v>
      </c>
      <c r="E5283" s="3" t="s">
        <v>1272</v>
      </c>
      <c r="F5283" s="3" t="s">
        <v>1277</v>
      </c>
      <c r="I5283" s="3" t="s">
        <v>8337</v>
      </c>
    </row>
    <row r="5284" spans="2:9" hidden="1" x14ac:dyDescent="0.4">
      <c r="B5284" s="8" t="s">
        <v>517</v>
      </c>
      <c r="C5284" s="3" t="s">
        <v>8396</v>
      </c>
      <c r="D5284" s="3" t="s">
        <v>8550</v>
      </c>
      <c r="F5284" s="3" t="s">
        <v>1277</v>
      </c>
      <c r="I5284" s="3" t="s">
        <v>8337</v>
      </c>
    </row>
    <row r="5285" spans="2:9" hidden="1" x14ac:dyDescent="0.4">
      <c r="B5285" s="8" t="s">
        <v>518</v>
      </c>
      <c r="C5285" s="3" t="s">
        <v>8397</v>
      </c>
      <c r="D5285" s="3" t="s">
        <v>8551</v>
      </c>
      <c r="F5285" s="3" t="s">
        <v>1277</v>
      </c>
      <c r="I5285" s="3" t="s">
        <v>8337</v>
      </c>
    </row>
    <row r="5286" spans="2:9" hidden="1" x14ac:dyDescent="0.4">
      <c r="B5286" s="8" t="s">
        <v>518</v>
      </c>
      <c r="C5286" s="3" t="s">
        <v>8398</v>
      </c>
      <c r="D5286" s="3" t="s">
        <v>8552</v>
      </c>
      <c r="F5286" s="3" t="s">
        <v>1277</v>
      </c>
      <c r="I5286" s="3" t="s">
        <v>8337</v>
      </c>
    </row>
    <row r="5287" spans="2:9" hidden="1" x14ac:dyDescent="0.4">
      <c r="B5287" s="8" t="s">
        <v>520</v>
      </c>
      <c r="C5287" s="3" t="s">
        <v>8399</v>
      </c>
      <c r="D5287" s="3" t="s">
        <v>8553</v>
      </c>
      <c r="F5287" s="3" t="s">
        <v>1277</v>
      </c>
      <c r="I5287" s="3" t="s">
        <v>8337</v>
      </c>
    </row>
    <row r="5288" spans="2:9" hidden="1" x14ac:dyDescent="0.4">
      <c r="B5288" s="8" t="s">
        <v>517</v>
      </c>
      <c r="C5288" s="3" t="s">
        <v>8400</v>
      </c>
      <c r="D5288" s="3" t="s">
        <v>8554</v>
      </c>
      <c r="F5288" s="3" t="s">
        <v>1277</v>
      </c>
      <c r="I5288" s="3" t="s">
        <v>8337</v>
      </c>
    </row>
    <row r="5289" spans="2:9" hidden="1" x14ac:dyDescent="0.4">
      <c r="B5289" s="8" t="s">
        <v>518</v>
      </c>
      <c r="C5289" s="3" t="s">
        <v>8401</v>
      </c>
      <c r="D5289" s="3" t="s">
        <v>8555</v>
      </c>
      <c r="F5289" s="3" t="s">
        <v>1277</v>
      </c>
      <c r="I5289" s="3" t="s">
        <v>8337</v>
      </c>
    </row>
    <row r="5290" spans="2:9" hidden="1" x14ac:dyDescent="0.4">
      <c r="B5290" s="8" t="s">
        <v>518</v>
      </c>
      <c r="C5290" s="3" t="s">
        <v>8402</v>
      </c>
      <c r="D5290" s="3" t="s">
        <v>8556</v>
      </c>
      <c r="F5290" s="3" t="s">
        <v>1277</v>
      </c>
      <c r="I5290" s="3" t="s">
        <v>8337</v>
      </c>
    </row>
    <row r="5291" spans="2:9" hidden="1" x14ac:dyDescent="0.4">
      <c r="B5291" s="8" t="s">
        <v>518</v>
      </c>
      <c r="C5291" s="3" t="s">
        <v>8403</v>
      </c>
      <c r="D5291" s="3" t="s">
        <v>8557</v>
      </c>
      <c r="F5291" s="3" t="s">
        <v>1277</v>
      </c>
      <c r="I5291" s="3" t="s">
        <v>8337</v>
      </c>
    </row>
    <row r="5292" spans="2:9" hidden="1" x14ac:dyDescent="0.4">
      <c r="B5292" s="8" t="s">
        <v>532</v>
      </c>
      <c r="C5292" s="3" t="s">
        <v>8404</v>
      </c>
      <c r="D5292" s="3" t="s">
        <v>8558</v>
      </c>
      <c r="F5292" s="3" t="s">
        <v>1277</v>
      </c>
      <c r="I5292" s="3" t="s">
        <v>8337</v>
      </c>
    </row>
    <row r="5293" spans="2:9" hidden="1" x14ac:dyDescent="0.4">
      <c r="B5293" s="8" t="s">
        <v>517</v>
      </c>
      <c r="C5293" s="3" t="s">
        <v>8405</v>
      </c>
      <c r="D5293" s="3" t="s">
        <v>8559</v>
      </c>
      <c r="F5293" s="3" t="s">
        <v>1277</v>
      </c>
      <c r="I5293" s="3" t="s">
        <v>8337</v>
      </c>
    </row>
    <row r="5294" spans="2:9" hidden="1" x14ac:dyDescent="0.4">
      <c r="B5294" s="8" t="s">
        <v>520</v>
      </c>
      <c r="C5294" s="3" t="s">
        <v>8406</v>
      </c>
      <c r="D5294" s="3" t="s">
        <v>8560</v>
      </c>
      <c r="F5294" s="3" t="s">
        <v>1277</v>
      </c>
      <c r="I5294" s="3" t="s">
        <v>8337</v>
      </c>
    </row>
    <row r="5295" spans="2:9" hidden="1" x14ac:dyDescent="0.4">
      <c r="B5295" s="8" t="s">
        <v>518</v>
      </c>
      <c r="C5295" s="3" t="s">
        <v>8407</v>
      </c>
      <c r="D5295" s="3" t="s">
        <v>8561</v>
      </c>
      <c r="F5295" s="3" t="s">
        <v>1277</v>
      </c>
      <c r="I5295" s="3" t="s">
        <v>8337</v>
      </c>
    </row>
    <row r="5296" spans="2:9" hidden="1" x14ac:dyDescent="0.4">
      <c r="B5296" s="8" t="s">
        <v>529</v>
      </c>
      <c r="C5296" s="3" t="s">
        <v>8408</v>
      </c>
      <c r="D5296" s="3" t="s">
        <v>8554</v>
      </c>
      <c r="F5296" s="3" t="s">
        <v>1277</v>
      </c>
      <c r="I5296" s="3" t="s">
        <v>8337</v>
      </c>
    </row>
    <row r="5297" spans="2:9" hidden="1" x14ac:dyDescent="0.4">
      <c r="B5297" s="8" t="s">
        <v>517</v>
      </c>
      <c r="C5297" s="3" t="s">
        <v>8409</v>
      </c>
      <c r="D5297" s="3" t="s">
        <v>8562</v>
      </c>
      <c r="F5297" s="3" t="s">
        <v>1277</v>
      </c>
      <c r="I5297" s="3" t="s">
        <v>8337</v>
      </c>
    </row>
    <row r="5298" spans="2:9" hidden="1" x14ac:dyDescent="0.4">
      <c r="B5298" s="8" t="s">
        <v>518</v>
      </c>
      <c r="C5298" s="3" t="s">
        <v>8410</v>
      </c>
      <c r="D5298" s="3" t="s">
        <v>8563</v>
      </c>
      <c r="F5298" s="3" t="s">
        <v>1277</v>
      </c>
      <c r="I5298" s="3" t="s">
        <v>8337</v>
      </c>
    </row>
    <row r="5299" spans="2:9" hidden="1" x14ac:dyDescent="0.4">
      <c r="B5299" s="8" t="s">
        <v>518</v>
      </c>
      <c r="C5299" s="3" t="s">
        <v>8411</v>
      </c>
      <c r="D5299" s="3" t="s">
        <v>8554</v>
      </c>
      <c r="F5299" s="3" t="s">
        <v>1277</v>
      </c>
      <c r="I5299" s="3" t="s">
        <v>8337</v>
      </c>
    </row>
    <row r="5300" spans="2:9" hidden="1" x14ac:dyDescent="0.4">
      <c r="B5300" s="8" t="s">
        <v>536</v>
      </c>
      <c r="C5300" s="3" t="s">
        <v>8412</v>
      </c>
      <c r="D5300" s="3" t="s">
        <v>8576</v>
      </c>
      <c r="F5300" s="3" t="s">
        <v>1277</v>
      </c>
      <c r="I5300" s="3" t="s">
        <v>8337</v>
      </c>
    </row>
    <row r="5301" spans="2:9" hidden="1" x14ac:dyDescent="0.4">
      <c r="B5301" s="8" t="s">
        <v>536</v>
      </c>
      <c r="C5301" s="3" t="s">
        <v>8413</v>
      </c>
      <c r="D5301" s="3" t="s">
        <v>8577</v>
      </c>
      <c r="F5301" s="3" t="s">
        <v>1277</v>
      </c>
      <c r="I5301" s="3" t="s">
        <v>8337</v>
      </c>
    </row>
    <row r="5302" spans="2:9" hidden="1" x14ac:dyDescent="0.4">
      <c r="B5302" s="8" t="s">
        <v>518</v>
      </c>
      <c r="C5302" s="3" t="s">
        <v>8414</v>
      </c>
      <c r="D5302" s="3" t="s">
        <v>8574</v>
      </c>
      <c r="E5302" s="3" t="s">
        <v>1272</v>
      </c>
      <c r="F5302" s="3" t="s">
        <v>1277</v>
      </c>
      <c r="I5302" s="3" t="s">
        <v>8337</v>
      </c>
    </row>
    <row r="5303" spans="2:9" hidden="1" x14ac:dyDescent="0.4">
      <c r="B5303" s="8" t="s">
        <v>517</v>
      </c>
      <c r="C5303" s="3" t="s">
        <v>8415</v>
      </c>
      <c r="D5303" s="3" t="s">
        <v>8575</v>
      </c>
      <c r="E5303" s="3" t="s">
        <v>1272</v>
      </c>
      <c r="F5303" s="3" t="s">
        <v>1277</v>
      </c>
      <c r="I5303" s="3" t="s">
        <v>8337</v>
      </c>
    </row>
    <row r="5304" spans="2:9" hidden="1" x14ac:dyDescent="0.4">
      <c r="B5304" s="8" t="s">
        <v>517</v>
      </c>
      <c r="C5304" s="3" t="s">
        <v>8416</v>
      </c>
      <c r="D5304" s="3" t="s">
        <v>8564</v>
      </c>
      <c r="F5304" s="3" t="s">
        <v>1277</v>
      </c>
      <c r="I5304" s="3" t="s">
        <v>8337</v>
      </c>
    </row>
    <row r="5305" spans="2:9" hidden="1" x14ac:dyDescent="0.4">
      <c r="B5305" s="8" t="s">
        <v>517</v>
      </c>
      <c r="C5305" s="3" t="s">
        <v>8417</v>
      </c>
      <c r="D5305" s="3" t="s">
        <v>8565</v>
      </c>
      <c r="F5305" s="3" t="s">
        <v>1277</v>
      </c>
      <c r="I5305" s="3" t="s">
        <v>8337</v>
      </c>
    </row>
    <row r="5306" spans="2:9" hidden="1" x14ac:dyDescent="0.4">
      <c r="B5306" s="8" t="s">
        <v>518</v>
      </c>
      <c r="C5306" s="3" t="s">
        <v>8418</v>
      </c>
      <c r="D5306" s="3" t="s">
        <v>8566</v>
      </c>
      <c r="F5306" s="3" t="s">
        <v>1277</v>
      </c>
      <c r="I5306" s="3" t="s">
        <v>8337</v>
      </c>
    </row>
    <row r="5307" spans="2:9" hidden="1" x14ac:dyDescent="0.4">
      <c r="B5307" s="8" t="s">
        <v>518</v>
      </c>
      <c r="C5307" s="3" t="s">
        <v>8419</v>
      </c>
      <c r="D5307" s="3" t="s">
        <v>8567</v>
      </c>
      <c r="F5307" s="3" t="s">
        <v>1277</v>
      </c>
      <c r="I5307" s="3" t="s">
        <v>8337</v>
      </c>
    </row>
    <row r="5308" spans="2:9" hidden="1" x14ac:dyDescent="0.4">
      <c r="B5308" s="8" t="s">
        <v>517</v>
      </c>
      <c r="C5308" s="3" t="s">
        <v>8420</v>
      </c>
      <c r="D5308" s="3" t="s">
        <v>8568</v>
      </c>
      <c r="F5308" s="3" t="s">
        <v>1277</v>
      </c>
      <c r="I5308" s="3" t="s">
        <v>8337</v>
      </c>
    </row>
    <row r="5309" spans="2:9" hidden="1" x14ac:dyDescent="0.4">
      <c r="B5309" s="8" t="s">
        <v>517</v>
      </c>
      <c r="C5309" s="3" t="s">
        <v>8421</v>
      </c>
      <c r="D5309" s="3" t="s">
        <v>8569</v>
      </c>
      <c r="F5309" s="3" t="s">
        <v>1277</v>
      </c>
      <c r="I5309" s="3" t="s">
        <v>8337</v>
      </c>
    </row>
    <row r="5310" spans="2:9" hidden="1" x14ac:dyDescent="0.4">
      <c r="B5310" s="8" t="s">
        <v>517</v>
      </c>
      <c r="C5310" s="3" t="s">
        <v>8422</v>
      </c>
      <c r="D5310" s="3" t="s">
        <v>8570</v>
      </c>
      <c r="F5310" s="3" t="s">
        <v>1277</v>
      </c>
      <c r="I5310" s="3" t="s">
        <v>8337</v>
      </c>
    </row>
    <row r="5311" spans="2:9" hidden="1" x14ac:dyDescent="0.4">
      <c r="B5311" s="8" t="s">
        <v>518</v>
      </c>
      <c r="C5311" s="3" t="s">
        <v>8423</v>
      </c>
      <c r="D5311" s="3" t="s">
        <v>8571</v>
      </c>
      <c r="F5311" s="3" t="s">
        <v>1277</v>
      </c>
      <c r="I5311" s="3" t="s">
        <v>8337</v>
      </c>
    </row>
    <row r="5312" spans="2:9" hidden="1" x14ac:dyDescent="0.4">
      <c r="B5312" s="8" t="s">
        <v>517</v>
      </c>
      <c r="C5312" s="3" t="s">
        <v>8424</v>
      </c>
      <c r="D5312" s="3" t="s">
        <v>8572</v>
      </c>
      <c r="F5312" s="3" t="s">
        <v>1277</v>
      </c>
      <c r="I5312" s="3" t="s">
        <v>8337</v>
      </c>
    </row>
    <row r="5313" spans="2:9" hidden="1" x14ac:dyDescent="0.4">
      <c r="B5313" s="8" t="s">
        <v>520</v>
      </c>
      <c r="C5313" s="3" t="s">
        <v>8425</v>
      </c>
      <c r="D5313" s="3" t="s">
        <v>8573</v>
      </c>
      <c r="F5313" s="3" t="s">
        <v>1277</v>
      </c>
      <c r="I5313" s="3" t="s">
        <v>8337</v>
      </c>
    </row>
    <row r="5314" spans="2:9" hidden="1" x14ac:dyDescent="0.4">
      <c r="B5314" s="8" t="s">
        <v>518</v>
      </c>
      <c r="C5314" s="3" t="s">
        <v>8426</v>
      </c>
      <c r="D5314" s="3" t="s">
        <v>8578</v>
      </c>
      <c r="F5314" s="3" t="s">
        <v>1277</v>
      </c>
      <c r="I5314" s="3" t="s">
        <v>8337</v>
      </c>
    </row>
    <row r="5315" spans="2:9" hidden="1" x14ac:dyDescent="0.4">
      <c r="B5315" s="8" t="s">
        <v>518</v>
      </c>
      <c r="C5315" s="3" t="s">
        <v>8427</v>
      </c>
      <c r="D5315" s="3" t="s">
        <v>8579</v>
      </c>
      <c r="F5315" s="3" t="s">
        <v>1277</v>
      </c>
      <c r="I5315" s="3" t="s">
        <v>8337</v>
      </c>
    </row>
    <row r="5316" spans="2:9" hidden="1" x14ac:dyDescent="0.4">
      <c r="B5316" s="8" t="s">
        <v>518</v>
      </c>
      <c r="C5316" s="3" t="s">
        <v>8428</v>
      </c>
      <c r="D5316" s="3" t="s">
        <v>8580</v>
      </c>
      <c r="F5316" s="3" t="s">
        <v>1277</v>
      </c>
      <c r="I5316" s="3" t="s">
        <v>8337</v>
      </c>
    </row>
    <row r="5317" spans="2:9" hidden="1" x14ac:dyDescent="0.4">
      <c r="B5317" s="8" t="s">
        <v>518</v>
      </c>
      <c r="C5317" s="3" t="s">
        <v>8429</v>
      </c>
      <c r="D5317" s="3" t="s">
        <v>8581</v>
      </c>
      <c r="F5317" s="3" t="s">
        <v>1277</v>
      </c>
      <c r="I5317" s="3" t="s">
        <v>8337</v>
      </c>
    </row>
    <row r="5318" spans="2:9" hidden="1" x14ac:dyDescent="0.4">
      <c r="B5318" s="8" t="s">
        <v>512</v>
      </c>
      <c r="C5318" s="3" t="s">
        <v>8430</v>
      </c>
      <c r="D5318" s="3" t="s">
        <v>8582</v>
      </c>
      <c r="F5318" s="3" t="s">
        <v>1277</v>
      </c>
      <c r="I5318" s="3" t="s">
        <v>8337</v>
      </c>
    </row>
    <row r="5319" spans="2:9" hidden="1" x14ac:dyDescent="0.4">
      <c r="B5319" s="8" t="s">
        <v>512</v>
      </c>
      <c r="C5319" s="3" t="s">
        <v>8431</v>
      </c>
      <c r="D5319" s="3" t="s">
        <v>8583</v>
      </c>
      <c r="F5319" s="3" t="s">
        <v>1277</v>
      </c>
      <c r="I5319" s="3" t="s">
        <v>8337</v>
      </c>
    </row>
    <row r="5320" spans="2:9" hidden="1" x14ac:dyDescent="0.4">
      <c r="B5320" s="8" t="s">
        <v>517</v>
      </c>
      <c r="C5320" s="3" t="s">
        <v>8432</v>
      </c>
      <c r="D5320" s="3" t="s">
        <v>8584</v>
      </c>
      <c r="F5320" s="3" t="s">
        <v>1277</v>
      </c>
      <c r="I5320" s="3" t="s">
        <v>8337</v>
      </c>
    </row>
    <row r="5321" spans="2:9" hidden="1" x14ac:dyDescent="0.4">
      <c r="B5321" s="8" t="s">
        <v>518</v>
      </c>
      <c r="C5321" s="3" t="s">
        <v>8339</v>
      </c>
      <c r="D5321" s="3" t="s">
        <v>8585</v>
      </c>
      <c r="F5321" s="3" t="s">
        <v>1277</v>
      </c>
      <c r="I5321" s="3" t="s">
        <v>8337</v>
      </c>
    </row>
    <row r="5322" spans="2:9" hidden="1" x14ac:dyDescent="0.4">
      <c r="B5322" s="8" t="s">
        <v>518</v>
      </c>
      <c r="C5322" s="3" t="s">
        <v>8433</v>
      </c>
      <c r="D5322" s="3" t="s">
        <v>8586</v>
      </c>
      <c r="F5322" s="3" t="s">
        <v>1277</v>
      </c>
      <c r="I5322" s="3" t="s">
        <v>8337</v>
      </c>
    </row>
    <row r="5323" spans="2:9" hidden="1" x14ac:dyDescent="0.4">
      <c r="B5323" s="8" t="s">
        <v>518</v>
      </c>
      <c r="C5323" s="3" t="s">
        <v>8434</v>
      </c>
      <c r="D5323" s="3" t="s">
        <v>8587</v>
      </c>
      <c r="F5323" s="3" t="s">
        <v>1277</v>
      </c>
      <c r="I5323" s="3" t="s">
        <v>8337</v>
      </c>
    </row>
    <row r="5324" spans="2:9" hidden="1" x14ac:dyDescent="0.4">
      <c r="B5324" s="8" t="s">
        <v>517</v>
      </c>
      <c r="C5324" s="3" t="s">
        <v>8435</v>
      </c>
      <c r="D5324" s="3" t="s">
        <v>8588</v>
      </c>
      <c r="F5324" s="3" t="s">
        <v>1277</v>
      </c>
      <c r="I5324" s="3" t="s">
        <v>8337</v>
      </c>
    </row>
    <row r="5325" spans="2:9" hidden="1" x14ac:dyDescent="0.4">
      <c r="B5325" s="8" t="s">
        <v>520</v>
      </c>
      <c r="C5325" s="3" t="s">
        <v>8436</v>
      </c>
      <c r="D5325" s="3" t="s">
        <v>8589</v>
      </c>
      <c r="F5325" s="3" t="s">
        <v>1277</v>
      </c>
      <c r="I5325" s="3" t="s">
        <v>8337</v>
      </c>
    </row>
    <row r="5326" spans="2:9" hidden="1" x14ac:dyDescent="0.4">
      <c r="B5326" s="8" t="s">
        <v>517</v>
      </c>
      <c r="C5326" s="3" t="s">
        <v>8437</v>
      </c>
      <c r="D5326" s="3" t="s">
        <v>8590</v>
      </c>
      <c r="F5326" s="3" t="s">
        <v>1277</v>
      </c>
      <c r="I5326" s="3" t="s">
        <v>8337</v>
      </c>
    </row>
    <row r="5327" spans="2:9" hidden="1" x14ac:dyDescent="0.4">
      <c r="B5327" s="8" t="s">
        <v>517</v>
      </c>
      <c r="C5327" s="3" t="s">
        <v>8438</v>
      </c>
      <c r="D5327" s="3" t="s">
        <v>8591</v>
      </c>
      <c r="F5327" s="3" t="s">
        <v>1277</v>
      </c>
      <c r="I5327" s="3" t="s">
        <v>8337</v>
      </c>
    </row>
    <row r="5328" spans="2:9" hidden="1" x14ac:dyDescent="0.4">
      <c r="B5328" s="8" t="s">
        <v>517</v>
      </c>
      <c r="C5328" s="3" t="s">
        <v>8439</v>
      </c>
      <c r="D5328" s="3" t="s">
        <v>8554</v>
      </c>
      <c r="F5328" s="3" t="s">
        <v>1277</v>
      </c>
      <c r="I5328" s="3" t="s">
        <v>8337</v>
      </c>
    </row>
    <row r="5329" spans="2:9" hidden="1" x14ac:dyDescent="0.4">
      <c r="B5329" s="8" t="s">
        <v>517</v>
      </c>
      <c r="C5329" s="3" t="s">
        <v>8440</v>
      </c>
      <c r="D5329" s="3" t="s">
        <v>8555</v>
      </c>
      <c r="F5329" s="3" t="s">
        <v>1277</v>
      </c>
      <c r="I5329" s="3" t="s">
        <v>8337</v>
      </c>
    </row>
    <row r="5330" spans="2:9" hidden="1" x14ac:dyDescent="0.4">
      <c r="B5330" s="8" t="s">
        <v>517</v>
      </c>
      <c r="C5330" s="3" t="s">
        <v>8441</v>
      </c>
      <c r="D5330" s="3" t="s">
        <v>8592</v>
      </c>
      <c r="F5330" s="3" t="s">
        <v>1277</v>
      </c>
      <c r="I5330" s="3" t="s">
        <v>8337</v>
      </c>
    </row>
    <row r="5331" spans="2:9" hidden="1" x14ac:dyDescent="0.4">
      <c r="B5331" s="8" t="s">
        <v>518</v>
      </c>
      <c r="C5331" s="3" t="s">
        <v>8442</v>
      </c>
      <c r="D5331" s="3" t="s">
        <v>8593</v>
      </c>
      <c r="F5331" s="3" t="s">
        <v>1277</v>
      </c>
      <c r="I5331" s="3" t="s">
        <v>8337</v>
      </c>
    </row>
    <row r="5332" spans="2:9" hidden="1" x14ac:dyDescent="0.4">
      <c r="B5332" s="8" t="s">
        <v>518</v>
      </c>
      <c r="C5332" s="3" t="s">
        <v>8443</v>
      </c>
      <c r="D5332" s="3" t="s">
        <v>8594</v>
      </c>
      <c r="F5332" s="3" t="s">
        <v>1277</v>
      </c>
      <c r="I5332" s="3" t="s">
        <v>8337</v>
      </c>
    </row>
    <row r="5333" spans="2:9" hidden="1" x14ac:dyDescent="0.4">
      <c r="B5333" s="8" t="s">
        <v>518</v>
      </c>
      <c r="C5333" s="3" t="s">
        <v>8444</v>
      </c>
      <c r="D5333" s="3" t="s">
        <v>8595</v>
      </c>
      <c r="F5333" s="3" t="s">
        <v>1277</v>
      </c>
      <c r="I5333" s="3" t="s">
        <v>8337</v>
      </c>
    </row>
    <row r="5334" spans="2:9" hidden="1" x14ac:dyDescent="0.4">
      <c r="B5334" s="8" t="s">
        <v>518</v>
      </c>
      <c r="C5334" s="3" t="s">
        <v>8445</v>
      </c>
      <c r="D5334" s="3" t="s">
        <v>8596</v>
      </c>
      <c r="F5334" s="3" t="s">
        <v>1277</v>
      </c>
      <c r="I5334" s="3" t="s">
        <v>8337</v>
      </c>
    </row>
    <row r="5335" spans="2:9" hidden="1" x14ac:dyDescent="0.4">
      <c r="B5335" s="8" t="s">
        <v>517</v>
      </c>
      <c r="C5335" s="3" t="s">
        <v>8446</v>
      </c>
      <c r="D5335" s="3" t="s">
        <v>8597</v>
      </c>
      <c r="E5335" s="3" t="s">
        <v>1272</v>
      </c>
      <c r="F5335" s="3" t="s">
        <v>1277</v>
      </c>
      <c r="I5335" s="3" t="s">
        <v>8337</v>
      </c>
    </row>
    <row r="5336" spans="2:9" hidden="1" x14ac:dyDescent="0.4">
      <c r="B5336" s="8" t="s">
        <v>517</v>
      </c>
      <c r="C5336" s="3" t="s">
        <v>8447</v>
      </c>
      <c r="D5336" s="3" t="s">
        <v>8598</v>
      </c>
      <c r="E5336" s="3" t="s">
        <v>1272</v>
      </c>
      <c r="F5336" s="3" t="s">
        <v>1277</v>
      </c>
      <c r="I5336" s="3" t="s">
        <v>8337</v>
      </c>
    </row>
    <row r="5337" spans="2:9" hidden="1" x14ac:dyDescent="0.4">
      <c r="B5337" s="8" t="s">
        <v>518</v>
      </c>
      <c r="C5337" s="3" t="s">
        <v>8448</v>
      </c>
      <c r="D5337" s="3" t="s">
        <v>8599</v>
      </c>
      <c r="E5337" s="3" t="s">
        <v>1272</v>
      </c>
      <c r="F5337" s="3" t="s">
        <v>1277</v>
      </c>
      <c r="I5337" s="3" t="s">
        <v>8337</v>
      </c>
    </row>
    <row r="5338" spans="2:9" hidden="1" x14ac:dyDescent="0.4">
      <c r="B5338" s="8" t="s">
        <v>517</v>
      </c>
      <c r="C5338" s="3" t="s">
        <v>8449</v>
      </c>
      <c r="D5338" s="3" t="s">
        <v>8600</v>
      </c>
      <c r="E5338" s="3" t="s">
        <v>1272</v>
      </c>
      <c r="F5338" s="3" t="s">
        <v>1277</v>
      </c>
      <c r="I5338" s="3" t="s">
        <v>8337</v>
      </c>
    </row>
    <row r="5339" spans="2:9" ht="29.25" hidden="1" x14ac:dyDescent="0.4">
      <c r="B5339" s="8" t="s">
        <v>515</v>
      </c>
      <c r="C5339" s="3" t="s">
        <v>8450</v>
      </c>
      <c r="D5339" s="3" t="s">
        <v>8601</v>
      </c>
      <c r="E5339" s="3" t="s">
        <v>1272</v>
      </c>
      <c r="F5339" s="3" t="s">
        <v>1277</v>
      </c>
      <c r="I5339" s="3" t="s">
        <v>8337</v>
      </c>
    </row>
    <row r="5340" spans="2:9" hidden="1" x14ac:dyDescent="0.4">
      <c r="B5340" s="8" t="s">
        <v>515</v>
      </c>
      <c r="C5340" s="3" t="s">
        <v>8451</v>
      </c>
      <c r="D5340" s="3" t="s">
        <v>8602</v>
      </c>
      <c r="E5340" s="3" t="s">
        <v>1272</v>
      </c>
      <c r="F5340" s="3" t="s">
        <v>1277</v>
      </c>
      <c r="I5340" s="3" t="s">
        <v>8337</v>
      </c>
    </row>
    <row r="5341" spans="2:9" hidden="1" x14ac:dyDescent="0.4">
      <c r="B5341" s="8" t="s">
        <v>516</v>
      </c>
      <c r="C5341" s="3" t="s">
        <v>8452</v>
      </c>
      <c r="D5341" s="3" t="s">
        <v>8603</v>
      </c>
      <c r="E5341" s="3" t="s">
        <v>1272</v>
      </c>
      <c r="F5341" s="3" t="s">
        <v>1277</v>
      </c>
      <c r="I5341" s="3" t="s">
        <v>8337</v>
      </c>
    </row>
    <row r="5342" spans="2:9" hidden="1" x14ac:dyDescent="0.4">
      <c r="B5342" s="8" t="s">
        <v>516</v>
      </c>
      <c r="C5342" s="3" t="s">
        <v>8453</v>
      </c>
      <c r="D5342" s="3" t="s">
        <v>8604</v>
      </c>
      <c r="E5342" s="3" t="s">
        <v>1272</v>
      </c>
      <c r="F5342" s="3" t="s">
        <v>1277</v>
      </c>
      <c r="I5342" s="3" t="s">
        <v>8337</v>
      </c>
    </row>
    <row r="5343" spans="2:9" hidden="1" x14ac:dyDescent="0.4">
      <c r="B5343" s="8" t="s">
        <v>518</v>
      </c>
      <c r="C5343" s="3" t="s">
        <v>8454</v>
      </c>
      <c r="D5343" s="3" t="s">
        <v>8605</v>
      </c>
      <c r="E5343" s="3" t="s">
        <v>1272</v>
      </c>
      <c r="F5343" s="3" t="s">
        <v>1277</v>
      </c>
      <c r="I5343" s="3" t="s">
        <v>8337</v>
      </c>
    </row>
    <row r="5344" spans="2:9" hidden="1" x14ac:dyDescent="0.4">
      <c r="B5344" s="8" t="s">
        <v>532</v>
      </c>
      <c r="C5344" s="3" t="s">
        <v>8455</v>
      </c>
      <c r="D5344" s="3" t="s">
        <v>8606</v>
      </c>
      <c r="E5344" s="3" t="s">
        <v>1272</v>
      </c>
      <c r="F5344" s="3" t="s">
        <v>1277</v>
      </c>
      <c r="I5344" s="3" t="s">
        <v>8337</v>
      </c>
    </row>
    <row r="5345" spans="2:9" hidden="1" x14ac:dyDescent="0.4">
      <c r="B5345" s="8" t="s">
        <v>516</v>
      </c>
      <c r="C5345" s="3" t="s">
        <v>8456</v>
      </c>
      <c r="D5345" s="3" t="s">
        <v>8607</v>
      </c>
      <c r="E5345" s="3" t="s">
        <v>1272</v>
      </c>
      <c r="F5345" s="3" t="s">
        <v>1277</v>
      </c>
      <c r="I5345" s="3" t="s">
        <v>8337</v>
      </c>
    </row>
    <row r="5346" spans="2:9" hidden="1" x14ac:dyDescent="0.4">
      <c r="B5346" s="8" t="s">
        <v>518</v>
      </c>
      <c r="C5346" s="3" t="s">
        <v>8457</v>
      </c>
      <c r="D5346" s="3" t="s">
        <v>8608</v>
      </c>
      <c r="E5346" s="3" t="s">
        <v>1272</v>
      </c>
      <c r="F5346" s="3" t="s">
        <v>1277</v>
      </c>
      <c r="I5346" s="3" t="s">
        <v>8337</v>
      </c>
    </row>
    <row r="5347" spans="2:9" hidden="1" x14ac:dyDescent="0.4">
      <c r="B5347" s="8" t="s">
        <v>520</v>
      </c>
      <c r="C5347" s="3" t="s">
        <v>8458</v>
      </c>
      <c r="D5347" s="3" t="s">
        <v>8609</v>
      </c>
      <c r="E5347" s="3" t="s">
        <v>1272</v>
      </c>
      <c r="F5347" s="3" t="s">
        <v>1277</v>
      </c>
      <c r="I5347" s="3" t="s">
        <v>8337</v>
      </c>
    </row>
    <row r="5348" spans="2:9" hidden="1" x14ac:dyDescent="0.4">
      <c r="B5348" s="8" t="s">
        <v>532</v>
      </c>
      <c r="C5348" s="3" t="s">
        <v>8459</v>
      </c>
      <c r="D5348" s="3" t="s">
        <v>8610</v>
      </c>
      <c r="E5348" s="3" t="s">
        <v>1272</v>
      </c>
      <c r="F5348" s="3" t="s">
        <v>1277</v>
      </c>
      <c r="I5348" s="3" t="s">
        <v>8337</v>
      </c>
    </row>
    <row r="5349" spans="2:9" hidden="1" x14ac:dyDescent="0.4">
      <c r="B5349" s="8" t="s">
        <v>532</v>
      </c>
      <c r="C5349" s="3" t="s">
        <v>8460</v>
      </c>
      <c r="D5349" s="3" t="s">
        <v>8611</v>
      </c>
      <c r="E5349" s="3" t="s">
        <v>1272</v>
      </c>
      <c r="F5349" s="3" t="s">
        <v>1277</v>
      </c>
      <c r="I5349" s="3" t="s">
        <v>8337</v>
      </c>
    </row>
    <row r="5350" spans="2:9" hidden="1" x14ac:dyDescent="0.4">
      <c r="B5350" s="8" t="s">
        <v>517</v>
      </c>
      <c r="C5350" s="3" t="s">
        <v>8461</v>
      </c>
      <c r="D5350" s="3" t="s">
        <v>8612</v>
      </c>
      <c r="E5350" s="3" t="s">
        <v>1272</v>
      </c>
      <c r="F5350" s="3" t="s">
        <v>1277</v>
      </c>
      <c r="I5350" s="3" t="s">
        <v>8337</v>
      </c>
    </row>
    <row r="5351" spans="2:9" hidden="1" x14ac:dyDescent="0.4">
      <c r="B5351" s="8" t="s">
        <v>520</v>
      </c>
      <c r="C5351" s="3" t="s">
        <v>8462</v>
      </c>
      <c r="D5351" s="3" t="s">
        <v>8613</v>
      </c>
      <c r="E5351" s="3" t="s">
        <v>1272</v>
      </c>
      <c r="F5351" s="3" t="s">
        <v>1277</v>
      </c>
      <c r="I5351" s="3" t="s">
        <v>8337</v>
      </c>
    </row>
    <row r="5352" spans="2:9" hidden="1" x14ac:dyDescent="0.4">
      <c r="B5352" s="8" t="s">
        <v>518</v>
      </c>
      <c r="C5352" s="3" t="s">
        <v>8463</v>
      </c>
      <c r="D5352" s="3" t="s">
        <v>8614</v>
      </c>
      <c r="E5352" s="3" t="s">
        <v>1272</v>
      </c>
      <c r="F5352" s="3" t="s">
        <v>1277</v>
      </c>
      <c r="I5352" s="3" t="s">
        <v>8337</v>
      </c>
    </row>
    <row r="5353" spans="2:9" hidden="1" x14ac:dyDescent="0.4">
      <c r="B5353" s="8" t="s">
        <v>518</v>
      </c>
      <c r="C5353" s="3" t="s">
        <v>1399</v>
      </c>
      <c r="D5353" s="3" t="s">
        <v>8615</v>
      </c>
      <c r="E5353" s="3" t="s">
        <v>1272</v>
      </c>
      <c r="F5353" s="3" t="s">
        <v>1277</v>
      </c>
      <c r="I5353" s="3" t="s">
        <v>8337</v>
      </c>
    </row>
    <row r="5354" spans="2:9" hidden="1" x14ac:dyDescent="0.4">
      <c r="B5354" s="8" t="s">
        <v>532</v>
      </c>
      <c r="C5354" s="3" t="s">
        <v>8464</v>
      </c>
      <c r="D5354" s="3" t="s">
        <v>8616</v>
      </c>
      <c r="E5354" s="3" t="s">
        <v>1272</v>
      </c>
      <c r="F5354" s="3" t="s">
        <v>1277</v>
      </c>
      <c r="I5354" s="3" t="s">
        <v>8337</v>
      </c>
    </row>
    <row r="5355" spans="2:9" hidden="1" x14ac:dyDescent="0.4">
      <c r="B5355" s="8" t="s">
        <v>8627</v>
      </c>
      <c r="C5355" s="3" t="s">
        <v>8465</v>
      </c>
      <c r="D5355" s="3" t="s">
        <v>8617</v>
      </c>
      <c r="E5355" s="3" t="s">
        <v>1272</v>
      </c>
      <c r="F5355" s="3" t="s">
        <v>1277</v>
      </c>
      <c r="I5355" s="3" t="s">
        <v>8337</v>
      </c>
    </row>
    <row r="5356" spans="2:9" hidden="1" x14ac:dyDescent="0.4">
      <c r="B5356" s="8" t="s">
        <v>518</v>
      </c>
      <c r="C5356" s="3" t="s">
        <v>8466</v>
      </c>
      <c r="D5356" s="3" t="s">
        <v>8618</v>
      </c>
      <c r="E5356" s="3" t="s">
        <v>7805</v>
      </c>
      <c r="F5356" s="3" t="s">
        <v>1277</v>
      </c>
      <c r="G5356" s="3" t="s">
        <v>399</v>
      </c>
      <c r="I5356" s="3" t="s">
        <v>8337</v>
      </c>
    </row>
    <row r="5357" spans="2:9" hidden="1" x14ac:dyDescent="0.4">
      <c r="B5357" s="8" t="s">
        <v>516</v>
      </c>
      <c r="C5357" s="3" t="s">
        <v>8467</v>
      </c>
      <c r="D5357" s="3" t="s">
        <v>8619</v>
      </c>
      <c r="F5357" s="3" t="s">
        <v>1277</v>
      </c>
      <c r="I5357" s="3" t="s">
        <v>8337</v>
      </c>
    </row>
    <row r="5358" spans="2:9" hidden="1" x14ac:dyDescent="0.4">
      <c r="B5358" s="8" t="s">
        <v>518</v>
      </c>
      <c r="C5358" s="3" t="s">
        <v>4176</v>
      </c>
      <c r="D5358" s="3" t="s">
        <v>8620</v>
      </c>
      <c r="E5358" s="3" t="s">
        <v>7805</v>
      </c>
      <c r="F5358" s="3" t="s">
        <v>1277</v>
      </c>
      <c r="G5358" s="3" t="s">
        <v>399</v>
      </c>
      <c r="I5358" s="3" t="s">
        <v>8337</v>
      </c>
    </row>
    <row r="5359" spans="2:9" hidden="1" x14ac:dyDescent="0.4">
      <c r="B5359" s="8" t="s">
        <v>518</v>
      </c>
      <c r="C5359" s="3" t="s">
        <v>8468</v>
      </c>
      <c r="D5359" s="3" t="s">
        <v>8621</v>
      </c>
      <c r="E5359" s="3" t="s">
        <v>7805</v>
      </c>
      <c r="F5359" s="3" t="s">
        <v>1277</v>
      </c>
      <c r="G5359" s="3" t="s">
        <v>399</v>
      </c>
      <c r="I5359" s="3" t="s">
        <v>8337</v>
      </c>
    </row>
    <row r="5360" spans="2:9" hidden="1" x14ac:dyDescent="0.4">
      <c r="B5360" s="8" t="s">
        <v>518</v>
      </c>
      <c r="C5360" s="3" t="s">
        <v>8469</v>
      </c>
      <c r="D5360" s="3" t="s">
        <v>8622</v>
      </c>
      <c r="E5360" s="3" t="s">
        <v>7805</v>
      </c>
      <c r="F5360" s="3" t="s">
        <v>1277</v>
      </c>
      <c r="G5360" s="3" t="s">
        <v>399</v>
      </c>
      <c r="I5360" s="3" t="s">
        <v>8337</v>
      </c>
    </row>
    <row r="5361" spans="2:9" hidden="1" x14ac:dyDescent="0.4">
      <c r="B5361" s="8" t="s">
        <v>520</v>
      </c>
      <c r="C5361" s="3" t="s">
        <v>8470</v>
      </c>
      <c r="D5361" s="3" t="s">
        <v>8623</v>
      </c>
      <c r="F5361" s="3" t="s">
        <v>1277</v>
      </c>
      <c r="I5361" s="3" t="s">
        <v>8337</v>
      </c>
    </row>
    <row r="5362" spans="2:9" hidden="1" x14ac:dyDescent="0.4">
      <c r="B5362" s="8" t="s">
        <v>517</v>
      </c>
      <c r="C5362" s="3" t="s">
        <v>8471</v>
      </c>
      <c r="D5362" s="3" t="s">
        <v>8337</v>
      </c>
      <c r="F5362" s="3" t="s">
        <v>399</v>
      </c>
      <c r="G5362" s="3" t="s">
        <v>402</v>
      </c>
      <c r="I5362" s="3" t="s">
        <v>8337</v>
      </c>
    </row>
    <row r="5363" spans="2:9" hidden="1" x14ac:dyDescent="0.4">
      <c r="B5363" s="8" t="s">
        <v>517</v>
      </c>
      <c r="C5363" s="3" t="s">
        <v>8472</v>
      </c>
      <c r="D5363" s="3" t="s">
        <v>8624</v>
      </c>
      <c r="E5363" s="3" t="s">
        <v>1272</v>
      </c>
      <c r="F5363" s="3" t="s">
        <v>399</v>
      </c>
      <c r="G5363" s="3" t="s">
        <v>402</v>
      </c>
      <c r="I5363" s="3" t="s">
        <v>8337</v>
      </c>
    </row>
    <row r="5364" spans="2:9" hidden="1" x14ac:dyDescent="0.4">
      <c r="B5364" s="8" t="s">
        <v>517</v>
      </c>
      <c r="C5364" s="3" t="s">
        <v>8473</v>
      </c>
      <c r="D5364" s="3" t="s">
        <v>8625</v>
      </c>
      <c r="E5364" s="3" t="s">
        <v>1272</v>
      </c>
      <c r="F5364" s="3" t="s">
        <v>399</v>
      </c>
      <c r="G5364" s="3" t="s">
        <v>402</v>
      </c>
      <c r="I5364" s="3" t="s">
        <v>8337</v>
      </c>
    </row>
    <row r="5365" spans="2:9" hidden="1" x14ac:dyDescent="0.4">
      <c r="B5365" s="8" t="s">
        <v>517</v>
      </c>
      <c r="C5365" s="3" t="s">
        <v>8474</v>
      </c>
      <c r="D5365" s="3" t="s">
        <v>8626</v>
      </c>
      <c r="E5365" s="3" t="s">
        <v>1272</v>
      </c>
      <c r="F5365" s="3" t="s">
        <v>399</v>
      </c>
      <c r="G5365" s="3" t="s">
        <v>402</v>
      </c>
      <c r="I5365" s="3" t="s">
        <v>8337</v>
      </c>
    </row>
    <row r="5366" spans="2:9" hidden="1" x14ac:dyDescent="0.4">
      <c r="B5366" s="8" t="s">
        <v>516</v>
      </c>
      <c r="C5366" s="3" t="s">
        <v>8475</v>
      </c>
      <c r="D5366" s="3" t="s">
        <v>8624</v>
      </c>
      <c r="E5366" s="3" t="s">
        <v>1272</v>
      </c>
      <c r="F5366" s="3" t="s">
        <v>399</v>
      </c>
      <c r="G5366" s="3" t="s">
        <v>402</v>
      </c>
      <c r="I5366" s="3" t="s">
        <v>8337</v>
      </c>
    </row>
    <row r="5367" spans="2:9" hidden="1" x14ac:dyDescent="0.4">
      <c r="B5367" s="8" t="s">
        <v>516</v>
      </c>
      <c r="C5367" s="3" t="s">
        <v>8476</v>
      </c>
      <c r="D5367" s="3" t="s">
        <v>8625</v>
      </c>
      <c r="E5367" s="3" t="s">
        <v>1272</v>
      </c>
      <c r="F5367" s="3" t="s">
        <v>399</v>
      </c>
      <c r="G5367" s="3" t="s">
        <v>402</v>
      </c>
      <c r="I5367" s="3" t="s">
        <v>8337</v>
      </c>
    </row>
    <row r="5368" spans="2:9" hidden="1" x14ac:dyDescent="0.4">
      <c r="B5368" s="8" t="s">
        <v>516</v>
      </c>
      <c r="C5368" s="3" t="s">
        <v>8477</v>
      </c>
      <c r="D5368" s="3" t="s">
        <v>8626</v>
      </c>
      <c r="E5368" s="3" t="s">
        <v>1272</v>
      </c>
      <c r="F5368" s="3" t="s">
        <v>399</v>
      </c>
      <c r="G5368" s="3" t="s">
        <v>402</v>
      </c>
      <c r="I5368" s="3" t="s">
        <v>8337</v>
      </c>
    </row>
    <row r="5369" spans="2:9" hidden="1" x14ac:dyDescent="0.4">
      <c r="B5369" s="8" t="s">
        <v>529</v>
      </c>
      <c r="C5369" s="3" t="s">
        <v>8629</v>
      </c>
      <c r="D5369" s="3" t="s">
        <v>8673</v>
      </c>
      <c r="F5369" s="3" t="s">
        <v>1277</v>
      </c>
      <c r="G5369" s="3" t="s">
        <v>399</v>
      </c>
      <c r="I5369" s="3" t="s">
        <v>8628</v>
      </c>
    </row>
    <row r="5370" spans="2:9" hidden="1" x14ac:dyDescent="0.4">
      <c r="B5370" s="8" t="s">
        <v>517</v>
      </c>
      <c r="C5370" s="3" t="s">
        <v>8630</v>
      </c>
      <c r="D5370" s="3" t="s">
        <v>8674</v>
      </c>
      <c r="F5370" s="3" t="s">
        <v>1277</v>
      </c>
      <c r="G5370" s="3" t="s">
        <v>399</v>
      </c>
      <c r="I5370" s="3" t="s">
        <v>8628</v>
      </c>
    </row>
    <row r="5371" spans="2:9" hidden="1" x14ac:dyDescent="0.4">
      <c r="B5371" s="8" t="s">
        <v>532</v>
      </c>
      <c r="C5371" s="3" t="s">
        <v>8631</v>
      </c>
      <c r="D5371" s="3" t="s">
        <v>8675</v>
      </c>
      <c r="F5371" s="3" t="s">
        <v>1277</v>
      </c>
      <c r="G5371" s="3" t="s">
        <v>399</v>
      </c>
      <c r="I5371" s="3" t="s">
        <v>8628</v>
      </c>
    </row>
    <row r="5372" spans="2:9" hidden="1" x14ac:dyDescent="0.4">
      <c r="B5372" s="8" t="s">
        <v>532</v>
      </c>
      <c r="C5372" s="3" t="s">
        <v>8632</v>
      </c>
      <c r="D5372" s="3" t="s">
        <v>8676</v>
      </c>
      <c r="F5372" s="3" t="s">
        <v>1277</v>
      </c>
      <c r="G5372" s="3" t="s">
        <v>399</v>
      </c>
      <c r="I5372" s="3" t="s">
        <v>8628</v>
      </c>
    </row>
    <row r="5373" spans="2:9" hidden="1" x14ac:dyDescent="0.4">
      <c r="B5373" s="8" t="s">
        <v>532</v>
      </c>
      <c r="C5373" s="3" t="s">
        <v>8633</v>
      </c>
      <c r="D5373" s="3" t="s">
        <v>8677</v>
      </c>
      <c r="F5373" s="3" t="s">
        <v>1277</v>
      </c>
      <c r="G5373" s="3" t="s">
        <v>399</v>
      </c>
      <c r="I5373" s="3" t="s">
        <v>8628</v>
      </c>
    </row>
    <row r="5374" spans="2:9" hidden="1" x14ac:dyDescent="0.4">
      <c r="B5374" s="8" t="s">
        <v>517</v>
      </c>
      <c r="C5374" s="3" t="s">
        <v>8634</v>
      </c>
      <c r="D5374" s="3" t="s">
        <v>8678</v>
      </c>
      <c r="F5374" s="3" t="s">
        <v>1277</v>
      </c>
      <c r="G5374" s="3" t="s">
        <v>399</v>
      </c>
      <c r="I5374" s="3" t="s">
        <v>8628</v>
      </c>
    </row>
    <row r="5375" spans="2:9" hidden="1" x14ac:dyDescent="0.4">
      <c r="B5375" s="8" t="s">
        <v>518</v>
      </c>
      <c r="C5375" s="3" t="s">
        <v>8442</v>
      </c>
      <c r="D5375" s="3" t="s">
        <v>8679</v>
      </c>
      <c r="F5375" s="3" t="s">
        <v>1277</v>
      </c>
      <c r="G5375" s="3" t="s">
        <v>399</v>
      </c>
      <c r="I5375" s="3" t="s">
        <v>8628</v>
      </c>
    </row>
    <row r="5376" spans="2:9" hidden="1" x14ac:dyDescent="0.4">
      <c r="B5376" s="8" t="s">
        <v>517</v>
      </c>
      <c r="C5376" s="3" t="s">
        <v>8635</v>
      </c>
      <c r="D5376" s="3" t="s">
        <v>8680</v>
      </c>
      <c r="F5376" s="3" t="s">
        <v>1277</v>
      </c>
      <c r="G5376" s="3" t="s">
        <v>399</v>
      </c>
      <c r="I5376" s="3" t="s">
        <v>8628</v>
      </c>
    </row>
    <row r="5377" spans="2:9" hidden="1" x14ac:dyDescent="0.4">
      <c r="B5377" s="8" t="s">
        <v>517</v>
      </c>
      <c r="C5377" s="3" t="s">
        <v>8636</v>
      </c>
      <c r="D5377" s="3" t="s">
        <v>8681</v>
      </c>
      <c r="F5377" s="3" t="s">
        <v>1277</v>
      </c>
      <c r="G5377" s="3" t="s">
        <v>399</v>
      </c>
      <c r="I5377" s="3" t="s">
        <v>8628</v>
      </c>
    </row>
    <row r="5378" spans="2:9" hidden="1" x14ac:dyDescent="0.4">
      <c r="B5378" s="8" t="s">
        <v>532</v>
      </c>
      <c r="C5378" s="3" t="s">
        <v>8637</v>
      </c>
      <c r="D5378" s="3" t="s">
        <v>8682</v>
      </c>
      <c r="F5378" s="3" t="s">
        <v>1277</v>
      </c>
      <c r="G5378" s="3" t="s">
        <v>399</v>
      </c>
      <c r="I5378" s="3" t="s">
        <v>8628</v>
      </c>
    </row>
    <row r="5379" spans="2:9" hidden="1" x14ac:dyDescent="0.4">
      <c r="B5379" s="8" t="s">
        <v>517</v>
      </c>
      <c r="C5379" s="3" t="s">
        <v>8638</v>
      </c>
      <c r="D5379" s="3" t="s">
        <v>8683</v>
      </c>
      <c r="F5379" s="3" t="s">
        <v>1277</v>
      </c>
      <c r="G5379" s="3" t="s">
        <v>399</v>
      </c>
      <c r="I5379" s="3" t="s">
        <v>8628</v>
      </c>
    </row>
    <row r="5380" spans="2:9" hidden="1" x14ac:dyDescent="0.4">
      <c r="B5380" s="8" t="s">
        <v>517</v>
      </c>
      <c r="C5380" s="3" t="s">
        <v>4262</v>
      </c>
      <c r="D5380" s="3" t="s">
        <v>8684</v>
      </c>
      <c r="F5380" s="3" t="s">
        <v>1277</v>
      </c>
      <c r="G5380" s="3" t="s">
        <v>399</v>
      </c>
      <c r="I5380" s="3" t="s">
        <v>8628</v>
      </c>
    </row>
    <row r="5381" spans="2:9" hidden="1" x14ac:dyDescent="0.4">
      <c r="B5381" s="8" t="s">
        <v>518</v>
      </c>
      <c r="C5381" s="3" t="s">
        <v>8639</v>
      </c>
      <c r="D5381" s="3" t="s">
        <v>8685</v>
      </c>
      <c r="F5381" s="3" t="s">
        <v>1277</v>
      </c>
      <c r="G5381" s="3" t="s">
        <v>399</v>
      </c>
      <c r="I5381" s="3" t="s">
        <v>8628</v>
      </c>
    </row>
    <row r="5382" spans="2:9" hidden="1" x14ac:dyDescent="0.4">
      <c r="B5382" s="8" t="s">
        <v>518</v>
      </c>
      <c r="C5382" s="3" t="s">
        <v>8640</v>
      </c>
      <c r="D5382" s="3" t="s">
        <v>8686</v>
      </c>
      <c r="F5382" s="3" t="s">
        <v>1277</v>
      </c>
      <c r="G5382" s="3" t="s">
        <v>399</v>
      </c>
      <c r="I5382" s="3" t="s">
        <v>8628</v>
      </c>
    </row>
    <row r="5383" spans="2:9" hidden="1" x14ac:dyDescent="0.4">
      <c r="B5383" s="8" t="s">
        <v>518</v>
      </c>
      <c r="C5383" s="3" t="s">
        <v>8641</v>
      </c>
      <c r="D5383" s="3" t="s">
        <v>8687</v>
      </c>
      <c r="F5383" s="3" t="s">
        <v>1277</v>
      </c>
      <c r="G5383" s="3" t="s">
        <v>399</v>
      </c>
      <c r="I5383" s="3" t="s">
        <v>8628</v>
      </c>
    </row>
    <row r="5384" spans="2:9" hidden="1" x14ac:dyDescent="0.4">
      <c r="B5384" s="8" t="s">
        <v>518</v>
      </c>
      <c r="C5384" s="3" t="s">
        <v>8642</v>
      </c>
      <c r="D5384" s="3" t="s">
        <v>8678</v>
      </c>
      <c r="F5384" s="3" t="s">
        <v>1277</v>
      </c>
      <c r="G5384" s="3" t="s">
        <v>399</v>
      </c>
      <c r="I5384" s="3" t="s">
        <v>8628</v>
      </c>
    </row>
    <row r="5385" spans="2:9" hidden="1" x14ac:dyDescent="0.4">
      <c r="B5385" s="8" t="s">
        <v>517</v>
      </c>
      <c r="C5385" s="3" t="s">
        <v>8643</v>
      </c>
      <c r="D5385" s="3" t="s">
        <v>8688</v>
      </c>
      <c r="F5385" s="3" t="s">
        <v>1277</v>
      </c>
      <c r="G5385" s="3" t="s">
        <v>399</v>
      </c>
      <c r="I5385" s="3" t="s">
        <v>8628</v>
      </c>
    </row>
    <row r="5386" spans="2:9" hidden="1" x14ac:dyDescent="0.4">
      <c r="B5386" s="8" t="s">
        <v>517</v>
      </c>
      <c r="C5386" s="3" t="s">
        <v>8644</v>
      </c>
      <c r="D5386" s="3" t="s">
        <v>8688</v>
      </c>
      <c r="F5386" s="3" t="s">
        <v>1277</v>
      </c>
      <c r="G5386" s="3" t="s">
        <v>399</v>
      </c>
      <c r="I5386" s="3" t="s">
        <v>8628</v>
      </c>
    </row>
    <row r="5387" spans="2:9" hidden="1" x14ac:dyDescent="0.4">
      <c r="B5387" s="8" t="s">
        <v>517</v>
      </c>
      <c r="C5387" s="3" t="s">
        <v>8645</v>
      </c>
      <c r="D5387" s="3" t="s">
        <v>8689</v>
      </c>
      <c r="E5387" s="3" t="s">
        <v>7805</v>
      </c>
      <c r="F5387" s="3" t="s">
        <v>1277</v>
      </c>
      <c r="G5387" s="3" t="s">
        <v>399</v>
      </c>
      <c r="I5387" s="3" t="s">
        <v>8628</v>
      </c>
    </row>
    <row r="5388" spans="2:9" hidden="1" x14ac:dyDescent="0.4">
      <c r="B5388" s="8" t="s">
        <v>517</v>
      </c>
      <c r="C5388" s="3" t="s">
        <v>8646</v>
      </c>
      <c r="D5388" s="3" t="s">
        <v>8690</v>
      </c>
      <c r="E5388" s="3" t="s">
        <v>7805</v>
      </c>
      <c r="F5388" s="3" t="s">
        <v>1277</v>
      </c>
      <c r="G5388" s="3" t="s">
        <v>399</v>
      </c>
      <c r="I5388" s="3" t="s">
        <v>8628</v>
      </c>
    </row>
    <row r="5389" spans="2:9" hidden="1" x14ac:dyDescent="0.4">
      <c r="B5389" s="8" t="s">
        <v>517</v>
      </c>
      <c r="C5389" s="3" t="s">
        <v>8647</v>
      </c>
      <c r="D5389" s="3" t="s">
        <v>8691</v>
      </c>
      <c r="E5389" s="3" t="s">
        <v>7805</v>
      </c>
      <c r="F5389" s="3" t="s">
        <v>1277</v>
      </c>
      <c r="G5389" s="3" t="s">
        <v>399</v>
      </c>
      <c r="I5389" s="3" t="s">
        <v>8628</v>
      </c>
    </row>
    <row r="5390" spans="2:9" hidden="1" x14ac:dyDescent="0.4">
      <c r="B5390" s="8" t="s">
        <v>531</v>
      </c>
      <c r="C5390" s="3" t="s">
        <v>8648</v>
      </c>
      <c r="D5390" s="3" t="s">
        <v>8692</v>
      </c>
      <c r="F5390" s="3" t="s">
        <v>1277</v>
      </c>
      <c r="G5390" s="3" t="s">
        <v>399</v>
      </c>
      <c r="I5390" s="3" t="s">
        <v>8628</v>
      </c>
    </row>
    <row r="5391" spans="2:9" hidden="1" x14ac:dyDescent="0.4">
      <c r="B5391" s="8" t="s">
        <v>517</v>
      </c>
      <c r="C5391" s="3" t="s">
        <v>8650</v>
      </c>
      <c r="D5391" s="3" t="s">
        <v>8693</v>
      </c>
      <c r="F5391" s="3" t="s">
        <v>1277</v>
      </c>
      <c r="G5391" s="3" t="s">
        <v>399</v>
      </c>
      <c r="I5391" s="3" t="s">
        <v>8628</v>
      </c>
    </row>
    <row r="5392" spans="2:9" hidden="1" x14ac:dyDescent="0.4">
      <c r="B5392" s="8" t="s">
        <v>529</v>
      </c>
      <c r="C5392" s="3" t="s">
        <v>8649</v>
      </c>
      <c r="D5392" s="3" t="s">
        <v>8694</v>
      </c>
      <c r="F5392" s="3" t="s">
        <v>1277</v>
      </c>
      <c r="G5392" s="3" t="s">
        <v>399</v>
      </c>
      <c r="I5392" s="3" t="s">
        <v>8628</v>
      </c>
    </row>
    <row r="5393" spans="2:9" hidden="1" x14ac:dyDescent="0.4">
      <c r="B5393" s="8" t="s">
        <v>518</v>
      </c>
      <c r="C5393" s="3" t="s">
        <v>8651</v>
      </c>
      <c r="D5393" s="3" t="s">
        <v>8695</v>
      </c>
      <c r="F5393" s="3" t="s">
        <v>1277</v>
      </c>
      <c r="G5393" s="3" t="s">
        <v>399</v>
      </c>
      <c r="I5393" s="3" t="s">
        <v>8628</v>
      </c>
    </row>
    <row r="5394" spans="2:9" hidden="1" x14ac:dyDescent="0.4">
      <c r="B5394" s="8" t="s">
        <v>529</v>
      </c>
      <c r="C5394" s="3" t="s">
        <v>8652</v>
      </c>
      <c r="D5394" s="3" t="s">
        <v>8696</v>
      </c>
      <c r="E5394" s="3" t="s">
        <v>7805</v>
      </c>
      <c r="F5394" s="3" t="s">
        <v>1277</v>
      </c>
      <c r="G5394" s="3" t="s">
        <v>399</v>
      </c>
      <c r="I5394" s="3" t="s">
        <v>8628</v>
      </c>
    </row>
    <row r="5395" spans="2:9" hidden="1" x14ac:dyDescent="0.4">
      <c r="B5395" s="8" t="s">
        <v>529</v>
      </c>
      <c r="C5395" s="3" t="s">
        <v>8872</v>
      </c>
      <c r="D5395" s="3" t="s">
        <v>8696</v>
      </c>
      <c r="E5395" s="3" t="s">
        <v>7805</v>
      </c>
      <c r="F5395" s="3" t="s">
        <v>1277</v>
      </c>
      <c r="G5395" s="3" t="s">
        <v>399</v>
      </c>
      <c r="I5395" s="3" t="s">
        <v>8628</v>
      </c>
    </row>
    <row r="5396" spans="2:9" hidden="1" x14ac:dyDescent="0.4">
      <c r="B5396" s="8" t="s">
        <v>518</v>
      </c>
      <c r="C5396" s="3" t="s">
        <v>8653</v>
      </c>
      <c r="D5396" s="3" t="s">
        <v>8698</v>
      </c>
      <c r="E5396" s="3" t="s">
        <v>7805</v>
      </c>
      <c r="F5396" s="3" t="s">
        <v>1277</v>
      </c>
      <c r="G5396" s="3" t="s">
        <v>399</v>
      </c>
      <c r="I5396" s="3" t="s">
        <v>8628</v>
      </c>
    </row>
    <row r="5397" spans="2:9" hidden="1" x14ac:dyDescent="0.4">
      <c r="B5397" s="8" t="s">
        <v>518</v>
      </c>
      <c r="C5397" s="3" t="s">
        <v>8654</v>
      </c>
      <c r="D5397" s="3" t="s">
        <v>8697</v>
      </c>
      <c r="E5397" s="3" t="s">
        <v>7805</v>
      </c>
      <c r="F5397" s="3" t="s">
        <v>1277</v>
      </c>
      <c r="G5397" s="3" t="s">
        <v>399</v>
      </c>
      <c r="I5397" s="3" t="s">
        <v>8628</v>
      </c>
    </row>
    <row r="5398" spans="2:9" hidden="1" x14ac:dyDescent="0.4">
      <c r="B5398" s="8" t="s">
        <v>532</v>
      </c>
      <c r="C5398" s="3" t="s">
        <v>8655</v>
      </c>
      <c r="D5398" s="3" t="s">
        <v>8699</v>
      </c>
      <c r="F5398" s="3" t="s">
        <v>1277</v>
      </c>
      <c r="G5398" s="3" t="s">
        <v>399</v>
      </c>
      <c r="I5398" s="3" t="s">
        <v>8628</v>
      </c>
    </row>
    <row r="5399" spans="2:9" hidden="1" x14ac:dyDescent="0.4">
      <c r="B5399" s="8" t="s">
        <v>517</v>
      </c>
      <c r="C5399" s="3" t="s">
        <v>8656</v>
      </c>
      <c r="D5399" s="3" t="s">
        <v>8700</v>
      </c>
      <c r="F5399" s="3" t="s">
        <v>1277</v>
      </c>
      <c r="G5399" s="3" t="s">
        <v>399</v>
      </c>
      <c r="I5399" s="3" t="s">
        <v>8628</v>
      </c>
    </row>
    <row r="5400" spans="2:9" hidden="1" x14ac:dyDescent="0.4">
      <c r="B5400" s="8" t="s">
        <v>517</v>
      </c>
      <c r="C5400" s="3" t="s">
        <v>8657</v>
      </c>
      <c r="D5400" s="3" t="s">
        <v>8704</v>
      </c>
      <c r="F5400" s="3" t="s">
        <v>1277</v>
      </c>
      <c r="G5400" s="3" t="s">
        <v>399</v>
      </c>
      <c r="I5400" s="3" t="s">
        <v>8628</v>
      </c>
    </row>
    <row r="5401" spans="2:9" hidden="1" x14ac:dyDescent="0.4">
      <c r="B5401" s="8" t="s">
        <v>517</v>
      </c>
      <c r="C5401" s="3" t="s">
        <v>8658</v>
      </c>
      <c r="D5401" s="3" t="s">
        <v>8701</v>
      </c>
      <c r="F5401" s="3" t="s">
        <v>1277</v>
      </c>
      <c r="G5401" s="3" t="s">
        <v>399</v>
      </c>
      <c r="I5401" s="3" t="s">
        <v>8628</v>
      </c>
    </row>
    <row r="5402" spans="2:9" hidden="1" x14ac:dyDescent="0.4">
      <c r="B5402" s="8" t="s">
        <v>517</v>
      </c>
      <c r="C5402" s="3" t="s">
        <v>8659</v>
      </c>
      <c r="D5402" s="3" t="s">
        <v>8702</v>
      </c>
      <c r="F5402" s="3" t="s">
        <v>1277</v>
      </c>
      <c r="G5402" s="3" t="s">
        <v>399</v>
      </c>
      <c r="I5402" s="3" t="s">
        <v>8628</v>
      </c>
    </row>
    <row r="5403" spans="2:9" hidden="1" x14ac:dyDescent="0.4">
      <c r="B5403" s="8" t="s">
        <v>517</v>
      </c>
      <c r="C5403" s="3" t="s">
        <v>8660</v>
      </c>
      <c r="D5403" s="3" t="s">
        <v>8703</v>
      </c>
      <c r="F5403" s="3" t="s">
        <v>1277</v>
      </c>
      <c r="G5403" s="3" t="s">
        <v>399</v>
      </c>
      <c r="I5403" s="3" t="s">
        <v>8628</v>
      </c>
    </row>
    <row r="5404" spans="2:9" hidden="1" x14ac:dyDescent="0.4">
      <c r="B5404" s="8" t="s">
        <v>517</v>
      </c>
      <c r="C5404" s="3" t="s">
        <v>8661</v>
      </c>
      <c r="D5404" s="3" t="s">
        <v>8705</v>
      </c>
      <c r="F5404" s="3" t="s">
        <v>1277</v>
      </c>
      <c r="G5404" s="3" t="s">
        <v>399</v>
      </c>
      <c r="I5404" s="3" t="s">
        <v>8628</v>
      </c>
    </row>
    <row r="5405" spans="2:9" hidden="1" x14ac:dyDescent="0.4">
      <c r="B5405" s="8" t="s">
        <v>517</v>
      </c>
      <c r="C5405" s="3" t="s">
        <v>8662</v>
      </c>
      <c r="D5405" s="3" t="s">
        <v>8706</v>
      </c>
      <c r="F5405" s="3" t="s">
        <v>1277</v>
      </c>
      <c r="G5405" s="3" t="s">
        <v>399</v>
      </c>
      <c r="I5405" s="3" t="s">
        <v>8628</v>
      </c>
    </row>
    <row r="5406" spans="2:9" hidden="1" x14ac:dyDescent="0.4">
      <c r="B5406" s="8" t="s">
        <v>517</v>
      </c>
      <c r="C5406" s="3" t="s">
        <v>8707</v>
      </c>
      <c r="D5406" s="3" t="s">
        <v>8706</v>
      </c>
      <c r="F5406" s="3" t="s">
        <v>1277</v>
      </c>
      <c r="G5406" s="3" t="s">
        <v>399</v>
      </c>
      <c r="I5406" s="3" t="s">
        <v>8628</v>
      </c>
    </row>
    <row r="5407" spans="2:9" hidden="1" x14ac:dyDescent="0.4">
      <c r="B5407" s="8" t="s">
        <v>517</v>
      </c>
      <c r="C5407" s="3" t="s">
        <v>8663</v>
      </c>
      <c r="D5407" s="3" t="s">
        <v>8708</v>
      </c>
      <c r="F5407" s="3" t="s">
        <v>1277</v>
      </c>
      <c r="G5407" s="3" t="s">
        <v>399</v>
      </c>
      <c r="I5407" s="3" t="s">
        <v>8628</v>
      </c>
    </row>
    <row r="5408" spans="2:9" hidden="1" x14ac:dyDescent="0.4">
      <c r="B5408" s="8" t="s">
        <v>520</v>
      </c>
      <c r="C5408" s="3" t="s">
        <v>8664</v>
      </c>
      <c r="D5408" s="3" t="s">
        <v>8709</v>
      </c>
      <c r="F5408" s="3" t="s">
        <v>1277</v>
      </c>
      <c r="G5408" s="3" t="s">
        <v>399</v>
      </c>
      <c r="I5408" s="3" t="s">
        <v>8628</v>
      </c>
    </row>
    <row r="5409" spans="2:9" hidden="1" x14ac:dyDescent="0.4">
      <c r="B5409" s="8" t="s">
        <v>517</v>
      </c>
      <c r="C5409" s="3" t="s">
        <v>8665</v>
      </c>
      <c r="D5409" s="3" t="s">
        <v>8710</v>
      </c>
      <c r="F5409" s="3" t="s">
        <v>1277</v>
      </c>
      <c r="G5409" s="3" t="s">
        <v>399</v>
      </c>
      <c r="I5409" s="3" t="s">
        <v>8628</v>
      </c>
    </row>
    <row r="5410" spans="2:9" hidden="1" x14ac:dyDescent="0.4">
      <c r="B5410" s="8" t="s">
        <v>517</v>
      </c>
      <c r="C5410" s="3" t="s">
        <v>8666</v>
      </c>
      <c r="D5410" s="3" t="s">
        <v>8711</v>
      </c>
      <c r="F5410" s="3" t="s">
        <v>1277</v>
      </c>
      <c r="G5410" s="3" t="s">
        <v>399</v>
      </c>
      <c r="I5410" s="3" t="s">
        <v>8628</v>
      </c>
    </row>
    <row r="5411" spans="2:9" hidden="1" x14ac:dyDescent="0.4">
      <c r="B5411" s="8" t="s">
        <v>517</v>
      </c>
      <c r="C5411" s="3" t="s">
        <v>8667</v>
      </c>
      <c r="D5411" s="3" t="s">
        <v>8712</v>
      </c>
      <c r="F5411" s="3" t="s">
        <v>1277</v>
      </c>
      <c r="G5411" s="3" t="s">
        <v>399</v>
      </c>
      <c r="I5411" s="3" t="s">
        <v>8628</v>
      </c>
    </row>
    <row r="5412" spans="2:9" hidden="1" x14ac:dyDescent="0.4">
      <c r="B5412" s="8" t="s">
        <v>517</v>
      </c>
      <c r="C5412" s="3" t="s">
        <v>8668</v>
      </c>
      <c r="D5412" s="3" t="s">
        <v>8768</v>
      </c>
      <c r="F5412" s="3" t="s">
        <v>1277</v>
      </c>
      <c r="G5412" s="3" t="s">
        <v>399</v>
      </c>
      <c r="I5412" s="3" t="s">
        <v>8628</v>
      </c>
    </row>
    <row r="5413" spans="2:9" hidden="1" x14ac:dyDescent="0.4">
      <c r="B5413" s="8" t="s">
        <v>532</v>
      </c>
      <c r="C5413" s="3" t="s">
        <v>8669</v>
      </c>
      <c r="D5413" s="3" t="s">
        <v>8713</v>
      </c>
      <c r="F5413" s="3" t="s">
        <v>1277</v>
      </c>
      <c r="G5413" s="3" t="s">
        <v>399</v>
      </c>
      <c r="I5413" s="3" t="s">
        <v>8628</v>
      </c>
    </row>
    <row r="5414" spans="2:9" hidden="1" x14ac:dyDescent="0.4">
      <c r="B5414" s="8" t="s">
        <v>518</v>
      </c>
      <c r="C5414" s="3" t="s">
        <v>7450</v>
      </c>
      <c r="D5414" s="3" t="s">
        <v>8873</v>
      </c>
      <c r="F5414" s="3" t="s">
        <v>1277</v>
      </c>
      <c r="G5414" s="3" t="s">
        <v>399</v>
      </c>
      <c r="I5414" s="3" t="s">
        <v>8628</v>
      </c>
    </row>
    <row r="5415" spans="2:9" hidden="1" x14ac:dyDescent="0.4">
      <c r="B5415" s="8" t="s">
        <v>529</v>
      </c>
      <c r="C5415" s="3" t="s">
        <v>8670</v>
      </c>
      <c r="D5415" s="3" t="s">
        <v>8714</v>
      </c>
      <c r="F5415" s="3" t="s">
        <v>1277</v>
      </c>
      <c r="G5415" s="3" t="s">
        <v>399</v>
      </c>
      <c r="I5415" s="3" t="s">
        <v>8628</v>
      </c>
    </row>
    <row r="5416" spans="2:9" hidden="1" x14ac:dyDescent="0.4">
      <c r="B5416" s="8" t="s">
        <v>518</v>
      </c>
      <c r="C5416" s="3" t="s">
        <v>8671</v>
      </c>
      <c r="D5416" s="3" t="s">
        <v>8715</v>
      </c>
      <c r="F5416" s="3" t="s">
        <v>1277</v>
      </c>
      <c r="G5416" s="3" t="s">
        <v>399</v>
      </c>
      <c r="I5416" s="3" t="s">
        <v>8628</v>
      </c>
    </row>
    <row r="5417" spans="2:9" hidden="1" x14ac:dyDescent="0.4">
      <c r="B5417" s="8" t="s">
        <v>517</v>
      </c>
      <c r="C5417" s="3" t="s">
        <v>8672</v>
      </c>
      <c r="D5417" s="3" t="s">
        <v>8716</v>
      </c>
      <c r="F5417" s="3" t="s">
        <v>1277</v>
      </c>
      <c r="G5417" s="3" t="s">
        <v>399</v>
      </c>
      <c r="I5417" s="3" t="s">
        <v>8628</v>
      </c>
    </row>
    <row r="5418" spans="2:9" hidden="1" x14ac:dyDescent="0.4">
      <c r="B5418" s="8" t="s">
        <v>517</v>
      </c>
      <c r="C5418" s="3" t="s">
        <v>8769</v>
      </c>
      <c r="D5418" s="3" t="s">
        <v>8717</v>
      </c>
      <c r="F5418" s="3" t="s">
        <v>1277</v>
      </c>
      <c r="G5418" s="3" t="s">
        <v>399</v>
      </c>
      <c r="I5418" s="3" t="s">
        <v>8628</v>
      </c>
    </row>
    <row r="5419" spans="2:9" hidden="1" x14ac:dyDescent="0.4">
      <c r="B5419" s="8" t="s">
        <v>517</v>
      </c>
      <c r="C5419" s="3" t="s">
        <v>8770</v>
      </c>
      <c r="D5419" s="3" t="s">
        <v>8718</v>
      </c>
      <c r="F5419" s="3" t="s">
        <v>1277</v>
      </c>
      <c r="G5419" s="3" t="s">
        <v>399</v>
      </c>
      <c r="I5419" s="3" t="s">
        <v>8628</v>
      </c>
    </row>
    <row r="5420" spans="2:9" hidden="1" x14ac:dyDescent="0.4">
      <c r="B5420" s="8" t="s">
        <v>517</v>
      </c>
      <c r="C5420" s="3" t="s">
        <v>8771</v>
      </c>
      <c r="D5420" s="3" t="s">
        <v>8719</v>
      </c>
      <c r="F5420" s="3" t="s">
        <v>1277</v>
      </c>
      <c r="G5420" s="3" t="s">
        <v>399</v>
      </c>
      <c r="I5420" s="3" t="s">
        <v>8628</v>
      </c>
    </row>
    <row r="5421" spans="2:9" hidden="1" x14ac:dyDescent="0.4">
      <c r="B5421" s="8" t="s">
        <v>517</v>
      </c>
      <c r="C5421" s="3" t="s">
        <v>8772</v>
      </c>
      <c r="D5421" s="3" t="s">
        <v>8720</v>
      </c>
      <c r="F5421" s="3" t="s">
        <v>1277</v>
      </c>
      <c r="G5421" s="3" t="s">
        <v>399</v>
      </c>
      <c r="I5421" s="3" t="s">
        <v>8628</v>
      </c>
    </row>
    <row r="5422" spans="2:9" hidden="1" x14ac:dyDescent="0.4">
      <c r="B5422" s="8" t="s">
        <v>520</v>
      </c>
      <c r="C5422" s="3" t="s">
        <v>8773</v>
      </c>
      <c r="D5422" s="3" t="s">
        <v>8721</v>
      </c>
      <c r="F5422" s="3" t="s">
        <v>1277</v>
      </c>
      <c r="G5422" s="3" t="s">
        <v>399</v>
      </c>
      <c r="I5422" s="3" t="s">
        <v>8628</v>
      </c>
    </row>
    <row r="5423" spans="2:9" hidden="1" x14ac:dyDescent="0.4">
      <c r="B5423" s="8" t="s">
        <v>517</v>
      </c>
      <c r="C5423" s="3" t="s">
        <v>8774</v>
      </c>
      <c r="D5423" s="3" t="s">
        <v>8722</v>
      </c>
      <c r="F5423" s="3" t="s">
        <v>1277</v>
      </c>
      <c r="G5423" s="3" t="s">
        <v>399</v>
      </c>
      <c r="I5423" s="3" t="s">
        <v>8628</v>
      </c>
    </row>
    <row r="5424" spans="2:9" hidden="1" x14ac:dyDescent="0.4">
      <c r="B5424" s="8" t="s">
        <v>529</v>
      </c>
      <c r="C5424" s="3" t="s">
        <v>8775</v>
      </c>
      <c r="D5424" s="3" t="s">
        <v>8723</v>
      </c>
      <c r="F5424" s="3" t="s">
        <v>1277</v>
      </c>
      <c r="G5424" s="3" t="s">
        <v>399</v>
      </c>
      <c r="I5424" s="3" t="s">
        <v>8628</v>
      </c>
    </row>
    <row r="5425" spans="2:9" hidden="1" x14ac:dyDescent="0.4">
      <c r="B5425" s="8" t="s">
        <v>532</v>
      </c>
      <c r="C5425" s="3" t="s">
        <v>8776</v>
      </c>
      <c r="D5425" s="3" t="s">
        <v>8724</v>
      </c>
      <c r="F5425" s="3" t="s">
        <v>1277</v>
      </c>
      <c r="G5425" s="3" t="s">
        <v>399</v>
      </c>
      <c r="I5425" s="3" t="s">
        <v>8628</v>
      </c>
    </row>
    <row r="5426" spans="2:9" hidden="1" x14ac:dyDescent="0.4">
      <c r="B5426" s="8" t="s">
        <v>532</v>
      </c>
      <c r="C5426" s="3" t="s">
        <v>8777</v>
      </c>
      <c r="D5426" s="3" t="s">
        <v>8725</v>
      </c>
      <c r="F5426" s="3" t="s">
        <v>1277</v>
      </c>
      <c r="G5426" s="3" t="s">
        <v>399</v>
      </c>
      <c r="I5426" s="3" t="s">
        <v>8628</v>
      </c>
    </row>
    <row r="5427" spans="2:9" hidden="1" x14ac:dyDescent="0.4">
      <c r="B5427" s="8" t="s">
        <v>529</v>
      </c>
      <c r="C5427" s="3" t="s">
        <v>8778</v>
      </c>
      <c r="D5427" s="3" t="s">
        <v>8726</v>
      </c>
      <c r="F5427" s="3" t="s">
        <v>1277</v>
      </c>
      <c r="G5427" s="3" t="s">
        <v>399</v>
      </c>
      <c r="I5427" s="3" t="s">
        <v>8628</v>
      </c>
    </row>
    <row r="5428" spans="2:9" hidden="1" x14ac:dyDescent="0.4">
      <c r="B5428" s="8" t="s">
        <v>532</v>
      </c>
      <c r="C5428" s="3" t="s">
        <v>3064</v>
      </c>
      <c r="D5428" s="3" t="s">
        <v>8727</v>
      </c>
      <c r="F5428" s="3" t="s">
        <v>1277</v>
      </c>
      <c r="G5428" s="3" t="s">
        <v>399</v>
      </c>
      <c r="I5428" s="3" t="s">
        <v>8628</v>
      </c>
    </row>
    <row r="5429" spans="2:9" hidden="1" x14ac:dyDescent="0.4">
      <c r="B5429" s="8" t="s">
        <v>517</v>
      </c>
      <c r="C5429" s="3" t="s">
        <v>8783</v>
      </c>
      <c r="D5429" s="3" t="s">
        <v>8728</v>
      </c>
      <c r="F5429" s="3" t="s">
        <v>1277</v>
      </c>
      <c r="G5429" s="3" t="s">
        <v>399</v>
      </c>
      <c r="I5429" s="3" t="s">
        <v>8628</v>
      </c>
    </row>
    <row r="5430" spans="2:9" hidden="1" x14ac:dyDescent="0.4">
      <c r="B5430" s="8" t="s">
        <v>517</v>
      </c>
      <c r="C5430" s="3" t="s">
        <v>8784</v>
      </c>
      <c r="D5430" s="3" t="s">
        <v>8723</v>
      </c>
      <c r="F5430" s="3" t="s">
        <v>1277</v>
      </c>
      <c r="G5430" s="3" t="s">
        <v>399</v>
      </c>
      <c r="I5430" s="3" t="s">
        <v>8628</v>
      </c>
    </row>
    <row r="5431" spans="2:9" hidden="1" x14ac:dyDescent="0.4">
      <c r="B5431" s="8" t="s">
        <v>517</v>
      </c>
      <c r="C5431" s="3" t="s">
        <v>8785</v>
      </c>
      <c r="D5431" s="3" t="s">
        <v>8729</v>
      </c>
      <c r="F5431" s="3" t="s">
        <v>1277</v>
      </c>
      <c r="G5431" s="3" t="s">
        <v>399</v>
      </c>
      <c r="I5431" s="3" t="s">
        <v>8628</v>
      </c>
    </row>
    <row r="5432" spans="2:9" hidden="1" x14ac:dyDescent="0.4">
      <c r="B5432" s="8" t="s">
        <v>517</v>
      </c>
      <c r="C5432" s="3" t="s">
        <v>8786</v>
      </c>
      <c r="D5432" s="3" t="s">
        <v>8730</v>
      </c>
      <c r="F5432" s="3" t="s">
        <v>1277</v>
      </c>
      <c r="G5432" s="3" t="s">
        <v>399</v>
      </c>
      <c r="I5432" s="3" t="s">
        <v>8628</v>
      </c>
    </row>
    <row r="5433" spans="2:9" hidden="1" x14ac:dyDescent="0.4">
      <c r="B5433" s="8" t="s">
        <v>532</v>
      </c>
      <c r="C5433" s="3" t="s">
        <v>8779</v>
      </c>
      <c r="D5433" s="3" t="s">
        <v>8731</v>
      </c>
      <c r="F5433" s="3" t="s">
        <v>1277</v>
      </c>
      <c r="G5433" s="3" t="s">
        <v>399</v>
      </c>
      <c r="I5433" s="3" t="s">
        <v>8628</v>
      </c>
    </row>
    <row r="5434" spans="2:9" hidden="1" x14ac:dyDescent="0.4">
      <c r="B5434" s="8" t="s">
        <v>529</v>
      </c>
      <c r="C5434" s="3" t="s">
        <v>8780</v>
      </c>
      <c r="D5434" s="3" t="s">
        <v>8732</v>
      </c>
      <c r="F5434" s="3" t="s">
        <v>1277</v>
      </c>
      <c r="G5434" s="3" t="s">
        <v>399</v>
      </c>
      <c r="I5434" s="3" t="s">
        <v>8628</v>
      </c>
    </row>
    <row r="5435" spans="2:9" hidden="1" x14ac:dyDescent="0.4">
      <c r="B5435" s="8" t="s">
        <v>517</v>
      </c>
      <c r="C5435" s="3" t="s">
        <v>8781</v>
      </c>
      <c r="D5435" s="3" t="s">
        <v>8733</v>
      </c>
      <c r="F5435" s="3" t="s">
        <v>1277</v>
      </c>
      <c r="G5435" s="3" t="s">
        <v>399</v>
      </c>
      <c r="I5435" s="3" t="s">
        <v>8628</v>
      </c>
    </row>
    <row r="5436" spans="2:9" hidden="1" x14ac:dyDescent="0.4">
      <c r="B5436" s="8" t="s">
        <v>517</v>
      </c>
      <c r="C5436" s="3" t="s">
        <v>8782</v>
      </c>
      <c r="D5436" s="3" t="s">
        <v>8701</v>
      </c>
      <c r="F5436" s="3" t="s">
        <v>1277</v>
      </c>
      <c r="G5436" s="3" t="s">
        <v>399</v>
      </c>
      <c r="I5436" s="3" t="s">
        <v>8628</v>
      </c>
    </row>
    <row r="5437" spans="2:9" hidden="1" x14ac:dyDescent="0.4">
      <c r="B5437" s="8" t="s">
        <v>517</v>
      </c>
      <c r="C5437" s="3" t="s">
        <v>8787</v>
      </c>
      <c r="D5437" s="3" t="s">
        <v>8734</v>
      </c>
      <c r="F5437" s="3" t="s">
        <v>1277</v>
      </c>
      <c r="G5437" s="3" t="s">
        <v>399</v>
      </c>
      <c r="I5437" s="3" t="s">
        <v>8628</v>
      </c>
    </row>
    <row r="5438" spans="2:9" hidden="1" x14ac:dyDescent="0.4">
      <c r="B5438" s="8" t="s">
        <v>517</v>
      </c>
      <c r="C5438" s="3" t="s">
        <v>8788</v>
      </c>
      <c r="D5438" s="3" t="s">
        <v>8735</v>
      </c>
      <c r="F5438" s="3" t="s">
        <v>1277</v>
      </c>
      <c r="G5438" s="3" t="s">
        <v>399</v>
      </c>
      <c r="I5438" s="3" t="s">
        <v>8628</v>
      </c>
    </row>
    <row r="5439" spans="2:9" hidden="1" x14ac:dyDescent="0.4">
      <c r="B5439" s="8" t="s">
        <v>517</v>
      </c>
      <c r="C5439" s="3" t="s">
        <v>8789</v>
      </c>
      <c r="D5439" s="3" t="s">
        <v>8736</v>
      </c>
      <c r="F5439" s="3" t="s">
        <v>1277</v>
      </c>
      <c r="G5439" s="3" t="s">
        <v>399</v>
      </c>
      <c r="I5439" s="3" t="s">
        <v>8628</v>
      </c>
    </row>
    <row r="5440" spans="2:9" hidden="1" x14ac:dyDescent="0.4">
      <c r="B5440" s="8" t="s">
        <v>516</v>
      </c>
      <c r="C5440" s="3" t="s">
        <v>8790</v>
      </c>
      <c r="D5440" s="3" t="s">
        <v>8737</v>
      </c>
      <c r="F5440" s="3" t="s">
        <v>1277</v>
      </c>
      <c r="G5440" s="3" t="s">
        <v>399</v>
      </c>
      <c r="I5440" s="3" t="s">
        <v>8628</v>
      </c>
    </row>
    <row r="5441" spans="2:9" hidden="1" x14ac:dyDescent="0.4">
      <c r="B5441" s="8" t="s">
        <v>517</v>
      </c>
      <c r="C5441" s="3" t="s">
        <v>8791</v>
      </c>
      <c r="D5441" s="3" t="s">
        <v>8738</v>
      </c>
      <c r="F5441" s="3" t="s">
        <v>1277</v>
      </c>
      <c r="G5441" s="3" t="s">
        <v>399</v>
      </c>
      <c r="I5441" s="3" t="s">
        <v>8628</v>
      </c>
    </row>
    <row r="5442" spans="2:9" hidden="1" x14ac:dyDescent="0.4">
      <c r="B5442" s="8" t="s">
        <v>529</v>
      </c>
      <c r="C5442" s="3" t="s">
        <v>8792</v>
      </c>
      <c r="D5442" s="3" t="s">
        <v>8739</v>
      </c>
      <c r="F5442" s="3" t="s">
        <v>1277</v>
      </c>
      <c r="G5442" s="3" t="s">
        <v>399</v>
      </c>
      <c r="I5442" s="3" t="s">
        <v>8628</v>
      </c>
    </row>
    <row r="5443" spans="2:9" hidden="1" x14ac:dyDescent="0.4">
      <c r="B5443" s="8" t="s">
        <v>529</v>
      </c>
      <c r="C5443" s="3" t="s">
        <v>8793</v>
      </c>
      <c r="D5443" s="3" t="s">
        <v>8732</v>
      </c>
      <c r="F5443" s="3" t="s">
        <v>1277</v>
      </c>
      <c r="G5443" s="3" t="s">
        <v>399</v>
      </c>
      <c r="I5443" s="3" t="s">
        <v>8628</v>
      </c>
    </row>
    <row r="5444" spans="2:9" hidden="1" x14ac:dyDescent="0.4">
      <c r="B5444" s="8" t="s">
        <v>517</v>
      </c>
      <c r="C5444" s="3" t="s">
        <v>8794</v>
      </c>
      <c r="D5444" s="3" t="s">
        <v>8740</v>
      </c>
      <c r="F5444" s="3" t="s">
        <v>1277</v>
      </c>
      <c r="G5444" s="3" t="s">
        <v>399</v>
      </c>
      <c r="I5444" s="3" t="s">
        <v>8628</v>
      </c>
    </row>
    <row r="5445" spans="2:9" hidden="1" x14ac:dyDescent="0.4">
      <c r="B5445" s="8" t="s">
        <v>517</v>
      </c>
      <c r="C5445" s="3" t="s">
        <v>8795</v>
      </c>
      <c r="D5445" s="3" t="s">
        <v>8741</v>
      </c>
      <c r="F5445" s="3" t="s">
        <v>1277</v>
      </c>
      <c r="G5445" s="3" t="s">
        <v>399</v>
      </c>
      <c r="I5445" s="3" t="s">
        <v>8628</v>
      </c>
    </row>
    <row r="5446" spans="2:9" hidden="1" x14ac:dyDescent="0.4">
      <c r="B5446" s="8" t="s">
        <v>517</v>
      </c>
      <c r="C5446" s="3" t="s">
        <v>8796</v>
      </c>
      <c r="D5446" s="3" t="s">
        <v>8742</v>
      </c>
      <c r="F5446" s="3" t="s">
        <v>1277</v>
      </c>
      <c r="G5446" s="3" t="s">
        <v>399</v>
      </c>
      <c r="I5446" s="3" t="s">
        <v>8628</v>
      </c>
    </row>
    <row r="5447" spans="2:9" hidden="1" x14ac:dyDescent="0.4">
      <c r="B5447" s="8" t="s">
        <v>517</v>
      </c>
      <c r="C5447" s="3" t="s">
        <v>8797</v>
      </c>
      <c r="D5447" s="3" t="s">
        <v>8743</v>
      </c>
      <c r="F5447" s="3" t="s">
        <v>1277</v>
      </c>
      <c r="G5447" s="3" t="s">
        <v>399</v>
      </c>
      <c r="I5447" s="3" t="s">
        <v>8628</v>
      </c>
    </row>
    <row r="5448" spans="2:9" hidden="1" x14ac:dyDescent="0.4">
      <c r="B5448" s="8" t="s">
        <v>517</v>
      </c>
      <c r="C5448" s="3" t="s">
        <v>8797</v>
      </c>
      <c r="D5448" s="3" t="s">
        <v>8744</v>
      </c>
      <c r="F5448" s="3" t="s">
        <v>1277</v>
      </c>
      <c r="G5448" s="3" t="s">
        <v>399</v>
      </c>
      <c r="I5448" s="3" t="s">
        <v>8628</v>
      </c>
    </row>
    <row r="5449" spans="2:9" hidden="1" x14ac:dyDescent="0.4">
      <c r="B5449" s="8" t="s">
        <v>517</v>
      </c>
      <c r="C5449" s="3" t="s">
        <v>8798</v>
      </c>
      <c r="D5449" s="3" t="s">
        <v>8745</v>
      </c>
      <c r="F5449" s="3" t="s">
        <v>1277</v>
      </c>
      <c r="G5449" s="3" t="s">
        <v>399</v>
      </c>
      <c r="I5449" s="3" t="s">
        <v>8628</v>
      </c>
    </row>
    <row r="5450" spans="2:9" hidden="1" x14ac:dyDescent="0.4">
      <c r="B5450" s="8" t="s">
        <v>517</v>
      </c>
      <c r="C5450" s="3" t="s">
        <v>8799</v>
      </c>
      <c r="D5450" s="3" t="s">
        <v>8746</v>
      </c>
      <c r="F5450" s="3" t="s">
        <v>1277</v>
      </c>
      <c r="G5450" s="3" t="s">
        <v>399</v>
      </c>
      <c r="I5450" s="3" t="s">
        <v>8628</v>
      </c>
    </row>
    <row r="5451" spans="2:9" hidden="1" x14ac:dyDescent="0.4">
      <c r="B5451" s="8" t="s">
        <v>517</v>
      </c>
      <c r="C5451" s="3" t="s">
        <v>8800</v>
      </c>
      <c r="D5451" s="3" t="s">
        <v>8747</v>
      </c>
      <c r="F5451" s="3" t="s">
        <v>1277</v>
      </c>
      <c r="G5451" s="3" t="s">
        <v>399</v>
      </c>
      <c r="I5451" s="3" t="s">
        <v>8628</v>
      </c>
    </row>
    <row r="5452" spans="2:9" hidden="1" x14ac:dyDescent="0.4">
      <c r="B5452" s="8" t="s">
        <v>517</v>
      </c>
      <c r="C5452" s="3" t="s">
        <v>8801</v>
      </c>
      <c r="D5452" s="3" t="s">
        <v>8748</v>
      </c>
      <c r="F5452" s="3" t="s">
        <v>1277</v>
      </c>
      <c r="G5452" s="3" t="s">
        <v>399</v>
      </c>
      <c r="I5452" s="3" t="s">
        <v>8628</v>
      </c>
    </row>
    <row r="5453" spans="2:9" hidden="1" x14ac:dyDescent="0.4">
      <c r="B5453" s="8" t="s">
        <v>517</v>
      </c>
      <c r="C5453" s="3" t="s">
        <v>8802</v>
      </c>
      <c r="D5453" s="3" t="s">
        <v>8749</v>
      </c>
      <c r="F5453" s="3" t="s">
        <v>1277</v>
      </c>
      <c r="G5453" s="3" t="s">
        <v>399</v>
      </c>
      <c r="I5453" s="3" t="s">
        <v>8628</v>
      </c>
    </row>
    <row r="5454" spans="2:9" hidden="1" x14ac:dyDescent="0.4">
      <c r="B5454" s="8" t="s">
        <v>517</v>
      </c>
      <c r="C5454" s="3" t="s">
        <v>8803</v>
      </c>
      <c r="D5454" s="3" t="s">
        <v>8750</v>
      </c>
      <c r="F5454" s="3" t="s">
        <v>1277</v>
      </c>
      <c r="G5454" s="3" t="s">
        <v>399</v>
      </c>
      <c r="I5454" s="3" t="s">
        <v>8628</v>
      </c>
    </row>
    <row r="5455" spans="2:9" hidden="1" x14ac:dyDescent="0.4">
      <c r="B5455" s="8" t="s">
        <v>517</v>
      </c>
      <c r="C5455" s="3" t="s">
        <v>8804</v>
      </c>
      <c r="D5455" s="3" t="s">
        <v>8751</v>
      </c>
      <c r="F5455" s="3" t="s">
        <v>1277</v>
      </c>
      <c r="G5455" s="3" t="s">
        <v>399</v>
      </c>
      <c r="I5455" s="3" t="s">
        <v>8628</v>
      </c>
    </row>
    <row r="5456" spans="2:9" hidden="1" x14ac:dyDescent="0.4">
      <c r="B5456" s="8" t="s">
        <v>517</v>
      </c>
      <c r="C5456" s="3" t="s">
        <v>8805</v>
      </c>
      <c r="D5456" s="3" t="s">
        <v>8752</v>
      </c>
      <c r="F5456" s="3" t="s">
        <v>1277</v>
      </c>
      <c r="G5456" s="3" t="s">
        <v>399</v>
      </c>
      <c r="I5456" s="3" t="s">
        <v>8628</v>
      </c>
    </row>
    <row r="5457" spans="2:9" hidden="1" x14ac:dyDescent="0.4">
      <c r="B5457" s="8" t="s">
        <v>517</v>
      </c>
      <c r="C5457" s="3" t="s">
        <v>2247</v>
      </c>
      <c r="D5457" s="3" t="s">
        <v>8753</v>
      </c>
      <c r="E5457" s="3" t="s">
        <v>432</v>
      </c>
      <c r="F5457" s="3" t="s">
        <v>1277</v>
      </c>
      <c r="G5457" s="3" t="s">
        <v>399</v>
      </c>
      <c r="I5457" s="3" t="s">
        <v>8628</v>
      </c>
    </row>
    <row r="5458" spans="2:9" hidden="1" x14ac:dyDescent="0.4">
      <c r="B5458" s="8" t="s">
        <v>529</v>
      </c>
      <c r="C5458" s="3" t="s">
        <v>8806</v>
      </c>
      <c r="D5458" s="3" t="s">
        <v>8754</v>
      </c>
      <c r="E5458" s="3" t="s">
        <v>7805</v>
      </c>
      <c r="F5458" s="3" t="s">
        <v>1277</v>
      </c>
      <c r="G5458" s="3" t="s">
        <v>399</v>
      </c>
      <c r="I5458" s="3" t="s">
        <v>8628</v>
      </c>
    </row>
    <row r="5459" spans="2:9" hidden="1" x14ac:dyDescent="0.4">
      <c r="B5459" s="8" t="s">
        <v>517</v>
      </c>
      <c r="C5459" s="3" t="s">
        <v>8807</v>
      </c>
      <c r="D5459" s="3" t="s">
        <v>8755</v>
      </c>
      <c r="E5459" s="3" t="s">
        <v>7805</v>
      </c>
      <c r="F5459" s="3" t="s">
        <v>1277</v>
      </c>
      <c r="G5459" s="3" t="s">
        <v>399</v>
      </c>
      <c r="I5459" s="3" t="s">
        <v>8628</v>
      </c>
    </row>
    <row r="5460" spans="2:9" hidden="1" x14ac:dyDescent="0.4">
      <c r="B5460" s="8" t="s">
        <v>529</v>
      </c>
      <c r="C5460" s="3" t="s">
        <v>8808</v>
      </c>
      <c r="D5460" s="3" t="s">
        <v>8756</v>
      </c>
      <c r="E5460" s="3" t="s">
        <v>7805</v>
      </c>
      <c r="F5460" s="3" t="s">
        <v>1277</v>
      </c>
      <c r="G5460" s="3" t="s">
        <v>399</v>
      </c>
      <c r="I5460" s="3" t="s">
        <v>8628</v>
      </c>
    </row>
    <row r="5461" spans="2:9" hidden="1" x14ac:dyDescent="0.4">
      <c r="B5461" s="8" t="s">
        <v>8874</v>
      </c>
      <c r="C5461" s="3" t="s">
        <v>8809</v>
      </c>
      <c r="D5461" s="3" t="s">
        <v>8757</v>
      </c>
      <c r="E5461" s="3" t="s">
        <v>7805</v>
      </c>
      <c r="F5461" s="3" t="s">
        <v>1277</v>
      </c>
      <c r="G5461" s="3" t="s">
        <v>399</v>
      </c>
      <c r="I5461" s="3" t="s">
        <v>8628</v>
      </c>
    </row>
    <row r="5462" spans="2:9" hidden="1" x14ac:dyDescent="0.4">
      <c r="B5462" s="8" t="s">
        <v>517</v>
      </c>
      <c r="C5462" s="3" t="s">
        <v>8810</v>
      </c>
      <c r="D5462" s="3" t="s">
        <v>8758</v>
      </c>
      <c r="E5462" s="3" t="s">
        <v>7805</v>
      </c>
      <c r="F5462" s="3" t="s">
        <v>1277</v>
      </c>
      <c r="G5462" s="3" t="s">
        <v>399</v>
      </c>
      <c r="I5462" s="3" t="s">
        <v>8628</v>
      </c>
    </row>
    <row r="5463" spans="2:9" hidden="1" x14ac:dyDescent="0.4">
      <c r="B5463" s="8" t="s">
        <v>520</v>
      </c>
      <c r="C5463" s="3" t="s">
        <v>8811</v>
      </c>
      <c r="D5463" s="3" t="s">
        <v>8759</v>
      </c>
      <c r="E5463" s="3" t="s">
        <v>7805</v>
      </c>
      <c r="F5463" s="3" t="s">
        <v>1277</v>
      </c>
      <c r="G5463" s="3" t="s">
        <v>399</v>
      </c>
      <c r="I5463" s="3" t="s">
        <v>8628</v>
      </c>
    </row>
    <row r="5464" spans="2:9" hidden="1" x14ac:dyDescent="0.4">
      <c r="B5464" s="8" t="s">
        <v>517</v>
      </c>
      <c r="C5464" s="3" t="s">
        <v>8812</v>
      </c>
      <c r="D5464" s="3" t="s">
        <v>8760</v>
      </c>
      <c r="E5464" s="3" t="s">
        <v>7805</v>
      </c>
      <c r="F5464" s="3" t="s">
        <v>1277</v>
      </c>
      <c r="G5464" s="3" t="s">
        <v>399</v>
      </c>
      <c r="I5464" s="3" t="s">
        <v>8628</v>
      </c>
    </row>
    <row r="5465" spans="2:9" hidden="1" x14ac:dyDescent="0.4">
      <c r="B5465" s="8" t="s">
        <v>518</v>
      </c>
      <c r="C5465" s="3" t="s">
        <v>8445</v>
      </c>
      <c r="D5465" s="3" t="s">
        <v>8761</v>
      </c>
      <c r="E5465" s="3" t="s">
        <v>7805</v>
      </c>
      <c r="F5465" s="3" t="s">
        <v>1277</v>
      </c>
      <c r="G5465" s="3" t="s">
        <v>399</v>
      </c>
      <c r="I5465" s="3" t="s">
        <v>8628</v>
      </c>
    </row>
    <row r="5466" spans="2:9" hidden="1" x14ac:dyDescent="0.4">
      <c r="B5466" s="8" t="s">
        <v>529</v>
      </c>
      <c r="C5466" s="3" t="s">
        <v>8813</v>
      </c>
      <c r="D5466" s="3" t="s">
        <v>8762</v>
      </c>
      <c r="E5466" s="3" t="s">
        <v>7805</v>
      </c>
      <c r="F5466" s="3" t="s">
        <v>1277</v>
      </c>
      <c r="G5466" s="3" t="s">
        <v>399</v>
      </c>
      <c r="I5466" s="3" t="s">
        <v>8628</v>
      </c>
    </row>
    <row r="5467" spans="2:9" hidden="1" x14ac:dyDescent="0.4">
      <c r="B5467" s="8" t="s">
        <v>517</v>
      </c>
      <c r="C5467" s="3" t="s">
        <v>8814</v>
      </c>
      <c r="D5467" s="3" t="s">
        <v>8763</v>
      </c>
      <c r="F5467" s="3" t="s">
        <v>1277</v>
      </c>
      <c r="G5467" s="3" t="s">
        <v>399</v>
      </c>
      <c r="I5467" s="3" t="s">
        <v>8628</v>
      </c>
    </row>
    <row r="5468" spans="2:9" hidden="1" x14ac:dyDescent="0.4">
      <c r="B5468" s="8" t="s">
        <v>517</v>
      </c>
      <c r="C5468" s="3" t="s">
        <v>8815</v>
      </c>
      <c r="D5468" s="3" t="s">
        <v>8764</v>
      </c>
      <c r="E5468" s="3" t="s">
        <v>7805</v>
      </c>
      <c r="F5468" s="3" t="s">
        <v>1277</v>
      </c>
      <c r="G5468" s="3" t="s">
        <v>399</v>
      </c>
      <c r="I5468" s="3" t="s">
        <v>8628</v>
      </c>
    </row>
    <row r="5469" spans="2:9" hidden="1" x14ac:dyDescent="0.4">
      <c r="B5469" s="8" t="s">
        <v>517</v>
      </c>
      <c r="C5469" s="3" t="s">
        <v>8816</v>
      </c>
      <c r="D5469" s="3" t="s">
        <v>8765</v>
      </c>
      <c r="E5469" s="3" t="s">
        <v>7805</v>
      </c>
      <c r="F5469" s="3" t="s">
        <v>1277</v>
      </c>
      <c r="G5469" s="3" t="s">
        <v>399</v>
      </c>
      <c r="I5469" s="3" t="s">
        <v>8628</v>
      </c>
    </row>
    <row r="5470" spans="2:9" hidden="1" x14ac:dyDescent="0.4">
      <c r="B5470" s="8" t="s">
        <v>517</v>
      </c>
      <c r="C5470" s="3" t="s">
        <v>8817</v>
      </c>
      <c r="D5470" s="3" t="s">
        <v>8766</v>
      </c>
      <c r="E5470" s="3" t="s">
        <v>432</v>
      </c>
      <c r="F5470" s="3" t="s">
        <v>1277</v>
      </c>
      <c r="G5470" s="3" t="s">
        <v>399</v>
      </c>
      <c r="I5470" s="3" t="s">
        <v>8628</v>
      </c>
    </row>
    <row r="5471" spans="2:9" hidden="1" x14ac:dyDescent="0.4">
      <c r="B5471" s="8" t="s">
        <v>517</v>
      </c>
      <c r="C5471" s="3" t="s">
        <v>8817</v>
      </c>
      <c r="D5471" s="3" t="s">
        <v>9780</v>
      </c>
      <c r="E5471" s="3" t="s">
        <v>425</v>
      </c>
      <c r="F5471" s="3" t="s">
        <v>399</v>
      </c>
      <c r="I5471" s="3" t="s">
        <v>523</v>
      </c>
    </row>
    <row r="5472" spans="2:9" hidden="1" x14ac:dyDescent="0.4">
      <c r="B5472" s="8" t="s">
        <v>529</v>
      </c>
      <c r="C5472" s="3" t="s">
        <v>8818</v>
      </c>
      <c r="D5472" s="3" t="s">
        <v>8767</v>
      </c>
      <c r="E5472" s="3" t="s">
        <v>7805</v>
      </c>
      <c r="F5472" s="3" t="s">
        <v>1277</v>
      </c>
      <c r="G5472" s="3" t="s">
        <v>399</v>
      </c>
      <c r="I5472" s="3" t="s">
        <v>8628</v>
      </c>
    </row>
    <row r="5473" spans="2:9" hidden="1" x14ac:dyDescent="0.4">
      <c r="B5473" s="8" t="s">
        <v>529</v>
      </c>
      <c r="C5473" s="3" t="s">
        <v>8819</v>
      </c>
      <c r="D5473" s="3" t="s">
        <v>8767</v>
      </c>
      <c r="E5473" s="3" t="s">
        <v>7805</v>
      </c>
      <c r="F5473" s="3" t="s">
        <v>1277</v>
      </c>
      <c r="G5473" s="3" t="s">
        <v>399</v>
      </c>
      <c r="I5473" s="3" t="s">
        <v>8628</v>
      </c>
    </row>
    <row r="5474" spans="2:9" hidden="1" x14ac:dyDescent="0.4">
      <c r="B5474" s="8" t="s">
        <v>517</v>
      </c>
      <c r="C5474" s="3" t="s">
        <v>8820</v>
      </c>
      <c r="D5474" s="3" t="s">
        <v>8842</v>
      </c>
      <c r="E5474" s="3" t="s">
        <v>7805</v>
      </c>
      <c r="F5474" s="3" t="s">
        <v>1277</v>
      </c>
      <c r="G5474" s="3" t="s">
        <v>399</v>
      </c>
      <c r="I5474" s="3" t="s">
        <v>8628</v>
      </c>
    </row>
    <row r="5475" spans="2:9" hidden="1" x14ac:dyDescent="0.4">
      <c r="B5475" s="8" t="s">
        <v>518</v>
      </c>
      <c r="C5475" s="3" t="s">
        <v>8454</v>
      </c>
      <c r="D5475" s="3" t="s">
        <v>8843</v>
      </c>
      <c r="E5475" s="3" t="s">
        <v>7805</v>
      </c>
      <c r="F5475" s="3" t="s">
        <v>1277</v>
      </c>
      <c r="G5475" s="3" t="s">
        <v>399</v>
      </c>
      <c r="I5475" s="3" t="s">
        <v>8628</v>
      </c>
    </row>
    <row r="5476" spans="2:9" hidden="1" x14ac:dyDescent="0.4">
      <c r="B5476" s="8" t="s">
        <v>529</v>
      </c>
      <c r="C5476" s="3" t="s">
        <v>8821</v>
      </c>
      <c r="D5476" s="3" t="s">
        <v>8844</v>
      </c>
      <c r="E5476" s="3" t="s">
        <v>7805</v>
      </c>
      <c r="F5476" s="3" t="s">
        <v>1277</v>
      </c>
      <c r="G5476" s="3" t="s">
        <v>399</v>
      </c>
      <c r="I5476" s="3" t="s">
        <v>8628</v>
      </c>
    </row>
    <row r="5477" spans="2:9" hidden="1" x14ac:dyDescent="0.4">
      <c r="B5477" s="8" t="s">
        <v>517</v>
      </c>
      <c r="C5477" s="3" t="s">
        <v>8822</v>
      </c>
      <c r="D5477" s="3" t="s">
        <v>8845</v>
      </c>
      <c r="E5477" s="3" t="s">
        <v>7805</v>
      </c>
      <c r="F5477" s="3" t="s">
        <v>1277</v>
      </c>
      <c r="G5477" s="3" t="s">
        <v>399</v>
      </c>
      <c r="I5477" s="3" t="s">
        <v>8628</v>
      </c>
    </row>
    <row r="5478" spans="2:9" hidden="1" x14ac:dyDescent="0.4">
      <c r="B5478" s="8" t="s">
        <v>517</v>
      </c>
      <c r="C5478" s="3" t="s">
        <v>8823</v>
      </c>
      <c r="D5478" s="3" t="s">
        <v>8846</v>
      </c>
      <c r="E5478" s="3" t="s">
        <v>7805</v>
      </c>
      <c r="F5478" s="3" t="s">
        <v>1277</v>
      </c>
      <c r="G5478" s="3" t="s">
        <v>399</v>
      </c>
      <c r="I5478" s="3" t="s">
        <v>8628</v>
      </c>
    </row>
    <row r="5479" spans="2:9" hidden="1" x14ac:dyDescent="0.4">
      <c r="B5479" s="8" t="s">
        <v>517</v>
      </c>
      <c r="C5479" s="3" t="s">
        <v>8824</v>
      </c>
      <c r="D5479" s="3" t="s">
        <v>8847</v>
      </c>
      <c r="E5479" s="3" t="s">
        <v>7805</v>
      </c>
      <c r="F5479" s="3" t="s">
        <v>1277</v>
      </c>
      <c r="G5479" s="3" t="s">
        <v>399</v>
      </c>
      <c r="I5479" s="3" t="s">
        <v>8628</v>
      </c>
    </row>
    <row r="5480" spans="2:9" hidden="1" x14ac:dyDescent="0.4">
      <c r="B5480" s="8" t="s">
        <v>520</v>
      </c>
      <c r="C5480" s="3" t="s">
        <v>8825</v>
      </c>
      <c r="D5480" s="3" t="s">
        <v>8846</v>
      </c>
      <c r="E5480" s="3" t="s">
        <v>7805</v>
      </c>
      <c r="F5480" s="3" t="s">
        <v>1277</v>
      </c>
      <c r="G5480" s="3" t="s">
        <v>399</v>
      </c>
      <c r="I5480" s="3" t="s">
        <v>8628</v>
      </c>
    </row>
    <row r="5481" spans="2:9" hidden="1" x14ac:dyDescent="0.4">
      <c r="B5481" s="8" t="s">
        <v>517</v>
      </c>
      <c r="C5481" s="3" t="s">
        <v>8826</v>
      </c>
      <c r="D5481" s="3" t="s">
        <v>8848</v>
      </c>
      <c r="E5481" s="3" t="s">
        <v>7805</v>
      </c>
      <c r="F5481" s="3" t="s">
        <v>1277</v>
      </c>
      <c r="G5481" s="3" t="s">
        <v>399</v>
      </c>
      <c r="I5481" s="3" t="s">
        <v>8628</v>
      </c>
    </row>
    <row r="5482" spans="2:9" hidden="1" x14ac:dyDescent="0.4">
      <c r="B5482" s="8" t="s">
        <v>520</v>
      </c>
      <c r="C5482" s="3" t="s">
        <v>8827</v>
      </c>
      <c r="D5482" s="3" t="s">
        <v>8849</v>
      </c>
      <c r="E5482" s="3" t="s">
        <v>7805</v>
      </c>
      <c r="F5482" s="3" t="s">
        <v>1277</v>
      </c>
      <c r="G5482" s="3" t="s">
        <v>399</v>
      </c>
      <c r="I5482" s="3" t="s">
        <v>8628</v>
      </c>
    </row>
    <row r="5483" spans="2:9" hidden="1" x14ac:dyDescent="0.4">
      <c r="B5483" s="8" t="s">
        <v>517</v>
      </c>
      <c r="C5483" s="3" t="s">
        <v>8828</v>
      </c>
      <c r="D5483" s="3" t="s">
        <v>8850</v>
      </c>
      <c r="E5483" s="3" t="s">
        <v>7805</v>
      </c>
      <c r="F5483" s="3" t="s">
        <v>1277</v>
      </c>
      <c r="G5483" s="3" t="s">
        <v>399</v>
      </c>
      <c r="I5483" s="3" t="s">
        <v>8628</v>
      </c>
    </row>
    <row r="5484" spans="2:9" hidden="1" x14ac:dyDescent="0.4">
      <c r="B5484" s="8" t="s">
        <v>520</v>
      </c>
      <c r="C5484" s="3" t="s">
        <v>8858</v>
      </c>
      <c r="D5484" s="3" t="s">
        <v>8851</v>
      </c>
      <c r="E5484" s="3" t="s">
        <v>7805</v>
      </c>
      <c r="F5484" s="3" t="s">
        <v>1277</v>
      </c>
      <c r="G5484" s="3" t="s">
        <v>399</v>
      </c>
      <c r="I5484" s="3" t="s">
        <v>8628</v>
      </c>
    </row>
    <row r="5485" spans="2:9" hidden="1" x14ac:dyDescent="0.4">
      <c r="B5485" s="8" t="s">
        <v>517</v>
      </c>
      <c r="C5485" s="3" t="s">
        <v>8859</v>
      </c>
      <c r="D5485" s="3" t="s">
        <v>8852</v>
      </c>
      <c r="E5485" s="3" t="s">
        <v>7805</v>
      </c>
      <c r="F5485" s="3" t="s">
        <v>1277</v>
      </c>
      <c r="G5485" s="3" t="s">
        <v>399</v>
      </c>
      <c r="I5485" s="3" t="s">
        <v>8628</v>
      </c>
    </row>
    <row r="5486" spans="2:9" hidden="1" x14ac:dyDescent="0.4">
      <c r="B5486" s="8" t="s">
        <v>517</v>
      </c>
      <c r="C5486" s="3" t="s">
        <v>8829</v>
      </c>
      <c r="D5486" s="3" t="s">
        <v>8846</v>
      </c>
      <c r="E5486" s="3" t="s">
        <v>7805</v>
      </c>
      <c r="F5486" s="3" t="s">
        <v>1277</v>
      </c>
      <c r="G5486" s="3" t="s">
        <v>399</v>
      </c>
      <c r="I5486" s="3" t="s">
        <v>8628</v>
      </c>
    </row>
    <row r="5487" spans="2:9" hidden="1" x14ac:dyDescent="0.4">
      <c r="B5487" s="8" t="s">
        <v>517</v>
      </c>
      <c r="C5487" s="3" t="s">
        <v>8830</v>
      </c>
      <c r="D5487" s="3" t="s">
        <v>8853</v>
      </c>
      <c r="E5487" s="3" t="s">
        <v>7805</v>
      </c>
      <c r="F5487" s="3" t="s">
        <v>1277</v>
      </c>
      <c r="G5487" s="3" t="s">
        <v>399</v>
      </c>
      <c r="I5487" s="3" t="s">
        <v>8628</v>
      </c>
    </row>
    <row r="5488" spans="2:9" hidden="1" x14ac:dyDescent="0.4">
      <c r="B5488" s="8" t="s">
        <v>517</v>
      </c>
      <c r="C5488" s="3" t="s">
        <v>8831</v>
      </c>
      <c r="D5488" s="3" t="s">
        <v>8846</v>
      </c>
      <c r="E5488" s="3" t="s">
        <v>7805</v>
      </c>
      <c r="F5488" s="3" t="s">
        <v>1277</v>
      </c>
      <c r="G5488" s="3" t="s">
        <v>399</v>
      </c>
      <c r="I5488" s="3" t="s">
        <v>8628</v>
      </c>
    </row>
    <row r="5489" spans="2:9" hidden="1" x14ac:dyDescent="0.4">
      <c r="B5489" s="8" t="s">
        <v>517</v>
      </c>
      <c r="C5489" s="3" t="s">
        <v>8832</v>
      </c>
      <c r="D5489" s="3" t="s">
        <v>8854</v>
      </c>
      <c r="E5489" s="3" t="s">
        <v>7805</v>
      </c>
      <c r="F5489" s="3" t="s">
        <v>1277</v>
      </c>
      <c r="G5489" s="3" t="s">
        <v>399</v>
      </c>
      <c r="I5489" s="3" t="s">
        <v>8628</v>
      </c>
    </row>
    <row r="5490" spans="2:9" hidden="1" x14ac:dyDescent="0.4">
      <c r="B5490" s="8" t="s">
        <v>517</v>
      </c>
      <c r="C5490" s="3" t="s">
        <v>8833</v>
      </c>
      <c r="D5490" s="3" t="s">
        <v>8855</v>
      </c>
      <c r="E5490" s="3" t="s">
        <v>7805</v>
      </c>
      <c r="F5490" s="3" t="s">
        <v>1277</v>
      </c>
      <c r="G5490" s="3" t="s">
        <v>399</v>
      </c>
      <c r="I5490" s="3" t="s">
        <v>8628</v>
      </c>
    </row>
    <row r="5491" spans="2:9" hidden="1" x14ac:dyDescent="0.4">
      <c r="B5491" s="8" t="s">
        <v>520</v>
      </c>
      <c r="C5491" s="3" t="s">
        <v>8834</v>
      </c>
      <c r="D5491" s="3" t="s">
        <v>8856</v>
      </c>
      <c r="E5491" s="3" t="s">
        <v>7805</v>
      </c>
      <c r="F5491" s="3" t="s">
        <v>1277</v>
      </c>
      <c r="G5491" s="3" t="s">
        <v>399</v>
      </c>
      <c r="I5491" s="3" t="s">
        <v>8628</v>
      </c>
    </row>
    <row r="5492" spans="2:9" hidden="1" x14ac:dyDescent="0.4">
      <c r="B5492" s="8" t="s">
        <v>517</v>
      </c>
      <c r="C5492" s="3" t="s">
        <v>8835</v>
      </c>
      <c r="D5492" s="3" t="s">
        <v>8857</v>
      </c>
      <c r="F5492" s="3" t="s">
        <v>1277</v>
      </c>
      <c r="G5492" s="3" t="s">
        <v>399</v>
      </c>
      <c r="I5492" s="3" t="s">
        <v>8628</v>
      </c>
    </row>
    <row r="5493" spans="2:9" hidden="1" x14ac:dyDescent="0.4">
      <c r="B5493" s="8" t="s">
        <v>517</v>
      </c>
      <c r="C5493" s="3" t="s">
        <v>8836</v>
      </c>
      <c r="D5493" s="3" t="s">
        <v>8860</v>
      </c>
      <c r="F5493" s="3" t="s">
        <v>1277</v>
      </c>
      <c r="G5493" s="3" t="s">
        <v>399</v>
      </c>
      <c r="I5493" s="3" t="s">
        <v>8628</v>
      </c>
    </row>
    <row r="5494" spans="2:9" hidden="1" x14ac:dyDescent="0.4">
      <c r="B5494" s="8" t="s">
        <v>517</v>
      </c>
      <c r="C5494" s="3" t="s">
        <v>8837</v>
      </c>
      <c r="D5494" s="3" t="s">
        <v>8861</v>
      </c>
      <c r="F5494" s="3" t="s">
        <v>1277</v>
      </c>
      <c r="G5494" s="3" t="s">
        <v>399</v>
      </c>
      <c r="I5494" s="3" t="s">
        <v>8628</v>
      </c>
    </row>
    <row r="5495" spans="2:9" hidden="1" x14ac:dyDescent="0.4">
      <c r="B5495" s="8" t="s">
        <v>517</v>
      </c>
      <c r="C5495" s="3" t="s">
        <v>8838</v>
      </c>
      <c r="D5495" s="3" t="s">
        <v>8862</v>
      </c>
      <c r="E5495" s="3" t="s">
        <v>7805</v>
      </c>
      <c r="F5495" s="3" t="s">
        <v>1277</v>
      </c>
      <c r="G5495" s="3" t="s">
        <v>399</v>
      </c>
      <c r="I5495" s="3" t="s">
        <v>8628</v>
      </c>
    </row>
    <row r="5496" spans="2:9" hidden="1" x14ac:dyDescent="0.4">
      <c r="B5496" s="8" t="s">
        <v>517</v>
      </c>
      <c r="C5496" s="3" t="s">
        <v>8839</v>
      </c>
      <c r="D5496" s="3" t="s">
        <v>8863</v>
      </c>
      <c r="E5496" s="3" t="s">
        <v>7805</v>
      </c>
      <c r="F5496" s="3" t="s">
        <v>1277</v>
      </c>
      <c r="G5496" s="3" t="s">
        <v>399</v>
      </c>
      <c r="I5496" s="3" t="s">
        <v>8628</v>
      </c>
    </row>
    <row r="5497" spans="2:9" hidden="1" x14ac:dyDescent="0.4">
      <c r="B5497" s="8" t="s">
        <v>518</v>
      </c>
      <c r="C5497" s="3" t="s">
        <v>8840</v>
      </c>
      <c r="D5497" s="3" t="s">
        <v>8864</v>
      </c>
      <c r="E5497" s="3" t="s">
        <v>7805</v>
      </c>
      <c r="F5497" s="3" t="s">
        <v>1277</v>
      </c>
      <c r="G5497" s="3" t="s">
        <v>399</v>
      </c>
      <c r="I5497" s="3" t="s">
        <v>8628</v>
      </c>
    </row>
    <row r="5498" spans="2:9" hidden="1" x14ac:dyDescent="0.4">
      <c r="B5498" s="8" t="s">
        <v>517</v>
      </c>
      <c r="C5498" s="3" t="s">
        <v>8841</v>
      </c>
      <c r="D5498" s="3" t="s">
        <v>8865</v>
      </c>
      <c r="E5498" s="3" t="s">
        <v>7805</v>
      </c>
      <c r="F5498" s="3" t="s">
        <v>1277</v>
      </c>
      <c r="G5498" s="3" t="s">
        <v>399</v>
      </c>
      <c r="I5498" s="3" t="s">
        <v>8628</v>
      </c>
    </row>
    <row r="5499" spans="2:9" hidden="1" x14ac:dyDescent="0.4">
      <c r="B5499" s="8" t="s">
        <v>529</v>
      </c>
      <c r="C5499" s="3" t="s">
        <v>8869</v>
      </c>
      <c r="D5499" s="3" t="s">
        <v>8866</v>
      </c>
      <c r="E5499" s="3" t="s">
        <v>7805</v>
      </c>
      <c r="F5499" s="3" t="s">
        <v>1277</v>
      </c>
      <c r="G5499" s="3" t="s">
        <v>399</v>
      </c>
      <c r="I5499" s="3" t="s">
        <v>8628</v>
      </c>
    </row>
    <row r="5500" spans="2:9" hidden="1" x14ac:dyDescent="0.4">
      <c r="B5500" s="8" t="s">
        <v>529</v>
      </c>
      <c r="C5500" s="3" t="s">
        <v>8870</v>
      </c>
      <c r="D5500" s="3" t="s">
        <v>8867</v>
      </c>
      <c r="E5500" s="3" t="s">
        <v>7805</v>
      </c>
      <c r="F5500" s="3" t="s">
        <v>1277</v>
      </c>
      <c r="G5500" s="3" t="s">
        <v>399</v>
      </c>
      <c r="I5500" s="3" t="s">
        <v>8628</v>
      </c>
    </row>
    <row r="5501" spans="2:9" hidden="1" x14ac:dyDescent="0.4">
      <c r="B5501" s="8" t="s">
        <v>517</v>
      </c>
      <c r="C5501" s="3" t="s">
        <v>8871</v>
      </c>
      <c r="D5501" s="3" t="s">
        <v>8868</v>
      </c>
      <c r="E5501" s="3" t="s">
        <v>7805</v>
      </c>
      <c r="F5501" s="3" t="s">
        <v>1277</v>
      </c>
      <c r="G5501" s="3" t="s">
        <v>399</v>
      </c>
      <c r="I5501" s="3" t="s">
        <v>8628</v>
      </c>
    </row>
    <row r="5502" spans="2:9" hidden="1" x14ac:dyDescent="0.4">
      <c r="B5502" s="8" t="s">
        <v>536</v>
      </c>
      <c r="C5502" s="3" t="s">
        <v>8875</v>
      </c>
      <c r="D5502" s="3" t="s">
        <v>8896</v>
      </c>
      <c r="E5502" s="3" t="s">
        <v>1272</v>
      </c>
      <c r="F5502" s="3" t="s">
        <v>1124</v>
      </c>
      <c r="I5502" s="3" t="s">
        <v>8924</v>
      </c>
    </row>
    <row r="5503" spans="2:9" hidden="1" x14ac:dyDescent="0.4">
      <c r="B5503" s="8" t="s">
        <v>536</v>
      </c>
      <c r="C5503" s="3" t="s">
        <v>8876</v>
      </c>
      <c r="D5503" s="3" t="s">
        <v>8897</v>
      </c>
      <c r="E5503" s="3" t="s">
        <v>1272</v>
      </c>
      <c r="F5503" s="3" t="s">
        <v>1124</v>
      </c>
      <c r="I5503" s="3" t="s">
        <v>8924</v>
      </c>
    </row>
    <row r="5504" spans="2:9" hidden="1" x14ac:dyDescent="0.4">
      <c r="B5504" s="8" t="s">
        <v>536</v>
      </c>
      <c r="C5504" s="3" t="s">
        <v>8877</v>
      </c>
      <c r="D5504" s="3" t="s">
        <v>8898</v>
      </c>
      <c r="E5504" s="3" t="s">
        <v>1272</v>
      </c>
      <c r="F5504" s="3" t="s">
        <v>1124</v>
      </c>
      <c r="I5504" s="3" t="s">
        <v>8924</v>
      </c>
    </row>
    <row r="5505" spans="2:9" hidden="1" x14ac:dyDescent="0.4">
      <c r="B5505" s="8" t="s">
        <v>536</v>
      </c>
      <c r="C5505" s="3" t="s">
        <v>8878</v>
      </c>
      <c r="D5505" s="3" t="s">
        <v>8899</v>
      </c>
      <c r="E5505" s="3" t="s">
        <v>1272</v>
      </c>
      <c r="F5505" s="3" t="s">
        <v>1124</v>
      </c>
      <c r="I5505" s="3" t="s">
        <v>8924</v>
      </c>
    </row>
    <row r="5506" spans="2:9" hidden="1" x14ac:dyDescent="0.4">
      <c r="B5506" s="8" t="s">
        <v>536</v>
      </c>
      <c r="C5506" s="3" t="s">
        <v>8879</v>
      </c>
      <c r="D5506" s="3" t="s">
        <v>8900</v>
      </c>
      <c r="E5506" s="3" t="s">
        <v>1272</v>
      </c>
      <c r="F5506" s="3" t="s">
        <v>1124</v>
      </c>
      <c r="I5506" s="3" t="s">
        <v>8924</v>
      </c>
    </row>
    <row r="5507" spans="2:9" hidden="1" x14ac:dyDescent="0.4">
      <c r="B5507" s="8" t="s">
        <v>536</v>
      </c>
      <c r="C5507" s="3" t="s">
        <v>8880</v>
      </c>
      <c r="D5507" s="3" t="s">
        <v>8901</v>
      </c>
      <c r="E5507" s="3" t="s">
        <v>1272</v>
      </c>
      <c r="F5507" s="3" t="s">
        <v>1124</v>
      </c>
      <c r="I5507" s="3" t="s">
        <v>8924</v>
      </c>
    </row>
    <row r="5508" spans="2:9" hidden="1" x14ac:dyDescent="0.4">
      <c r="B5508" s="8" t="s">
        <v>536</v>
      </c>
      <c r="C5508" s="3" t="s">
        <v>8881</v>
      </c>
      <c r="D5508" s="3" t="s">
        <v>8902</v>
      </c>
      <c r="E5508" s="3" t="s">
        <v>1272</v>
      </c>
      <c r="F5508" s="3" t="s">
        <v>1124</v>
      </c>
      <c r="I5508" s="3" t="s">
        <v>8924</v>
      </c>
    </row>
    <row r="5509" spans="2:9" hidden="1" x14ac:dyDescent="0.4">
      <c r="B5509" s="8" t="s">
        <v>536</v>
      </c>
      <c r="C5509" s="3" t="s">
        <v>8882</v>
      </c>
      <c r="D5509" s="3" t="s">
        <v>8903</v>
      </c>
      <c r="E5509" s="3" t="s">
        <v>1272</v>
      </c>
      <c r="F5509" s="3" t="s">
        <v>1124</v>
      </c>
      <c r="I5509" s="3" t="s">
        <v>8924</v>
      </c>
    </row>
    <row r="5510" spans="2:9" hidden="1" x14ac:dyDescent="0.4">
      <c r="B5510" s="8" t="s">
        <v>536</v>
      </c>
      <c r="C5510" s="3" t="s">
        <v>8883</v>
      </c>
      <c r="D5510" s="3" t="s">
        <v>8904</v>
      </c>
      <c r="E5510" s="3" t="s">
        <v>1272</v>
      </c>
      <c r="F5510" s="3" t="s">
        <v>1124</v>
      </c>
      <c r="I5510" s="3" t="s">
        <v>8924</v>
      </c>
    </row>
    <row r="5511" spans="2:9" hidden="1" x14ac:dyDescent="0.4">
      <c r="B5511" s="8" t="s">
        <v>536</v>
      </c>
      <c r="C5511" s="3" t="s">
        <v>2686</v>
      </c>
      <c r="D5511" s="3" t="s">
        <v>8905</v>
      </c>
      <c r="E5511" s="3" t="s">
        <v>1272</v>
      </c>
      <c r="F5511" s="3" t="s">
        <v>1124</v>
      </c>
      <c r="I5511" s="3" t="s">
        <v>8924</v>
      </c>
    </row>
    <row r="5512" spans="2:9" hidden="1" x14ac:dyDescent="0.4">
      <c r="B5512" s="8" t="s">
        <v>536</v>
      </c>
      <c r="C5512" s="3" t="s">
        <v>8884</v>
      </c>
      <c r="D5512" s="3" t="s">
        <v>8906</v>
      </c>
      <c r="E5512" s="3" t="s">
        <v>1272</v>
      </c>
      <c r="F5512" s="3" t="s">
        <v>1124</v>
      </c>
      <c r="I5512" s="3" t="s">
        <v>8924</v>
      </c>
    </row>
    <row r="5513" spans="2:9" hidden="1" x14ac:dyDescent="0.4">
      <c r="B5513" s="8" t="s">
        <v>536</v>
      </c>
      <c r="C5513" s="3" t="s">
        <v>52</v>
      </c>
      <c r="D5513" s="3" t="s">
        <v>8908</v>
      </c>
      <c r="E5513" s="3" t="s">
        <v>1272</v>
      </c>
      <c r="F5513" s="3" t="s">
        <v>1124</v>
      </c>
      <c r="I5513" s="3" t="s">
        <v>8924</v>
      </c>
    </row>
    <row r="5514" spans="2:9" hidden="1" x14ac:dyDescent="0.4">
      <c r="B5514" s="8" t="s">
        <v>536</v>
      </c>
      <c r="C5514" s="3" t="s">
        <v>8885</v>
      </c>
      <c r="D5514" s="3" t="s">
        <v>8907</v>
      </c>
      <c r="E5514" s="3" t="s">
        <v>1272</v>
      </c>
      <c r="F5514" s="3" t="s">
        <v>1124</v>
      </c>
      <c r="I5514" s="3" t="s">
        <v>8924</v>
      </c>
    </row>
    <row r="5515" spans="2:9" hidden="1" x14ac:dyDescent="0.4">
      <c r="B5515" s="8" t="s">
        <v>536</v>
      </c>
      <c r="C5515" s="3" t="s">
        <v>8886</v>
      </c>
      <c r="D5515" s="3" t="s">
        <v>8909</v>
      </c>
      <c r="E5515" s="3" t="s">
        <v>1272</v>
      </c>
      <c r="F5515" s="3" t="s">
        <v>1124</v>
      </c>
      <c r="I5515" s="3" t="s">
        <v>8924</v>
      </c>
    </row>
    <row r="5516" spans="2:9" hidden="1" x14ac:dyDescent="0.4">
      <c r="B5516" s="8" t="s">
        <v>536</v>
      </c>
      <c r="C5516" s="3" t="s">
        <v>8887</v>
      </c>
      <c r="D5516" s="3" t="s">
        <v>8910</v>
      </c>
      <c r="E5516" s="3" t="s">
        <v>1272</v>
      </c>
      <c r="F5516" s="3" t="s">
        <v>1124</v>
      </c>
      <c r="I5516" s="3" t="s">
        <v>8924</v>
      </c>
    </row>
    <row r="5517" spans="2:9" hidden="1" x14ac:dyDescent="0.4">
      <c r="B5517" s="8" t="s">
        <v>536</v>
      </c>
      <c r="C5517" s="3" t="s">
        <v>8888</v>
      </c>
      <c r="D5517" s="3" t="s">
        <v>8911</v>
      </c>
      <c r="E5517" s="3" t="s">
        <v>1272</v>
      </c>
      <c r="F5517" s="3" t="s">
        <v>1124</v>
      </c>
      <c r="I5517" s="3" t="s">
        <v>8924</v>
      </c>
    </row>
    <row r="5518" spans="2:9" hidden="1" x14ac:dyDescent="0.4">
      <c r="B5518" s="8" t="s">
        <v>536</v>
      </c>
      <c r="C5518" s="3" t="s">
        <v>8889</v>
      </c>
      <c r="D5518" s="3" t="s">
        <v>8912</v>
      </c>
      <c r="E5518" s="3" t="s">
        <v>1272</v>
      </c>
      <c r="F5518" s="3" t="s">
        <v>1124</v>
      </c>
      <c r="I5518" s="3" t="s">
        <v>8924</v>
      </c>
    </row>
    <row r="5519" spans="2:9" hidden="1" x14ac:dyDescent="0.4">
      <c r="B5519" s="8" t="s">
        <v>536</v>
      </c>
      <c r="C5519" s="3" t="s">
        <v>8890</v>
      </c>
      <c r="D5519" s="3" t="s">
        <v>8913</v>
      </c>
      <c r="E5519" s="3" t="s">
        <v>1272</v>
      </c>
      <c r="F5519" s="3" t="s">
        <v>1124</v>
      </c>
      <c r="I5519" s="3" t="s">
        <v>8924</v>
      </c>
    </row>
    <row r="5520" spans="2:9" hidden="1" x14ac:dyDescent="0.4">
      <c r="B5520" s="8" t="s">
        <v>536</v>
      </c>
      <c r="C5520" s="3" t="s">
        <v>8891</v>
      </c>
      <c r="D5520" s="3" t="s">
        <v>8914</v>
      </c>
      <c r="E5520" s="3" t="s">
        <v>1272</v>
      </c>
      <c r="F5520" s="3" t="s">
        <v>1124</v>
      </c>
      <c r="I5520" s="3" t="s">
        <v>8924</v>
      </c>
    </row>
    <row r="5521" spans="2:9" hidden="1" x14ac:dyDescent="0.4">
      <c r="B5521" s="8" t="s">
        <v>536</v>
      </c>
      <c r="C5521" s="3" t="s">
        <v>8892</v>
      </c>
      <c r="D5521" s="3" t="s">
        <v>8915</v>
      </c>
      <c r="E5521" s="3" t="s">
        <v>1272</v>
      </c>
      <c r="F5521" s="3" t="s">
        <v>1124</v>
      </c>
      <c r="I5521" s="3" t="s">
        <v>8924</v>
      </c>
    </row>
    <row r="5522" spans="2:9" hidden="1" x14ac:dyDescent="0.4">
      <c r="B5522" s="8" t="s">
        <v>536</v>
      </c>
      <c r="C5522" s="3" t="str">
        <f>"-num"</f>
        <v>-num</v>
      </c>
      <c r="D5522" s="3" t="s">
        <v>8916</v>
      </c>
      <c r="E5522" s="3" t="s">
        <v>1272</v>
      </c>
      <c r="F5522" s="3" t="s">
        <v>1114</v>
      </c>
      <c r="I5522" s="3" t="s">
        <v>8925</v>
      </c>
    </row>
    <row r="5523" spans="2:9" hidden="1" x14ac:dyDescent="0.4">
      <c r="B5523" s="8" t="s">
        <v>536</v>
      </c>
      <c r="C5523" s="3" t="str">
        <f>"-rum"</f>
        <v>-rum</v>
      </c>
      <c r="D5523" s="3" t="s">
        <v>8917</v>
      </c>
      <c r="E5523" s="3" t="s">
        <v>1272</v>
      </c>
      <c r="F5523" s="3" t="s">
        <v>1114</v>
      </c>
      <c r="I5523" s="3" t="s">
        <v>8925</v>
      </c>
    </row>
    <row r="5524" spans="2:9" hidden="1" x14ac:dyDescent="0.4">
      <c r="B5524" s="8" t="s">
        <v>536</v>
      </c>
      <c r="C5524" s="3" t="str">
        <f>"-ium"</f>
        <v>-ium</v>
      </c>
      <c r="D5524" s="3" t="s">
        <v>8918</v>
      </c>
      <c r="E5524" s="3" t="s">
        <v>1272</v>
      </c>
      <c r="F5524" s="3" t="s">
        <v>1114</v>
      </c>
      <c r="I5524" s="3" t="s">
        <v>8925</v>
      </c>
    </row>
    <row r="5525" spans="2:9" hidden="1" x14ac:dyDescent="0.4">
      <c r="B5525" s="8" t="s">
        <v>536</v>
      </c>
      <c r="C5525" s="3" t="str">
        <f>"-terae"</f>
        <v>-terae</v>
      </c>
      <c r="D5525" s="3" t="s">
        <v>8919</v>
      </c>
      <c r="E5525" s="3" t="s">
        <v>1272</v>
      </c>
      <c r="F5525" s="3" t="s">
        <v>1114</v>
      </c>
      <c r="I5525" s="3" t="s">
        <v>8925</v>
      </c>
    </row>
    <row r="5526" spans="2:9" hidden="1" x14ac:dyDescent="0.4">
      <c r="B5526" s="8" t="s">
        <v>536</v>
      </c>
      <c r="C5526" s="3" t="str">
        <f>"-nidae"</f>
        <v>-nidae</v>
      </c>
      <c r="D5526" s="3" t="s">
        <v>8920</v>
      </c>
      <c r="E5526" s="3" t="s">
        <v>1272</v>
      </c>
      <c r="F5526" s="3" t="s">
        <v>1114</v>
      </c>
      <c r="I5526" s="3" t="s">
        <v>8925</v>
      </c>
    </row>
    <row r="5527" spans="2:9" hidden="1" x14ac:dyDescent="0.4">
      <c r="B5527" s="8" t="s">
        <v>536</v>
      </c>
      <c r="C5527" s="3" t="str">
        <f>"-lidae"</f>
        <v>-lidae</v>
      </c>
      <c r="D5527" s="3" t="s">
        <v>8921</v>
      </c>
      <c r="E5527" s="3" t="s">
        <v>1272</v>
      </c>
      <c r="F5527" s="3" t="s">
        <v>1114</v>
      </c>
      <c r="I5527" s="3" t="s">
        <v>8925</v>
      </c>
    </row>
    <row r="5528" spans="2:9" hidden="1" x14ac:dyDescent="0.4">
      <c r="B5528" s="8" t="s">
        <v>536</v>
      </c>
      <c r="C5528" s="3" t="str">
        <f>"-on"</f>
        <v>-on</v>
      </c>
      <c r="D5528" s="3" t="s">
        <v>8922</v>
      </c>
      <c r="E5528" s="3" t="s">
        <v>1272</v>
      </c>
      <c r="F5528" s="3" t="s">
        <v>1114</v>
      </c>
      <c r="I5528" s="3" t="s">
        <v>8925</v>
      </c>
    </row>
    <row r="5529" spans="2:9" hidden="1" x14ac:dyDescent="0.4">
      <c r="B5529" s="8" t="s">
        <v>532</v>
      </c>
      <c r="C5529" s="3" t="s">
        <v>8893</v>
      </c>
      <c r="D5529" s="3" t="s">
        <v>8927</v>
      </c>
      <c r="F5529" s="3" t="s">
        <v>988</v>
      </c>
      <c r="I5529" s="3" t="s">
        <v>8926</v>
      </c>
    </row>
    <row r="5530" spans="2:9" hidden="1" x14ac:dyDescent="0.4">
      <c r="B5530" s="8" t="s">
        <v>532</v>
      </c>
      <c r="C5530" s="3" t="s">
        <v>8894</v>
      </c>
      <c r="D5530" s="3" t="s">
        <v>8928</v>
      </c>
      <c r="F5530" s="3" t="s">
        <v>988</v>
      </c>
      <c r="I5530" s="3" t="s">
        <v>8926</v>
      </c>
    </row>
    <row r="5531" spans="2:9" hidden="1" x14ac:dyDescent="0.4">
      <c r="B5531" s="8" t="s">
        <v>532</v>
      </c>
      <c r="C5531" s="3" t="s">
        <v>8895</v>
      </c>
      <c r="D5531" s="3" t="s">
        <v>8929</v>
      </c>
      <c r="F5531" s="3" t="s">
        <v>988</v>
      </c>
      <c r="I5531" s="3" t="s">
        <v>8926</v>
      </c>
    </row>
    <row r="5532" spans="2:9" hidden="1" x14ac:dyDescent="0.4">
      <c r="B5532" s="8" t="s">
        <v>517</v>
      </c>
      <c r="C5532" s="3" t="s">
        <v>8930</v>
      </c>
      <c r="D5532" s="3" t="s">
        <v>9273</v>
      </c>
      <c r="F5532" s="3" t="s">
        <v>399</v>
      </c>
      <c r="G5532" s="3" t="s">
        <v>402</v>
      </c>
      <c r="I5532" s="3" t="s">
        <v>7359</v>
      </c>
    </row>
    <row r="5533" spans="2:9" hidden="1" x14ac:dyDescent="0.4">
      <c r="B5533" s="8" t="s">
        <v>529</v>
      </c>
      <c r="C5533" s="3" t="s">
        <v>8931</v>
      </c>
      <c r="D5533" s="3" t="s">
        <v>9275</v>
      </c>
      <c r="F5533" s="3" t="s">
        <v>399</v>
      </c>
      <c r="I5533" s="3" t="s">
        <v>7359</v>
      </c>
    </row>
    <row r="5534" spans="2:9" hidden="1" x14ac:dyDescent="0.4">
      <c r="B5534" s="8" t="s">
        <v>517</v>
      </c>
      <c r="C5534" s="3" t="s">
        <v>8932</v>
      </c>
      <c r="D5534" s="3" t="s">
        <v>9277</v>
      </c>
      <c r="F5534" s="3" t="s">
        <v>399</v>
      </c>
      <c r="I5534" s="3" t="s">
        <v>7359</v>
      </c>
    </row>
    <row r="5535" spans="2:9" hidden="1" x14ac:dyDescent="0.4">
      <c r="B5535" s="8" t="s">
        <v>529</v>
      </c>
      <c r="C5535" s="3" t="s">
        <v>1486</v>
      </c>
      <c r="D5535" s="3" t="s">
        <v>9276</v>
      </c>
      <c r="F5535" s="3" t="s">
        <v>399</v>
      </c>
      <c r="I5535" s="3" t="s">
        <v>7359</v>
      </c>
    </row>
    <row r="5536" spans="2:9" hidden="1" x14ac:dyDescent="0.4">
      <c r="B5536" s="8" t="s">
        <v>531</v>
      </c>
      <c r="C5536" s="3" t="s">
        <v>8934</v>
      </c>
      <c r="D5536" s="3" t="s">
        <v>9278</v>
      </c>
      <c r="E5536" s="3" t="s">
        <v>7805</v>
      </c>
      <c r="F5536" s="3" t="s">
        <v>399</v>
      </c>
      <c r="I5536" s="3" t="s">
        <v>7359</v>
      </c>
    </row>
    <row r="5537" spans="2:9" hidden="1" x14ac:dyDescent="0.4">
      <c r="B5537" s="8" t="s">
        <v>529</v>
      </c>
      <c r="C5537" s="3" t="s">
        <v>8933</v>
      </c>
      <c r="D5537" s="3" t="s">
        <v>9279</v>
      </c>
      <c r="F5537" s="3" t="s">
        <v>399</v>
      </c>
      <c r="I5537" s="3" t="s">
        <v>7359</v>
      </c>
    </row>
    <row r="5538" spans="2:9" hidden="1" x14ac:dyDescent="0.4">
      <c r="B5538" s="8" t="s">
        <v>517</v>
      </c>
      <c r="C5538" s="3" t="s">
        <v>8935</v>
      </c>
      <c r="D5538" s="3" t="s">
        <v>9280</v>
      </c>
      <c r="F5538" s="3" t="s">
        <v>399</v>
      </c>
      <c r="I5538" s="3" t="s">
        <v>7359</v>
      </c>
    </row>
    <row r="5539" spans="2:9" hidden="1" x14ac:dyDescent="0.4">
      <c r="B5539" s="8" t="s">
        <v>520</v>
      </c>
      <c r="C5539" s="3" t="s">
        <v>8936</v>
      </c>
      <c r="D5539" s="3" t="s">
        <v>9281</v>
      </c>
      <c r="F5539" s="3" t="s">
        <v>399</v>
      </c>
      <c r="I5539" s="3" t="s">
        <v>7359</v>
      </c>
    </row>
    <row r="5540" spans="2:9" hidden="1" x14ac:dyDescent="0.4">
      <c r="B5540" s="8" t="s">
        <v>529</v>
      </c>
      <c r="C5540" s="3" t="s">
        <v>8937</v>
      </c>
      <c r="D5540" s="3" t="s">
        <v>9282</v>
      </c>
      <c r="F5540" s="3" t="s">
        <v>399</v>
      </c>
      <c r="I5540" s="3" t="s">
        <v>7359</v>
      </c>
    </row>
    <row r="5541" spans="2:9" hidden="1" x14ac:dyDescent="0.4">
      <c r="B5541" s="8" t="s">
        <v>517</v>
      </c>
      <c r="C5541" s="3" t="s">
        <v>8938</v>
      </c>
      <c r="D5541" s="3" t="s">
        <v>9283</v>
      </c>
      <c r="F5541" s="3" t="s">
        <v>399</v>
      </c>
      <c r="I5541" s="3" t="s">
        <v>7359</v>
      </c>
    </row>
    <row r="5542" spans="2:9" hidden="1" x14ac:dyDescent="0.4">
      <c r="B5542" s="8" t="s">
        <v>517</v>
      </c>
      <c r="C5542" s="3" t="s">
        <v>8939</v>
      </c>
      <c r="D5542" s="3" t="s">
        <v>9284</v>
      </c>
      <c r="F5542" s="3" t="s">
        <v>399</v>
      </c>
      <c r="I5542" s="3" t="s">
        <v>7359</v>
      </c>
    </row>
    <row r="5543" spans="2:9" hidden="1" x14ac:dyDescent="0.4">
      <c r="B5543" s="8" t="s">
        <v>9274</v>
      </c>
      <c r="C5543" s="3" t="s">
        <v>8940</v>
      </c>
      <c r="D5543" s="3" t="s">
        <v>9285</v>
      </c>
      <c r="E5543" s="3" t="s">
        <v>7805</v>
      </c>
      <c r="F5543" s="3" t="s">
        <v>399</v>
      </c>
      <c r="I5543" s="3" t="s">
        <v>7359</v>
      </c>
    </row>
    <row r="5544" spans="2:9" hidden="1" x14ac:dyDescent="0.4">
      <c r="B5544" s="8" t="s">
        <v>9274</v>
      </c>
      <c r="C5544" s="3" t="s">
        <v>8941</v>
      </c>
      <c r="D5544" s="3" t="s">
        <v>9286</v>
      </c>
      <c r="E5544" s="3" t="s">
        <v>7805</v>
      </c>
      <c r="F5544" s="3" t="s">
        <v>399</v>
      </c>
      <c r="I5544" s="3" t="s">
        <v>7359</v>
      </c>
    </row>
    <row r="5545" spans="2:9" hidden="1" x14ac:dyDescent="0.4">
      <c r="B5545" s="8" t="s">
        <v>9729</v>
      </c>
      <c r="C5545" s="3" t="s">
        <v>8942</v>
      </c>
      <c r="D5545" s="3" t="s">
        <v>9287</v>
      </c>
      <c r="E5545" s="3" t="s">
        <v>7805</v>
      </c>
      <c r="F5545" s="3" t="s">
        <v>399</v>
      </c>
      <c r="I5545" s="3" t="s">
        <v>7359</v>
      </c>
    </row>
    <row r="5546" spans="2:9" hidden="1" x14ac:dyDescent="0.4">
      <c r="B5546" s="8" t="s">
        <v>1981</v>
      </c>
      <c r="C5546" s="3" t="s">
        <v>8943</v>
      </c>
      <c r="D5546" s="3" t="s">
        <v>9288</v>
      </c>
      <c r="F5546" s="3" t="s">
        <v>399</v>
      </c>
      <c r="I5546" s="3" t="s">
        <v>7359</v>
      </c>
    </row>
    <row r="5547" spans="2:9" hidden="1" x14ac:dyDescent="0.4">
      <c r="B5547" s="8" t="s">
        <v>2042</v>
      </c>
      <c r="C5547" s="3" t="s">
        <v>8944</v>
      </c>
      <c r="D5547" s="3" t="s">
        <v>9288</v>
      </c>
      <c r="F5547" s="3" t="s">
        <v>399</v>
      </c>
      <c r="I5547" s="3" t="s">
        <v>7359</v>
      </c>
    </row>
    <row r="5548" spans="2:9" hidden="1" x14ac:dyDescent="0.4">
      <c r="B5548" s="8" t="s">
        <v>517</v>
      </c>
      <c r="C5548" s="3" t="s">
        <v>8945</v>
      </c>
      <c r="D5548" s="3" t="s">
        <v>9289</v>
      </c>
      <c r="F5548" s="3" t="s">
        <v>399</v>
      </c>
      <c r="I5548" s="3" t="s">
        <v>7359</v>
      </c>
    </row>
    <row r="5549" spans="2:9" hidden="1" x14ac:dyDescent="0.4">
      <c r="B5549" s="8" t="s">
        <v>526</v>
      </c>
      <c r="C5549" s="3" t="s">
        <v>8946</v>
      </c>
      <c r="D5549" s="3" t="s">
        <v>9290</v>
      </c>
      <c r="F5549" s="3" t="s">
        <v>399</v>
      </c>
      <c r="I5549" s="3" t="s">
        <v>7359</v>
      </c>
    </row>
    <row r="5550" spans="2:9" hidden="1" x14ac:dyDescent="0.4">
      <c r="B5550" s="8" t="s">
        <v>517</v>
      </c>
      <c r="C5550" s="3" t="s">
        <v>8947</v>
      </c>
      <c r="D5550" s="3" t="s">
        <v>9291</v>
      </c>
      <c r="F5550" s="3" t="s">
        <v>399</v>
      </c>
      <c r="I5550" s="3" t="s">
        <v>7359</v>
      </c>
    </row>
    <row r="5551" spans="2:9" hidden="1" x14ac:dyDescent="0.4">
      <c r="B5551" s="8" t="s">
        <v>517</v>
      </c>
      <c r="C5551" s="3" t="s">
        <v>8948</v>
      </c>
      <c r="D5551" s="3" t="s">
        <v>9293</v>
      </c>
      <c r="F5551" s="3" t="s">
        <v>399</v>
      </c>
      <c r="I5551" s="3" t="s">
        <v>7359</v>
      </c>
    </row>
    <row r="5552" spans="2:9" hidden="1" x14ac:dyDescent="0.4">
      <c r="B5552" s="8" t="s">
        <v>2042</v>
      </c>
      <c r="C5552" s="3" t="s">
        <v>8949</v>
      </c>
      <c r="D5552" s="3" t="s">
        <v>9292</v>
      </c>
      <c r="F5552" s="3" t="s">
        <v>399</v>
      </c>
      <c r="I5552" s="3" t="s">
        <v>7359</v>
      </c>
    </row>
    <row r="5553" spans="2:9" hidden="1" x14ac:dyDescent="0.4">
      <c r="B5553" s="8" t="s">
        <v>9730</v>
      </c>
      <c r="C5553" s="3" t="s">
        <v>8950</v>
      </c>
      <c r="D5553" s="3" t="s">
        <v>9294</v>
      </c>
      <c r="F5553" s="3" t="s">
        <v>399</v>
      </c>
      <c r="I5553" s="3" t="s">
        <v>7359</v>
      </c>
    </row>
    <row r="5554" spans="2:9" hidden="1" x14ac:dyDescent="0.4">
      <c r="B5554" s="8" t="s">
        <v>9730</v>
      </c>
      <c r="C5554" s="3" t="s">
        <v>8951</v>
      </c>
      <c r="D5554" s="3" t="s">
        <v>9295</v>
      </c>
      <c r="F5554" s="3" t="s">
        <v>399</v>
      </c>
      <c r="I5554" s="3" t="s">
        <v>7359</v>
      </c>
    </row>
    <row r="5555" spans="2:9" hidden="1" x14ac:dyDescent="0.4">
      <c r="B5555" s="8" t="s">
        <v>517</v>
      </c>
      <c r="C5555" s="3" t="s">
        <v>8952</v>
      </c>
      <c r="D5555" s="3" t="s">
        <v>9296</v>
      </c>
      <c r="F5555" s="3" t="s">
        <v>399</v>
      </c>
      <c r="I5555" s="3" t="s">
        <v>7359</v>
      </c>
    </row>
    <row r="5556" spans="2:9" hidden="1" x14ac:dyDescent="0.4">
      <c r="B5556" s="8" t="s">
        <v>517</v>
      </c>
      <c r="C5556" s="3" t="s">
        <v>8953</v>
      </c>
      <c r="D5556" s="3" t="s">
        <v>9297</v>
      </c>
      <c r="F5556" s="3" t="s">
        <v>399</v>
      </c>
      <c r="I5556" s="3" t="s">
        <v>7359</v>
      </c>
    </row>
    <row r="5557" spans="2:9" hidden="1" x14ac:dyDescent="0.4">
      <c r="B5557" s="8" t="s">
        <v>520</v>
      </c>
      <c r="C5557" s="3" t="s">
        <v>8954</v>
      </c>
      <c r="D5557" s="3" t="s">
        <v>9298</v>
      </c>
      <c r="F5557" s="3" t="s">
        <v>399</v>
      </c>
      <c r="I5557" s="3" t="s">
        <v>7359</v>
      </c>
    </row>
    <row r="5558" spans="2:9" hidden="1" x14ac:dyDescent="0.4">
      <c r="B5558" s="8" t="s">
        <v>520</v>
      </c>
      <c r="C5558" s="3" t="s">
        <v>8955</v>
      </c>
      <c r="D5558" s="3" t="s">
        <v>9299</v>
      </c>
      <c r="F5558" s="3" t="s">
        <v>399</v>
      </c>
      <c r="I5558" s="3" t="s">
        <v>7359</v>
      </c>
    </row>
    <row r="5559" spans="2:9" hidden="1" x14ac:dyDescent="0.4">
      <c r="B5559" s="8" t="s">
        <v>517</v>
      </c>
      <c r="C5559" s="3" t="s">
        <v>8956</v>
      </c>
      <c r="D5559" s="3" t="s">
        <v>9300</v>
      </c>
      <c r="F5559" s="3" t="s">
        <v>399</v>
      </c>
      <c r="I5559" s="3" t="s">
        <v>7359</v>
      </c>
    </row>
    <row r="5560" spans="2:9" hidden="1" x14ac:dyDescent="0.4">
      <c r="B5560" s="8" t="s">
        <v>520</v>
      </c>
      <c r="C5560" s="3" t="s">
        <v>8957</v>
      </c>
      <c r="D5560" s="3" t="s">
        <v>9301</v>
      </c>
      <c r="F5560" s="3" t="s">
        <v>399</v>
      </c>
      <c r="I5560" s="3" t="s">
        <v>7359</v>
      </c>
    </row>
    <row r="5561" spans="2:9" hidden="1" x14ac:dyDescent="0.4">
      <c r="B5561" s="8" t="s">
        <v>517</v>
      </c>
      <c r="C5561" s="3" t="s">
        <v>8958</v>
      </c>
      <c r="D5561" s="3" t="s">
        <v>9302</v>
      </c>
      <c r="F5561" s="3" t="s">
        <v>399</v>
      </c>
      <c r="I5561" s="3" t="s">
        <v>7359</v>
      </c>
    </row>
    <row r="5562" spans="2:9" hidden="1" x14ac:dyDescent="0.4">
      <c r="B5562" s="8" t="s">
        <v>529</v>
      </c>
      <c r="C5562" s="3" t="s">
        <v>8959</v>
      </c>
      <c r="D5562" s="3" t="s">
        <v>9303</v>
      </c>
      <c r="F5562" s="3" t="s">
        <v>399</v>
      </c>
      <c r="I5562" s="3" t="s">
        <v>7359</v>
      </c>
    </row>
    <row r="5563" spans="2:9" hidden="1" x14ac:dyDescent="0.4">
      <c r="B5563" s="8" t="s">
        <v>530</v>
      </c>
      <c r="C5563" s="3" t="s">
        <v>8960</v>
      </c>
      <c r="D5563" s="3" t="s">
        <v>9304</v>
      </c>
      <c r="F5563" s="3" t="s">
        <v>399</v>
      </c>
      <c r="I5563" s="3" t="s">
        <v>7359</v>
      </c>
    </row>
    <row r="5564" spans="2:9" hidden="1" x14ac:dyDescent="0.4">
      <c r="B5564" s="8" t="s">
        <v>518</v>
      </c>
      <c r="C5564" s="3" t="s">
        <v>8961</v>
      </c>
      <c r="D5564" s="3" t="s">
        <v>9305</v>
      </c>
      <c r="F5564" s="3" t="s">
        <v>399</v>
      </c>
      <c r="I5564" s="3" t="s">
        <v>7359</v>
      </c>
    </row>
    <row r="5565" spans="2:9" hidden="1" x14ac:dyDescent="0.4">
      <c r="B5565" s="8" t="s">
        <v>518</v>
      </c>
      <c r="C5565" s="3" t="s">
        <v>8962</v>
      </c>
      <c r="D5565" s="3" t="s">
        <v>9306</v>
      </c>
      <c r="F5565" s="3" t="s">
        <v>399</v>
      </c>
      <c r="I5565" s="3" t="s">
        <v>7359</v>
      </c>
    </row>
    <row r="5566" spans="2:9" hidden="1" x14ac:dyDescent="0.4">
      <c r="B5566" s="8" t="s">
        <v>532</v>
      </c>
      <c r="C5566" s="3" t="s">
        <v>8963</v>
      </c>
      <c r="D5566" s="3" t="s">
        <v>9307</v>
      </c>
      <c r="F5566" s="3" t="s">
        <v>399</v>
      </c>
      <c r="I5566" s="3" t="s">
        <v>7359</v>
      </c>
    </row>
    <row r="5567" spans="2:9" hidden="1" x14ac:dyDescent="0.4">
      <c r="B5567" s="8" t="s">
        <v>517</v>
      </c>
      <c r="C5567" s="3" t="s">
        <v>8964</v>
      </c>
      <c r="D5567" s="3" t="s">
        <v>9308</v>
      </c>
      <c r="F5567" s="3" t="s">
        <v>399</v>
      </c>
      <c r="I5567" s="3" t="s">
        <v>7359</v>
      </c>
    </row>
    <row r="5568" spans="2:9" hidden="1" x14ac:dyDescent="0.4">
      <c r="B5568" s="8" t="s">
        <v>518</v>
      </c>
      <c r="C5568" s="3" t="s">
        <v>8965</v>
      </c>
      <c r="D5568" s="3" t="s">
        <v>9309</v>
      </c>
      <c r="F5568" s="3" t="s">
        <v>399</v>
      </c>
      <c r="I5568" s="3" t="s">
        <v>7359</v>
      </c>
    </row>
    <row r="5569" spans="2:9" hidden="1" x14ac:dyDescent="0.4">
      <c r="B5569" s="8" t="s">
        <v>517</v>
      </c>
      <c r="C5569" s="3" t="s">
        <v>8966</v>
      </c>
      <c r="D5569" s="3" t="s">
        <v>9310</v>
      </c>
      <c r="F5569" s="3" t="s">
        <v>399</v>
      </c>
      <c r="I5569" s="3" t="s">
        <v>7359</v>
      </c>
    </row>
    <row r="5570" spans="2:9" hidden="1" x14ac:dyDescent="0.4">
      <c r="B5570" s="8" t="s">
        <v>517</v>
      </c>
      <c r="C5570" s="3" t="s">
        <v>8967</v>
      </c>
      <c r="D5570" s="3" t="s">
        <v>9311</v>
      </c>
      <c r="F5570" s="3" t="s">
        <v>399</v>
      </c>
      <c r="I5570" s="3" t="s">
        <v>7359</v>
      </c>
    </row>
    <row r="5571" spans="2:9" hidden="1" x14ac:dyDescent="0.4">
      <c r="B5571" s="8" t="s">
        <v>517</v>
      </c>
      <c r="C5571" s="3" t="s">
        <v>8968</v>
      </c>
      <c r="D5571" s="3" t="s">
        <v>9312</v>
      </c>
      <c r="F5571" s="3" t="s">
        <v>399</v>
      </c>
      <c r="I5571" s="3" t="s">
        <v>7359</v>
      </c>
    </row>
    <row r="5572" spans="2:9" hidden="1" x14ac:dyDescent="0.4">
      <c r="B5572" s="8" t="s">
        <v>517</v>
      </c>
      <c r="C5572" s="3" t="s">
        <v>8969</v>
      </c>
      <c r="D5572" s="3" t="s">
        <v>9313</v>
      </c>
      <c r="F5572" s="3" t="s">
        <v>399</v>
      </c>
      <c r="I5572" s="3" t="s">
        <v>7359</v>
      </c>
    </row>
    <row r="5573" spans="2:9" hidden="1" x14ac:dyDescent="0.4">
      <c r="B5573" s="8" t="s">
        <v>517</v>
      </c>
      <c r="C5573" s="3" t="s">
        <v>8970</v>
      </c>
      <c r="D5573" s="3" t="s">
        <v>9314</v>
      </c>
      <c r="F5573" s="3" t="s">
        <v>399</v>
      </c>
      <c r="I5573" s="3" t="s">
        <v>7359</v>
      </c>
    </row>
    <row r="5574" spans="2:9" hidden="1" x14ac:dyDescent="0.4">
      <c r="B5574" s="8" t="s">
        <v>517</v>
      </c>
      <c r="C5574" s="3" t="s">
        <v>8971</v>
      </c>
      <c r="D5574" s="3" t="s">
        <v>9315</v>
      </c>
      <c r="F5574" s="3" t="s">
        <v>399</v>
      </c>
      <c r="I5574" s="3" t="s">
        <v>7359</v>
      </c>
    </row>
    <row r="5575" spans="2:9" hidden="1" x14ac:dyDescent="0.4">
      <c r="B5575" s="8" t="s">
        <v>517</v>
      </c>
      <c r="C5575" s="3" t="s">
        <v>8972</v>
      </c>
      <c r="D5575" s="3" t="s">
        <v>9316</v>
      </c>
      <c r="F5575" s="3" t="s">
        <v>399</v>
      </c>
      <c r="I5575" s="3" t="s">
        <v>7359</v>
      </c>
    </row>
    <row r="5576" spans="2:9" hidden="1" x14ac:dyDescent="0.4">
      <c r="B5576" s="8" t="s">
        <v>517</v>
      </c>
      <c r="C5576" s="3" t="s">
        <v>8973</v>
      </c>
      <c r="D5576" s="3" t="s">
        <v>9317</v>
      </c>
      <c r="F5576" s="3" t="s">
        <v>399</v>
      </c>
      <c r="I5576" s="3" t="s">
        <v>7359</v>
      </c>
    </row>
    <row r="5577" spans="2:9" hidden="1" x14ac:dyDescent="0.4">
      <c r="B5577" s="8" t="s">
        <v>517</v>
      </c>
      <c r="C5577" s="3" t="s">
        <v>8974</v>
      </c>
      <c r="D5577" s="3" t="s">
        <v>9318</v>
      </c>
      <c r="F5577" s="3" t="s">
        <v>399</v>
      </c>
      <c r="I5577" s="3" t="s">
        <v>7359</v>
      </c>
    </row>
    <row r="5578" spans="2:9" hidden="1" x14ac:dyDescent="0.4">
      <c r="B5578" s="8" t="s">
        <v>517</v>
      </c>
      <c r="C5578" s="3" t="s">
        <v>8975</v>
      </c>
      <c r="D5578" s="3" t="s">
        <v>9319</v>
      </c>
      <c r="F5578" s="3" t="s">
        <v>399</v>
      </c>
      <c r="I5578" s="3" t="s">
        <v>7359</v>
      </c>
    </row>
    <row r="5579" spans="2:9" hidden="1" x14ac:dyDescent="0.4">
      <c r="B5579" s="8" t="s">
        <v>517</v>
      </c>
      <c r="C5579" s="3" t="s">
        <v>8976</v>
      </c>
      <c r="D5579" s="3" t="s">
        <v>9320</v>
      </c>
      <c r="F5579" s="3" t="s">
        <v>399</v>
      </c>
      <c r="I5579" s="3" t="s">
        <v>7359</v>
      </c>
    </row>
    <row r="5580" spans="2:9" hidden="1" x14ac:dyDescent="0.4">
      <c r="B5580" s="8" t="s">
        <v>529</v>
      </c>
      <c r="C5580" s="3" t="s">
        <v>8977</v>
      </c>
      <c r="D5580" s="3" t="s">
        <v>9321</v>
      </c>
      <c r="F5580" s="3" t="s">
        <v>399</v>
      </c>
      <c r="I5580" s="3" t="s">
        <v>7359</v>
      </c>
    </row>
    <row r="5581" spans="2:9" hidden="1" x14ac:dyDescent="0.4">
      <c r="B5581" s="8" t="s">
        <v>531</v>
      </c>
      <c r="C5581" s="3" t="s">
        <v>8978</v>
      </c>
      <c r="D5581" s="3" t="s">
        <v>9322</v>
      </c>
      <c r="F5581" s="3" t="s">
        <v>399</v>
      </c>
      <c r="I5581" s="3" t="s">
        <v>7359</v>
      </c>
    </row>
    <row r="5582" spans="2:9" hidden="1" x14ac:dyDescent="0.4">
      <c r="B5582" s="8" t="s">
        <v>520</v>
      </c>
      <c r="C5582" s="3" t="s">
        <v>8979</v>
      </c>
      <c r="D5582" s="3" t="s">
        <v>9323</v>
      </c>
      <c r="F5582" s="3" t="s">
        <v>399</v>
      </c>
      <c r="I5582" s="3" t="s">
        <v>7359</v>
      </c>
    </row>
    <row r="5583" spans="2:9" hidden="1" x14ac:dyDescent="0.4">
      <c r="B5583" s="8" t="s">
        <v>529</v>
      </c>
      <c r="C5583" s="3" t="s">
        <v>8980</v>
      </c>
      <c r="D5583" s="3" t="s">
        <v>9324</v>
      </c>
      <c r="F5583" s="3" t="s">
        <v>399</v>
      </c>
      <c r="I5583" s="3" t="s">
        <v>7359</v>
      </c>
    </row>
    <row r="5584" spans="2:9" hidden="1" x14ac:dyDescent="0.4">
      <c r="B5584" s="8" t="s">
        <v>517</v>
      </c>
      <c r="C5584" s="3" t="s">
        <v>8981</v>
      </c>
      <c r="D5584" s="3" t="s">
        <v>9325</v>
      </c>
      <c r="F5584" s="3" t="s">
        <v>399</v>
      </c>
      <c r="I5584" s="3" t="s">
        <v>7359</v>
      </c>
    </row>
    <row r="5585" spans="2:9" hidden="1" x14ac:dyDescent="0.4">
      <c r="B5585" s="8" t="s">
        <v>529</v>
      </c>
      <c r="C5585" s="3" t="s">
        <v>8982</v>
      </c>
      <c r="D5585" s="3" t="s">
        <v>9326</v>
      </c>
      <c r="F5585" s="3" t="s">
        <v>399</v>
      </c>
      <c r="I5585" s="3" t="s">
        <v>7359</v>
      </c>
    </row>
    <row r="5586" spans="2:9" hidden="1" x14ac:dyDescent="0.4">
      <c r="B5586" s="8" t="s">
        <v>529</v>
      </c>
      <c r="C5586" s="3" t="s">
        <v>8983</v>
      </c>
      <c r="D5586" s="3" t="s">
        <v>9327</v>
      </c>
      <c r="F5586" s="3" t="s">
        <v>399</v>
      </c>
      <c r="I5586" s="3" t="s">
        <v>7359</v>
      </c>
    </row>
    <row r="5587" spans="2:9" hidden="1" x14ac:dyDescent="0.4">
      <c r="B5587" s="8" t="s">
        <v>520</v>
      </c>
      <c r="C5587" s="3" t="s">
        <v>8984</v>
      </c>
      <c r="D5587" s="3" t="s">
        <v>9328</v>
      </c>
      <c r="F5587" s="3" t="s">
        <v>399</v>
      </c>
      <c r="I5587" s="3" t="s">
        <v>7359</v>
      </c>
    </row>
    <row r="5588" spans="2:9" hidden="1" x14ac:dyDescent="0.4">
      <c r="B5588" s="8" t="s">
        <v>520</v>
      </c>
      <c r="C5588" s="3" t="s">
        <v>8985</v>
      </c>
      <c r="D5588" s="3" t="s">
        <v>9329</v>
      </c>
      <c r="F5588" s="3" t="s">
        <v>399</v>
      </c>
      <c r="I5588" s="3" t="s">
        <v>7359</v>
      </c>
    </row>
    <row r="5589" spans="2:9" hidden="1" x14ac:dyDescent="0.4">
      <c r="B5589" s="8" t="s">
        <v>517</v>
      </c>
      <c r="C5589" s="3" t="s">
        <v>8986</v>
      </c>
      <c r="D5589" s="3" t="s">
        <v>9330</v>
      </c>
      <c r="F5589" s="3" t="s">
        <v>399</v>
      </c>
      <c r="I5589" s="3" t="s">
        <v>7359</v>
      </c>
    </row>
    <row r="5590" spans="2:9" hidden="1" x14ac:dyDescent="0.4">
      <c r="B5590" s="8" t="s">
        <v>517</v>
      </c>
      <c r="C5590" s="3" t="s">
        <v>8987</v>
      </c>
      <c r="D5590" s="3" t="s">
        <v>9331</v>
      </c>
      <c r="E5590" s="3" t="s">
        <v>7805</v>
      </c>
      <c r="F5590" s="3" t="s">
        <v>399</v>
      </c>
      <c r="I5590" s="3" t="s">
        <v>7359</v>
      </c>
    </row>
    <row r="5591" spans="2:9" hidden="1" x14ac:dyDescent="0.4">
      <c r="B5591" s="8" t="s">
        <v>517</v>
      </c>
      <c r="C5591" s="3" t="s">
        <v>8988</v>
      </c>
      <c r="D5591" s="3" t="s">
        <v>9332</v>
      </c>
      <c r="E5591" s="3" t="s">
        <v>7805</v>
      </c>
      <c r="F5591" s="3" t="s">
        <v>399</v>
      </c>
      <c r="I5591" s="3" t="s">
        <v>7359</v>
      </c>
    </row>
    <row r="5592" spans="2:9" hidden="1" x14ac:dyDescent="0.4">
      <c r="B5592" s="8" t="s">
        <v>517</v>
      </c>
      <c r="C5592" s="3" t="s">
        <v>8989</v>
      </c>
      <c r="D5592" s="3" t="s">
        <v>9333</v>
      </c>
      <c r="E5592" s="3" t="s">
        <v>425</v>
      </c>
      <c r="F5592" s="3" t="s">
        <v>399</v>
      </c>
      <c r="I5592" s="3" t="s">
        <v>7359</v>
      </c>
    </row>
    <row r="5593" spans="2:9" hidden="1" x14ac:dyDescent="0.4">
      <c r="B5593" s="8" t="s">
        <v>517</v>
      </c>
      <c r="C5593" s="3" t="s">
        <v>8990</v>
      </c>
      <c r="D5593" s="3" t="s">
        <v>9334</v>
      </c>
      <c r="E5593" s="3" t="s">
        <v>7805</v>
      </c>
      <c r="F5593" s="3" t="s">
        <v>399</v>
      </c>
      <c r="I5593" s="3" t="s">
        <v>7359</v>
      </c>
    </row>
    <row r="5594" spans="2:9" hidden="1" x14ac:dyDescent="0.4">
      <c r="B5594" s="8" t="s">
        <v>520</v>
      </c>
      <c r="C5594" s="3" t="s">
        <v>8991</v>
      </c>
      <c r="D5594" s="3" t="s">
        <v>9335</v>
      </c>
      <c r="F5594" s="3" t="s">
        <v>399</v>
      </c>
      <c r="I5594" s="3" t="s">
        <v>7359</v>
      </c>
    </row>
    <row r="5595" spans="2:9" hidden="1" x14ac:dyDescent="0.4">
      <c r="B5595" s="8" t="s">
        <v>520</v>
      </c>
      <c r="C5595" s="3" t="s">
        <v>8992</v>
      </c>
      <c r="D5595" s="3" t="s">
        <v>9336</v>
      </c>
      <c r="F5595" s="3" t="s">
        <v>399</v>
      </c>
      <c r="I5595" s="3" t="s">
        <v>7359</v>
      </c>
    </row>
    <row r="5596" spans="2:9" hidden="1" x14ac:dyDescent="0.4">
      <c r="B5596" s="8" t="s">
        <v>517</v>
      </c>
      <c r="C5596" s="3" t="s">
        <v>6951</v>
      </c>
      <c r="D5596" s="3" t="s">
        <v>7359</v>
      </c>
      <c r="F5596" s="3" t="s">
        <v>399</v>
      </c>
      <c r="I5596" s="3" t="s">
        <v>7359</v>
      </c>
    </row>
    <row r="5597" spans="2:9" hidden="1" x14ac:dyDescent="0.4">
      <c r="B5597" s="8" t="s">
        <v>529</v>
      </c>
      <c r="C5597" s="3" t="s">
        <v>8993</v>
      </c>
      <c r="D5597" s="3" t="s">
        <v>9337</v>
      </c>
      <c r="F5597" s="3" t="s">
        <v>399</v>
      </c>
      <c r="I5597" s="3" t="s">
        <v>7359</v>
      </c>
    </row>
    <row r="5598" spans="2:9" hidden="1" x14ac:dyDescent="0.4">
      <c r="B5598" s="8" t="s">
        <v>517</v>
      </c>
      <c r="C5598" s="3" t="s">
        <v>8994</v>
      </c>
      <c r="D5598" s="3" t="s">
        <v>9338</v>
      </c>
      <c r="F5598" s="3" t="s">
        <v>399</v>
      </c>
      <c r="I5598" s="3" t="s">
        <v>7359</v>
      </c>
    </row>
    <row r="5599" spans="2:9" hidden="1" x14ac:dyDescent="0.4">
      <c r="B5599" s="8" t="s">
        <v>520</v>
      </c>
      <c r="C5599" s="3" t="s">
        <v>8995</v>
      </c>
      <c r="D5599" s="3" t="s">
        <v>9339</v>
      </c>
      <c r="E5599" s="3" t="s">
        <v>7805</v>
      </c>
      <c r="F5599" s="3" t="s">
        <v>399</v>
      </c>
      <c r="I5599" s="3" t="s">
        <v>7359</v>
      </c>
    </row>
    <row r="5600" spans="2:9" hidden="1" x14ac:dyDescent="0.4">
      <c r="B5600" s="8" t="s">
        <v>520</v>
      </c>
      <c r="C5600" s="3" t="s">
        <v>8996</v>
      </c>
      <c r="D5600" s="3" t="s">
        <v>9340</v>
      </c>
      <c r="E5600" s="3" t="s">
        <v>7805</v>
      </c>
      <c r="F5600" s="3" t="s">
        <v>399</v>
      </c>
      <c r="I5600" s="3" t="s">
        <v>7359</v>
      </c>
    </row>
    <row r="5601" spans="2:9" hidden="1" x14ac:dyDescent="0.4">
      <c r="B5601" s="8" t="s">
        <v>518</v>
      </c>
      <c r="C5601" s="3" t="s">
        <v>8997</v>
      </c>
      <c r="D5601" s="3" t="s">
        <v>9341</v>
      </c>
      <c r="F5601" s="3" t="s">
        <v>399</v>
      </c>
      <c r="I5601" s="3" t="s">
        <v>7359</v>
      </c>
    </row>
    <row r="5602" spans="2:9" hidden="1" x14ac:dyDescent="0.4">
      <c r="B5602" s="8" t="s">
        <v>518</v>
      </c>
      <c r="C5602" s="3" t="s">
        <v>8998</v>
      </c>
      <c r="D5602" s="3" t="s">
        <v>9342</v>
      </c>
      <c r="F5602" s="3" t="s">
        <v>399</v>
      </c>
      <c r="I5602" s="3" t="s">
        <v>7359</v>
      </c>
    </row>
    <row r="5603" spans="2:9" hidden="1" x14ac:dyDescent="0.4">
      <c r="B5603" s="8" t="s">
        <v>520</v>
      </c>
      <c r="C5603" s="3" t="s">
        <v>8999</v>
      </c>
      <c r="D5603" s="3" t="s">
        <v>9343</v>
      </c>
      <c r="E5603" s="3" t="s">
        <v>425</v>
      </c>
      <c r="F5603" s="3" t="s">
        <v>399</v>
      </c>
      <c r="I5603" s="3" t="s">
        <v>7359</v>
      </c>
    </row>
    <row r="5604" spans="2:9" hidden="1" x14ac:dyDescent="0.4">
      <c r="B5604" s="8" t="s">
        <v>520</v>
      </c>
      <c r="C5604" s="3" t="s">
        <v>9000</v>
      </c>
      <c r="D5604" s="3" t="s">
        <v>9344</v>
      </c>
      <c r="E5604" s="3" t="s">
        <v>7805</v>
      </c>
      <c r="F5604" s="3" t="s">
        <v>399</v>
      </c>
      <c r="I5604" s="3" t="s">
        <v>7359</v>
      </c>
    </row>
    <row r="5605" spans="2:9" hidden="1" x14ac:dyDescent="0.4">
      <c r="B5605" s="8" t="s">
        <v>520</v>
      </c>
      <c r="C5605" s="3" t="s">
        <v>9001</v>
      </c>
      <c r="D5605" s="3" t="s">
        <v>9344</v>
      </c>
      <c r="E5605" s="3" t="s">
        <v>7805</v>
      </c>
      <c r="F5605" s="3" t="s">
        <v>399</v>
      </c>
      <c r="I5605" s="3" t="s">
        <v>7359</v>
      </c>
    </row>
    <row r="5606" spans="2:9" hidden="1" x14ac:dyDescent="0.4">
      <c r="B5606" s="8" t="s">
        <v>520</v>
      </c>
      <c r="C5606" s="3" t="s">
        <v>9002</v>
      </c>
      <c r="D5606" s="3" t="s">
        <v>9345</v>
      </c>
      <c r="E5606" s="3" t="s">
        <v>7805</v>
      </c>
      <c r="F5606" s="3" t="s">
        <v>399</v>
      </c>
      <c r="I5606" s="3" t="s">
        <v>7359</v>
      </c>
    </row>
    <row r="5607" spans="2:9" hidden="1" x14ac:dyDescent="0.4">
      <c r="B5607" s="8" t="s">
        <v>520</v>
      </c>
      <c r="C5607" s="3" t="s">
        <v>9003</v>
      </c>
      <c r="D5607" s="3" t="s">
        <v>9346</v>
      </c>
      <c r="E5607" s="3" t="s">
        <v>7805</v>
      </c>
      <c r="F5607" s="3" t="s">
        <v>399</v>
      </c>
      <c r="I5607" s="3" t="s">
        <v>7359</v>
      </c>
    </row>
    <row r="5608" spans="2:9" hidden="1" x14ac:dyDescent="0.4">
      <c r="B5608" s="8" t="s">
        <v>520</v>
      </c>
      <c r="C5608" s="3" t="s">
        <v>9004</v>
      </c>
      <c r="D5608" s="3" t="s">
        <v>9347</v>
      </c>
      <c r="E5608" s="3" t="s">
        <v>7805</v>
      </c>
      <c r="F5608" s="3" t="s">
        <v>399</v>
      </c>
      <c r="I5608" s="3" t="s">
        <v>7359</v>
      </c>
    </row>
    <row r="5609" spans="2:9" hidden="1" x14ac:dyDescent="0.4">
      <c r="B5609" s="8" t="s">
        <v>520</v>
      </c>
      <c r="C5609" s="3" t="s">
        <v>9005</v>
      </c>
      <c r="D5609" s="3" t="s">
        <v>9348</v>
      </c>
      <c r="E5609" s="3" t="s">
        <v>7805</v>
      </c>
      <c r="F5609" s="3" t="s">
        <v>399</v>
      </c>
      <c r="I5609" s="3" t="s">
        <v>7359</v>
      </c>
    </row>
    <row r="5610" spans="2:9" hidden="1" x14ac:dyDescent="0.4">
      <c r="B5610" s="8" t="s">
        <v>517</v>
      </c>
      <c r="C5610" s="3" t="s">
        <v>9006</v>
      </c>
      <c r="D5610" s="3" t="s">
        <v>9349</v>
      </c>
      <c r="E5610" s="3" t="s">
        <v>425</v>
      </c>
      <c r="F5610" s="3" t="s">
        <v>399</v>
      </c>
      <c r="I5610" s="3" t="s">
        <v>7359</v>
      </c>
    </row>
    <row r="5611" spans="2:9" hidden="1" x14ac:dyDescent="0.4">
      <c r="B5611" s="8" t="s">
        <v>518</v>
      </c>
      <c r="C5611" s="3" t="s">
        <v>9007</v>
      </c>
      <c r="D5611" s="3" t="s">
        <v>9350</v>
      </c>
      <c r="E5611" s="3" t="s">
        <v>425</v>
      </c>
      <c r="F5611" s="3" t="s">
        <v>399</v>
      </c>
      <c r="I5611" s="3" t="s">
        <v>7359</v>
      </c>
    </row>
    <row r="5612" spans="2:9" hidden="1" x14ac:dyDescent="0.4">
      <c r="B5612" s="8" t="s">
        <v>520</v>
      </c>
      <c r="C5612" s="3" t="s">
        <v>9008</v>
      </c>
      <c r="D5612" s="3" t="s">
        <v>9351</v>
      </c>
      <c r="F5612" s="3" t="s">
        <v>399</v>
      </c>
      <c r="I5612" s="3" t="s">
        <v>7359</v>
      </c>
    </row>
    <row r="5613" spans="2:9" hidden="1" x14ac:dyDescent="0.4">
      <c r="B5613" s="8" t="s">
        <v>517</v>
      </c>
      <c r="C5613" s="3" t="s">
        <v>9009</v>
      </c>
      <c r="D5613" s="3" t="s">
        <v>9352</v>
      </c>
      <c r="E5613" s="3" t="s">
        <v>9783</v>
      </c>
      <c r="F5613" s="3" t="s">
        <v>399</v>
      </c>
      <c r="I5613" s="3" t="s">
        <v>7359</v>
      </c>
    </row>
    <row r="5614" spans="2:9" hidden="1" x14ac:dyDescent="0.4">
      <c r="B5614" s="8" t="s">
        <v>516</v>
      </c>
      <c r="C5614" s="3" t="s">
        <v>9010</v>
      </c>
      <c r="D5614" s="3" t="s">
        <v>9366</v>
      </c>
      <c r="E5614" s="3" t="s">
        <v>7805</v>
      </c>
      <c r="F5614" s="3" t="s">
        <v>399</v>
      </c>
      <c r="I5614" s="3" t="s">
        <v>7359</v>
      </c>
    </row>
    <row r="5615" spans="2:9" hidden="1" x14ac:dyDescent="0.4">
      <c r="B5615" s="8" t="s">
        <v>531</v>
      </c>
      <c r="C5615" s="3" t="s">
        <v>9011</v>
      </c>
      <c r="D5615" s="3" t="s">
        <v>9353</v>
      </c>
      <c r="E5615" s="3" t="s">
        <v>7805</v>
      </c>
      <c r="F5615" s="3" t="s">
        <v>399</v>
      </c>
      <c r="I5615" s="3" t="s">
        <v>7359</v>
      </c>
    </row>
    <row r="5616" spans="2:9" ht="29.25" hidden="1" x14ac:dyDescent="0.4">
      <c r="B5616" s="8" t="s">
        <v>9731</v>
      </c>
      <c r="C5616" s="3" t="s">
        <v>9012</v>
      </c>
      <c r="D5616" s="3" t="s">
        <v>9354</v>
      </c>
      <c r="E5616" s="3" t="s">
        <v>7805</v>
      </c>
      <c r="F5616" s="3" t="s">
        <v>399</v>
      </c>
      <c r="I5616" s="3" t="s">
        <v>7359</v>
      </c>
    </row>
    <row r="5617" spans="2:9" hidden="1" x14ac:dyDescent="0.4">
      <c r="B5617" s="8" t="s">
        <v>517</v>
      </c>
      <c r="C5617" s="3" t="s">
        <v>9013</v>
      </c>
      <c r="D5617" s="3" t="s">
        <v>9355</v>
      </c>
      <c r="F5617" s="3" t="s">
        <v>399</v>
      </c>
      <c r="I5617" s="3" t="s">
        <v>7359</v>
      </c>
    </row>
    <row r="5618" spans="2:9" hidden="1" x14ac:dyDescent="0.4">
      <c r="B5618" s="8" t="s">
        <v>4060</v>
      </c>
      <c r="C5618" s="3" t="s">
        <v>9014</v>
      </c>
      <c r="D5618" s="3" t="s">
        <v>9356</v>
      </c>
      <c r="E5618" s="3" t="s">
        <v>425</v>
      </c>
      <c r="F5618" s="3" t="s">
        <v>399</v>
      </c>
      <c r="I5618" s="3" t="s">
        <v>7359</v>
      </c>
    </row>
    <row r="5619" spans="2:9" hidden="1" x14ac:dyDescent="0.4">
      <c r="B5619" s="8" t="s">
        <v>9732</v>
      </c>
      <c r="C5619" s="3" t="s">
        <v>9015</v>
      </c>
      <c r="D5619" s="3" t="s">
        <v>9357</v>
      </c>
      <c r="E5619" s="3" t="s">
        <v>425</v>
      </c>
      <c r="F5619" s="3" t="s">
        <v>399</v>
      </c>
      <c r="I5619" s="3" t="s">
        <v>7359</v>
      </c>
    </row>
    <row r="5620" spans="2:9" hidden="1" x14ac:dyDescent="0.4">
      <c r="B5620" s="8" t="s">
        <v>517</v>
      </c>
      <c r="C5620" s="3" t="s">
        <v>9016</v>
      </c>
      <c r="D5620" s="3" t="s">
        <v>9358</v>
      </c>
      <c r="E5620" s="3" t="s">
        <v>432</v>
      </c>
      <c r="F5620" s="3" t="s">
        <v>399</v>
      </c>
      <c r="I5620" s="3" t="s">
        <v>7359</v>
      </c>
    </row>
    <row r="5621" spans="2:9" hidden="1" x14ac:dyDescent="0.4">
      <c r="B5621" s="8" t="s">
        <v>529</v>
      </c>
      <c r="C5621" s="3" t="s">
        <v>9017</v>
      </c>
      <c r="D5621" s="3" t="s">
        <v>9359</v>
      </c>
      <c r="E5621" s="3" t="s">
        <v>425</v>
      </c>
      <c r="F5621" s="3" t="s">
        <v>399</v>
      </c>
      <c r="I5621" s="3" t="s">
        <v>7359</v>
      </c>
    </row>
    <row r="5622" spans="2:9" hidden="1" x14ac:dyDescent="0.4">
      <c r="B5622" s="8" t="s">
        <v>520</v>
      </c>
      <c r="C5622" s="3" t="s">
        <v>9018</v>
      </c>
      <c r="D5622" s="3" t="s">
        <v>9360</v>
      </c>
      <c r="E5622" s="3" t="s">
        <v>7805</v>
      </c>
      <c r="F5622" s="3" t="s">
        <v>399</v>
      </c>
      <c r="I5622" s="3" t="s">
        <v>7359</v>
      </c>
    </row>
    <row r="5623" spans="2:9" hidden="1" x14ac:dyDescent="0.4">
      <c r="B5623" s="8" t="s">
        <v>517</v>
      </c>
      <c r="C5623" s="3" t="s">
        <v>9019</v>
      </c>
      <c r="D5623" s="3" t="s">
        <v>9361</v>
      </c>
      <c r="E5623" s="3" t="s">
        <v>7805</v>
      </c>
      <c r="F5623" s="3" t="s">
        <v>399</v>
      </c>
      <c r="I5623" s="3" t="s">
        <v>7359</v>
      </c>
    </row>
    <row r="5624" spans="2:9" hidden="1" x14ac:dyDescent="0.4">
      <c r="B5624" s="8" t="s">
        <v>518</v>
      </c>
      <c r="C5624" s="3" t="s">
        <v>9020</v>
      </c>
      <c r="D5624" s="3" t="s">
        <v>9362</v>
      </c>
      <c r="E5624" s="3" t="s">
        <v>7805</v>
      </c>
      <c r="F5624" s="3" t="s">
        <v>399</v>
      </c>
      <c r="I5624" s="3" t="s">
        <v>7359</v>
      </c>
    </row>
    <row r="5625" spans="2:9" hidden="1" x14ac:dyDescent="0.4">
      <c r="B5625" s="8" t="s">
        <v>518</v>
      </c>
      <c r="C5625" s="3" t="s">
        <v>9021</v>
      </c>
      <c r="D5625" s="3" t="s">
        <v>9363</v>
      </c>
      <c r="E5625" s="3" t="s">
        <v>7805</v>
      </c>
      <c r="F5625" s="3" t="s">
        <v>399</v>
      </c>
      <c r="I5625" s="3" t="s">
        <v>7359</v>
      </c>
    </row>
    <row r="5626" spans="2:9" hidden="1" x14ac:dyDescent="0.4">
      <c r="B5626" s="8" t="s">
        <v>517</v>
      </c>
      <c r="C5626" s="3" t="s">
        <v>9022</v>
      </c>
      <c r="D5626" s="3" t="s">
        <v>9365</v>
      </c>
      <c r="E5626" s="3" t="s">
        <v>7805</v>
      </c>
      <c r="F5626" s="3" t="s">
        <v>399</v>
      </c>
      <c r="I5626" s="3" t="s">
        <v>7359</v>
      </c>
    </row>
    <row r="5627" spans="2:9" hidden="1" x14ac:dyDescent="0.4">
      <c r="B5627" s="8" t="s">
        <v>517</v>
      </c>
      <c r="C5627" s="3" t="s">
        <v>9023</v>
      </c>
      <c r="D5627" s="3" t="s">
        <v>9364</v>
      </c>
      <c r="E5627" s="3" t="s">
        <v>7805</v>
      </c>
      <c r="F5627" s="3" t="s">
        <v>399</v>
      </c>
      <c r="I5627" s="3" t="s">
        <v>7359</v>
      </c>
    </row>
    <row r="5628" spans="2:9" hidden="1" x14ac:dyDescent="0.4">
      <c r="B5628" s="8" t="s">
        <v>529</v>
      </c>
      <c r="C5628" s="3" t="s">
        <v>9024</v>
      </c>
      <c r="D5628" s="3" t="s">
        <v>9367</v>
      </c>
      <c r="F5628" s="3" t="s">
        <v>399</v>
      </c>
      <c r="I5628" s="3" t="s">
        <v>7359</v>
      </c>
    </row>
    <row r="5629" spans="2:9" hidden="1" x14ac:dyDescent="0.4">
      <c r="B5629" s="8" t="s">
        <v>520</v>
      </c>
      <c r="C5629" s="3" t="s">
        <v>9025</v>
      </c>
      <c r="D5629" s="3" t="s">
        <v>9368</v>
      </c>
      <c r="E5629" s="3" t="s">
        <v>7805</v>
      </c>
      <c r="F5629" s="3" t="s">
        <v>399</v>
      </c>
      <c r="I5629" s="3" t="s">
        <v>7359</v>
      </c>
    </row>
    <row r="5630" spans="2:9" hidden="1" x14ac:dyDescent="0.4">
      <c r="B5630" s="8" t="s">
        <v>517</v>
      </c>
      <c r="C5630" s="3" t="s">
        <v>9026</v>
      </c>
      <c r="D5630" s="3" t="s">
        <v>9369</v>
      </c>
      <c r="E5630" s="3" t="s">
        <v>7805</v>
      </c>
      <c r="F5630" s="3" t="s">
        <v>399</v>
      </c>
      <c r="I5630" s="3" t="s">
        <v>7359</v>
      </c>
    </row>
    <row r="5631" spans="2:9" hidden="1" x14ac:dyDescent="0.4">
      <c r="B5631" s="8" t="s">
        <v>517</v>
      </c>
      <c r="C5631" s="3" t="s">
        <v>9027</v>
      </c>
      <c r="D5631" s="3" t="s">
        <v>9370</v>
      </c>
      <c r="E5631" s="3" t="s">
        <v>7805</v>
      </c>
      <c r="F5631" s="3" t="s">
        <v>399</v>
      </c>
      <c r="I5631" s="3" t="s">
        <v>7359</v>
      </c>
    </row>
    <row r="5632" spans="2:9" hidden="1" x14ac:dyDescent="0.4">
      <c r="B5632" s="8" t="s">
        <v>517</v>
      </c>
      <c r="C5632" s="3" t="s">
        <v>9028</v>
      </c>
      <c r="D5632" s="3" t="s">
        <v>9371</v>
      </c>
      <c r="F5632" s="3" t="s">
        <v>399</v>
      </c>
      <c r="I5632" s="3" t="s">
        <v>7359</v>
      </c>
    </row>
    <row r="5633" spans="2:9" hidden="1" x14ac:dyDescent="0.4">
      <c r="B5633" s="8" t="s">
        <v>520</v>
      </c>
      <c r="C5633" s="3" t="s">
        <v>9029</v>
      </c>
      <c r="D5633" s="3" t="s">
        <v>9372</v>
      </c>
      <c r="E5633" s="3" t="s">
        <v>7805</v>
      </c>
      <c r="F5633" s="3" t="s">
        <v>399</v>
      </c>
      <c r="I5633" s="3" t="s">
        <v>7359</v>
      </c>
    </row>
    <row r="5634" spans="2:9" hidden="1" x14ac:dyDescent="0.4">
      <c r="B5634" s="8" t="s">
        <v>517</v>
      </c>
      <c r="C5634" s="3" t="s">
        <v>9030</v>
      </c>
      <c r="D5634" s="3" t="s">
        <v>9373</v>
      </c>
      <c r="E5634" s="3" t="s">
        <v>7805</v>
      </c>
      <c r="F5634" s="3" t="s">
        <v>399</v>
      </c>
      <c r="I5634" s="3" t="s">
        <v>7359</v>
      </c>
    </row>
    <row r="5635" spans="2:9" hidden="1" x14ac:dyDescent="0.4">
      <c r="B5635" s="8" t="s">
        <v>516</v>
      </c>
      <c r="C5635" s="3" t="s">
        <v>9031</v>
      </c>
      <c r="D5635" s="3" t="s">
        <v>9374</v>
      </c>
      <c r="E5635" s="3" t="s">
        <v>425</v>
      </c>
      <c r="F5635" s="3" t="s">
        <v>399</v>
      </c>
      <c r="I5635" s="3" t="s">
        <v>7359</v>
      </c>
    </row>
    <row r="5636" spans="2:9" hidden="1" x14ac:dyDescent="0.4">
      <c r="B5636" s="8" t="s">
        <v>516</v>
      </c>
      <c r="C5636" s="3" t="s">
        <v>9032</v>
      </c>
      <c r="D5636" s="3" t="s">
        <v>9374</v>
      </c>
      <c r="E5636" s="3" t="s">
        <v>7805</v>
      </c>
      <c r="F5636" s="3" t="s">
        <v>399</v>
      </c>
      <c r="I5636" s="3" t="s">
        <v>7359</v>
      </c>
    </row>
    <row r="5637" spans="2:9" ht="29.25" hidden="1" x14ac:dyDescent="0.4">
      <c r="B5637" s="8" t="s">
        <v>9733</v>
      </c>
      <c r="C5637" s="3" t="s">
        <v>9033</v>
      </c>
      <c r="D5637" s="3" t="s">
        <v>9375</v>
      </c>
      <c r="E5637" s="3" t="s">
        <v>7805</v>
      </c>
      <c r="F5637" s="3" t="s">
        <v>399</v>
      </c>
      <c r="I5637" s="3" t="s">
        <v>7359</v>
      </c>
    </row>
    <row r="5638" spans="2:9" ht="29.25" hidden="1" x14ac:dyDescent="0.4">
      <c r="B5638" s="8" t="s">
        <v>9733</v>
      </c>
      <c r="C5638" s="3" t="s">
        <v>9034</v>
      </c>
      <c r="D5638" s="3" t="s">
        <v>9376</v>
      </c>
      <c r="E5638" s="3" t="s">
        <v>7805</v>
      </c>
      <c r="F5638" s="3" t="s">
        <v>399</v>
      </c>
      <c r="I5638" s="3" t="s">
        <v>7359</v>
      </c>
    </row>
    <row r="5639" spans="2:9" ht="29.25" hidden="1" x14ac:dyDescent="0.4">
      <c r="B5639" s="8" t="s">
        <v>6734</v>
      </c>
      <c r="C5639" s="3" t="s">
        <v>9035</v>
      </c>
      <c r="D5639" s="3" t="s">
        <v>9377</v>
      </c>
      <c r="E5639" s="3" t="s">
        <v>7805</v>
      </c>
      <c r="F5639" s="3" t="s">
        <v>399</v>
      </c>
      <c r="I5639" s="3" t="s">
        <v>7359</v>
      </c>
    </row>
    <row r="5640" spans="2:9" hidden="1" x14ac:dyDescent="0.4">
      <c r="B5640" s="8" t="s">
        <v>517</v>
      </c>
      <c r="C5640" s="3" t="s">
        <v>9036</v>
      </c>
      <c r="D5640" s="3" t="s">
        <v>9378</v>
      </c>
      <c r="E5640" s="3" t="s">
        <v>7805</v>
      </c>
      <c r="F5640" s="3" t="s">
        <v>399</v>
      </c>
      <c r="I5640" s="3" t="s">
        <v>7359</v>
      </c>
    </row>
    <row r="5641" spans="2:9" hidden="1" x14ac:dyDescent="0.4">
      <c r="B5641" s="8" t="s">
        <v>517</v>
      </c>
      <c r="C5641" s="3" t="s">
        <v>9037</v>
      </c>
      <c r="D5641" s="3" t="s">
        <v>9379</v>
      </c>
      <c r="E5641" s="3" t="s">
        <v>7805</v>
      </c>
      <c r="F5641" s="3" t="s">
        <v>399</v>
      </c>
      <c r="I5641" s="3" t="s">
        <v>7359</v>
      </c>
    </row>
    <row r="5642" spans="2:9" hidden="1" x14ac:dyDescent="0.4">
      <c r="B5642" s="8" t="s">
        <v>516</v>
      </c>
      <c r="C5642" s="3" t="s">
        <v>9038</v>
      </c>
      <c r="D5642" s="3" t="s">
        <v>9380</v>
      </c>
      <c r="E5642" s="3" t="s">
        <v>7805</v>
      </c>
      <c r="F5642" s="3" t="s">
        <v>399</v>
      </c>
      <c r="I5642" s="3" t="s">
        <v>7359</v>
      </c>
    </row>
    <row r="5643" spans="2:9" hidden="1" x14ac:dyDescent="0.4">
      <c r="B5643" s="8" t="s">
        <v>529</v>
      </c>
      <c r="C5643" s="3" t="s">
        <v>9039</v>
      </c>
      <c r="D5643" s="3" t="s">
        <v>9381</v>
      </c>
      <c r="E5643" s="3" t="s">
        <v>7805</v>
      </c>
      <c r="F5643" s="3" t="s">
        <v>399</v>
      </c>
      <c r="I5643" s="3" t="s">
        <v>7359</v>
      </c>
    </row>
    <row r="5644" spans="2:9" hidden="1" x14ac:dyDescent="0.4">
      <c r="B5644" s="8" t="s">
        <v>4055</v>
      </c>
      <c r="C5644" s="3" t="s">
        <v>9040</v>
      </c>
      <c r="D5644" s="3" t="s">
        <v>9382</v>
      </c>
      <c r="E5644" s="3" t="s">
        <v>7805</v>
      </c>
      <c r="F5644" s="3" t="s">
        <v>399</v>
      </c>
      <c r="I5644" s="3" t="s">
        <v>7359</v>
      </c>
    </row>
    <row r="5645" spans="2:9" hidden="1" x14ac:dyDescent="0.4">
      <c r="B5645" s="8" t="s">
        <v>516</v>
      </c>
      <c r="C5645" s="3" t="s">
        <v>9041</v>
      </c>
      <c r="D5645" s="3" t="s">
        <v>9383</v>
      </c>
      <c r="E5645" s="3" t="s">
        <v>425</v>
      </c>
      <c r="F5645" s="3" t="s">
        <v>399</v>
      </c>
      <c r="I5645" s="3" t="s">
        <v>7359</v>
      </c>
    </row>
    <row r="5646" spans="2:9" hidden="1" x14ac:dyDescent="0.4">
      <c r="B5646" s="8" t="s">
        <v>516</v>
      </c>
      <c r="C5646" s="3" t="s">
        <v>9042</v>
      </c>
      <c r="D5646" s="3" t="s">
        <v>9384</v>
      </c>
      <c r="E5646" s="3" t="s">
        <v>7805</v>
      </c>
      <c r="F5646" s="3" t="s">
        <v>399</v>
      </c>
      <c r="I5646" s="3" t="s">
        <v>7359</v>
      </c>
    </row>
    <row r="5647" spans="2:9" hidden="1" x14ac:dyDescent="0.4">
      <c r="B5647" s="8" t="s">
        <v>529</v>
      </c>
      <c r="C5647" s="3" t="s">
        <v>9043</v>
      </c>
      <c r="D5647" s="3" t="s">
        <v>9385</v>
      </c>
      <c r="E5647" s="3" t="s">
        <v>7805</v>
      </c>
      <c r="F5647" s="3" t="s">
        <v>399</v>
      </c>
      <c r="I5647" s="3" t="s">
        <v>7359</v>
      </c>
    </row>
    <row r="5648" spans="2:9" hidden="1" x14ac:dyDescent="0.4">
      <c r="B5648" s="8" t="s">
        <v>529</v>
      </c>
      <c r="C5648" s="3" t="s">
        <v>9044</v>
      </c>
      <c r="D5648" s="3" t="s">
        <v>9386</v>
      </c>
      <c r="E5648" s="3" t="s">
        <v>7805</v>
      </c>
      <c r="F5648" s="3" t="s">
        <v>399</v>
      </c>
      <c r="I5648" s="3" t="s">
        <v>7359</v>
      </c>
    </row>
    <row r="5649" spans="2:9" hidden="1" x14ac:dyDescent="0.4">
      <c r="B5649" s="8" t="s">
        <v>520</v>
      </c>
      <c r="C5649" s="3" t="s">
        <v>9045</v>
      </c>
      <c r="D5649" s="3" t="s">
        <v>9387</v>
      </c>
      <c r="E5649" s="3" t="s">
        <v>7805</v>
      </c>
      <c r="F5649" s="3" t="s">
        <v>399</v>
      </c>
      <c r="I5649" s="3" t="s">
        <v>7359</v>
      </c>
    </row>
    <row r="5650" spans="2:9" hidden="1" x14ac:dyDescent="0.4">
      <c r="B5650" s="8" t="s">
        <v>517</v>
      </c>
      <c r="C5650" s="3" t="s">
        <v>9046</v>
      </c>
      <c r="D5650" s="3" t="s">
        <v>9388</v>
      </c>
      <c r="E5650" s="3" t="s">
        <v>7805</v>
      </c>
      <c r="F5650" s="3" t="s">
        <v>399</v>
      </c>
      <c r="I5650" s="3" t="s">
        <v>7359</v>
      </c>
    </row>
    <row r="5651" spans="2:9" hidden="1" x14ac:dyDescent="0.4">
      <c r="B5651" s="8" t="s">
        <v>517</v>
      </c>
      <c r="C5651" s="3" t="s">
        <v>9047</v>
      </c>
      <c r="D5651" s="3" t="s">
        <v>9389</v>
      </c>
      <c r="E5651" s="3" t="s">
        <v>7805</v>
      </c>
      <c r="F5651" s="3" t="s">
        <v>399</v>
      </c>
      <c r="I5651" s="3" t="s">
        <v>7359</v>
      </c>
    </row>
    <row r="5652" spans="2:9" ht="29.25" hidden="1" x14ac:dyDescent="0.4">
      <c r="B5652" s="8" t="s">
        <v>6734</v>
      </c>
      <c r="C5652" s="3" t="s">
        <v>9048</v>
      </c>
      <c r="D5652" s="3" t="s">
        <v>9390</v>
      </c>
      <c r="E5652" s="3" t="s">
        <v>7805</v>
      </c>
      <c r="F5652" s="3" t="s">
        <v>399</v>
      </c>
      <c r="I5652" s="3" t="s">
        <v>7359</v>
      </c>
    </row>
    <row r="5653" spans="2:9" ht="29.25" hidden="1" x14ac:dyDescent="0.4">
      <c r="B5653" s="8" t="s">
        <v>6731</v>
      </c>
      <c r="C5653" s="3" t="s">
        <v>9049</v>
      </c>
      <c r="D5653" s="3" t="s">
        <v>9391</v>
      </c>
      <c r="E5653" s="3" t="s">
        <v>7805</v>
      </c>
      <c r="F5653" s="3" t="s">
        <v>399</v>
      </c>
      <c r="I5653" s="3" t="s">
        <v>7359</v>
      </c>
    </row>
    <row r="5654" spans="2:9" ht="29.25" hidden="1" x14ac:dyDescent="0.4">
      <c r="B5654" s="8" t="s">
        <v>9734</v>
      </c>
      <c r="C5654" s="3" t="s">
        <v>9050</v>
      </c>
      <c r="D5654" s="3" t="s">
        <v>9392</v>
      </c>
      <c r="E5654" s="3" t="s">
        <v>7805</v>
      </c>
      <c r="F5654" s="3" t="s">
        <v>399</v>
      </c>
      <c r="I5654" s="3" t="s">
        <v>7359</v>
      </c>
    </row>
    <row r="5655" spans="2:9" ht="29.25" hidden="1" x14ac:dyDescent="0.4">
      <c r="B5655" s="8" t="s">
        <v>9736</v>
      </c>
      <c r="C5655" s="3" t="s">
        <v>9051</v>
      </c>
      <c r="D5655" s="3" t="s">
        <v>9393</v>
      </c>
      <c r="E5655" s="3" t="s">
        <v>7805</v>
      </c>
      <c r="F5655" s="3" t="s">
        <v>399</v>
      </c>
      <c r="I5655" s="3" t="s">
        <v>7359</v>
      </c>
    </row>
    <row r="5656" spans="2:9" ht="29.25" hidden="1" x14ac:dyDescent="0.4">
      <c r="B5656" s="8" t="s">
        <v>9737</v>
      </c>
      <c r="C5656" s="3" t="s">
        <v>9052</v>
      </c>
      <c r="D5656" s="3" t="s">
        <v>9394</v>
      </c>
      <c r="E5656" s="3" t="s">
        <v>7805</v>
      </c>
      <c r="F5656" s="3" t="s">
        <v>399</v>
      </c>
      <c r="I5656" s="3" t="s">
        <v>7359</v>
      </c>
    </row>
    <row r="5657" spans="2:9" ht="29.25" hidden="1" x14ac:dyDescent="0.4">
      <c r="B5657" s="8" t="s">
        <v>6737</v>
      </c>
      <c r="C5657" s="3" t="s">
        <v>9053</v>
      </c>
      <c r="D5657" s="3" t="s">
        <v>9395</v>
      </c>
      <c r="E5657" s="3" t="s">
        <v>7805</v>
      </c>
      <c r="F5657" s="3" t="s">
        <v>399</v>
      </c>
      <c r="I5657" s="3" t="s">
        <v>7359</v>
      </c>
    </row>
    <row r="5658" spans="2:9" ht="29.25" hidden="1" x14ac:dyDescent="0.4">
      <c r="B5658" s="8" t="s">
        <v>9735</v>
      </c>
      <c r="C5658" s="3" t="s">
        <v>9054</v>
      </c>
      <c r="D5658" s="3" t="s">
        <v>9396</v>
      </c>
      <c r="E5658" s="3" t="s">
        <v>7805</v>
      </c>
      <c r="F5658" s="3" t="s">
        <v>399</v>
      </c>
      <c r="I5658" s="3" t="s">
        <v>7359</v>
      </c>
    </row>
    <row r="5659" spans="2:9" ht="29.25" hidden="1" x14ac:dyDescent="0.4">
      <c r="B5659" s="8" t="s">
        <v>9736</v>
      </c>
      <c r="C5659" s="3" t="s">
        <v>9055</v>
      </c>
      <c r="D5659" s="3" t="s">
        <v>9397</v>
      </c>
      <c r="E5659" s="3" t="s">
        <v>7805</v>
      </c>
      <c r="F5659" s="3" t="s">
        <v>399</v>
      </c>
      <c r="I5659" s="3" t="s">
        <v>7359</v>
      </c>
    </row>
    <row r="5660" spans="2:9" ht="29.25" hidden="1" x14ac:dyDescent="0.4">
      <c r="B5660" s="8" t="s">
        <v>6737</v>
      </c>
      <c r="C5660" s="3" t="s">
        <v>9056</v>
      </c>
      <c r="D5660" s="3" t="s">
        <v>9398</v>
      </c>
      <c r="E5660" s="3" t="s">
        <v>7805</v>
      </c>
      <c r="F5660" s="3" t="s">
        <v>399</v>
      </c>
      <c r="I5660" s="3" t="s">
        <v>7359</v>
      </c>
    </row>
    <row r="5661" spans="2:9" ht="29.25" hidden="1" x14ac:dyDescent="0.4">
      <c r="B5661" s="8" t="s">
        <v>9738</v>
      </c>
      <c r="C5661" s="3" t="s">
        <v>9057</v>
      </c>
      <c r="D5661" s="3" t="s">
        <v>9399</v>
      </c>
      <c r="E5661" s="3" t="s">
        <v>7805</v>
      </c>
      <c r="F5661" s="3" t="s">
        <v>399</v>
      </c>
      <c r="I5661" s="3" t="s">
        <v>7359</v>
      </c>
    </row>
    <row r="5662" spans="2:9" ht="29.25" hidden="1" x14ac:dyDescent="0.4">
      <c r="B5662" s="8" t="s">
        <v>9739</v>
      </c>
      <c r="C5662" s="3" t="s">
        <v>9058</v>
      </c>
      <c r="D5662" s="3" t="s">
        <v>9400</v>
      </c>
      <c r="E5662" s="3" t="s">
        <v>7805</v>
      </c>
      <c r="F5662" s="3" t="s">
        <v>399</v>
      </c>
      <c r="I5662" s="3" t="s">
        <v>7359</v>
      </c>
    </row>
    <row r="5663" spans="2:9" ht="29.25" hidden="1" x14ac:dyDescent="0.4">
      <c r="B5663" s="8" t="s">
        <v>9744</v>
      </c>
      <c r="C5663" s="3" t="s">
        <v>9740</v>
      </c>
      <c r="D5663" s="3" t="s">
        <v>9742</v>
      </c>
      <c r="E5663" s="3" t="s">
        <v>7805</v>
      </c>
      <c r="F5663" s="3" t="s">
        <v>399</v>
      </c>
      <c r="I5663" s="3" t="s">
        <v>7359</v>
      </c>
    </row>
    <row r="5664" spans="2:9" ht="29.25" hidden="1" x14ac:dyDescent="0.4">
      <c r="B5664" s="8" t="s">
        <v>9745</v>
      </c>
      <c r="C5664" s="3" t="s">
        <v>9741</v>
      </c>
      <c r="D5664" s="3" t="s">
        <v>9743</v>
      </c>
      <c r="E5664" s="3" t="s">
        <v>7805</v>
      </c>
      <c r="F5664" s="3" t="s">
        <v>399</v>
      </c>
      <c r="I5664" s="3" t="s">
        <v>7359</v>
      </c>
    </row>
    <row r="5665" spans="2:9" hidden="1" x14ac:dyDescent="0.4">
      <c r="B5665" s="8" t="s">
        <v>526</v>
      </c>
      <c r="C5665" s="3" t="s">
        <v>9059</v>
      </c>
      <c r="D5665" s="3" t="s">
        <v>9401</v>
      </c>
      <c r="E5665" s="3" t="s">
        <v>7805</v>
      </c>
      <c r="F5665" s="3" t="s">
        <v>399</v>
      </c>
      <c r="I5665" s="3" t="s">
        <v>7359</v>
      </c>
    </row>
    <row r="5666" spans="2:9" hidden="1" x14ac:dyDescent="0.4">
      <c r="B5666" s="8" t="s">
        <v>526</v>
      </c>
      <c r="C5666" s="3" t="s">
        <v>9060</v>
      </c>
      <c r="D5666" s="3" t="s">
        <v>9402</v>
      </c>
      <c r="E5666" s="3" t="s">
        <v>7805</v>
      </c>
      <c r="F5666" s="3" t="s">
        <v>399</v>
      </c>
      <c r="I5666" s="3" t="s">
        <v>7359</v>
      </c>
    </row>
    <row r="5667" spans="2:9" ht="29.25" hidden="1" x14ac:dyDescent="0.4">
      <c r="B5667" s="8" t="s">
        <v>6734</v>
      </c>
      <c r="C5667" s="3" t="s">
        <v>9061</v>
      </c>
      <c r="D5667" s="3" t="s">
        <v>9403</v>
      </c>
      <c r="E5667" s="3" t="s">
        <v>7805</v>
      </c>
      <c r="F5667" s="3" t="s">
        <v>399</v>
      </c>
      <c r="I5667" s="3" t="s">
        <v>7359</v>
      </c>
    </row>
    <row r="5668" spans="2:9" ht="29.25" hidden="1" x14ac:dyDescent="0.4">
      <c r="B5668" s="8" t="s">
        <v>6734</v>
      </c>
      <c r="C5668" s="3" t="s">
        <v>9062</v>
      </c>
      <c r="D5668" s="3" t="s">
        <v>9404</v>
      </c>
      <c r="E5668" s="3" t="s">
        <v>7805</v>
      </c>
      <c r="F5668" s="3" t="s">
        <v>399</v>
      </c>
      <c r="I5668" s="3" t="s">
        <v>7359</v>
      </c>
    </row>
    <row r="5669" spans="2:9" hidden="1" x14ac:dyDescent="0.4">
      <c r="B5669" s="8" t="s">
        <v>6735</v>
      </c>
      <c r="C5669" s="3" t="s">
        <v>9063</v>
      </c>
      <c r="D5669" s="3" t="s">
        <v>9410</v>
      </c>
      <c r="E5669" s="3" t="s">
        <v>7805</v>
      </c>
      <c r="F5669" s="3" t="s">
        <v>399</v>
      </c>
      <c r="I5669" s="3" t="s">
        <v>7359</v>
      </c>
    </row>
    <row r="5670" spans="2:9" hidden="1" x14ac:dyDescent="0.4">
      <c r="B5670" s="8" t="s">
        <v>6735</v>
      </c>
      <c r="C5670" s="3" t="s">
        <v>9064</v>
      </c>
      <c r="D5670" s="3" t="s">
        <v>9411</v>
      </c>
      <c r="E5670" s="3" t="s">
        <v>7805</v>
      </c>
      <c r="F5670" s="3" t="s">
        <v>399</v>
      </c>
      <c r="I5670" s="3" t="s">
        <v>7359</v>
      </c>
    </row>
    <row r="5671" spans="2:9" hidden="1" x14ac:dyDescent="0.4">
      <c r="B5671" s="8" t="s">
        <v>9746</v>
      </c>
      <c r="C5671" s="3" t="s">
        <v>9065</v>
      </c>
      <c r="D5671" s="3" t="s">
        <v>9405</v>
      </c>
      <c r="E5671" s="3" t="s">
        <v>7805</v>
      </c>
      <c r="F5671" s="3" t="s">
        <v>399</v>
      </c>
      <c r="I5671" s="3" t="s">
        <v>7359</v>
      </c>
    </row>
    <row r="5672" spans="2:9" hidden="1" x14ac:dyDescent="0.4">
      <c r="B5672" s="8" t="s">
        <v>6734</v>
      </c>
      <c r="C5672" s="3" t="s">
        <v>9066</v>
      </c>
      <c r="D5672" s="3" t="s">
        <v>9406</v>
      </c>
      <c r="E5672" s="3" t="s">
        <v>7805</v>
      </c>
      <c r="F5672" s="3" t="s">
        <v>399</v>
      </c>
      <c r="I5672" s="3" t="s">
        <v>7359</v>
      </c>
    </row>
    <row r="5673" spans="2:9" hidden="1" x14ac:dyDescent="0.4">
      <c r="B5673" s="8" t="s">
        <v>6734</v>
      </c>
      <c r="C5673" s="3" t="s">
        <v>9067</v>
      </c>
      <c r="D5673" s="3" t="s">
        <v>9407</v>
      </c>
      <c r="E5673" s="3" t="s">
        <v>7805</v>
      </c>
      <c r="F5673" s="3" t="s">
        <v>399</v>
      </c>
      <c r="I5673" s="3" t="s">
        <v>7359</v>
      </c>
    </row>
    <row r="5674" spans="2:9" ht="29.25" hidden="1" x14ac:dyDescent="0.4">
      <c r="B5674" s="8" t="s">
        <v>6737</v>
      </c>
      <c r="C5674" s="3" t="s">
        <v>9068</v>
      </c>
      <c r="D5674" s="3" t="s">
        <v>9408</v>
      </c>
      <c r="E5674" s="3" t="s">
        <v>7805</v>
      </c>
      <c r="F5674" s="3" t="s">
        <v>399</v>
      </c>
      <c r="I5674" s="3" t="s">
        <v>7359</v>
      </c>
    </row>
    <row r="5675" spans="2:9" ht="29.25" hidden="1" x14ac:dyDescent="0.4">
      <c r="B5675" s="8" t="s">
        <v>6737</v>
      </c>
      <c r="C5675" s="3" t="s">
        <v>9069</v>
      </c>
      <c r="D5675" s="3" t="s">
        <v>9409</v>
      </c>
      <c r="E5675" s="3" t="s">
        <v>7805</v>
      </c>
      <c r="F5675" s="3" t="s">
        <v>399</v>
      </c>
      <c r="I5675" s="3" t="s">
        <v>7359</v>
      </c>
    </row>
    <row r="5676" spans="2:9" hidden="1" x14ac:dyDescent="0.4">
      <c r="B5676" s="8" t="s">
        <v>516</v>
      </c>
      <c r="C5676" s="3" t="s">
        <v>9070</v>
      </c>
      <c r="D5676" s="3" t="s">
        <v>9412</v>
      </c>
      <c r="E5676" s="3" t="s">
        <v>7805</v>
      </c>
      <c r="F5676" s="3" t="s">
        <v>399</v>
      </c>
      <c r="I5676" s="3" t="s">
        <v>7359</v>
      </c>
    </row>
    <row r="5677" spans="2:9" hidden="1" x14ac:dyDescent="0.4">
      <c r="B5677" s="8" t="s">
        <v>516</v>
      </c>
      <c r="C5677" s="3" t="s">
        <v>9071</v>
      </c>
      <c r="D5677" s="3" t="s">
        <v>9413</v>
      </c>
      <c r="E5677" s="3" t="s">
        <v>7805</v>
      </c>
      <c r="F5677" s="3" t="s">
        <v>399</v>
      </c>
      <c r="I5677" s="3" t="s">
        <v>7359</v>
      </c>
    </row>
    <row r="5678" spans="2:9" hidden="1" x14ac:dyDescent="0.4">
      <c r="B5678" s="8" t="s">
        <v>530</v>
      </c>
      <c r="C5678" s="3" t="s">
        <v>9072</v>
      </c>
      <c r="D5678" s="3" t="s">
        <v>9414</v>
      </c>
      <c r="E5678" s="3" t="s">
        <v>7805</v>
      </c>
      <c r="F5678" s="3" t="s">
        <v>399</v>
      </c>
      <c r="I5678" s="3" t="s">
        <v>7359</v>
      </c>
    </row>
    <row r="5679" spans="2:9" hidden="1" x14ac:dyDescent="0.4">
      <c r="B5679" s="8" t="s">
        <v>517</v>
      </c>
      <c r="C5679" s="3" t="s">
        <v>9073</v>
      </c>
      <c r="D5679" s="3" t="s">
        <v>9415</v>
      </c>
      <c r="F5679" s="3" t="s">
        <v>399</v>
      </c>
      <c r="I5679" s="3" t="s">
        <v>7359</v>
      </c>
    </row>
    <row r="5680" spans="2:9" hidden="1" x14ac:dyDescent="0.4">
      <c r="B5680" s="8" t="s">
        <v>529</v>
      </c>
      <c r="C5680" s="3" t="s">
        <v>9074</v>
      </c>
      <c r="D5680" s="3" t="s">
        <v>9416</v>
      </c>
      <c r="E5680" s="3" t="s">
        <v>7805</v>
      </c>
      <c r="F5680" s="3" t="s">
        <v>399</v>
      </c>
      <c r="I5680" s="3" t="s">
        <v>7359</v>
      </c>
    </row>
    <row r="5681" spans="2:9" hidden="1" x14ac:dyDescent="0.4">
      <c r="B5681" s="8" t="s">
        <v>518</v>
      </c>
      <c r="C5681" s="3" t="s">
        <v>9075</v>
      </c>
      <c r="D5681" s="3" t="s">
        <v>9417</v>
      </c>
      <c r="E5681" s="3" t="s">
        <v>425</v>
      </c>
      <c r="F5681" s="3" t="s">
        <v>399</v>
      </c>
      <c r="I5681" s="3" t="s">
        <v>7359</v>
      </c>
    </row>
    <row r="5682" spans="2:9" hidden="1" x14ac:dyDescent="0.4">
      <c r="B5682" s="8" t="s">
        <v>516</v>
      </c>
      <c r="C5682" s="3" t="s">
        <v>9076</v>
      </c>
      <c r="D5682" s="3" t="s">
        <v>9418</v>
      </c>
      <c r="E5682" s="3" t="s">
        <v>7805</v>
      </c>
      <c r="F5682" s="3" t="s">
        <v>399</v>
      </c>
      <c r="I5682" s="3" t="s">
        <v>7359</v>
      </c>
    </row>
    <row r="5683" spans="2:9" hidden="1" x14ac:dyDescent="0.4">
      <c r="B5683" s="8" t="s">
        <v>517</v>
      </c>
      <c r="C5683" s="3" t="s">
        <v>9077</v>
      </c>
      <c r="D5683" s="3" t="s">
        <v>9419</v>
      </c>
      <c r="E5683" s="3" t="s">
        <v>7805</v>
      </c>
      <c r="F5683" s="3" t="s">
        <v>399</v>
      </c>
      <c r="I5683" s="3" t="s">
        <v>7359</v>
      </c>
    </row>
    <row r="5684" spans="2:9" ht="29.25" hidden="1" x14ac:dyDescent="0.4">
      <c r="B5684" s="8" t="s">
        <v>9747</v>
      </c>
      <c r="C5684" s="3" t="s">
        <v>9078</v>
      </c>
      <c r="D5684" s="3" t="s">
        <v>9420</v>
      </c>
      <c r="E5684" s="3" t="s">
        <v>7805</v>
      </c>
      <c r="F5684" s="3" t="s">
        <v>399</v>
      </c>
      <c r="I5684" s="3" t="s">
        <v>7359</v>
      </c>
    </row>
    <row r="5685" spans="2:9" ht="29.25" hidden="1" x14ac:dyDescent="0.4">
      <c r="B5685" s="8" t="s">
        <v>9747</v>
      </c>
      <c r="C5685" s="3" t="s">
        <v>9079</v>
      </c>
      <c r="D5685" s="3" t="s">
        <v>9421</v>
      </c>
      <c r="E5685" s="3" t="s">
        <v>7805</v>
      </c>
      <c r="F5685" s="3" t="s">
        <v>399</v>
      </c>
      <c r="I5685" s="3" t="s">
        <v>7359</v>
      </c>
    </row>
    <row r="5686" spans="2:9" hidden="1" x14ac:dyDescent="0.4">
      <c r="B5686" s="8" t="s">
        <v>2046</v>
      </c>
      <c r="C5686" s="3" t="s">
        <v>9080</v>
      </c>
      <c r="D5686" s="3" t="s">
        <v>9422</v>
      </c>
      <c r="E5686" s="3" t="s">
        <v>7805</v>
      </c>
      <c r="F5686" s="3" t="s">
        <v>399</v>
      </c>
      <c r="I5686" s="3" t="s">
        <v>7359</v>
      </c>
    </row>
    <row r="5687" spans="2:9" ht="29.25" hidden="1" x14ac:dyDescent="0.4">
      <c r="B5687" s="8" t="s">
        <v>2046</v>
      </c>
      <c r="C5687" s="3" t="s">
        <v>9081</v>
      </c>
      <c r="D5687" s="3" t="s">
        <v>9423</v>
      </c>
      <c r="E5687" s="3" t="s">
        <v>7805</v>
      </c>
      <c r="F5687" s="3" t="s">
        <v>399</v>
      </c>
      <c r="I5687" s="3" t="s">
        <v>7359</v>
      </c>
    </row>
    <row r="5688" spans="2:9" hidden="1" x14ac:dyDescent="0.4">
      <c r="B5688" s="8" t="s">
        <v>2046</v>
      </c>
      <c r="C5688" s="3" t="s">
        <v>9082</v>
      </c>
      <c r="D5688" s="3" t="s">
        <v>9424</v>
      </c>
      <c r="E5688" s="3" t="s">
        <v>7805</v>
      </c>
      <c r="F5688" s="3" t="s">
        <v>399</v>
      </c>
      <c r="I5688" s="3" t="s">
        <v>7359</v>
      </c>
    </row>
    <row r="5689" spans="2:9" ht="29.25" hidden="1" x14ac:dyDescent="0.4">
      <c r="B5689" s="8" t="s">
        <v>2046</v>
      </c>
      <c r="C5689" s="3" t="s">
        <v>9083</v>
      </c>
      <c r="D5689" s="3" t="s">
        <v>9425</v>
      </c>
      <c r="E5689" s="3" t="s">
        <v>7805</v>
      </c>
      <c r="F5689" s="3" t="s">
        <v>399</v>
      </c>
      <c r="I5689" s="3" t="s">
        <v>7359</v>
      </c>
    </row>
    <row r="5690" spans="2:9" hidden="1" x14ac:dyDescent="0.4">
      <c r="B5690" s="8" t="s">
        <v>2046</v>
      </c>
      <c r="C5690" s="3" t="s">
        <v>9428</v>
      </c>
      <c r="D5690" s="3" t="s">
        <v>9426</v>
      </c>
      <c r="E5690" s="3" t="s">
        <v>7805</v>
      </c>
      <c r="F5690" s="3" t="s">
        <v>399</v>
      </c>
      <c r="I5690" s="3" t="s">
        <v>7359</v>
      </c>
    </row>
    <row r="5691" spans="2:9" hidden="1" x14ac:dyDescent="0.4">
      <c r="B5691" s="8" t="s">
        <v>2046</v>
      </c>
      <c r="C5691" s="3" t="s">
        <v>9429</v>
      </c>
      <c r="D5691" s="3" t="s">
        <v>9427</v>
      </c>
      <c r="E5691" s="3" t="s">
        <v>7805</v>
      </c>
      <c r="F5691" s="3" t="s">
        <v>399</v>
      </c>
      <c r="I5691" s="3" t="s">
        <v>7359</v>
      </c>
    </row>
    <row r="5692" spans="2:9" hidden="1" x14ac:dyDescent="0.4">
      <c r="B5692" s="8" t="s">
        <v>517</v>
      </c>
      <c r="C5692" s="3" t="s">
        <v>9084</v>
      </c>
      <c r="D5692" s="3" t="s">
        <v>9430</v>
      </c>
      <c r="E5692" s="3" t="s">
        <v>7805</v>
      </c>
      <c r="F5692" s="3" t="s">
        <v>399</v>
      </c>
      <c r="I5692" s="3" t="s">
        <v>7359</v>
      </c>
    </row>
    <row r="5693" spans="2:9" hidden="1" x14ac:dyDescent="0.4">
      <c r="B5693" s="8" t="s">
        <v>516</v>
      </c>
      <c r="C5693" s="3" t="s">
        <v>9085</v>
      </c>
      <c r="D5693" s="3" t="s">
        <v>9431</v>
      </c>
      <c r="E5693" s="3" t="s">
        <v>7805</v>
      </c>
      <c r="F5693" s="3" t="s">
        <v>399</v>
      </c>
      <c r="I5693" s="3" t="s">
        <v>7359</v>
      </c>
    </row>
    <row r="5694" spans="2:9" hidden="1" x14ac:dyDescent="0.4">
      <c r="D5694" s="3" t="s">
        <v>9432</v>
      </c>
      <c r="E5694" s="3" t="s">
        <v>7805</v>
      </c>
      <c r="F5694" s="3" t="s">
        <v>399</v>
      </c>
      <c r="I5694" s="3" t="s">
        <v>7359</v>
      </c>
    </row>
    <row r="5695" spans="2:9" hidden="1" x14ac:dyDescent="0.4">
      <c r="B5695" s="8" t="s">
        <v>6735</v>
      </c>
      <c r="C5695" s="3" t="s">
        <v>9086</v>
      </c>
      <c r="D5695" s="3" t="s">
        <v>9433</v>
      </c>
      <c r="E5695" s="3" t="s">
        <v>7805</v>
      </c>
      <c r="F5695" s="3" t="s">
        <v>399</v>
      </c>
      <c r="I5695" s="3" t="s">
        <v>7359</v>
      </c>
    </row>
    <row r="5696" spans="2:9" ht="29.25" hidden="1" x14ac:dyDescent="0.4">
      <c r="B5696" s="8" t="s">
        <v>9748</v>
      </c>
      <c r="C5696" s="3" t="s">
        <v>9088</v>
      </c>
      <c r="D5696" s="3" t="s">
        <v>9434</v>
      </c>
      <c r="E5696" s="3" t="s">
        <v>7805</v>
      </c>
      <c r="F5696" s="3" t="s">
        <v>399</v>
      </c>
      <c r="I5696" s="3" t="s">
        <v>7359</v>
      </c>
    </row>
    <row r="5697" spans="2:9" ht="29.25" hidden="1" x14ac:dyDescent="0.4">
      <c r="B5697" s="8" t="s">
        <v>9748</v>
      </c>
      <c r="C5697" s="3" t="s">
        <v>9087</v>
      </c>
      <c r="D5697" s="3" t="s">
        <v>9435</v>
      </c>
      <c r="E5697" s="3" t="s">
        <v>7805</v>
      </c>
      <c r="F5697" s="3" t="s">
        <v>399</v>
      </c>
      <c r="I5697" s="3" t="s">
        <v>7359</v>
      </c>
    </row>
    <row r="5698" spans="2:9" hidden="1" x14ac:dyDescent="0.4">
      <c r="B5698" s="8" t="s">
        <v>526</v>
      </c>
      <c r="C5698" s="3" t="s">
        <v>9089</v>
      </c>
      <c r="D5698" s="3" t="s">
        <v>9436</v>
      </c>
      <c r="E5698" s="3" t="s">
        <v>7805</v>
      </c>
      <c r="F5698" s="3" t="s">
        <v>399</v>
      </c>
      <c r="I5698" s="3" t="s">
        <v>7359</v>
      </c>
    </row>
    <row r="5699" spans="2:9" hidden="1" x14ac:dyDescent="0.4">
      <c r="B5699" s="8" t="s">
        <v>526</v>
      </c>
      <c r="C5699" s="3" t="s">
        <v>9090</v>
      </c>
      <c r="D5699" s="3" t="s">
        <v>9437</v>
      </c>
      <c r="E5699" s="3" t="s">
        <v>7805</v>
      </c>
      <c r="F5699" s="3" t="s">
        <v>399</v>
      </c>
      <c r="I5699" s="3" t="s">
        <v>7359</v>
      </c>
    </row>
    <row r="5700" spans="2:9" hidden="1" x14ac:dyDescent="0.4">
      <c r="B5700" s="8" t="s">
        <v>526</v>
      </c>
      <c r="C5700" s="3" t="s">
        <v>9091</v>
      </c>
      <c r="D5700" s="3" t="s">
        <v>9438</v>
      </c>
      <c r="E5700" s="3" t="s">
        <v>7805</v>
      </c>
      <c r="F5700" s="3" t="s">
        <v>399</v>
      </c>
      <c r="I5700" s="3" t="s">
        <v>7359</v>
      </c>
    </row>
    <row r="5701" spans="2:9" hidden="1" x14ac:dyDescent="0.4">
      <c r="B5701" s="8" t="s">
        <v>526</v>
      </c>
      <c r="C5701" s="3" t="s">
        <v>9092</v>
      </c>
      <c r="D5701" s="3" t="s">
        <v>9439</v>
      </c>
      <c r="E5701" s="3" t="s">
        <v>7805</v>
      </c>
      <c r="F5701" s="3" t="s">
        <v>399</v>
      </c>
      <c r="I5701" s="3" t="s">
        <v>7359</v>
      </c>
    </row>
    <row r="5702" spans="2:9" hidden="1" x14ac:dyDescent="0.4">
      <c r="B5702" s="8" t="s">
        <v>517</v>
      </c>
      <c r="C5702" s="3" t="s">
        <v>9093</v>
      </c>
      <c r="D5702" s="3" t="s">
        <v>9440</v>
      </c>
      <c r="F5702" s="3" t="s">
        <v>399</v>
      </c>
      <c r="I5702" s="3" t="s">
        <v>7359</v>
      </c>
    </row>
    <row r="5703" spans="2:9" hidden="1" x14ac:dyDescent="0.4">
      <c r="B5703" s="8" t="s">
        <v>517</v>
      </c>
      <c r="C5703" s="3" t="s">
        <v>9094</v>
      </c>
      <c r="D5703" s="3" t="s">
        <v>9441</v>
      </c>
      <c r="F5703" s="3" t="s">
        <v>399</v>
      </c>
      <c r="I5703" s="3" t="s">
        <v>7359</v>
      </c>
    </row>
    <row r="5704" spans="2:9" hidden="1" x14ac:dyDescent="0.4">
      <c r="B5704" s="8" t="s">
        <v>518</v>
      </c>
      <c r="C5704" s="3" t="s">
        <v>9095</v>
      </c>
      <c r="D5704" s="3" t="s">
        <v>9442</v>
      </c>
      <c r="F5704" s="3" t="s">
        <v>399</v>
      </c>
      <c r="I5704" s="3" t="s">
        <v>7359</v>
      </c>
    </row>
    <row r="5705" spans="2:9" hidden="1" x14ac:dyDescent="0.4">
      <c r="B5705" s="8" t="s">
        <v>517</v>
      </c>
      <c r="C5705" s="3" t="s">
        <v>1331</v>
      </c>
      <c r="D5705" s="3" t="s">
        <v>9443</v>
      </c>
      <c r="F5705" s="3" t="s">
        <v>399</v>
      </c>
      <c r="I5705" s="3" t="s">
        <v>7359</v>
      </c>
    </row>
    <row r="5706" spans="2:9" hidden="1" x14ac:dyDescent="0.4">
      <c r="B5706" s="8" t="s">
        <v>517</v>
      </c>
      <c r="C5706" s="3" t="s">
        <v>6936</v>
      </c>
      <c r="D5706" s="3" t="s">
        <v>9444</v>
      </c>
      <c r="F5706" s="3" t="s">
        <v>399</v>
      </c>
      <c r="I5706" s="3" t="s">
        <v>7359</v>
      </c>
    </row>
    <row r="5707" spans="2:9" hidden="1" x14ac:dyDescent="0.4">
      <c r="B5707" s="8" t="s">
        <v>529</v>
      </c>
      <c r="C5707" s="3" t="s">
        <v>9096</v>
      </c>
      <c r="D5707" s="3" t="s">
        <v>9445</v>
      </c>
      <c r="F5707" s="3" t="s">
        <v>399</v>
      </c>
      <c r="I5707" s="3" t="s">
        <v>7359</v>
      </c>
    </row>
    <row r="5708" spans="2:9" hidden="1" x14ac:dyDescent="0.4">
      <c r="B5708" s="8" t="s">
        <v>520</v>
      </c>
      <c r="C5708" s="3" t="s">
        <v>9097</v>
      </c>
      <c r="D5708" s="3" t="s">
        <v>9446</v>
      </c>
      <c r="F5708" s="3" t="s">
        <v>399</v>
      </c>
      <c r="I5708" s="3" t="s">
        <v>7359</v>
      </c>
    </row>
    <row r="5709" spans="2:9" hidden="1" x14ac:dyDescent="0.4">
      <c r="B5709" s="8" t="s">
        <v>529</v>
      </c>
      <c r="C5709" s="3" t="s">
        <v>9098</v>
      </c>
      <c r="D5709" s="3" t="s">
        <v>9784</v>
      </c>
      <c r="F5709" s="3" t="s">
        <v>399</v>
      </c>
      <c r="I5709" s="3" t="s">
        <v>7359</v>
      </c>
    </row>
    <row r="5710" spans="2:9" hidden="1" x14ac:dyDescent="0.4">
      <c r="B5710" s="8" t="s">
        <v>517</v>
      </c>
      <c r="C5710" s="3" t="s">
        <v>9099</v>
      </c>
      <c r="D5710" s="3" t="s">
        <v>9447</v>
      </c>
      <c r="F5710" s="3" t="s">
        <v>399</v>
      </c>
      <c r="I5710" s="3" t="s">
        <v>7359</v>
      </c>
    </row>
    <row r="5711" spans="2:9" hidden="1" x14ac:dyDescent="0.4">
      <c r="B5711" s="8" t="s">
        <v>518</v>
      </c>
      <c r="C5711" s="3" t="s">
        <v>9100</v>
      </c>
      <c r="D5711" s="3" t="s">
        <v>9448</v>
      </c>
      <c r="F5711" s="3" t="s">
        <v>399</v>
      </c>
      <c r="I5711" s="3" t="s">
        <v>7359</v>
      </c>
    </row>
    <row r="5712" spans="2:9" hidden="1" x14ac:dyDescent="0.4">
      <c r="B5712" s="8" t="s">
        <v>517</v>
      </c>
      <c r="C5712" s="3" t="s">
        <v>9101</v>
      </c>
      <c r="D5712" s="3" t="s">
        <v>9449</v>
      </c>
      <c r="F5712" s="3" t="s">
        <v>399</v>
      </c>
      <c r="I5712" s="3" t="s">
        <v>7359</v>
      </c>
    </row>
    <row r="5713" spans="2:9" hidden="1" x14ac:dyDescent="0.4">
      <c r="B5713" s="8" t="s">
        <v>517</v>
      </c>
      <c r="C5713" s="3" t="s">
        <v>9102</v>
      </c>
      <c r="D5713" s="3" t="s">
        <v>9450</v>
      </c>
      <c r="F5713" s="3" t="s">
        <v>399</v>
      </c>
      <c r="I5713" s="3" t="s">
        <v>7359</v>
      </c>
    </row>
    <row r="5714" spans="2:9" hidden="1" x14ac:dyDescent="0.4">
      <c r="B5714" s="8" t="s">
        <v>529</v>
      </c>
      <c r="C5714" s="3" t="s">
        <v>9103</v>
      </c>
      <c r="D5714" s="3" t="s">
        <v>9451</v>
      </c>
      <c r="F5714" s="3" t="s">
        <v>399</v>
      </c>
      <c r="I5714" s="3" t="s">
        <v>7359</v>
      </c>
    </row>
    <row r="5715" spans="2:9" hidden="1" x14ac:dyDescent="0.4">
      <c r="B5715" s="8" t="s">
        <v>520</v>
      </c>
      <c r="C5715" s="3" t="s">
        <v>9104</v>
      </c>
      <c r="D5715" s="3" t="s">
        <v>9452</v>
      </c>
      <c r="F5715" s="3" t="s">
        <v>399</v>
      </c>
      <c r="I5715" s="3" t="s">
        <v>7359</v>
      </c>
    </row>
    <row r="5716" spans="2:9" hidden="1" x14ac:dyDescent="0.4">
      <c r="B5716" s="8" t="s">
        <v>529</v>
      </c>
      <c r="C5716" s="3" t="s">
        <v>9105</v>
      </c>
      <c r="D5716" s="3" t="s">
        <v>9453</v>
      </c>
      <c r="F5716" s="3" t="s">
        <v>399</v>
      </c>
      <c r="I5716" s="3" t="s">
        <v>7359</v>
      </c>
    </row>
    <row r="5717" spans="2:9" hidden="1" x14ac:dyDescent="0.4">
      <c r="B5717" s="8" t="s">
        <v>517</v>
      </c>
      <c r="C5717" s="3" t="s">
        <v>9106</v>
      </c>
      <c r="D5717" s="3" t="s">
        <v>9454</v>
      </c>
      <c r="F5717" s="3" t="s">
        <v>399</v>
      </c>
      <c r="I5717" s="3" t="s">
        <v>7359</v>
      </c>
    </row>
    <row r="5718" spans="2:9" hidden="1" x14ac:dyDescent="0.4">
      <c r="B5718" s="8" t="s">
        <v>518</v>
      </c>
      <c r="C5718" s="3" t="s">
        <v>9107</v>
      </c>
      <c r="D5718" s="3" t="s">
        <v>9455</v>
      </c>
      <c r="F5718" s="3" t="s">
        <v>399</v>
      </c>
      <c r="I5718" s="3" t="s">
        <v>7359</v>
      </c>
    </row>
    <row r="5719" spans="2:9" hidden="1" x14ac:dyDescent="0.4">
      <c r="B5719" s="8" t="s">
        <v>518</v>
      </c>
      <c r="C5719" s="3" t="s">
        <v>9108</v>
      </c>
      <c r="D5719" s="3" t="s">
        <v>9456</v>
      </c>
      <c r="F5719" s="3" t="s">
        <v>399</v>
      </c>
      <c r="I5719" s="3" t="s">
        <v>7359</v>
      </c>
    </row>
    <row r="5720" spans="2:9" hidden="1" x14ac:dyDescent="0.4">
      <c r="B5720" s="8" t="s">
        <v>517</v>
      </c>
      <c r="C5720" s="3" t="s">
        <v>9109</v>
      </c>
      <c r="D5720" s="3" t="s">
        <v>9457</v>
      </c>
      <c r="F5720" s="3" t="s">
        <v>399</v>
      </c>
      <c r="I5720" s="3" t="s">
        <v>7359</v>
      </c>
    </row>
    <row r="5721" spans="2:9" hidden="1" x14ac:dyDescent="0.4">
      <c r="B5721" s="8" t="s">
        <v>517</v>
      </c>
      <c r="C5721" s="3" t="s">
        <v>9110</v>
      </c>
      <c r="D5721" s="3" t="s">
        <v>9458</v>
      </c>
      <c r="F5721" s="3" t="s">
        <v>399</v>
      </c>
      <c r="I5721" s="3" t="s">
        <v>7359</v>
      </c>
    </row>
    <row r="5722" spans="2:9" hidden="1" x14ac:dyDescent="0.4">
      <c r="B5722" s="8" t="s">
        <v>517</v>
      </c>
      <c r="C5722" s="3" t="s">
        <v>9111</v>
      </c>
      <c r="D5722" s="3" t="s">
        <v>9459</v>
      </c>
      <c r="F5722" s="3" t="s">
        <v>399</v>
      </c>
      <c r="I5722" s="3" t="s">
        <v>7359</v>
      </c>
    </row>
    <row r="5723" spans="2:9" hidden="1" x14ac:dyDescent="0.4">
      <c r="B5723" s="8" t="s">
        <v>517</v>
      </c>
      <c r="C5723" s="3" t="s">
        <v>9112</v>
      </c>
      <c r="D5723" s="3" t="s">
        <v>9460</v>
      </c>
      <c r="F5723" s="3" t="s">
        <v>399</v>
      </c>
      <c r="I5723" s="3" t="s">
        <v>7359</v>
      </c>
    </row>
    <row r="5724" spans="2:9" hidden="1" x14ac:dyDescent="0.4">
      <c r="B5724" s="8" t="s">
        <v>517</v>
      </c>
      <c r="C5724" s="3" t="s">
        <v>9113</v>
      </c>
      <c r="D5724" s="3" t="s">
        <v>9461</v>
      </c>
      <c r="F5724" s="3" t="s">
        <v>399</v>
      </c>
      <c r="I5724" s="3" t="s">
        <v>7359</v>
      </c>
    </row>
    <row r="5725" spans="2:9" hidden="1" x14ac:dyDescent="0.4">
      <c r="B5725" s="8" t="s">
        <v>517</v>
      </c>
      <c r="C5725" s="3" t="s">
        <v>9114</v>
      </c>
      <c r="D5725" s="3" t="s">
        <v>9462</v>
      </c>
      <c r="F5725" s="3" t="s">
        <v>399</v>
      </c>
      <c r="I5725" s="3" t="s">
        <v>7359</v>
      </c>
    </row>
    <row r="5726" spans="2:9" hidden="1" x14ac:dyDescent="0.4">
      <c r="B5726" s="8" t="s">
        <v>517</v>
      </c>
      <c r="C5726" s="3" t="s">
        <v>9115</v>
      </c>
      <c r="D5726" s="3" t="s">
        <v>9460</v>
      </c>
      <c r="F5726" s="3" t="s">
        <v>399</v>
      </c>
      <c r="I5726" s="3" t="s">
        <v>7359</v>
      </c>
    </row>
    <row r="5727" spans="2:9" hidden="1" x14ac:dyDescent="0.4">
      <c r="B5727" s="8" t="s">
        <v>517</v>
      </c>
      <c r="C5727" s="3" t="s">
        <v>9116</v>
      </c>
      <c r="D5727" s="3" t="s">
        <v>9463</v>
      </c>
      <c r="F5727" s="3" t="s">
        <v>399</v>
      </c>
      <c r="I5727" s="3" t="s">
        <v>7359</v>
      </c>
    </row>
    <row r="5728" spans="2:9" hidden="1" x14ac:dyDescent="0.4">
      <c r="B5728" s="8" t="s">
        <v>520</v>
      </c>
      <c r="C5728" s="3" t="s">
        <v>9117</v>
      </c>
      <c r="D5728" s="3" t="s">
        <v>9464</v>
      </c>
      <c r="F5728" s="3" t="s">
        <v>399</v>
      </c>
      <c r="I5728" s="3" t="s">
        <v>7359</v>
      </c>
    </row>
    <row r="5729" spans="2:9" hidden="1" x14ac:dyDescent="0.4">
      <c r="B5729" s="8" t="s">
        <v>518</v>
      </c>
      <c r="C5729" s="3" t="s">
        <v>9118</v>
      </c>
      <c r="D5729" s="3" t="s">
        <v>9465</v>
      </c>
      <c r="F5729" s="3" t="s">
        <v>399</v>
      </c>
      <c r="I5729" s="3" t="s">
        <v>7359</v>
      </c>
    </row>
    <row r="5730" spans="2:9" hidden="1" x14ac:dyDescent="0.4">
      <c r="B5730" s="8" t="s">
        <v>518</v>
      </c>
      <c r="C5730" s="3" t="s">
        <v>9119</v>
      </c>
      <c r="D5730" s="3" t="s">
        <v>9465</v>
      </c>
      <c r="F5730" s="3" t="s">
        <v>399</v>
      </c>
      <c r="I5730" s="3" t="s">
        <v>7359</v>
      </c>
    </row>
    <row r="5731" spans="2:9" hidden="1" x14ac:dyDescent="0.4">
      <c r="B5731" s="8" t="s">
        <v>526</v>
      </c>
      <c r="C5731" s="3" t="s">
        <v>9120</v>
      </c>
      <c r="D5731" s="3" t="s">
        <v>9466</v>
      </c>
      <c r="F5731" s="3" t="s">
        <v>399</v>
      </c>
      <c r="I5731" s="3" t="s">
        <v>7359</v>
      </c>
    </row>
    <row r="5732" spans="2:9" hidden="1" x14ac:dyDescent="0.4">
      <c r="B5732" s="8" t="s">
        <v>512</v>
      </c>
      <c r="C5732" s="3" t="s">
        <v>9121</v>
      </c>
      <c r="D5732" s="3" t="s">
        <v>9467</v>
      </c>
      <c r="F5732" s="3" t="s">
        <v>399</v>
      </c>
      <c r="I5732" s="3" t="s">
        <v>7359</v>
      </c>
    </row>
    <row r="5733" spans="2:9" hidden="1" x14ac:dyDescent="0.4">
      <c r="B5733" s="8" t="s">
        <v>520</v>
      </c>
      <c r="C5733" s="3" t="s">
        <v>9122</v>
      </c>
      <c r="D5733" s="3" t="s">
        <v>9468</v>
      </c>
      <c r="E5733" s="3" t="s">
        <v>7805</v>
      </c>
      <c r="F5733" s="3" t="s">
        <v>399</v>
      </c>
      <c r="I5733" s="3" t="s">
        <v>7359</v>
      </c>
    </row>
    <row r="5734" spans="2:9" hidden="1" x14ac:dyDescent="0.4">
      <c r="B5734" s="8" t="s">
        <v>517</v>
      </c>
      <c r="C5734" s="3" t="s">
        <v>9123</v>
      </c>
      <c r="D5734" s="3" t="s">
        <v>9469</v>
      </c>
      <c r="E5734" s="3" t="s">
        <v>425</v>
      </c>
      <c r="F5734" s="3" t="s">
        <v>399</v>
      </c>
      <c r="I5734" s="3" t="s">
        <v>7359</v>
      </c>
    </row>
    <row r="5735" spans="2:9" hidden="1" x14ac:dyDescent="0.4">
      <c r="B5735" s="8" t="s">
        <v>518</v>
      </c>
      <c r="C5735" s="3" t="s">
        <v>2020</v>
      </c>
      <c r="D5735" s="3" t="s">
        <v>9470</v>
      </c>
      <c r="E5735" s="3" t="s">
        <v>425</v>
      </c>
      <c r="F5735" s="3" t="s">
        <v>399</v>
      </c>
      <c r="I5735" s="3" t="s">
        <v>7359</v>
      </c>
    </row>
    <row r="5736" spans="2:9" hidden="1" x14ac:dyDescent="0.4">
      <c r="B5736" s="8" t="s">
        <v>518</v>
      </c>
      <c r="C5736" s="3" t="s">
        <v>9124</v>
      </c>
      <c r="D5736" s="3" t="s">
        <v>9471</v>
      </c>
      <c r="E5736" s="3" t="s">
        <v>425</v>
      </c>
      <c r="F5736" s="3" t="s">
        <v>399</v>
      </c>
      <c r="I5736" s="3" t="s">
        <v>7359</v>
      </c>
    </row>
    <row r="5737" spans="2:9" hidden="1" x14ac:dyDescent="0.4">
      <c r="B5737" s="8" t="s">
        <v>518</v>
      </c>
      <c r="C5737" s="3" t="s">
        <v>9125</v>
      </c>
      <c r="D5737" s="3" t="s">
        <v>9472</v>
      </c>
      <c r="F5737" s="3" t="s">
        <v>399</v>
      </c>
      <c r="I5737" s="3" t="s">
        <v>7359</v>
      </c>
    </row>
    <row r="5738" spans="2:9" hidden="1" x14ac:dyDescent="0.4">
      <c r="B5738" s="8" t="s">
        <v>517</v>
      </c>
      <c r="C5738" s="3" t="s">
        <v>9126</v>
      </c>
      <c r="D5738" s="3" t="s">
        <v>9473</v>
      </c>
      <c r="F5738" s="3" t="s">
        <v>399</v>
      </c>
      <c r="I5738" s="3" t="s">
        <v>7359</v>
      </c>
    </row>
    <row r="5739" spans="2:9" hidden="1" x14ac:dyDescent="0.4">
      <c r="B5739" s="8" t="s">
        <v>529</v>
      </c>
      <c r="C5739" s="3" t="s">
        <v>9127</v>
      </c>
      <c r="D5739" s="3" t="s">
        <v>9474</v>
      </c>
      <c r="F5739" s="3" t="s">
        <v>399</v>
      </c>
      <c r="I5739" s="3" t="s">
        <v>7359</v>
      </c>
    </row>
    <row r="5740" spans="2:9" hidden="1" x14ac:dyDescent="0.4">
      <c r="B5740" s="8" t="s">
        <v>517</v>
      </c>
      <c r="C5740" s="3" t="s">
        <v>9128</v>
      </c>
      <c r="D5740" s="3" t="s">
        <v>9475</v>
      </c>
      <c r="F5740" s="3" t="s">
        <v>399</v>
      </c>
      <c r="I5740" s="3" t="s">
        <v>7359</v>
      </c>
    </row>
    <row r="5741" spans="2:9" hidden="1" x14ac:dyDescent="0.4">
      <c r="B5741" s="8" t="s">
        <v>517</v>
      </c>
      <c r="C5741" s="3" t="s">
        <v>9129</v>
      </c>
      <c r="D5741" s="3" t="s">
        <v>9475</v>
      </c>
      <c r="F5741" s="3" t="s">
        <v>399</v>
      </c>
      <c r="I5741" s="3" t="s">
        <v>7359</v>
      </c>
    </row>
    <row r="5742" spans="2:9" hidden="1" x14ac:dyDescent="0.4">
      <c r="B5742" s="8" t="s">
        <v>517</v>
      </c>
      <c r="C5742" s="3" t="s">
        <v>9130</v>
      </c>
      <c r="D5742" s="3" t="s">
        <v>9476</v>
      </c>
      <c r="F5742" s="3" t="s">
        <v>399</v>
      </c>
      <c r="I5742" s="3" t="s">
        <v>7359</v>
      </c>
    </row>
    <row r="5743" spans="2:9" hidden="1" x14ac:dyDescent="0.4">
      <c r="B5743" s="8" t="s">
        <v>517</v>
      </c>
      <c r="C5743" s="3" t="s">
        <v>9131</v>
      </c>
      <c r="D5743" s="3" t="s">
        <v>9477</v>
      </c>
      <c r="F5743" s="3" t="s">
        <v>399</v>
      </c>
      <c r="I5743" s="3" t="s">
        <v>7359</v>
      </c>
    </row>
    <row r="5744" spans="2:9" hidden="1" x14ac:dyDescent="0.4">
      <c r="B5744" s="8" t="s">
        <v>529</v>
      </c>
      <c r="C5744" s="3" t="s">
        <v>9132</v>
      </c>
      <c r="D5744" s="3" t="s">
        <v>9478</v>
      </c>
      <c r="F5744" s="3" t="s">
        <v>399</v>
      </c>
      <c r="I5744" s="3" t="s">
        <v>7359</v>
      </c>
    </row>
    <row r="5745" spans="2:9" hidden="1" x14ac:dyDescent="0.4">
      <c r="B5745" s="8" t="s">
        <v>517</v>
      </c>
      <c r="C5745" s="3" t="s">
        <v>9133</v>
      </c>
      <c r="D5745" s="3" t="s">
        <v>9479</v>
      </c>
      <c r="F5745" s="3" t="s">
        <v>399</v>
      </c>
      <c r="I5745" s="3" t="s">
        <v>7359</v>
      </c>
    </row>
    <row r="5746" spans="2:9" hidden="1" x14ac:dyDescent="0.4">
      <c r="B5746" s="8" t="s">
        <v>517</v>
      </c>
      <c r="C5746" s="3" t="s">
        <v>9134</v>
      </c>
      <c r="D5746" s="3" t="s">
        <v>9480</v>
      </c>
      <c r="F5746" s="3" t="s">
        <v>399</v>
      </c>
      <c r="I5746" s="3" t="s">
        <v>7359</v>
      </c>
    </row>
    <row r="5747" spans="2:9" hidden="1" x14ac:dyDescent="0.4">
      <c r="B5747" s="8" t="s">
        <v>518</v>
      </c>
      <c r="C5747" s="3" t="s">
        <v>9135</v>
      </c>
      <c r="D5747" s="3" t="s">
        <v>9481</v>
      </c>
      <c r="F5747" s="3" t="s">
        <v>399</v>
      </c>
      <c r="I5747" s="3" t="s">
        <v>7359</v>
      </c>
    </row>
    <row r="5748" spans="2:9" hidden="1" x14ac:dyDescent="0.4">
      <c r="B5748" s="8" t="s">
        <v>531</v>
      </c>
      <c r="C5748" s="3" t="s">
        <v>9136</v>
      </c>
      <c r="D5748" s="3" t="s">
        <v>9482</v>
      </c>
      <c r="E5748" s="3" t="s">
        <v>425</v>
      </c>
      <c r="F5748" s="3" t="s">
        <v>399</v>
      </c>
      <c r="I5748" s="3" t="s">
        <v>7359</v>
      </c>
    </row>
    <row r="5749" spans="2:9" hidden="1" x14ac:dyDescent="0.4">
      <c r="B5749" s="8" t="s">
        <v>517</v>
      </c>
      <c r="C5749" s="3" t="s">
        <v>9137</v>
      </c>
      <c r="D5749" s="3" t="s">
        <v>9483</v>
      </c>
      <c r="F5749" s="3" t="s">
        <v>399</v>
      </c>
      <c r="I5749" s="3" t="s">
        <v>7359</v>
      </c>
    </row>
    <row r="5750" spans="2:9" hidden="1" x14ac:dyDescent="0.4">
      <c r="B5750" s="8" t="s">
        <v>532</v>
      </c>
      <c r="C5750" s="3" t="s">
        <v>9138</v>
      </c>
      <c r="D5750" s="3" t="s">
        <v>9484</v>
      </c>
      <c r="F5750" s="3" t="s">
        <v>399</v>
      </c>
      <c r="I5750" s="3" t="s">
        <v>7359</v>
      </c>
    </row>
    <row r="5751" spans="2:9" hidden="1" x14ac:dyDescent="0.4">
      <c r="B5751" s="8" t="s">
        <v>517</v>
      </c>
      <c r="C5751" s="3" t="s">
        <v>9139</v>
      </c>
      <c r="D5751" s="3" t="s">
        <v>9485</v>
      </c>
      <c r="F5751" s="3" t="s">
        <v>399</v>
      </c>
      <c r="I5751" s="3" t="s">
        <v>7359</v>
      </c>
    </row>
    <row r="5752" spans="2:9" hidden="1" x14ac:dyDescent="0.4">
      <c r="B5752" s="8" t="s">
        <v>517</v>
      </c>
      <c r="C5752" s="3" t="s">
        <v>9140</v>
      </c>
      <c r="D5752" s="3" t="s">
        <v>9486</v>
      </c>
      <c r="F5752" s="3" t="s">
        <v>399</v>
      </c>
      <c r="I5752" s="3" t="s">
        <v>7359</v>
      </c>
    </row>
    <row r="5753" spans="2:9" hidden="1" x14ac:dyDescent="0.4">
      <c r="B5753" s="8" t="s">
        <v>517</v>
      </c>
      <c r="C5753" s="3" t="s">
        <v>9141</v>
      </c>
      <c r="D5753" s="3" t="s">
        <v>9486</v>
      </c>
      <c r="F5753" s="3" t="s">
        <v>399</v>
      </c>
      <c r="I5753" s="3" t="s">
        <v>7359</v>
      </c>
    </row>
    <row r="5754" spans="2:9" hidden="1" x14ac:dyDescent="0.4">
      <c r="B5754" s="8" t="s">
        <v>517</v>
      </c>
      <c r="C5754" s="3" t="s">
        <v>9142</v>
      </c>
      <c r="D5754" s="3" t="s">
        <v>9487</v>
      </c>
      <c r="F5754" s="3" t="s">
        <v>399</v>
      </c>
      <c r="I5754" s="3" t="s">
        <v>7359</v>
      </c>
    </row>
    <row r="5755" spans="2:9" hidden="1" x14ac:dyDescent="0.4">
      <c r="B5755" s="8" t="s">
        <v>518</v>
      </c>
      <c r="C5755" s="3" t="s">
        <v>9143</v>
      </c>
      <c r="D5755" s="3" t="s">
        <v>9488</v>
      </c>
      <c r="E5755" s="3" t="s">
        <v>425</v>
      </c>
      <c r="F5755" s="3" t="s">
        <v>399</v>
      </c>
      <c r="I5755" s="3" t="s">
        <v>7359</v>
      </c>
    </row>
    <row r="5756" spans="2:9" hidden="1" x14ac:dyDescent="0.4">
      <c r="B5756" s="8" t="s">
        <v>517</v>
      </c>
      <c r="C5756" s="3" t="s">
        <v>9144</v>
      </c>
      <c r="D5756" s="3" t="s">
        <v>9489</v>
      </c>
      <c r="E5756" s="3" t="s">
        <v>425</v>
      </c>
      <c r="F5756" s="3" t="s">
        <v>399</v>
      </c>
      <c r="I5756" s="3" t="s">
        <v>7359</v>
      </c>
    </row>
    <row r="5757" spans="2:9" hidden="1" x14ac:dyDescent="0.4">
      <c r="B5757" s="8" t="s">
        <v>517</v>
      </c>
      <c r="C5757" s="3" t="s">
        <v>9145</v>
      </c>
      <c r="D5757" s="3" t="s">
        <v>9490</v>
      </c>
      <c r="E5757" s="3" t="s">
        <v>425</v>
      </c>
      <c r="F5757" s="3" t="s">
        <v>399</v>
      </c>
      <c r="I5757" s="3" t="s">
        <v>7359</v>
      </c>
    </row>
    <row r="5758" spans="2:9" hidden="1" x14ac:dyDescent="0.4">
      <c r="B5758" s="8" t="s">
        <v>529</v>
      </c>
      <c r="C5758" s="3" t="s">
        <v>9146</v>
      </c>
      <c r="D5758" s="3" t="s">
        <v>9491</v>
      </c>
      <c r="E5758" s="3" t="s">
        <v>425</v>
      </c>
      <c r="F5758" s="3" t="s">
        <v>399</v>
      </c>
      <c r="I5758" s="3" t="s">
        <v>7359</v>
      </c>
    </row>
    <row r="5759" spans="2:9" hidden="1" x14ac:dyDescent="0.4">
      <c r="B5759" s="8" t="s">
        <v>517</v>
      </c>
      <c r="C5759" s="3" t="s">
        <v>9147</v>
      </c>
      <c r="D5759" s="3" t="s">
        <v>9492</v>
      </c>
      <c r="E5759" s="3" t="s">
        <v>425</v>
      </c>
      <c r="F5759" s="3" t="s">
        <v>399</v>
      </c>
      <c r="I5759" s="3" t="s">
        <v>7359</v>
      </c>
    </row>
    <row r="5760" spans="2:9" hidden="1" x14ac:dyDescent="0.4">
      <c r="B5760" s="8" t="s">
        <v>520</v>
      </c>
      <c r="C5760" s="3" t="s">
        <v>9148</v>
      </c>
      <c r="D5760" s="3" t="s">
        <v>9493</v>
      </c>
      <c r="E5760" s="3" t="s">
        <v>425</v>
      </c>
      <c r="F5760" s="3" t="s">
        <v>399</v>
      </c>
      <c r="I5760" s="3" t="s">
        <v>7359</v>
      </c>
    </row>
    <row r="5761" spans="2:9" hidden="1" x14ac:dyDescent="0.4">
      <c r="B5761" s="8" t="s">
        <v>531</v>
      </c>
      <c r="C5761" s="3" t="s">
        <v>9149</v>
      </c>
      <c r="D5761" s="3" t="s">
        <v>9494</v>
      </c>
      <c r="E5761" s="3" t="s">
        <v>7805</v>
      </c>
      <c r="F5761" s="3" t="s">
        <v>399</v>
      </c>
      <c r="I5761" s="3" t="s">
        <v>7359</v>
      </c>
    </row>
    <row r="5762" spans="2:9" hidden="1" x14ac:dyDescent="0.4">
      <c r="B5762" s="8" t="s">
        <v>518</v>
      </c>
      <c r="C5762" s="3" t="s">
        <v>9150</v>
      </c>
      <c r="D5762" s="3" t="s">
        <v>9495</v>
      </c>
      <c r="F5762" s="3" t="s">
        <v>399</v>
      </c>
      <c r="I5762" s="3" t="s">
        <v>7359</v>
      </c>
    </row>
    <row r="5763" spans="2:9" hidden="1" x14ac:dyDescent="0.4">
      <c r="B5763" s="8" t="s">
        <v>517</v>
      </c>
      <c r="C5763" s="3" t="s">
        <v>9151</v>
      </c>
      <c r="D5763" s="3" t="s">
        <v>9496</v>
      </c>
      <c r="E5763" s="3" t="s">
        <v>425</v>
      </c>
      <c r="F5763" s="3" t="s">
        <v>399</v>
      </c>
      <c r="I5763" s="3" t="s">
        <v>7359</v>
      </c>
    </row>
    <row r="5764" spans="2:9" hidden="1" x14ac:dyDescent="0.4">
      <c r="B5764" s="8" t="s">
        <v>531</v>
      </c>
      <c r="C5764" s="3" t="s">
        <v>9152</v>
      </c>
      <c r="D5764" s="3" t="s">
        <v>9497</v>
      </c>
      <c r="F5764" s="3" t="s">
        <v>399</v>
      </c>
      <c r="I5764" s="3" t="s">
        <v>7359</v>
      </c>
    </row>
    <row r="5765" spans="2:9" hidden="1" x14ac:dyDescent="0.4">
      <c r="B5765" s="8" t="s">
        <v>517</v>
      </c>
      <c r="C5765" s="3" t="s">
        <v>9153</v>
      </c>
      <c r="D5765" s="3" t="s">
        <v>9498</v>
      </c>
      <c r="F5765" s="3" t="s">
        <v>399</v>
      </c>
      <c r="I5765" s="3" t="s">
        <v>7359</v>
      </c>
    </row>
    <row r="5766" spans="2:9" hidden="1" x14ac:dyDescent="0.4">
      <c r="B5766" s="8" t="s">
        <v>529</v>
      </c>
      <c r="C5766" s="3" t="s">
        <v>9154</v>
      </c>
      <c r="D5766" s="3" t="s">
        <v>9499</v>
      </c>
      <c r="F5766" s="3" t="s">
        <v>399</v>
      </c>
      <c r="I5766" s="3" t="s">
        <v>7359</v>
      </c>
    </row>
    <row r="5767" spans="2:9" hidden="1" x14ac:dyDescent="0.4">
      <c r="B5767" s="8" t="s">
        <v>518</v>
      </c>
      <c r="C5767" s="3" t="s">
        <v>9155</v>
      </c>
      <c r="D5767" s="3" t="s">
        <v>9500</v>
      </c>
      <c r="F5767" s="3" t="s">
        <v>399</v>
      </c>
      <c r="I5767" s="3" t="s">
        <v>7359</v>
      </c>
    </row>
    <row r="5768" spans="2:9" hidden="1" x14ac:dyDescent="0.4">
      <c r="B5768" s="8" t="s">
        <v>517</v>
      </c>
      <c r="C5768" s="3" t="s">
        <v>9156</v>
      </c>
      <c r="D5768" s="3" t="s">
        <v>9501</v>
      </c>
      <c r="F5768" s="3" t="s">
        <v>399</v>
      </c>
      <c r="I5768" s="3" t="s">
        <v>7359</v>
      </c>
    </row>
    <row r="5769" spans="2:9" hidden="1" x14ac:dyDescent="0.4">
      <c r="B5769" s="8" t="s">
        <v>520</v>
      </c>
      <c r="C5769" s="3" t="s">
        <v>9157</v>
      </c>
      <c r="D5769" s="3" t="s">
        <v>9502</v>
      </c>
      <c r="F5769" s="3" t="s">
        <v>399</v>
      </c>
      <c r="I5769" s="3" t="s">
        <v>7359</v>
      </c>
    </row>
    <row r="5770" spans="2:9" hidden="1" x14ac:dyDescent="0.4">
      <c r="B5770" s="8" t="s">
        <v>517</v>
      </c>
      <c r="C5770" s="3" t="s">
        <v>9158</v>
      </c>
      <c r="D5770" s="3" t="s">
        <v>9503</v>
      </c>
      <c r="F5770" s="3" t="s">
        <v>399</v>
      </c>
      <c r="I5770" s="3" t="s">
        <v>7359</v>
      </c>
    </row>
    <row r="5771" spans="2:9" hidden="1" x14ac:dyDescent="0.4">
      <c r="B5771" s="8" t="s">
        <v>517</v>
      </c>
      <c r="C5771" s="3" t="s">
        <v>9159</v>
      </c>
      <c r="D5771" s="3" t="s">
        <v>9505</v>
      </c>
      <c r="F5771" s="3" t="s">
        <v>399</v>
      </c>
      <c r="I5771" s="3" t="s">
        <v>7359</v>
      </c>
    </row>
    <row r="5772" spans="2:9" hidden="1" x14ac:dyDescent="0.4">
      <c r="B5772" s="8" t="s">
        <v>517</v>
      </c>
      <c r="C5772" s="3" t="s">
        <v>9160</v>
      </c>
      <c r="D5772" s="3" t="s">
        <v>9505</v>
      </c>
      <c r="F5772" s="3" t="s">
        <v>399</v>
      </c>
      <c r="I5772" s="3" t="s">
        <v>7359</v>
      </c>
    </row>
    <row r="5773" spans="2:9" hidden="1" x14ac:dyDescent="0.4">
      <c r="B5773" s="8" t="s">
        <v>517</v>
      </c>
      <c r="C5773" s="3" t="s">
        <v>9160</v>
      </c>
      <c r="D5773" s="3" t="s">
        <v>9504</v>
      </c>
      <c r="F5773" s="3" t="s">
        <v>399</v>
      </c>
      <c r="I5773" s="3" t="s">
        <v>7359</v>
      </c>
    </row>
    <row r="5774" spans="2:9" hidden="1" x14ac:dyDescent="0.4">
      <c r="B5774" s="8" t="s">
        <v>531</v>
      </c>
      <c r="C5774" s="3" t="s">
        <v>9161</v>
      </c>
      <c r="D5774" s="3" t="s">
        <v>9504</v>
      </c>
      <c r="F5774" s="3" t="s">
        <v>399</v>
      </c>
      <c r="I5774" s="3" t="s">
        <v>7359</v>
      </c>
    </row>
    <row r="5775" spans="2:9" hidden="1" x14ac:dyDescent="0.4">
      <c r="B5775" s="8" t="s">
        <v>517</v>
      </c>
      <c r="C5775" s="3" t="s">
        <v>9162</v>
      </c>
      <c r="D5775" s="3" t="s">
        <v>9506</v>
      </c>
      <c r="F5775" s="3" t="s">
        <v>399</v>
      </c>
      <c r="I5775" s="3" t="s">
        <v>7359</v>
      </c>
    </row>
    <row r="5776" spans="2:9" hidden="1" x14ac:dyDescent="0.4">
      <c r="B5776" s="8" t="s">
        <v>517</v>
      </c>
      <c r="C5776" s="3" t="s">
        <v>9163</v>
      </c>
      <c r="D5776" s="3" t="s">
        <v>9507</v>
      </c>
      <c r="F5776" s="3" t="s">
        <v>399</v>
      </c>
      <c r="I5776" s="3" t="s">
        <v>7359</v>
      </c>
    </row>
    <row r="5777" spans="2:9" hidden="1" x14ac:dyDescent="0.4">
      <c r="B5777" s="8" t="s">
        <v>517</v>
      </c>
      <c r="C5777" s="3" t="s">
        <v>9164</v>
      </c>
      <c r="D5777" s="3" t="s">
        <v>9508</v>
      </c>
      <c r="F5777" s="3" t="s">
        <v>399</v>
      </c>
      <c r="I5777" s="3" t="s">
        <v>7359</v>
      </c>
    </row>
    <row r="5778" spans="2:9" hidden="1" x14ac:dyDescent="0.4">
      <c r="B5778" s="8" t="s">
        <v>517</v>
      </c>
      <c r="C5778" s="3" t="s">
        <v>9165</v>
      </c>
      <c r="D5778" s="3" t="s">
        <v>9509</v>
      </c>
      <c r="E5778" s="3" t="s">
        <v>425</v>
      </c>
      <c r="F5778" s="3" t="s">
        <v>399</v>
      </c>
      <c r="I5778" s="3" t="s">
        <v>7359</v>
      </c>
    </row>
    <row r="5779" spans="2:9" hidden="1" x14ac:dyDescent="0.4">
      <c r="B5779" s="8" t="s">
        <v>517</v>
      </c>
      <c r="C5779" s="3" t="s">
        <v>9166</v>
      </c>
      <c r="D5779" s="3" t="s">
        <v>9509</v>
      </c>
      <c r="E5779" s="3" t="s">
        <v>425</v>
      </c>
      <c r="F5779" s="3" t="s">
        <v>399</v>
      </c>
      <c r="I5779" s="3" t="s">
        <v>7359</v>
      </c>
    </row>
    <row r="5780" spans="2:9" hidden="1" x14ac:dyDescent="0.4">
      <c r="B5780" s="8" t="s">
        <v>517</v>
      </c>
      <c r="C5780" s="3" t="s">
        <v>9167</v>
      </c>
      <c r="D5780" s="3" t="s">
        <v>9510</v>
      </c>
      <c r="E5780" s="3" t="s">
        <v>425</v>
      </c>
      <c r="F5780" s="3" t="s">
        <v>399</v>
      </c>
      <c r="I5780" s="3" t="s">
        <v>7359</v>
      </c>
    </row>
    <row r="5781" spans="2:9" hidden="1" x14ac:dyDescent="0.4">
      <c r="B5781" s="8" t="s">
        <v>520</v>
      </c>
      <c r="C5781" s="3" t="s">
        <v>9168</v>
      </c>
      <c r="D5781" s="3" t="s">
        <v>9511</v>
      </c>
      <c r="F5781" s="3" t="s">
        <v>399</v>
      </c>
      <c r="I5781" s="3" t="s">
        <v>7359</v>
      </c>
    </row>
    <row r="5782" spans="2:9" hidden="1" x14ac:dyDescent="0.4">
      <c r="B5782" s="8" t="s">
        <v>529</v>
      </c>
      <c r="C5782" s="3" t="s">
        <v>9169</v>
      </c>
      <c r="D5782" s="3" t="s">
        <v>9512</v>
      </c>
      <c r="F5782" s="3" t="s">
        <v>399</v>
      </c>
      <c r="I5782" s="3" t="s">
        <v>7359</v>
      </c>
    </row>
    <row r="5783" spans="2:9" hidden="1" x14ac:dyDescent="0.4">
      <c r="B5783" s="8" t="s">
        <v>529</v>
      </c>
      <c r="C5783" s="3" t="s">
        <v>9170</v>
      </c>
      <c r="D5783" s="3" t="s">
        <v>9513</v>
      </c>
      <c r="F5783" s="3" t="s">
        <v>399</v>
      </c>
      <c r="I5783" s="3" t="s">
        <v>7359</v>
      </c>
    </row>
    <row r="5784" spans="2:9" hidden="1" x14ac:dyDescent="0.4">
      <c r="B5784" s="8" t="s">
        <v>518</v>
      </c>
      <c r="C5784" s="3" t="s">
        <v>9171</v>
      </c>
      <c r="D5784" s="3" t="s">
        <v>9514</v>
      </c>
      <c r="E5784" s="3" t="s">
        <v>425</v>
      </c>
      <c r="F5784" s="3" t="s">
        <v>399</v>
      </c>
      <c r="I5784" s="3" t="s">
        <v>7359</v>
      </c>
    </row>
    <row r="5785" spans="2:9" hidden="1" x14ac:dyDescent="0.4">
      <c r="B5785" s="8" t="s">
        <v>517</v>
      </c>
      <c r="C5785" s="3" t="s">
        <v>9172</v>
      </c>
      <c r="D5785" s="3" t="s">
        <v>9515</v>
      </c>
      <c r="F5785" s="3" t="s">
        <v>399</v>
      </c>
      <c r="I5785" s="3" t="s">
        <v>7359</v>
      </c>
    </row>
    <row r="5786" spans="2:9" hidden="1" x14ac:dyDescent="0.4">
      <c r="B5786" s="8" t="s">
        <v>517</v>
      </c>
      <c r="C5786" s="3" t="s">
        <v>9173</v>
      </c>
      <c r="D5786" s="3" t="s">
        <v>9516</v>
      </c>
      <c r="F5786" s="3" t="s">
        <v>399</v>
      </c>
      <c r="I5786" s="3" t="s">
        <v>7359</v>
      </c>
    </row>
    <row r="5787" spans="2:9" hidden="1" x14ac:dyDescent="0.4">
      <c r="B5787" s="8" t="s">
        <v>517</v>
      </c>
      <c r="C5787" s="3" t="s">
        <v>9174</v>
      </c>
      <c r="D5787" s="3" t="s">
        <v>9517</v>
      </c>
      <c r="F5787" s="3" t="s">
        <v>399</v>
      </c>
      <c r="I5787" s="3" t="s">
        <v>7359</v>
      </c>
    </row>
    <row r="5788" spans="2:9" hidden="1" x14ac:dyDescent="0.4">
      <c r="B5788" s="8" t="s">
        <v>517</v>
      </c>
      <c r="C5788" s="3" t="s">
        <v>9175</v>
      </c>
      <c r="D5788" s="3" t="s">
        <v>9518</v>
      </c>
      <c r="F5788" s="3" t="s">
        <v>399</v>
      </c>
      <c r="I5788" s="3" t="s">
        <v>7359</v>
      </c>
    </row>
    <row r="5789" spans="2:9" hidden="1" x14ac:dyDescent="0.4">
      <c r="B5789" s="8" t="s">
        <v>517</v>
      </c>
      <c r="C5789" s="3" t="s">
        <v>9176</v>
      </c>
      <c r="D5789" s="3" t="s">
        <v>9519</v>
      </c>
      <c r="F5789" s="3" t="s">
        <v>399</v>
      </c>
      <c r="I5789" s="3" t="s">
        <v>7359</v>
      </c>
    </row>
    <row r="5790" spans="2:9" hidden="1" x14ac:dyDescent="0.4">
      <c r="B5790" s="8" t="s">
        <v>4118</v>
      </c>
      <c r="C5790" s="3" t="s">
        <v>9176</v>
      </c>
      <c r="D5790" s="3" t="s">
        <v>9519</v>
      </c>
      <c r="F5790" s="3" t="s">
        <v>399</v>
      </c>
      <c r="G5790" s="3" t="s">
        <v>402</v>
      </c>
      <c r="I5790" s="3" t="s">
        <v>7359</v>
      </c>
    </row>
    <row r="5791" spans="2:9" hidden="1" x14ac:dyDescent="0.4">
      <c r="B5791" s="8" t="s">
        <v>517</v>
      </c>
      <c r="C5791" s="3" t="s">
        <v>9177</v>
      </c>
      <c r="D5791" s="3" t="s">
        <v>9520</v>
      </c>
      <c r="F5791" s="3" t="s">
        <v>399</v>
      </c>
      <c r="I5791" s="3" t="s">
        <v>7359</v>
      </c>
    </row>
    <row r="5792" spans="2:9" hidden="1" x14ac:dyDescent="0.4">
      <c r="B5792" s="8" t="s">
        <v>520</v>
      </c>
      <c r="C5792" s="3" t="s">
        <v>9178</v>
      </c>
      <c r="D5792" s="3" t="s">
        <v>9521</v>
      </c>
      <c r="E5792" s="3" t="s">
        <v>432</v>
      </c>
      <c r="F5792" s="3" t="s">
        <v>399</v>
      </c>
      <c r="I5792" s="3" t="s">
        <v>7359</v>
      </c>
    </row>
    <row r="5793" spans="2:9" hidden="1" x14ac:dyDescent="0.4">
      <c r="B5793" s="8" t="s">
        <v>517</v>
      </c>
      <c r="C5793" s="3" t="s">
        <v>9179</v>
      </c>
      <c r="D5793" s="3" t="s">
        <v>9522</v>
      </c>
      <c r="F5793" s="3" t="s">
        <v>399</v>
      </c>
      <c r="I5793" s="3" t="s">
        <v>7359</v>
      </c>
    </row>
    <row r="5794" spans="2:9" hidden="1" x14ac:dyDescent="0.4">
      <c r="B5794" s="8" t="s">
        <v>517</v>
      </c>
      <c r="C5794" s="3" t="s">
        <v>9180</v>
      </c>
      <c r="D5794" s="3" t="s">
        <v>9523</v>
      </c>
      <c r="F5794" s="3" t="s">
        <v>399</v>
      </c>
      <c r="I5794" s="3" t="s">
        <v>7359</v>
      </c>
    </row>
    <row r="5795" spans="2:9" hidden="1" x14ac:dyDescent="0.4">
      <c r="B5795" s="8" t="s">
        <v>517</v>
      </c>
      <c r="C5795" s="3" t="s">
        <v>9181</v>
      </c>
      <c r="D5795" s="3" t="s">
        <v>9524</v>
      </c>
      <c r="F5795" s="3" t="s">
        <v>399</v>
      </c>
      <c r="I5795" s="3" t="s">
        <v>7359</v>
      </c>
    </row>
    <row r="5796" spans="2:9" hidden="1" x14ac:dyDescent="0.4">
      <c r="B5796" s="8" t="s">
        <v>518</v>
      </c>
      <c r="C5796" s="3" t="s">
        <v>9183</v>
      </c>
      <c r="D5796" s="3" t="s">
        <v>9524</v>
      </c>
      <c r="E5796" s="3" t="s">
        <v>1272</v>
      </c>
      <c r="F5796" s="3" t="s">
        <v>399</v>
      </c>
      <c r="G5796" s="3" t="s">
        <v>402</v>
      </c>
      <c r="I5796" s="3" t="s">
        <v>7359</v>
      </c>
    </row>
    <row r="5797" spans="2:9" hidden="1" x14ac:dyDescent="0.4">
      <c r="B5797" s="8" t="s">
        <v>518</v>
      </c>
      <c r="C5797" s="3" t="s">
        <v>9184</v>
      </c>
      <c r="D5797" s="3" t="s">
        <v>9525</v>
      </c>
      <c r="E5797" s="3" t="s">
        <v>1272</v>
      </c>
      <c r="F5797" s="3" t="s">
        <v>399</v>
      </c>
      <c r="G5797" s="3" t="s">
        <v>402</v>
      </c>
      <c r="I5797" s="3" t="s">
        <v>7359</v>
      </c>
    </row>
    <row r="5798" spans="2:9" hidden="1" x14ac:dyDescent="0.4">
      <c r="B5798" s="8" t="s">
        <v>517</v>
      </c>
      <c r="C5798" s="3" t="s">
        <v>9182</v>
      </c>
      <c r="D5798" s="3" t="s">
        <v>9526</v>
      </c>
      <c r="F5798" s="3" t="s">
        <v>399</v>
      </c>
      <c r="I5798" s="3" t="s">
        <v>7359</v>
      </c>
    </row>
    <row r="5799" spans="2:9" hidden="1" x14ac:dyDescent="0.4">
      <c r="B5799" s="8" t="s">
        <v>517</v>
      </c>
      <c r="C5799" s="3" t="s">
        <v>9185</v>
      </c>
      <c r="D5799" s="3" t="s">
        <v>9526</v>
      </c>
      <c r="F5799" s="3" t="s">
        <v>399</v>
      </c>
      <c r="I5799" s="3" t="s">
        <v>7359</v>
      </c>
    </row>
    <row r="5800" spans="2:9" hidden="1" x14ac:dyDescent="0.4">
      <c r="B5800" s="8" t="s">
        <v>517</v>
      </c>
      <c r="C5800" s="3" t="s">
        <v>9186</v>
      </c>
      <c r="D5800" s="3" t="s">
        <v>9527</v>
      </c>
      <c r="F5800" s="3" t="s">
        <v>399</v>
      </c>
      <c r="I5800" s="3" t="s">
        <v>7359</v>
      </c>
    </row>
    <row r="5801" spans="2:9" hidden="1" x14ac:dyDescent="0.4">
      <c r="B5801" s="8" t="s">
        <v>518</v>
      </c>
      <c r="C5801" s="3" t="s">
        <v>9187</v>
      </c>
      <c r="D5801" s="3" t="s">
        <v>9527</v>
      </c>
      <c r="E5801" s="3" t="s">
        <v>425</v>
      </c>
      <c r="F5801" s="3" t="s">
        <v>399</v>
      </c>
      <c r="I5801" s="3" t="s">
        <v>7359</v>
      </c>
    </row>
    <row r="5802" spans="2:9" hidden="1" x14ac:dyDescent="0.4">
      <c r="B5802" s="8" t="s">
        <v>520</v>
      </c>
      <c r="C5802" s="3" t="s">
        <v>9188</v>
      </c>
      <c r="D5802" s="3" t="s">
        <v>9528</v>
      </c>
      <c r="E5802" s="3" t="s">
        <v>425</v>
      </c>
      <c r="F5802" s="3" t="s">
        <v>399</v>
      </c>
      <c r="I5802" s="3" t="s">
        <v>7359</v>
      </c>
    </row>
    <row r="5803" spans="2:9" hidden="1" x14ac:dyDescent="0.4">
      <c r="B5803" s="8" t="s">
        <v>529</v>
      </c>
      <c r="C5803" s="3" t="s">
        <v>9189</v>
      </c>
      <c r="D5803" s="3" t="s">
        <v>9528</v>
      </c>
      <c r="F5803" s="3" t="s">
        <v>399</v>
      </c>
      <c r="I5803" s="3" t="s">
        <v>7359</v>
      </c>
    </row>
    <row r="5804" spans="2:9" hidden="1" x14ac:dyDescent="0.4">
      <c r="B5804" s="8" t="s">
        <v>517</v>
      </c>
      <c r="C5804" s="3" t="s">
        <v>9190</v>
      </c>
      <c r="D5804" s="3" t="s">
        <v>9529</v>
      </c>
      <c r="E5804" s="3" t="s">
        <v>425</v>
      </c>
      <c r="F5804" s="3" t="s">
        <v>399</v>
      </c>
      <c r="I5804" s="3" t="s">
        <v>7359</v>
      </c>
    </row>
    <row r="5805" spans="2:9" hidden="1" x14ac:dyDescent="0.4">
      <c r="B5805" s="8" t="s">
        <v>517</v>
      </c>
      <c r="C5805" s="3" t="s">
        <v>9191</v>
      </c>
      <c r="D5805" s="3" t="s">
        <v>9530</v>
      </c>
      <c r="F5805" s="3" t="s">
        <v>399</v>
      </c>
      <c r="I5805" s="3" t="s">
        <v>7359</v>
      </c>
    </row>
    <row r="5806" spans="2:9" hidden="1" x14ac:dyDescent="0.4">
      <c r="B5806" s="8" t="s">
        <v>517</v>
      </c>
      <c r="C5806" s="3" t="s">
        <v>9192</v>
      </c>
      <c r="D5806" s="3" t="s">
        <v>9531</v>
      </c>
      <c r="E5806" s="3" t="s">
        <v>425</v>
      </c>
      <c r="F5806" s="3" t="s">
        <v>399</v>
      </c>
      <c r="I5806" s="3" t="s">
        <v>7359</v>
      </c>
    </row>
    <row r="5807" spans="2:9" hidden="1" x14ac:dyDescent="0.4">
      <c r="B5807" s="8" t="s">
        <v>517</v>
      </c>
      <c r="C5807" s="3" t="s">
        <v>9193</v>
      </c>
      <c r="D5807" s="3" t="s">
        <v>9532</v>
      </c>
      <c r="F5807" s="3" t="s">
        <v>399</v>
      </c>
      <c r="I5807" s="3" t="s">
        <v>7359</v>
      </c>
    </row>
    <row r="5808" spans="2:9" hidden="1" x14ac:dyDescent="0.4">
      <c r="B5808" s="8" t="s">
        <v>518</v>
      </c>
      <c r="C5808" s="3" t="s">
        <v>9194</v>
      </c>
      <c r="D5808" s="3" t="s">
        <v>9533</v>
      </c>
      <c r="E5808" s="3" t="s">
        <v>7805</v>
      </c>
      <c r="F5808" s="3" t="s">
        <v>399</v>
      </c>
      <c r="I5808" s="3" t="s">
        <v>7359</v>
      </c>
    </row>
    <row r="5809" spans="2:9" hidden="1" x14ac:dyDescent="0.4">
      <c r="B5809" s="8" t="s">
        <v>518</v>
      </c>
      <c r="C5809" s="3" t="s">
        <v>9195</v>
      </c>
      <c r="D5809" s="3" t="s">
        <v>9534</v>
      </c>
      <c r="F5809" s="3" t="s">
        <v>399</v>
      </c>
      <c r="I5809" s="3" t="s">
        <v>7359</v>
      </c>
    </row>
    <row r="5810" spans="2:9" hidden="1" x14ac:dyDescent="0.4">
      <c r="B5810" s="8" t="s">
        <v>531</v>
      </c>
      <c r="C5810" s="3" t="s">
        <v>9196</v>
      </c>
      <c r="D5810" s="3" t="s">
        <v>9535</v>
      </c>
      <c r="E5810" s="3" t="s">
        <v>7805</v>
      </c>
      <c r="F5810" s="3" t="s">
        <v>399</v>
      </c>
      <c r="I5810" s="3" t="s">
        <v>7359</v>
      </c>
    </row>
    <row r="5811" spans="2:9" hidden="1" x14ac:dyDescent="0.4">
      <c r="B5811" s="8" t="s">
        <v>517</v>
      </c>
      <c r="C5811" s="3" t="s">
        <v>9197</v>
      </c>
      <c r="D5811" s="3" t="s">
        <v>9536</v>
      </c>
      <c r="F5811" s="3" t="s">
        <v>399</v>
      </c>
      <c r="I5811" s="3" t="s">
        <v>7359</v>
      </c>
    </row>
    <row r="5812" spans="2:9" hidden="1" x14ac:dyDescent="0.4">
      <c r="B5812" s="8" t="s">
        <v>517</v>
      </c>
      <c r="C5812" s="3" t="s">
        <v>9198</v>
      </c>
      <c r="D5812" s="3" t="s">
        <v>9536</v>
      </c>
      <c r="E5812" s="3" t="s">
        <v>425</v>
      </c>
      <c r="F5812" s="3" t="s">
        <v>399</v>
      </c>
      <c r="I5812" s="3" t="s">
        <v>7359</v>
      </c>
    </row>
    <row r="5813" spans="2:9" hidden="1" x14ac:dyDescent="0.4">
      <c r="B5813" s="8" t="s">
        <v>517</v>
      </c>
      <c r="C5813" s="3" t="s">
        <v>9199</v>
      </c>
      <c r="D5813" s="3" t="s">
        <v>9537</v>
      </c>
      <c r="E5813" s="3" t="s">
        <v>425</v>
      </c>
      <c r="F5813" s="3" t="s">
        <v>399</v>
      </c>
      <c r="I5813" s="3" t="s">
        <v>7359</v>
      </c>
    </row>
    <row r="5814" spans="2:9" hidden="1" x14ac:dyDescent="0.4">
      <c r="B5814" s="8" t="s">
        <v>531</v>
      </c>
      <c r="C5814" s="3" t="s">
        <v>9200</v>
      </c>
      <c r="D5814" s="3" t="s">
        <v>9538</v>
      </c>
      <c r="E5814" s="3" t="s">
        <v>425</v>
      </c>
      <c r="F5814" s="3" t="s">
        <v>399</v>
      </c>
      <c r="G5814" s="3" t="s">
        <v>402</v>
      </c>
      <c r="I5814" s="3" t="s">
        <v>7359</v>
      </c>
    </row>
    <row r="5815" spans="2:9" hidden="1" x14ac:dyDescent="0.4">
      <c r="B5815" s="8" t="s">
        <v>532</v>
      </c>
      <c r="C5815" s="3" t="s">
        <v>9201</v>
      </c>
      <c r="D5815" s="3" t="s">
        <v>9539</v>
      </c>
      <c r="F5815" s="3" t="s">
        <v>399</v>
      </c>
      <c r="I5815" s="3" t="s">
        <v>7359</v>
      </c>
    </row>
    <row r="5816" spans="2:9" hidden="1" x14ac:dyDescent="0.4">
      <c r="B5816" s="8" t="s">
        <v>517</v>
      </c>
      <c r="C5816" s="3" t="s">
        <v>9749</v>
      </c>
      <c r="D5816" s="3" t="s">
        <v>9540</v>
      </c>
      <c r="F5816" s="3" t="s">
        <v>399</v>
      </c>
      <c r="I5816" s="3" t="s">
        <v>7359</v>
      </c>
    </row>
    <row r="5817" spans="2:9" hidden="1" x14ac:dyDescent="0.4">
      <c r="B5817" s="8" t="s">
        <v>517</v>
      </c>
      <c r="C5817" s="3" t="s">
        <v>9202</v>
      </c>
      <c r="D5817" s="3" t="s">
        <v>9541</v>
      </c>
      <c r="F5817" s="3" t="s">
        <v>399</v>
      </c>
      <c r="I5817" s="3" t="s">
        <v>7359</v>
      </c>
    </row>
    <row r="5818" spans="2:9" hidden="1" x14ac:dyDescent="0.4">
      <c r="B5818" s="8" t="s">
        <v>517</v>
      </c>
      <c r="C5818" s="3" t="s">
        <v>9203</v>
      </c>
      <c r="D5818" s="3" t="s">
        <v>9542</v>
      </c>
      <c r="F5818" s="3" t="s">
        <v>399</v>
      </c>
      <c r="I5818" s="3" t="s">
        <v>7359</v>
      </c>
    </row>
    <row r="5819" spans="2:9" hidden="1" x14ac:dyDescent="0.4">
      <c r="B5819" s="8" t="s">
        <v>531</v>
      </c>
      <c r="C5819" s="3" t="s">
        <v>9204</v>
      </c>
      <c r="D5819" s="3" t="s">
        <v>9543</v>
      </c>
      <c r="E5819" s="3" t="s">
        <v>425</v>
      </c>
      <c r="F5819" s="3" t="s">
        <v>399</v>
      </c>
      <c r="I5819" s="3" t="s">
        <v>7359</v>
      </c>
    </row>
    <row r="5820" spans="2:9" hidden="1" x14ac:dyDescent="0.4">
      <c r="B5820" s="8" t="s">
        <v>517</v>
      </c>
      <c r="C5820" s="3" t="s">
        <v>9205</v>
      </c>
      <c r="D5820" s="3" t="s">
        <v>9544</v>
      </c>
      <c r="F5820" s="3" t="s">
        <v>399</v>
      </c>
      <c r="I5820" s="3" t="s">
        <v>7359</v>
      </c>
    </row>
    <row r="5821" spans="2:9" hidden="1" x14ac:dyDescent="0.4">
      <c r="B5821" s="8" t="s">
        <v>520</v>
      </c>
      <c r="C5821" s="3" t="s">
        <v>9206</v>
      </c>
      <c r="D5821" s="3" t="s">
        <v>9545</v>
      </c>
      <c r="F5821" s="3" t="s">
        <v>399</v>
      </c>
      <c r="I5821" s="3" t="s">
        <v>7359</v>
      </c>
    </row>
    <row r="5822" spans="2:9" hidden="1" x14ac:dyDescent="0.4">
      <c r="B5822" s="8" t="s">
        <v>518</v>
      </c>
      <c r="C5822" s="3" t="s">
        <v>9207</v>
      </c>
      <c r="D5822" s="3" t="s">
        <v>9546</v>
      </c>
      <c r="F5822" s="3" t="s">
        <v>399</v>
      </c>
      <c r="I5822" s="3" t="s">
        <v>7359</v>
      </c>
    </row>
    <row r="5823" spans="2:9" hidden="1" x14ac:dyDescent="0.4">
      <c r="B5823" s="8" t="s">
        <v>517</v>
      </c>
      <c r="C5823" s="3" t="s">
        <v>9208</v>
      </c>
      <c r="D5823" s="3" t="s">
        <v>9547</v>
      </c>
      <c r="F5823" s="3" t="s">
        <v>399</v>
      </c>
      <c r="I5823" s="3" t="s">
        <v>7359</v>
      </c>
    </row>
    <row r="5824" spans="2:9" hidden="1" x14ac:dyDescent="0.4">
      <c r="B5824" s="8" t="s">
        <v>517</v>
      </c>
      <c r="C5824" s="3" t="s">
        <v>9209</v>
      </c>
      <c r="D5824" s="3" t="s">
        <v>9548</v>
      </c>
      <c r="F5824" s="3" t="s">
        <v>399</v>
      </c>
      <c r="I5824" s="3" t="s">
        <v>7359</v>
      </c>
    </row>
    <row r="5825" spans="2:9" hidden="1" x14ac:dyDescent="0.4">
      <c r="B5825" s="8" t="s">
        <v>517</v>
      </c>
      <c r="C5825" s="3" t="s">
        <v>9210</v>
      </c>
      <c r="D5825" s="3" t="s">
        <v>9549</v>
      </c>
      <c r="F5825" s="3" t="s">
        <v>399</v>
      </c>
      <c r="I5825" s="3" t="s">
        <v>7359</v>
      </c>
    </row>
    <row r="5826" spans="2:9" hidden="1" x14ac:dyDescent="0.4">
      <c r="B5826" s="8" t="s">
        <v>529</v>
      </c>
      <c r="C5826" s="3" t="s">
        <v>9211</v>
      </c>
      <c r="D5826" s="3" t="s">
        <v>9550</v>
      </c>
      <c r="F5826" s="3" t="s">
        <v>399</v>
      </c>
      <c r="I5826" s="3" t="s">
        <v>7359</v>
      </c>
    </row>
    <row r="5827" spans="2:9" hidden="1" x14ac:dyDescent="0.4">
      <c r="B5827" s="8" t="s">
        <v>517</v>
      </c>
      <c r="C5827" s="3" t="s">
        <v>9212</v>
      </c>
      <c r="D5827" s="3" t="s">
        <v>9551</v>
      </c>
      <c r="F5827" s="3" t="s">
        <v>399</v>
      </c>
      <c r="I5827" s="3" t="s">
        <v>7359</v>
      </c>
    </row>
    <row r="5828" spans="2:9" hidden="1" x14ac:dyDescent="0.4">
      <c r="B5828" s="8" t="s">
        <v>518</v>
      </c>
      <c r="C5828" s="3" t="s">
        <v>9213</v>
      </c>
      <c r="D5828" s="3" t="s">
        <v>9552</v>
      </c>
      <c r="F5828" s="3" t="s">
        <v>399</v>
      </c>
      <c r="I5828" s="3" t="s">
        <v>7359</v>
      </c>
    </row>
    <row r="5829" spans="2:9" hidden="1" x14ac:dyDescent="0.4">
      <c r="B5829" s="8" t="s">
        <v>512</v>
      </c>
      <c r="C5829" s="3" t="s">
        <v>9214</v>
      </c>
      <c r="D5829" s="3" t="s">
        <v>9553</v>
      </c>
      <c r="F5829" s="3" t="s">
        <v>399</v>
      </c>
      <c r="I5829" s="3" t="s">
        <v>7359</v>
      </c>
    </row>
    <row r="5830" spans="2:9" hidden="1" x14ac:dyDescent="0.4">
      <c r="B5830" s="8" t="s">
        <v>529</v>
      </c>
      <c r="C5830" s="3" t="s">
        <v>9215</v>
      </c>
      <c r="D5830" s="3" t="s">
        <v>9554</v>
      </c>
      <c r="F5830" s="3" t="s">
        <v>399</v>
      </c>
      <c r="I5830" s="3" t="s">
        <v>7359</v>
      </c>
    </row>
    <row r="5831" spans="2:9" hidden="1" x14ac:dyDescent="0.4">
      <c r="B5831" s="8" t="s">
        <v>526</v>
      </c>
      <c r="C5831" s="3" t="s">
        <v>9216</v>
      </c>
      <c r="D5831" s="3" t="s">
        <v>9555</v>
      </c>
      <c r="F5831" s="3" t="s">
        <v>399</v>
      </c>
      <c r="I5831" s="3" t="s">
        <v>7359</v>
      </c>
    </row>
    <row r="5832" spans="2:9" hidden="1" x14ac:dyDescent="0.4">
      <c r="B5832" s="8" t="s">
        <v>517</v>
      </c>
      <c r="C5832" s="3" t="s">
        <v>9217</v>
      </c>
      <c r="D5832" s="3" t="s">
        <v>9556</v>
      </c>
      <c r="F5832" s="3" t="s">
        <v>399</v>
      </c>
      <c r="I5832" s="3" t="s">
        <v>7359</v>
      </c>
    </row>
    <row r="5833" spans="2:9" hidden="1" x14ac:dyDescent="0.4">
      <c r="B5833" s="8" t="s">
        <v>517</v>
      </c>
      <c r="C5833" s="3" t="s">
        <v>9218</v>
      </c>
      <c r="D5833" s="3" t="s">
        <v>9557</v>
      </c>
      <c r="F5833" s="3" t="s">
        <v>399</v>
      </c>
      <c r="I5833" s="3" t="s">
        <v>7359</v>
      </c>
    </row>
    <row r="5834" spans="2:9" hidden="1" x14ac:dyDescent="0.4">
      <c r="B5834" s="8" t="s">
        <v>529</v>
      </c>
      <c r="C5834" s="3" t="s">
        <v>9219</v>
      </c>
      <c r="D5834" s="3" t="s">
        <v>9558</v>
      </c>
      <c r="E5834" s="3" t="s">
        <v>425</v>
      </c>
      <c r="F5834" s="3" t="s">
        <v>399</v>
      </c>
      <c r="I5834" s="3" t="s">
        <v>7359</v>
      </c>
    </row>
    <row r="5835" spans="2:9" hidden="1" x14ac:dyDescent="0.4">
      <c r="B5835" s="8" t="s">
        <v>517</v>
      </c>
      <c r="C5835" s="3" t="s">
        <v>9220</v>
      </c>
      <c r="D5835" s="3" t="s">
        <v>9559</v>
      </c>
      <c r="E5835" s="3" t="s">
        <v>425</v>
      </c>
      <c r="F5835" s="3" t="s">
        <v>399</v>
      </c>
      <c r="I5835" s="3" t="s">
        <v>7359</v>
      </c>
    </row>
    <row r="5836" spans="2:9" hidden="1" x14ac:dyDescent="0.4">
      <c r="B5836" s="8" t="s">
        <v>526</v>
      </c>
      <c r="C5836" s="3" t="s">
        <v>9221</v>
      </c>
      <c r="D5836" s="3" t="s">
        <v>9560</v>
      </c>
      <c r="F5836" s="3" t="s">
        <v>399</v>
      </c>
      <c r="I5836" s="3" t="s">
        <v>7359</v>
      </c>
    </row>
    <row r="5837" spans="2:9" hidden="1" x14ac:dyDescent="0.4">
      <c r="B5837" s="8" t="s">
        <v>526</v>
      </c>
      <c r="C5837" s="3" t="s">
        <v>9222</v>
      </c>
      <c r="D5837" s="3" t="s">
        <v>9561</v>
      </c>
      <c r="F5837" s="3" t="s">
        <v>399</v>
      </c>
      <c r="I5837" s="3" t="s">
        <v>7359</v>
      </c>
    </row>
    <row r="5838" spans="2:9" hidden="1" x14ac:dyDescent="0.4">
      <c r="B5838" s="8" t="s">
        <v>526</v>
      </c>
      <c r="C5838" s="3" t="s">
        <v>9223</v>
      </c>
      <c r="D5838" s="3" t="s">
        <v>9561</v>
      </c>
      <c r="F5838" s="3" t="s">
        <v>399</v>
      </c>
      <c r="I5838" s="3" t="s">
        <v>7359</v>
      </c>
    </row>
    <row r="5839" spans="2:9" hidden="1" x14ac:dyDescent="0.4">
      <c r="B5839" s="8" t="s">
        <v>526</v>
      </c>
      <c r="C5839" s="3" t="s">
        <v>9224</v>
      </c>
      <c r="D5839" s="3" t="s">
        <v>9562</v>
      </c>
      <c r="F5839" s="3" t="s">
        <v>399</v>
      </c>
      <c r="I5839" s="3" t="s">
        <v>7359</v>
      </c>
    </row>
    <row r="5840" spans="2:9" hidden="1" x14ac:dyDescent="0.4">
      <c r="B5840" s="8" t="s">
        <v>526</v>
      </c>
      <c r="C5840" s="3" t="s">
        <v>9225</v>
      </c>
      <c r="D5840" s="3" t="s">
        <v>9563</v>
      </c>
      <c r="F5840" s="3" t="s">
        <v>399</v>
      </c>
      <c r="I5840" s="3" t="s">
        <v>7359</v>
      </c>
    </row>
    <row r="5841" spans="2:9" hidden="1" x14ac:dyDescent="0.4">
      <c r="B5841" s="8" t="s">
        <v>529</v>
      </c>
      <c r="C5841" s="3" t="s">
        <v>9226</v>
      </c>
      <c r="D5841" s="3" t="s">
        <v>9564</v>
      </c>
      <c r="F5841" s="3" t="s">
        <v>399</v>
      </c>
      <c r="I5841" s="3" t="s">
        <v>7359</v>
      </c>
    </row>
    <row r="5842" spans="2:9" hidden="1" x14ac:dyDescent="0.4">
      <c r="B5842" s="8" t="s">
        <v>529</v>
      </c>
      <c r="C5842" s="3" t="s">
        <v>9227</v>
      </c>
      <c r="D5842" s="3" t="s">
        <v>9565</v>
      </c>
      <c r="F5842" s="3" t="s">
        <v>399</v>
      </c>
      <c r="I5842" s="3" t="s">
        <v>7359</v>
      </c>
    </row>
    <row r="5843" spans="2:9" hidden="1" x14ac:dyDescent="0.4">
      <c r="B5843" s="8" t="s">
        <v>531</v>
      </c>
      <c r="C5843" s="3" t="s">
        <v>9228</v>
      </c>
      <c r="D5843" s="3" t="s">
        <v>9566</v>
      </c>
      <c r="F5843" s="3" t="s">
        <v>399</v>
      </c>
      <c r="G5843" s="3" t="s">
        <v>1279</v>
      </c>
      <c r="I5843" s="3" t="s">
        <v>7359</v>
      </c>
    </row>
    <row r="5844" spans="2:9" hidden="1" x14ac:dyDescent="0.4">
      <c r="B5844" s="8" t="s">
        <v>529</v>
      </c>
      <c r="C5844" s="3" t="s">
        <v>9229</v>
      </c>
      <c r="D5844" s="3" t="s">
        <v>9567</v>
      </c>
      <c r="F5844" s="3" t="s">
        <v>399</v>
      </c>
      <c r="G5844" s="3" t="s">
        <v>1279</v>
      </c>
      <c r="I5844" s="3" t="s">
        <v>7359</v>
      </c>
    </row>
    <row r="5845" spans="2:9" hidden="1" x14ac:dyDescent="0.4">
      <c r="B5845" s="8" t="s">
        <v>529</v>
      </c>
      <c r="C5845" s="3" t="s">
        <v>9230</v>
      </c>
      <c r="D5845" s="3" t="s">
        <v>9568</v>
      </c>
      <c r="E5845" s="3" t="s">
        <v>7805</v>
      </c>
      <c r="F5845" s="3" t="s">
        <v>399</v>
      </c>
      <c r="I5845" s="3" t="s">
        <v>7359</v>
      </c>
    </row>
    <row r="5846" spans="2:9" hidden="1" x14ac:dyDescent="0.4">
      <c r="B5846" s="8" t="s">
        <v>517</v>
      </c>
      <c r="C5846" s="3" t="s">
        <v>9231</v>
      </c>
      <c r="D5846" s="3" t="s">
        <v>9569</v>
      </c>
      <c r="E5846" s="3" t="s">
        <v>7805</v>
      </c>
      <c r="F5846" s="3" t="s">
        <v>399</v>
      </c>
      <c r="I5846" s="3" t="s">
        <v>7359</v>
      </c>
    </row>
    <row r="5847" spans="2:9" hidden="1" x14ac:dyDescent="0.4">
      <c r="B5847" s="8" t="s">
        <v>520</v>
      </c>
      <c r="C5847" s="3" t="s">
        <v>9232</v>
      </c>
      <c r="D5847" s="3" t="s">
        <v>9570</v>
      </c>
      <c r="E5847" s="3" t="s">
        <v>7805</v>
      </c>
      <c r="F5847" s="3" t="s">
        <v>399</v>
      </c>
      <c r="I5847" s="3" t="s">
        <v>7359</v>
      </c>
    </row>
    <row r="5848" spans="2:9" hidden="1" x14ac:dyDescent="0.4">
      <c r="B5848" s="8" t="s">
        <v>517</v>
      </c>
      <c r="C5848" s="3" t="s">
        <v>9233</v>
      </c>
      <c r="D5848" s="3" t="s">
        <v>9571</v>
      </c>
      <c r="E5848" s="3" t="s">
        <v>7805</v>
      </c>
      <c r="F5848" s="3" t="s">
        <v>399</v>
      </c>
      <c r="I5848" s="3" t="s">
        <v>7359</v>
      </c>
    </row>
    <row r="5849" spans="2:9" hidden="1" x14ac:dyDescent="0.4">
      <c r="B5849" s="8" t="s">
        <v>517</v>
      </c>
      <c r="C5849" s="3" t="s">
        <v>9234</v>
      </c>
      <c r="D5849" s="3" t="s">
        <v>9572</v>
      </c>
      <c r="F5849" s="3" t="s">
        <v>399</v>
      </c>
      <c r="I5849" s="3" t="s">
        <v>7359</v>
      </c>
    </row>
    <row r="5850" spans="2:9" hidden="1" x14ac:dyDescent="0.4">
      <c r="B5850" s="8" t="s">
        <v>517</v>
      </c>
      <c r="C5850" s="3" t="s">
        <v>9235</v>
      </c>
      <c r="D5850" s="3" t="s">
        <v>9573</v>
      </c>
      <c r="F5850" s="3" t="s">
        <v>399</v>
      </c>
      <c r="I5850" s="3" t="s">
        <v>7359</v>
      </c>
    </row>
    <row r="5851" spans="2:9" hidden="1" x14ac:dyDescent="0.4">
      <c r="B5851" s="8" t="s">
        <v>517</v>
      </c>
      <c r="C5851" s="3" t="s">
        <v>9236</v>
      </c>
      <c r="D5851" s="3" t="s">
        <v>9574</v>
      </c>
      <c r="F5851" s="3" t="s">
        <v>399</v>
      </c>
      <c r="I5851" s="3" t="s">
        <v>7359</v>
      </c>
    </row>
    <row r="5852" spans="2:9" hidden="1" x14ac:dyDescent="0.4">
      <c r="B5852" s="8" t="s">
        <v>517</v>
      </c>
      <c r="C5852" s="3" t="s">
        <v>9237</v>
      </c>
      <c r="D5852" s="3" t="s">
        <v>9575</v>
      </c>
      <c r="F5852" s="3" t="s">
        <v>399</v>
      </c>
      <c r="I5852" s="3" t="s">
        <v>7359</v>
      </c>
    </row>
    <row r="5853" spans="2:9" hidden="1" x14ac:dyDescent="0.4">
      <c r="B5853" s="8" t="s">
        <v>517</v>
      </c>
      <c r="C5853" s="3" t="s">
        <v>9238</v>
      </c>
      <c r="D5853" s="3" t="s">
        <v>9576</v>
      </c>
      <c r="F5853" s="3" t="s">
        <v>399</v>
      </c>
      <c r="I5853" s="3" t="s">
        <v>7359</v>
      </c>
    </row>
    <row r="5854" spans="2:9" hidden="1" x14ac:dyDescent="0.4">
      <c r="B5854" s="8" t="s">
        <v>9750</v>
      </c>
      <c r="C5854" s="3" t="s">
        <v>9239</v>
      </c>
      <c r="D5854" s="3" t="s">
        <v>9576</v>
      </c>
      <c r="F5854" s="3" t="s">
        <v>399</v>
      </c>
      <c r="I5854" s="3" t="s">
        <v>7359</v>
      </c>
    </row>
    <row r="5855" spans="2:9" hidden="1" x14ac:dyDescent="0.4">
      <c r="B5855" s="8" t="s">
        <v>518</v>
      </c>
      <c r="C5855" s="3" t="s">
        <v>9240</v>
      </c>
      <c r="D5855" s="3" t="s">
        <v>9578</v>
      </c>
      <c r="E5855" s="3" t="s">
        <v>425</v>
      </c>
      <c r="F5855" s="3" t="s">
        <v>399</v>
      </c>
      <c r="G5855" s="3" t="s">
        <v>1279</v>
      </c>
      <c r="I5855" s="3" t="s">
        <v>7359</v>
      </c>
    </row>
    <row r="5856" spans="2:9" hidden="1" x14ac:dyDescent="0.4">
      <c r="B5856" s="8" t="s">
        <v>532</v>
      </c>
      <c r="C5856" s="3" t="s">
        <v>9241</v>
      </c>
      <c r="D5856" s="3" t="s">
        <v>9577</v>
      </c>
      <c r="E5856" s="3" t="s">
        <v>425</v>
      </c>
      <c r="F5856" s="3" t="s">
        <v>399</v>
      </c>
      <c r="G5856" s="3" t="s">
        <v>1279</v>
      </c>
      <c r="I5856" s="3" t="s">
        <v>7359</v>
      </c>
    </row>
    <row r="5857" spans="2:9" hidden="1" x14ac:dyDescent="0.4">
      <c r="B5857" s="8" t="s">
        <v>517</v>
      </c>
      <c r="C5857" s="3" t="s">
        <v>9242</v>
      </c>
      <c r="D5857" s="3" t="s">
        <v>9579</v>
      </c>
      <c r="F5857" s="3" t="s">
        <v>399</v>
      </c>
      <c r="I5857" s="3" t="s">
        <v>7359</v>
      </c>
    </row>
    <row r="5858" spans="2:9" hidden="1" x14ac:dyDescent="0.4">
      <c r="B5858" s="8" t="s">
        <v>516</v>
      </c>
      <c r="C5858" s="3" t="s">
        <v>9243</v>
      </c>
      <c r="D5858" s="3" t="s">
        <v>9579</v>
      </c>
      <c r="F5858" s="3" t="s">
        <v>399</v>
      </c>
      <c r="I5858" s="3" t="s">
        <v>7359</v>
      </c>
    </row>
    <row r="5859" spans="2:9" hidden="1" x14ac:dyDescent="0.4">
      <c r="B5859" s="8" t="s">
        <v>517</v>
      </c>
      <c r="C5859" s="3" t="s">
        <v>9244</v>
      </c>
      <c r="D5859" s="3" t="s">
        <v>9583</v>
      </c>
      <c r="F5859" s="3" t="s">
        <v>399</v>
      </c>
      <c r="G5859" s="3" t="s">
        <v>1279</v>
      </c>
      <c r="I5859" s="3" t="s">
        <v>7359</v>
      </c>
    </row>
    <row r="5860" spans="2:9" hidden="1" x14ac:dyDescent="0.4">
      <c r="B5860" s="8" t="s">
        <v>517</v>
      </c>
      <c r="C5860" s="3" t="s">
        <v>9245</v>
      </c>
      <c r="D5860" s="3" t="s">
        <v>9583</v>
      </c>
      <c r="F5860" s="3" t="s">
        <v>399</v>
      </c>
      <c r="G5860" s="3" t="s">
        <v>1279</v>
      </c>
      <c r="I5860" s="3" t="s">
        <v>7359</v>
      </c>
    </row>
    <row r="5861" spans="2:9" hidden="1" x14ac:dyDescent="0.4">
      <c r="B5861" s="8" t="s">
        <v>517</v>
      </c>
      <c r="C5861" s="3" t="s">
        <v>9246</v>
      </c>
      <c r="D5861" s="3" t="s">
        <v>9580</v>
      </c>
      <c r="F5861" s="3" t="s">
        <v>399</v>
      </c>
      <c r="G5861" s="3" t="s">
        <v>1279</v>
      </c>
      <c r="I5861" s="3" t="s">
        <v>7359</v>
      </c>
    </row>
    <row r="5862" spans="2:9" hidden="1" x14ac:dyDescent="0.4">
      <c r="B5862" s="8" t="s">
        <v>518</v>
      </c>
      <c r="C5862" s="3" t="s">
        <v>9247</v>
      </c>
      <c r="D5862" s="3" t="s">
        <v>9581</v>
      </c>
      <c r="F5862" s="3" t="s">
        <v>399</v>
      </c>
      <c r="G5862" s="3" t="s">
        <v>1279</v>
      </c>
      <c r="I5862" s="3" t="s">
        <v>7359</v>
      </c>
    </row>
    <row r="5863" spans="2:9" hidden="1" x14ac:dyDescent="0.4">
      <c r="B5863" s="8" t="s">
        <v>518</v>
      </c>
      <c r="C5863" s="3" t="s">
        <v>9248</v>
      </c>
      <c r="D5863" s="3" t="s">
        <v>9582</v>
      </c>
      <c r="F5863" s="3" t="s">
        <v>399</v>
      </c>
      <c r="I5863" s="3" t="s">
        <v>7359</v>
      </c>
    </row>
    <row r="5864" spans="2:9" hidden="1" x14ac:dyDescent="0.4">
      <c r="B5864" s="8" t="s">
        <v>529</v>
      </c>
      <c r="C5864" s="3" t="s">
        <v>9249</v>
      </c>
      <c r="D5864" s="3" t="s">
        <v>9584</v>
      </c>
      <c r="F5864" s="3" t="s">
        <v>399</v>
      </c>
      <c r="G5864" s="3" t="s">
        <v>1279</v>
      </c>
      <c r="I5864" s="3" t="s">
        <v>7359</v>
      </c>
    </row>
    <row r="5865" spans="2:9" hidden="1" x14ac:dyDescent="0.4">
      <c r="B5865" s="8" t="s">
        <v>517</v>
      </c>
      <c r="C5865" s="3" t="s">
        <v>9250</v>
      </c>
      <c r="D5865" s="3" t="s">
        <v>9585</v>
      </c>
      <c r="F5865" s="3" t="s">
        <v>399</v>
      </c>
      <c r="G5865" s="3" t="s">
        <v>1279</v>
      </c>
      <c r="I5865" s="3" t="s">
        <v>7359</v>
      </c>
    </row>
    <row r="5866" spans="2:9" hidden="1" x14ac:dyDescent="0.4">
      <c r="B5866" s="8" t="s">
        <v>529</v>
      </c>
      <c r="C5866" s="3" t="s">
        <v>9251</v>
      </c>
      <c r="D5866" s="3" t="s">
        <v>9586</v>
      </c>
      <c r="F5866" s="3" t="s">
        <v>399</v>
      </c>
      <c r="G5866" s="3" t="s">
        <v>1279</v>
      </c>
      <c r="I5866" s="3" t="s">
        <v>7359</v>
      </c>
    </row>
    <row r="5867" spans="2:9" hidden="1" x14ac:dyDescent="0.4">
      <c r="B5867" s="8" t="s">
        <v>529</v>
      </c>
      <c r="C5867" s="3" t="s">
        <v>9252</v>
      </c>
      <c r="D5867" s="3" t="s">
        <v>9587</v>
      </c>
      <c r="F5867" s="3" t="s">
        <v>399</v>
      </c>
      <c r="G5867" s="3" t="s">
        <v>1279</v>
      </c>
      <c r="I5867" s="3" t="s">
        <v>7359</v>
      </c>
    </row>
    <row r="5868" spans="2:9" hidden="1" x14ac:dyDescent="0.4">
      <c r="B5868" s="8" t="s">
        <v>517</v>
      </c>
      <c r="C5868" s="3" t="s">
        <v>9253</v>
      </c>
      <c r="D5868" s="3" t="s">
        <v>9588</v>
      </c>
      <c r="F5868" s="3" t="s">
        <v>399</v>
      </c>
      <c r="G5868" s="3" t="s">
        <v>1279</v>
      </c>
      <c r="I5868" s="3" t="s">
        <v>7359</v>
      </c>
    </row>
    <row r="5869" spans="2:9" hidden="1" x14ac:dyDescent="0.4">
      <c r="B5869" s="8" t="s">
        <v>520</v>
      </c>
      <c r="C5869" s="3" t="s">
        <v>9254</v>
      </c>
      <c r="D5869" s="3" t="s">
        <v>9589</v>
      </c>
      <c r="F5869" s="3" t="s">
        <v>399</v>
      </c>
      <c r="G5869" s="3" t="s">
        <v>1279</v>
      </c>
      <c r="I5869" s="3" t="s">
        <v>7359</v>
      </c>
    </row>
    <row r="5870" spans="2:9" hidden="1" x14ac:dyDescent="0.4">
      <c r="B5870" s="8" t="s">
        <v>518</v>
      </c>
      <c r="C5870" s="3" t="s">
        <v>9255</v>
      </c>
      <c r="D5870" s="3" t="s">
        <v>9590</v>
      </c>
      <c r="F5870" s="3" t="s">
        <v>399</v>
      </c>
      <c r="I5870" s="3" t="s">
        <v>7359</v>
      </c>
    </row>
    <row r="5871" spans="2:9" hidden="1" x14ac:dyDescent="0.4">
      <c r="B5871" s="8" t="s">
        <v>532</v>
      </c>
      <c r="C5871" s="3" t="s">
        <v>9256</v>
      </c>
      <c r="D5871" s="3" t="s">
        <v>9591</v>
      </c>
      <c r="F5871" s="3" t="s">
        <v>399</v>
      </c>
      <c r="I5871" s="3" t="s">
        <v>7359</v>
      </c>
    </row>
    <row r="5872" spans="2:9" hidden="1" x14ac:dyDescent="0.4">
      <c r="B5872" s="8" t="s">
        <v>529</v>
      </c>
      <c r="C5872" s="3" t="s">
        <v>9257</v>
      </c>
      <c r="D5872" s="3" t="s">
        <v>9592</v>
      </c>
      <c r="F5872" s="3" t="s">
        <v>399</v>
      </c>
      <c r="I5872" s="3" t="s">
        <v>7359</v>
      </c>
    </row>
    <row r="5873" spans="2:9" hidden="1" x14ac:dyDescent="0.4">
      <c r="B5873" s="8" t="s">
        <v>512</v>
      </c>
      <c r="C5873" s="3" t="s">
        <v>9258</v>
      </c>
      <c r="D5873" s="3" t="s">
        <v>9593</v>
      </c>
      <c r="F5873" s="3" t="s">
        <v>399</v>
      </c>
      <c r="I5873" s="3" t="s">
        <v>7359</v>
      </c>
    </row>
    <row r="5874" spans="2:9" hidden="1" x14ac:dyDescent="0.4">
      <c r="B5874" s="8" t="s">
        <v>518</v>
      </c>
      <c r="C5874" s="3" t="s">
        <v>2211</v>
      </c>
      <c r="D5874" s="3" t="s">
        <v>9593</v>
      </c>
      <c r="F5874" s="3" t="s">
        <v>399</v>
      </c>
      <c r="I5874" s="3" t="s">
        <v>7359</v>
      </c>
    </row>
    <row r="5875" spans="2:9" hidden="1" x14ac:dyDescent="0.4">
      <c r="B5875" s="8" t="s">
        <v>517</v>
      </c>
      <c r="C5875" s="3" t="s">
        <v>9259</v>
      </c>
      <c r="D5875" s="3" t="s">
        <v>9594</v>
      </c>
      <c r="F5875" s="3" t="s">
        <v>399</v>
      </c>
      <c r="I5875" s="3" t="s">
        <v>7359</v>
      </c>
    </row>
    <row r="5876" spans="2:9" hidden="1" x14ac:dyDescent="0.4">
      <c r="B5876" s="8" t="s">
        <v>1488</v>
      </c>
      <c r="C5876" s="3" t="s">
        <v>9804</v>
      </c>
      <c r="D5876" s="3" t="s">
        <v>9595</v>
      </c>
      <c r="F5876" s="3" t="s">
        <v>399</v>
      </c>
      <c r="I5876" s="3" t="s">
        <v>7359</v>
      </c>
    </row>
    <row r="5877" spans="2:9" hidden="1" x14ac:dyDescent="0.4">
      <c r="B5877" s="8" t="s">
        <v>516</v>
      </c>
      <c r="C5877" s="3" t="s">
        <v>9809</v>
      </c>
      <c r="D5877" s="3" t="s">
        <v>9596</v>
      </c>
      <c r="E5877" s="3" t="s">
        <v>425</v>
      </c>
      <c r="F5877" s="3" t="s">
        <v>399</v>
      </c>
      <c r="I5877" s="3" t="s">
        <v>7359</v>
      </c>
    </row>
    <row r="5878" spans="2:9" hidden="1" x14ac:dyDescent="0.4">
      <c r="B5878" s="8" t="s">
        <v>518</v>
      </c>
      <c r="C5878" s="3" t="s">
        <v>9260</v>
      </c>
      <c r="D5878" s="3" t="s">
        <v>9597</v>
      </c>
      <c r="E5878" s="3" t="s">
        <v>7805</v>
      </c>
      <c r="F5878" s="3" t="s">
        <v>399</v>
      </c>
      <c r="I5878" s="3" t="s">
        <v>7359</v>
      </c>
    </row>
    <row r="5879" spans="2:9" hidden="1" x14ac:dyDescent="0.4">
      <c r="B5879" s="8" t="s">
        <v>531</v>
      </c>
      <c r="C5879" s="3" t="s">
        <v>9819</v>
      </c>
      <c r="D5879" s="3" t="s">
        <v>9820</v>
      </c>
      <c r="E5879" s="3" t="s">
        <v>7805</v>
      </c>
      <c r="F5879" s="3" t="s">
        <v>399</v>
      </c>
      <c r="I5879" s="3" t="s">
        <v>7359</v>
      </c>
    </row>
    <row r="5880" spans="2:9" hidden="1" x14ac:dyDescent="0.4">
      <c r="D5880" s="3" t="s">
        <v>9821</v>
      </c>
      <c r="E5880" s="3" t="s">
        <v>425</v>
      </c>
      <c r="F5880" s="3" t="s">
        <v>399</v>
      </c>
      <c r="I5880" s="3" t="s">
        <v>7359</v>
      </c>
    </row>
    <row r="5881" spans="2:9" hidden="1" x14ac:dyDescent="0.4">
      <c r="B5881" s="8" t="s">
        <v>529</v>
      </c>
      <c r="C5881" s="3" t="s">
        <v>9261</v>
      </c>
      <c r="D5881" s="3" t="s">
        <v>9598</v>
      </c>
      <c r="F5881" s="3" t="s">
        <v>399</v>
      </c>
      <c r="I5881" s="3" t="s">
        <v>7359</v>
      </c>
    </row>
    <row r="5882" spans="2:9" hidden="1" x14ac:dyDescent="0.4">
      <c r="D5882" s="3" t="s">
        <v>9599</v>
      </c>
      <c r="E5882" s="3" t="s">
        <v>425</v>
      </c>
      <c r="F5882" s="3" t="s">
        <v>399</v>
      </c>
      <c r="I5882" s="3" t="s">
        <v>7359</v>
      </c>
    </row>
    <row r="5883" spans="2:9" hidden="1" x14ac:dyDescent="0.4">
      <c r="D5883" s="3" t="s">
        <v>9600</v>
      </c>
      <c r="E5883" s="3" t="s">
        <v>425</v>
      </c>
      <c r="F5883" s="3" t="s">
        <v>399</v>
      </c>
      <c r="I5883" s="3" t="s">
        <v>7359</v>
      </c>
    </row>
    <row r="5884" spans="2:9" hidden="1" x14ac:dyDescent="0.4">
      <c r="B5884" s="8" t="s">
        <v>517</v>
      </c>
      <c r="C5884" s="3" t="s">
        <v>9262</v>
      </c>
      <c r="D5884" s="3" t="s">
        <v>9601</v>
      </c>
      <c r="E5884" s="3" t="s">
        <v>425</v>
      </c>
      <c r="F5884" s="3" t="s">
        <v>399</v>
      </c>
      <c r="I5884" s="3" t="s">
        <v>7359</v>
      </c>
    </row>
    <row r="5885" spans="2:9" hidden="1" x14ac:dyDescent="0.4">
      <c r="B5885" s="8" t="s">
        <v>518</v>
      </c>
      <c r="C5885" s="3" t="s">
        <v>9263</v>
      </c>
      <c r="D5885" s="3" t="s">
        <v>9602</v>
      </c>
      <c r="F5885" s="3" t="s">
        <v>399</v>
      </c>
      <c r="I5885" s="3" t="s">
        <v>7359</v>
      </c>
    </row>
    <row r="5886" spans="2:9" hidden="1" x14ac:dyDescent="0.4">
      <c r="B5886" s="8" t="s">
        <v>518</v>
      </c>
      <c r="C5886" s="3" t="s">
        <v>9264</v>
      </c>
      <c r="D5886" s="3" t="s">
        <v>9603</v>
      </c>
      <c r="F5886" s="3" t="s">
        <v>399</v>
      </c>
      <c r="I5886" s="3" t="s">
        <v>7359</v>
      </c>
    </row>
    <row r="5887" spans="2:9" hidden="1" x14ac:dyDescent="0.4">
      <c r="D5887" s="3" t="s">
        <v>9604</v>
      </c>
      <c r="E5887" s="3" t="s">
        <v>425</v>
      </c>
      <c r="F5887" s="3" t="s">
        <v>399</v>
      </c>
      <c r="I5887" s="3" t="s">
        <v>7359</v>
      </c>
    </row>
    <row r="5888" spans="2:9" hidden="1" x14ac:dyDescent="0.4">
      <c r="D5888" s="3" t="s">
        <v>9605</v>
      </c>
      <c r="E5888" s="3" t="s">
        <v>425</v>
      </c>
      <c r="F5888" s="3" t="s">
        <v>399</v>
      </c>
      <c r="I5888" s="3" t="s">
        <v>7359</v>
      </c>
    </row>
    <row r="5889" spans="2:9" hidden="1" x14ac:dyDescent="0.4">
      <c r="D5889" s="3" t="s">
        <v>9606</v>
      </c>
      <c r="E5889" s="3" t="s">
        <v>425</v>
      </c>
      <c r="F5889" s="3" t="s">
        <v>399</v>
      </c>
      <c r="I5889" s="3" t="s">
        <v>7359</v>
      </c>
    </row>
    <row r="5890" spans="2:9" hidden="1" x14ac:dyDescent="0.4">
      <c r="B5890" s="8" t="s">
        <v>9751</v>
      </c>
      <c r="C5890" s="3" t="s">
        <v>9265</v>
      </c>
      <c r="D5890" s="3" t="s">
        <v>9607</v>
      </c>
      <c r="F5890" s="3" t="s">
        <v>399</v>
      </c>
      <c r="I5890" s="3" t="s">
        <v>7359</v>
      </c>
    </row>
    <row r="5891" spans="2:9" hidden="1" x14ac:dyDescent="0.4">
      <c r="B5891" s="8" t="s">
        <v>517</v>
      </c>
      <c r="C5891" s="3" t="s">
        <v>9266</v>
      </c>
      <c r="D5891" s="3" t="s">
        <v>9608</v>
      </c>
      <c r="E5891" s="3" t="s">
        <v>425</v>
      </c>
      <c r="F5891" s="3" t="s">
        <v>399</v>
      </c>
      <c r="I5891" s="3" t="s">
        <v>7359</v>
      </c>
    </row>
    <row r="5892" spans="2:9" hidden="1" x14ac:dyDescent="0.4">
      <c r="B5892" s="8" t="s">
        <v>530</v>
      </c>
      <c r="C5892" s="3" t="s">
        <v>9816</v>
      </c>
      <c r="D5892" s="3" t="s">
        <v>9609</v>
      </c>
      <c r="E5892" s="3" t="s">
        <v>425</v>
      </c>
      <c r="F5892" s="3" t="s">
        <v>399</v>
      </c>
      <c r="I5892" s="3" t="s">
        <v>7359</v>
      </c>
    </row>
    <row r="5893" spans="2:9" hidden="1" x14ac:dyDescent="0.4">
      <c r="B5893" s="8" t="s">
        <v>4055</v>
      </c>
      <c r="C5893" s="3" t="s">
        <v>9813</v>
      </c>
      <c r="D5893" s="3" t="s">
        <v>9812</v>
      </c>
      <c r="E5893" s="3" t="s">
        <v>425</v>
      </c>
      <c r="F5893" s="3" t="s">
        <v>399</v>
      </c>
      <c r="I5893" s="3" t="s">
        <v>7359</v>
      </c>
    </row>
    <row r="5894" spans="2:9" hidden="1" x14ac:dyDescent="0.4">
      <c r="B5894" s="8" t="s">
        <v>512</v>
      </c>
      <c r="C5894" s="3" t="s">
        <v>9267</v>
      </c>
      <c r="D5894" s="3" t="s">
        <v>9610</v>
      </c>
      <c r="F5894" s="3" t="s">
        <v>399</v>
      </c>
      <c r="I5894" s="3" t="s">
        <v>7359</v>
      </c>
    </row>
    <row r="5895" spans="2:9" hidden="1" x14ac:dyDescent="0.4">
      <c r="B5895" s="8" t="s">
        <v>518</v>
      </c>
      <c r="C5895" s="3" t="s">
        <v>9268</v>
      </c>
      <c r="D5895" s="3" t="s">
        <v>9611</v>
      </c>
      <c r="E5895" s="3" t="s">
        <v>425</v>
      </c>
      <c r="F5895" s="3" t="s">
        <v>399</v>
      </c>
      <c r="I5895" s="3" t="s">
        <v>7359</v>
      </c>
    </row>
    <row r="5896" spans="2:9" hidden="1" x14ac:dyDescent="0.4">
      <c r="B5896" s="8" t="s">
        <v>9729</v>
      </c>
      <c r="C5896" s="3" t="s">
        <v>9269</v>
      </c>
      <c r="D5896" s="3" t="s">
        <v>9612</v>
      </c>
      <c r="F5896" s="3" t="s">
        <v>399</v>
      </c>
      <c r="I5896" s="3" t="s">
        <v>7359</v>
      </c>
    </row>
    <row r="5897" spans="2:9" hidden="1" x14ac:dyDescent="0.4">
      <c r="B5897" s="8" t="s">
        <v>531</v>
      </c>
      <c r="C5897" s="3" t="s">
        <v>9270</v>
      </c>
      <c r="D5897" s="3" t="s">
        <v>9613</v>
      </c>
      <c r="F5897" s="3" t="s">
        <v>399</v>
      </c>
      <c r="I5897" s="3" t="s">
        <v>7359</v>
      </c>
    </row>
    <row r="5898" spans="2:9" hidden="1" x14ac:dyDescent="0.4">
      <c r="B5898" s="8" t="s">
        <v>520</v>
      </c>
      <c r="C5898" s="3" t="s">
        <v>9271</v>
      </c>
      <c r="D5898" s="3" t="s">
        <v>9614</v>
      </c>
      <c r="F5898" s="3" t="s">
        <v>399</v>
      </c>
      <c r="I5898" s="3" t="s">
        <v>7359</v>
      </c>
    </row>
    <row r="5899" spans="2:9" hidden="1" x14ac:dyDescent="0.4">
      <c r="D5899" s="3" t="s">
        <v>9615</v>
      </c>
      <c r="F5899" s="3" t="s">
        <v>399</v>
      </c>
      <c r="I5899" s="3" t="s">
        <v>7359</v>
      </c>
    </row>
    <row r="5900" spans="2:9" hidden="1" x14ac:dyDescent="0.4">
      <c r="D5900" s="3" t="s">
        <v>9616</v>
      </c>
      <c r="F5900" s="3" t="s">
        <v>399</v>
      </c>
      <c r="I5900" s="3" t="s">
        <v>7359</v>
      </c>
    </row>
    <row r="5901" spans="2:9" hidden="1" x14ac:dyDescent="0.4">
      <c r="D5901" s="3" t="s">
        <v>9617</v>
      </c>
      <c r="F5901" s="3" t="s">
        <v>399</v>
      </c>
      <c r="I5901" s="3" t="s">
        <v>7359</v>
      </c>
    </row>
    <row r="5902" spans="2:9" hidden="1" x14ac:dyDescent="0.4">
      <c r="B5902" s="8" t="s">
        <v>520</v>
      </c>
      <c r="C5902" s="3" t="s">
        <v>9272</v>
      </c>
      <c r="D5902" s="3" t="s">
        <v>9618</v>
      </c>
      <c r="F5902" s="3" t="s">
        <v>399</v>
      </c>
      <c r="I5902" s="3" t="s">
        <v>7359</v>
      </c>
    </row>
    <row r="5903" spans="2:9" hidden="1" x14ac:dyDescent="0.4">
      <c r="D5903" s="3" t="s">
        <v>9619</v>
      </c>
      <c r="F5903" s="3" t="s">
        <v>399</v>
      </c>
      <c r="I5903" s="3" t="s">
        <v>7359</v>
      </c>
    </row>
    <row r="5904" spans="2:9" hidden="1" x14ac:dyDescent="0.4">
      <c r="D5904" s="3" t="s">
        <v>9620</v>
      </c>
      <c r="F5904" s="3" t="s">
        <v>399</v>
      </c>
      <c r="I5904" s="3" t="s">
        <v>7359</v>
      </c>
    </row>
    <row r="5905" spans="2:9" hidden="1" x14ac:dyDescent="0.4">
      <c r="D5905" s="3" t="s">
        <v>9621</v>
      </c>
      <c r="E5905" s="3" t="s">
        <v>7805</v>
      </c>
      <c r="F5905" s="3" t="s">
        <v>399</v>
      </c>
      <c r="I5905" s="3" t="s">
        <v>7359</v>
      </c>
    </row>
    <row r="5906" spans="2:9" hidden="1" x14ac:dyDescent="0.4">
      <c r="D5906" s="3" t="s">
        <v>9622</v>
      </c>
      <c r="F5906" s="3" t="s">
        <v>399</v>
      </c>
      <c r="I5906" s="3" t="s">
        <v>7359</v>
      </c>
    </row>
    <row r="5907" spans="2:9" hidden="1" x14ac:dyDescent="0.4">
      <c r="D5907" s="3" t="s">
        <v>9623</v>
      </c>
      <c r="F5907" s="3" t="s">
        <v>399</v>
      </c>
      <c r="I5907" s="3" t="s">
        <v>7359</v>
      </c>
    </row>
    <row r="5908" spans="2:9" hidden="1" x14ac:dyDescent="0.4">
      <c r="D5908" s="3" t="s">
        <v>9624</v>
      </c>
      <c r="E5908" s="3" t="s">
        <v>425</v>
      </c>
      <c r="F5908" s="3" t="s">
        <v>399</v>
      </c>
      <c r="I5908" s="3" t="s">
        <v>7359</v>
      </c>
    </row>
    <row r="5909" spans="2:9" hidden="1" x14ac:dyDescent="0.4">
      <c r="D5909" s="3" t="s">
        <v>9625</v>
      </c>
      <c r="E5909" s="3" t="s">
        <v>7805</v>
      </c>
      <c r="F5909" s="3" t="s">
        <v>399</v>
      </c>
      <c r="I5909" s="3" t="s">
        <v>7359</v>
      </c>
    </row>
    <row r="5910" spans="2:9" hidden="1" x14ac:dyDescent="0.4">
      <c r="D5910" s="3" t="s">
        <v>9626</v>
      </c>
      <c r="E5910" s="3" t="s">
        <v>7805</v>
      </c>
      <c r="F5910" s="3" t="s">
        <v>399</v>
      </c>
      <c r="I5910" s="3" t="s">
        <v>7359</v>
      </c>
    </row>
    <row r="5911" spans="2:9" hidden="1" x14ac:dyDescent="0.4">
      <c r="D5911" s="3" t="s">
        <v>9627</v>
      </c>
      <c r="E5911" s="3" t="s">
        <v>7805</v>
      </c>
      <c r="F5911" s="3" t="s">
        <v>399</v>
      </c>
      <c r="I5911" s="3" t="s">
        <v>7359</v>
      </c>
    </row>
    <row r="5912" spans="2:9" hidden="1" x14ac:dyDescent="0.4">
      <c r="D5912" s="3" t="s">
        <v>9628</v>
      </c>
      <c r="E5912" s="3" t="s">
        <v>7805</v>
      </c>
      <c r="F5912" s="3" t="s">
        <v>399</v>
      </c>
      <c r="I5912" s="3" t="s">
        <v>7359</v>
      </c>
    </row>
    <row r="5913" spans="2:9" hidden="1" x14ac:dyDescent="0.4">
      <c r="D5913" s="3" t="s">
        <v>9629</v>
      </c>
      <c r="E5913" s="3" t="s">
        <v>7805</v>
      </c>
      <c r="F5913" s="3" t="s">
        <v>399</v>
      </c>
      <c r="I5913" s="3" t="s">
        <v>7359</v>
      </c>
    </row>
    <row r="5914" spans="2:9" hidden="1" x14ac:dyDescent="0.4">
      <c r="D5914" s="3" t="s">
        <v>9630</v>
      </c>
      <c r="E5914" s="3" t="s">
        <v>7805</v>
      </c>
      <c r="F5914" s="3" t="s">
        <v>399</v>
      </c>
      <c r="I5914" s="3" t="s">
        <v>7359</v>
      </c>
    </row>
    <row r="5915" spans="2:9" hidden="1" x14ac:dyDescent="0.4">
      <c r="D5915" s="3" t="s">
        <v>9631</v>
      </c>
      <c r="E5915" s="3" t="s">
        <v>7805</v>
      </c>
      <c r="F5915" s="3" t="s">
        <v>399</v>
      </c>
      <c r="I5915" s="3" t="s">
        <v>7359</v>
      </c>
    </row>
    <row r="5916" spans="2:9" hidden="1" x14ac:dyDescent="0.4">
      <c r="D5916" s="3" t="s">
        <v>9632</v>
      </c>
      <c r="E5916" s="3" t="s">
        <v>7805</v>
      </c>
      <c r="F5916" s="3" t="s">
        <v>399</v>
      </c>
      <c r="I5916" s="3" t="s">
        <v>7359</v>
      </c>
    </row>
    <row r="5917" spans="2:9" hidden="1" x14ac:dyDescent="0.4">
      <c r="D5917" s="3" t="s">
        <v>9633</v>
      </c>
      <c r="E5917" s="3" t="s">
        <v>7805</v>
      </c>
      <c r="F5917" s="3" t="s">
        <v>399</v>
      </c>
      <c r="I5917" s="3" t="s">
        <v>7359</v>
      </c>
    </row>
    <row r="5918" spans="2:9" hidden="1" x14ac:dyDescent="0.4">
      <c r="D5918" s="3" t="s">
        <v>9634</v>
      </c>
      <c r="E5918" s="3" t="s">
        <v>7805</v>
      </c>
      <c r="F5918" s="3" t="s">
        <v>399</v>
      </c>
      <c r="I5918" s="3" t="s">
        <v>7359</v>
      </c>
    </row>
    <row r="5919" spans="2:9" hidden="1" x14ac:dyDescent="0.4">
      <c r="D5919" s="3" t="s">
        <v>9635</v>
      </c>
      <c r="E5919" s="3" t="s">
        <v>7805</v>
      </c>
      <c r="F5919" s="3" t="s">
        <v>399</v>
      </c>
      <c r="I5919" s="3" t="s">
        <v>7359</v>
      </c>
    </row>
    <row r="5920" spans="2:9" hidden="1" x14ac:dyDescent="0.4">
      <c r="B5920" s="8" t="s">
        <v>531</v>
      </c>
      <c r="C5920" s="3" t="s">
        <v>9752</v>
      </c>
      <c r="D5920" s="3" t="s">
        <v>9636</v>
      </c>
      <c r="E5920" s="3" t="s">
        <v>7805</v>
      </c>
      <c r="F5920" s="3" t="s">
        <v>399</v>
      </c>
      <c r="I5920" s="3" t="s">
        <v>7359</v>
      </c>
    </row>
    <row r="5921" spans="2:9" hidden="1" x14ac:dyDescent="0.4">
      <c r="D5921" s="3" t="s">
        <v>9637</v>
      </c>
      <c r="E5921" s="3" t="s">
        <v>425</v>
      </c>
      <c r="F5921" s="3" t="s">
        <v>399</v>
      </c>
      <c r="I5921" s="3" t="s">
        <v>7359</v>
      </c>
    </row>
    <row r="5922" spans="2:9" hidden="1" x14ac:dyDescent="0.4">
      <c r="B5922" s="8" t="s">
        <v>518</v>
      </c>
      <c r="C5922" s="3" t="s">
        <v>9753</v>
      </c>
      <c r="D5922" s="3" t="s">
        <v>9638</v>
      </c>
      <c r="E5922" s="3" t="s">
        <v>7805</v>
      </c>
      <c r="F5922" s="3" t="s">
        <v>399</v>
      </c>
      <c r="I5922" s="3" t="s">
        <v>7359</v>
      </c>
    </row>
    <row r="5923" spans="2:9" hidden="1" x14ac:dyDescent="0.4">
      <c r="B5923" s="8" t="s">
        <v>531</v>
      </c>
      <c r="C5923" s="3" t="s">
        <v>9754</v>
      </c>
      <c r="D5923" s="3" t="s">
        <v>9639</v>
      </c>
      <c r="E5923" s="3" t="s">
        <v>7805</v>
      </c>
      <c r="F5923" s="3" t="s">
        <v>399</v>
      </c>
      <c r="I5923" s="3" t="s">
        <v>7359</v>
      </c>
    </row>
    <row r="5924" spans="2:9" hidden="1" x14ac:dyDescent="0.4">
      <c r="B5924" s="8" t="s">
        <v>531</v>
      </c>
      <c r="C5924" s="3" t="s">
        <v>9755</v>
      </c>
      <c r="D5924" s="3" t="s">
        <v>9640</v>
      </c>
      <c r="E5924" s="3" t="s">
        <v>425</v>
      </c>
      <c r="F5924" s="3" t="s">
        <v>399</v>
      </c>
      <c r="I5924" s="3" t="s">
        <v>7359</v>
      </c>
    </row>
    <row r="5925" spans="2:9" hidden="1" x14ac:dyDescent="0.4">
      <c r="B5925" s="8" t="s">
        <v>515</v>
      </c>
      <c r="C5925" s="3" t="s">
        <v>9788</v>
      </c>
      <c r="D5925" s="3" t="s">
        <v>9641</v>
      </c>
      <c r="E5925" s="3" t="s">
        <v>425</v>
      </c>
      <c r="F5925" s="3" t="s">
        <v>399</v>
      </c>
      <c r="I5925" s="3" t="s">
        <v>7359</v>
      </c>
    </row>
    <row r="5926" spans="2:9" hidden="1" x14ac:dyDescent="0.4">
      <c r="B5926" s="8" t="s">
        <v>515</v>
      </c>
      <c r="C5926" s="3" t="s">
        <v>9791</v>
      </c>
      <c r="D5926" s="3" t="s">
        <v>9642</v>
      </c>
      <c r="E5926" s="3" t="s">
        <v>425</v>
      </c>
      <c r="F5926" s="3" t="s">
        <v>399</v>
      </c>
      <c r="I5926" s="3" t="s">
        <v>7359</v>
      </c>
    </row>
    <row r="5927" spans="2:9" hidden="1" x14ac:dyDescent="0.4">
      <c r="B5927" s="8" t="s">
        <v>515</v>
      </c>
      <c r="C5927" s="3" t="s">
        <v>9785</v>
      </c>
      <c r="D5927" s="3" t="s">
        <v>9643</v>
      </c>
      <c r="E5927" s="3" t="s">
        <v>425</v>
      </c>
      <c r="F5927" s="3" t="s">
        <v>399</v>
      </c>
      <c r="I5927" s="3" t="s">
        <v>7359</v>
      </c>
    </row>
    <row r="5928" spans="2:9" hidden="1" x14ac:dyDescent="0.4">
      <c r="D5928" s="3" t="s">
        <v>9644</v>
      </c>
      <c r="E5928" s="3" t="s">
        <v>425</v>
      </c>
      <c r="F5928" s="3" t="s">
        <v>399</v>
      </c>
      <c r="I5928" s="3" t="s">
        <v>7359</v>
      </c>
    </row>
    <row r="5929" spans="2:9" hidden="1" x14ac:dyDescent="0.4">
      <c r="B5929" s="8" t="s">
        <v>515</v>
      </c>
      <c r="C5929" s="3" t="s">
        <v>10279</v>
      </c>
      <c r="D5929" s="3" t="s">
        <v>9645</v>
      </c>
      <c r="E5929" s="3" t="s">
        <v>425</v>
      </c>
      <c r="F5929" s="3" t="s">
        <v>399</v>
      </c>
      <c r="I5929" s="3" t="s">
        <v>7359</v>
      </c>
    </row>
    <row r="5930" spans="2:9" hidden="1" x14ac:dyDescent="0.4">
      <c r="B5930" s="8" t="s">
        <v>515</v>
      </c>
      <c r="C5930" s="3" t="s">
        <v>9792</v>
      </c>
      <c r="D5930" s="3" t="s">
        <v>9646</v>
      </c>
      <c r="E5930" s="3" t="s">
        <v>425</v>
      </c>
      <c r="F5930" s="3" t="s">
        <v>399</v>
      </c>
      <c r="I5930" s="3" t="s">
        <v>7359</v>
      </c>
    </row>
    <row r="5931" spans="2:9" hidden="1" x14ac:dyDescent="0.4">
      <c r="B5931" s="8" t="s">
        <v>515</v>
      </c>
      <c r="C5931" s="3" t="s">
        <v>9787</v>
      </c>
      <c r="D5931" s="3" t="s">
        <v>9647</v>
      </c>
      <c r="E5931" s="3" t="s">
        <v>425</v>
      </c>
      <c r="F5931" s="3" t="s">
        <v>399</v>
      </c>
      <c r="I5931" s="3" t="s">
        <v>7359</v>
      </c>
    </row>
    <row r="5932" spans="2:9" hidden="1" x14ac:dyDescent="0.4">
      <c r="D5932" s="3" t="s">
        <v>9648</v>
      </c>
      <c r="E5932" s="3" t="s">
        <v>425</v>
      </c>
      <c r="F5932" s="3" t="s">
        <v>399</v>
      </c>
      <c r="I5932" s="3" t="s">
        <v>7359</v>
      </c>
    </row>
    <row r="5933" spans="2:9" hidden="1" x14ac:dyDescent="0.4">
      <c r="B5933" s="8" t="s">
        <v>9789</v>
      </c>
      <c r="C5933" s="3" t="s">
        <v>9786</v>
      </c>
      <c r="D5933" s="3" t="s">
        <v>9649</v>
      </c>
      <c r="E5933" s="3" t="s">
        <v>425</v>
      </c>
      <c r="F5933" s="3" t="s">
        <v>399</v>
      </c>
      <c r="I5933" s="3" t="s">
        <v>7359</v>
      </c>
    </row>
    <row r="5934" spans="2:9" hidden="1" x14ac:dyDescent="0.4">
      <c r="B5934" s="8" t="s">
        <v>515</v>
      </c>
      <c r="C5934" s="3" t="s">
        <v>9794</v>
      </c>
      <c r="D5934" s="3" t="s">
        <v>9650</v>
      </c>
      <c r="E5934" s="3" t="s">
        <v>425</v>
      </c>
      <c r="F5934" s="3" t="s">
        <v>399</v>
      </c>
      <c r="I5934" s="3" t="s">
        <v>7359</v>
      </c>
    </row>
    <row r="5935" spans="2:9" hidden="1" x14ac:dyDescent="0.4">
      <c r="B5935" s="8" t="s">
        <v>515</v>
      </c>
      <c r="C5935" s="3" t="s">
        <v>9790</v>
      </c>
      <c r="D5935" s="3" t="s">
        <v>9651</v>
      </c>
      <c r="E5935" s="3" t="s">
        <v>425</v>
      </c>
      <c r="F5935" s="3" t="s">
        <v>399</v>
      </c>
      <c r="I5935" s="3" t="s">
        <v>7359</v>
      </c>
    </row>
    <row r="5936" spans="2:9" hidden="1" x14ac:dyDescent="0.4">
      <c r="D5936" s="3" t="s">
        <v>9652</v>
      </c>
      <c r="E5936" s="3" t="s">
        <v>425</v>
      </c>
      <c r="F5936" s="3" t="s">
        <v>399</v>
      </c>
      <c r="I5936" s="3" t="s">
        <v>7359</v>
      </c>
    </row>
    <row r="5937" spans="2:9" hidden="1" x14ac:dyDescent="0.4">
      <c r="D5937" s="3" t="s">
        <v>9597</v>
      </c>
      <c r="E5937" s="3" t="s">
        <v>7805</v>
      </c>
      <c r="F5937" s="3" t="s">
        <v>399</v>
      </c>
      <c r="I5937" s="3" t="s">
        <v>7359</v>
      </c>
    </row>
    <row r="5938" spans="2:9" hidden="1" x14ac:dyDescent="0.4">
      <c r="B5938" s="8" t="s">
        <v>2042</v>
      </c>
      <c r="C5938" s="3" t="s">
        <v>9799</v>
      </c>
      <c r="D5938" s="3" t="s">
        <v>9653</v>
      </c>
      <c r="E5938" s="3" t="s">
        <v>425</v>
      </c>
      <c r="F5938" s="3" t="s">
        <v>399</v>
      </c>
      <c r="I5938" s="3" t="s">
        <v>7359</v>
      </c>
    </row>
    <row r="5939" spans="2:9" hidden="1" x14ac:dyDescent="0.4">
      <c r="B5939" s="8" t="s">
        <v>516</v>
      </c>
      <c r="C5939" s="3" t="s">
        <v>9800</v>
      </c>
      <c r="D5939" s="3" t="s">
        <v>9654</v>
      </c>
      <c r="E5939" s="3" t="s">
        <v>425</v>
      </c>
      <c r="F5939" s="3" t="s">
        <v>399</v>
      </c>
      <c r="I5939" s="3" t="s">
        <v>7359</v>
      </c>
    </row>
    <row r="5940" spans="2:9" hidden="1" x14ac:dyDescent="0.4">
      <c r="B5940" s="8" t="s">
        <v>516</v>
      </c>
      <c r="C5940" s="3" t="s">
        <v>9801</v>
      </c>
      <c r="D5940" s="3" t="s">
        <v>9655</v>
      </c>
      <c r="E5940" s="3" t="s">
        <v>425</v>
      </c>
      <c r="F5940" s="3" t="s">
        <v>399</v>
      </c>
      <c r="I5940" s="3" t="s">
        <v>7359</v>
      </c>
    </row>
    <row r="5941" spans="2:9" hidden="1" x14ac:dyDescent="0.4">
      <c r="B5941" s="8" t="s">
        <v>516</v>
      </c>
      <c r="C5941" s="3" t="s">
        <v>9803</v>
      </c>
      <c r="D5941" s="3" t="s">
        <v>9656</v>
      </c>
      <c r="E5941" s="3" t="s">
        <v>425</v>
      </c>
      <c r="F5941" s="3" t="s">
        <v>399</v>
      </c>
      <c r="I5941" s="3" t="s">
        <v>7359</v>
      </c>
    </row>
    <row r="5942" spans="2:9" hidden="1" x14ac:dyDescent="0.4">
      <c r="B5942" s="8" t="s">
        <v>2046</v>
      </c>
      <c r="C5942" s="3" t="s">
        <v>10372</v>
      </c>
      <c r="D5942" s="3" t="s">
        <v>9657</v>
      </c>
      <c r="E5942" s="3" t="s">
        <v>425</v>
      </c>
      <c r="F5942" s="3" t="s">
        <v>399</v>
      </c>
      <c r="I5942" s="3" t="s">
        <v>7359</v>
      </c>
    </row>
    <row r="5943" spans="2:9" hidden="1" x14ac:dyDescent="0.4">
      <c r="B5943" s="8" t="s">
        <v>517</v>
      </c>
      <c r="C5943" s="3" t="s">
        <v>10371</v>
      </c>
      <c r="D5943" s="3" t="s">
        <v>9658</v>
      </c>
      <c r="E5943" s="3" t="s">
        <v>425</v>
      </c>
      <c r="F5943" s="3" t="s">
        <v>399</v>
      </c>
      <c r="I5943" s="3" t="s">
        <v>7359</v>
      </c>
    </row>
    <row r="5944" spans="2:9" hidden="1" x14ac:dyDescent="0.4">
      <c r="D5944" s="3" t="s">
        <v>9659</v>
      </c>
      <c r="E5944" s="3" t="s">
        <v>7805</v>
      </c>
      <c r="F5944" s="3" t="s">
        <v>399</v>
      </c>
      <c r="I5944" s="3" t="s">
        <v>7359</v>
      </c>
    </row>
    <row r="5945" spans="2:9" hidden="1" x14ac:dyDescent="0.4">
      <c r="D5945" s="3" t="s">
        <v>9660</v>
      </c>
      <c r="E5945" s="3" t="s">
        <v>7805</v>
      </c>
      <c r="F5945" s="3" t="s">
        <v>399</v>
      </c>
      <c r="I5945" s="3" t="s">
        <v>7359</v>
      </c>
    </row>
    <row r="5946" spans="2:9" hidden="1" x14ac:dyDescent="0.4">
      <c r="D5946" s="3" t="s">
        <v>9661</v>
      </c>
      <c r="E5946" s="3" t="s">
        <v>7805</v>
      </c>
      <c r="F5946" s="3" t="s">
        <v>399</v>
      </c>
      <c r="I5946" s="3" t="s">
        <v>7359</v>
      </c>
    </row>
    <row r="5947" spans="2:9" hidden="1" x14ac:dyDescent="0.4">
      <c r="D5947" s="3" t="s">
        <v>9629</v>
      </c>
      <c r="E5947" s="3" t="s">
        <v>7805</v>
      </c>
      <c r="F5947" s="3" t="s">
        <v>399</v>
      </c>
      <c r="I5947" s="3" t="s">
        <v>7359</v>
      </c>
    </row>
    <row r="5948" spans="2:9" hidden="1" x14ac:dyDescent="0.4">
      <c r="D5948" s="3" t="s">
        <v>9662</v>
      </c>
      <c r="E5948" s="3" t="s">
        <v>7805</v>
      </c>
      <c r="F5948" s="3" t="s">
        <v>399</v>
      </c>
      <c r="I5948" s="3" t="s">
        <v>7359</v>
      </c>
    </row>
    <row r="5949" spans="2:9" hidden="1" x14ac:dyDescent="0.4">
      <c r="D5949" s="3" t="s">
        <v>9663</v>
      </c>
      <c r="E5949" s="3" t="s">
        <v>7805</v>
      </c>
      <c r="F5949" s="3" t="s">
        <v>399</v>
      </c>
      <c r="I5949" s="3" t="s">
        <v>7359</v>
      </c>
    </row>
    <row r="5950" spans="2:9" hidden="1" x14ac:dyDescent="0.4">
      <c r="D5950" s="3" t="s">
        <v>9664</v>
      </c>
      <c r="F5950" s="3" t="s">
        <v>399</v>
      </c>
      <c r="I5950" s="3" t="s">
        <v>7359</v>
      </c>
    </row>
    <row r="5951" spans="2:9" hidden="1" x14ac:dyDescent="0.4">
      <c r="D5951" s="3" t="s">
        <v>9665</v>
      </c>
      <c r="E5951" s="3" t="s">
        <v>7805</v>
      </c>
      <c r="F5951" s="3" t="s">
        <v>399</v>
      </c>
      <c r="I5951" s="3" t="s">
        <v>7359</v>
      </c>
    </row>
    <row r="5952" spans="2:9" hidden="1" x14ac:dyDescent="0.4">
      <c r="D5952" s="3" t="s">
        <v>9666</v>
      </c>
      <c r="E5952" s="3" t="s">
        <v>7805</v>
      </c>
      <c r="F5952" s="3" t="s">
        <v>399</v>
      </c>
      <c r="I5952" s="3" t="s">
        <v>7359</v>
      </c>
    </row>
    <row r="5953" spans="2:9" hidden="1" x14ac:dyDescent="0.4">
      <c r="D5953" s="3" t="s">
        <v>9667</v>
      </c>
      <c r="E5953" s="3" t="s">
        <v>7805</v>
      </c>
      <c r="F5953" s="3" t="s">
        <v>399</v>
      </c>
      <c r="I5953" s="3" t="s">
        <v>7359</v>
      </c>
    </row>
    <row r="5954" spans="2:9" hidden="1" x14ac:dyDescent="0.4">
      <c r="D5954" s="3" t="s">
        <v>9668</v>
      </c>
      <c r="E5954" s="3" t="s">
        <v>7805</v>
      </c>
      <c r="F5954" s="3" t="s">
        <v>399</v>
      </c>
      <c r="I5954" s="3" t="s">
        <v>7359</v>
      </c>
    </row>
    <row r="5955" spans="2:9" hidden="1" x14ac:dyDescent="0.4">
      <c r="B5955" s="8" t="s">
        <v>520</v>
      </c>
      <c r="C5955" s="3" t="s">
        <v>9756</v>
      </c>
      <c r="D5955" s="3" t="s">
        <v>9669</v>
      </c>
      <c r="E5955" s="3" t="s">
        <v>7805</v>
      </c>
      <c r="F5955" s="3" t="s">
        <v>399</v>
      </c>
      <c r="I5955" s="3" t="s">
        <v>7359</v>
      </c>
    </row>
    <row r="5956" spans="2:9" hidden="1" x14ac:dyDescent="0.4">
      <c r="B5956" s="8" t="s">
        <v>529</v>
      </c>
      <c r="C5956" s="3" t="s">
        <v>9757</v>
      </c>
      <c r="D5956" s="3" t="s">
        <v>9670</v>
      </c>
      <c r="E5956" s="3" t="s">
        <v>7805</v>
      </c>
      <c r="F5956" s="3" t="s">
        <v>399</v>
      </c>
      <c r="I5956" s="3" t="s">
        <v>7359</v>
      </c>
    </row>
    <row r="5957" spans="2:9" hidden="1" x14ac:dyDescent="0.4">
      <c r="B5957" s="8" t="s">
        <v>529</v>
      </c>
      <c r="C5957" s="3" t="s">
        <v>9758</v>
      </c>
      <c r="D5957" s="3" t="s">
        <v>9671</v>
      </c>
      <c r="F5957" s="3" t="s">
        <v>399</v>
      </c>
      <c r="I5957" s="3" t="s">
        <v>7359</v>
      </c>
    </row>
    <row r="5958" spans="2:9" hidden="1" x14ac:dyDescent="0.4">
      <c r="B5958" s="8" t="s">
        <v>520</v>
      </c>
      <c r="C5958" s="3" t="s">
        <v>9759</v>
      </c>
      <c r="D5958" s="3" t="s">
        <v>9672</v>
      </c>
      <c r="F5958" s="3" t="s">
        <v>399</v>
      </c>
      <c r="I5958" s="3" t="s">
        <v>7359</v>
      </c>
    </row>
    <row r="5959" spans="2:9" hidden="1" x14ac:dyDescent="0.4">
      <c r="B5959" s="8" t="s">
        <v>517</v>
      </c>
      <c r="C5959" s="3" t="s">
        <v>9760</v>
      </c>
      <c r="D5959" s="3" t="s">
        <v>9673</v>
      </c>
      <c r="E5959" s="3" t="s">
        <v>425</v>
      </c>
      <c r="F5959" s="3" t="s">
        <v>399</v>
      </c>
      <c r="I5959" s="3" t="s">
        <v>7359</v>
      </c>
    </row>
    <row r="5960" spans="2:9" hidden="1" x14ac:dyDescent="0.4">
      <c r="B5960" s="8" t="s">
        <v>517</v>
      </c>
      <c r="C5960" s="3" t="s">
        <v>9761</v>
      </c>
      <c r="D5960" s="3" t="s">
        <v>9674</v>
      </c>
      <c r="E5960" s="3" t="s">
        <v>7805</v>
      </c>
      <c r="F5960" s="3" t="s">
        <v>399</v>
      </c>
      <c r="I5960" s="3" t="s">
        <v>7359</v>
      </c>
    </row>
    <row r="5961" spans="2:9" hidden="1" x14ac:dyDescent="0.4">
      <c r="B5961" s="8" t="s">
        <v>518</v>
      </c>
      <c r="C5961" s="3" t="s">
        <v>9762</v>
      </c>
      <c r="D5961" s="3" t="s">
        <v>9675</v>
      </c>
      <c r="E5961" s="3" t="s">
        <v>425</v>
      </c>
      <c r="F5961" s="3" t="s">
        <v>399</v>
      </c>
      <c r="I5961" s="3" t="s">
        <v>7359</v>
      </c>
    </row>
    <row r="5962" spans="2:9" hidden="1" x14ac:dyDescent="0.4">
      <c r="B5962" s="8" t="s">
        <v>529</v>
      </c>
      <c r="C5962" s="3" t="s">
        <v>9763</v>
      </c>
      <c r="D5962" s="3" t="s">
        <v>9676</v>
      </c>
      <c r="E5962" s="3" t="s">
        <v>425</v>
      </c>
      <c r="F5962" s="3" t="s">
        <v>399</v>
      </c>
      <c r="I5962" s="3" t="s">
        <v>7359</v>
      </c>
    </row>
    <row r="5963" spans="2:9" hidden="1" x14ac:dyDescent="0.4">
      <c r="D5963" s="3" t="s">
        <v>9677</v>
      </c>
      <c r="E5963" s="3" t="s">
        <v>7805</v>
      </c>
      <c r="F5963" s="3" t="s">
        <v>399</v>
      </c>
      <c r="I5963" s="3" t="s">
        <v>7359</v>
      </c>
    </row>
    <row r="5964" spans="2:9" hidden="1" x14ac:dyDescent="0.4">
      <c r="D5964" s="3" t="s">
        <v>9678</v>
      </c>
      <c r="E5964" s="3" t="s">
        <v>425</v>
      </c>
      <c r="F5964" s="3" t="s">
        <v>399</v>
      </c>
      <c r="I5964" s="3" t="s">
        <v>7359</v>
      </c>
    </row>
    <row r="5965" spans="2:9" hidden="1" x14ac:dyDescent="0.4">
      <c r="B5965" s="8" t="s">
        <v>517</v>
      </c>
      <c r="C5965" s="3" t="s">
        <v>9764</v>
      </c>
      <c r="D5965" s="3" t="s">
        <v>9679</v>
      </c>
      <c r="E5965" s="3" t="s">
        <v>425</v>
      </c>
      <c r="F5965" s="3" t="s">
        <v>399</v>
      </c>
      <c r="I5965" s="3" t="s">
        <v>7359</v>
      </c>
    </row>
    <row r="5966" spans="2:9" hidden="1" x14ac:dyDescent="0.4">
      <c r="D5966" s="3" t="s">
        <v>9680</v>
      </c>
      <c r="F5966" s="3" t="s">
        <v>399</v>
      </c>
      <c r="I5966" s="3" t="s">
        <v>7359</v>
      </c>
    </row>
    <row r="5967" spans="2:9" hidden="1" x14ac:dyDescent="0.4">
      <c r="B5967" s="8" t="s">
        <v>517</v>
      </c>
      <c r="C5967" s="3" t="s">
        <v>9765</v>
      </c>
      <c r="D5967" s="3" t="s">
        <v>9681</v>
      </c>
      <c r="F5967" s="3" t="s">
        <v>399</v>
      </c>
      <c r="I5967" s="3" t="s">
        <v>7359</v>
      </c>
    </row>
    <row r="5968" spans="2:9" hidden="1" x14ac:dyDescent="0.4">
      <c r="B5968" s="8" t="s">
        <v>517</v>
      </c>
      <c r="C5968" s="3" t="s">
        <v>9766</v>
      </c>
      <c r="D5968" s="3" t="s">
        <v>9682</v>
      </c>
      <c r="F5968" s="3" t="s">
        <v>399</v>
      </c>
      <c r="I5968" s="3" t="s">
        <v>7359</v>
      </c>
    </row>
    <row r="5969" spans="2:9" hidden="1" x14ac:dyDescent="0.4">
      <c r="B5969" s="8" t="s">
        <v>517</v>
      </c>
      <c r="C5969" s="3" t="s">
        <v>9767</v>
      </c>
      <c r="D5969" s="3" t="s">
        <v>9682</v>
      </c>
      <c r="F5969" s="3" t="s">
        <v>399</v>
      </c>
      <c r="I5969" s="3" t="s">
        <v>7359</v>
      </c>
    </row>
    <row r="5970" spans="2:9" hidden="1" x14ac:dyDescent="0.4">
      <c r="D5970" s="3" t="s">
        <v>9683</v>
      </c>
      <c r="F5970" s="3" t="s">
        <v>399</v>
      </c>
      <c r="I5970" s="3" t="s">
        <v>7359</v>
      </c>
    </row>
    <row r="5971" spans="2:9" hidden="1" x14ac:dyDescent="0.4">
      <c r="D5971" s="3" t="s">
        <v>9684</v>
      </c>
      <c r="F5971" s="3" t="s">
        <v>399</v>
      </c>
      <c r="I5971" s="3" t="s">
        <v>7359</v>
      </c>
    </row>
    <row r="5972" spans="2:9" hidden="1" x14ac:dyDescent="0.4">
      <c r="D5972" s="3" t="s">
        <v>9685</v>
      </c>
      <c r="F5972" s="3" t="s">
        <v>399</v>
      </c>
      <c r="I5972" s="3" t="s">
        <v>7359</v>
      </c>
    </row>
    <row r="5973" spans="2:9" hidden="1" x14ac:dyDescent="0.4">
      <c r="D5973" s="3" t="s">
        <v>9686</v>
      </c>
      <c r="F5973" s="3" t="s">
        <v>399</v>
      </c>
      <c r="I5973" s="3" t="s">
        <v>7359</v>
      </c>
    </row>
    <row r="5974" spans="2:9" hidden="1" x14ac:dyDescent="0.4">
      <c r="D5974" s="3" t="s">
        <v>9687</v>
      </c>
      <c r="F5974" s="3" t="s">
        <v>399</v>
      </c>
      <c r="I5974" s="3" t="s">
        <v>7359</v>
      </c>
    </row>
    <row r="5975" spans="2:9" hidden="1" x14ac:dyDescent="0.4">
      <c r="D5975" s="3" t="s">
        <v>9688</v>
      </c>
      <c r="F5975" s="3" t="s">
        <v>399</v>
      </c>
      <c r="I5975" s="3" t="s">
        <v>7359</v>
      </c>
    </row>
    <row r="5976" spans="2:9" hidden="1" x14ac:dyDescent="0.4">
      <c r="D5976" s="3" t="s">
        <v>9689</v>
      </c>
      <c r="F5976" s="3" t="s">
        <v>399</v>
      </c>
      <c r="I5976" s="3" t="s">
        <v>7359</v>
      </c>
    </row>
    <row r="5977" spans="2:9" hidden="1" x14ac:dyDescent="0.4">
      <c r="D5977" s="3" t="s">
        <v>9690</v>
      </c>
      <c r="F5977" s="3" t="s">
        <v>399</v>
      </c>
      <c r="I5977" s="3" t="s">
        <v>7359</v>
      </c>
    </row>
    <row r="5978" spans="2:9" hidden="1" x14ac:dyDescent="0.4">
      <c r="D5978" s="3" t="s">
        <v>9691</v>
      </c>
      <c r="F5978" s="3" t="s">
        <v>399</v>
      </c>
      <c r="I5978" s="3" t="s">
        <v>7359</v>
      </c>
    </row>
    <row r="5979" spans="2:9" hidden="1" x14ac:dyDescent="0.4">
      <c r="D5979" s="3" t="s">
        <v>9692</v>
      </c>
      <c r="F5979" s="3" t="s">
        <v>399</v>
      </c>
      <c r="I5979" s="3" t="s">
        <v>7359</v>
      </c>
    </row>
    <row r="5980" spans="2:9" hidden="1" x14ac:dyDescent="0.4">
      <c r="D5980" s="3" t="s">
        <v>9693</v>
      </c>
      <c r="E5980" s="3" t="s">
        <v>7805</v>
      </c>
      <c r="F5980" s="3" t="s">
        <v>399</v>
      </c>
      <c r="I5980" s="3" t="s">
        <v>7359</v>
      </c>
    </row>
    <row r="5981" spans="2:9" hidden="1" x14ac:dyDescent="0.4">
      <c r="D5981" s="3" t="s">
        <v>9694</v>
      </c>
      <c r="E5981" s="3" t="s">
        <v>7805</v>
      </c>
      <c r="F5981" s="3" t="s">
        <v>399</v>
      </c>
      <c r="I5981" s="3" t="s">
        <v>7359</v>
      </c>
    </row>
    <row r="5982" spans="2:9" hidden="1" x14ac:dyDescent="0.4">
      <c r="D5982" s="3" t="s">
        <v>9695</v>
      </c>
      <c r="E5982" s="3" t="s">
        <v>7805</v>
      </c>
      <c r="F5982" s="3" t="s">
        <v>399</v>
      </c>
      <c r="I5982" s="3" t="s">
        <v>7359</v>
      </c>
    </row>
    <row r="5983" spans="2:9" hidden="1" x14ac:dyDescent="0.4">
      <c r="D5983" s="3" t="s">
        <v>9696</v>
      </c>
      <c r="E5983" s="3" t="s">
        <v>7805</v>
      </c>
      <c r="F5983" s="3" t="s">
        <v>399</v>
      </c>
      <c r="I5983" s="3" t="s">
        <v>7359</v>
      </c>
    </row>
    <row r="5984" spans="2:9" hidden="1" x14ac:dyDescent="0.4">
      <c r="D5984" s="3" t="s">
        <v>9697</v>
      </c>
      <c r="E5984" s="3" t="s">
        <v>7805</v>
      </c>
      <c r="F5984" s="3" t="s">
        <v>399</v>
      </c>
      <c r="I5984" s="3" t="s">
        <v>7359</v>
      </c>
    </row>
    <row r="5985" spans="2:9" hidden="1" x14ac:dyDescent="0.4">
      <c r="D5985" s="3" t="s">
        <v>9698</v>
      </c>
      <c r="E5985" s="3" t="s">
        <v>7805</v>
      </c>
      <c r="F5985" s="3" t="s">
        <v>399</v>
      </c>
      <c r="I5985" s="3" t="s">
        <v>7359</v>
      </c>
    </row>
    <row r="5986" spans="2:9" hidden="1" x14ac:dyDescent="0.4">
      <c r="D5986" s="3" t="s">
        <v>9699</v>
      </c>
      <c r="E5986" s="3" t="s">
        <v>7805</v>
      </c>
      <c r="F5986" s="3" t="s">
        <v>399</v>
      </c>
      <c r="I5986" s="3" t="s">
        <v>7359</v>
      </c>
    </row>
    <row r="5987" spans="2:9" hidden="1" x14ac:dyDescent="0.4">
      <c r="D5987" s="3" t="s">
        <v>9700</v>
      </c>
      <c r="E5987" s="3" t="s">
        <v>7805</v>
      </c>
      <c r="F5987" s="3" t="s">
        <v>399</v>
      </c>
      <c r="I5987" s="3" t="s">
        <v>7359</v>
      </c>
    </row>
    <row r="5988" spans="2:9" hidden="1" x14ac:dyDescent="0.4">
      <c r="D5988" s="3" t="s">
        <v>9701</v>
      </c>
      <c r="E5988" s="3" t="s">
        <v>7805</v>
      </c>
      <c r="F5988" s="3" t="s">
        <v>399</v>
      </c>
      <c r="I5988" s="3" t="s">
        <v>7359</v>
      </c>
    </row>
    <row r="5989" spans="2:9" hidden="1" x14ac:dyDescent="0.4">
      <c r="D5989" s="3" t="s">
        <v>9702</v>
      </c>
      <c r="E5989" s="3" t="s">
        <v>7805</v>
      </c>
      <c r="F5989" s="3" t="s">
        <v>399</v>
      </c>
      <c r="I5989" s="3" t="s">
        <v>7359</v>
      </c>
    </row>
    <row r="5990" spans="2:9" hidden="1" x14ac:dyDescent="0.4">
      <c r="B5990" s="8" t="s">
        <v>517</v>
      </c>
      <c r="C5990" s="3" t="s">
        <v>9768</v>
      </c>
      <c r="D5990" s="3" t="s">
        <v>9703</v>
      </c>
      <c r="E5990" s="3" t="s">
        <v>7805</v>
      </c>
      <c r="F5990" s="3" t="s">
        <v>399</v>
      </c>
      <c r="I5990" s="3" t="s">
        <v>7359</v>
      </c>
    </row>
    <row r="5991" spans="2:9" hidden="1" x14ac:dyDescent="0.4">
      <c r="B5991" s="8" t="s">
        <v>517</v>
      </c>
      <c r="C5991" s="3" t="s">
        <v>9769</v>
      </c>
      <c r="D5991" s="3" t="s">
        <v>9704</v>
      </c>
      <c r="E5991" s="3" t="s">
        <v>7805</v>
      </c>
      <c r="F5991" s="3" t="s">
        <v>399</v>
      </c>
      <c r="I5991" s="3" t="s">
        <v>7359</v>
      </c>
    </row>
    <row r="5992" spans="2:9" hidden="1" x14ac:dyDescent="0.4">
      <c r="B5992" s="8" t="s">
        <v>517</v>
      </c>
      <c r="C5992" s="3" t="s">
        <v>9770</v>
      </c>
      <c r="D5992" s="3" t="s">
        <v>9705</v>
      </c>
      <c r="E5992" s="3" t="s">
        <v>7805</v>
      </c>
      <c r="F5992" s="3" t="s">
        <v>399</v>
      </c>
      <c r="I5992" s="3" t="s">
        <v>7359</v>
      </c>
    </row>
    <row r="5993" spans="2:9" hidden="1" x14ac:dyDescent="0.4">
      <c r="B5993" s="8" t="s">
        <v>516</v>
      </c>
      <c r="C5993" s="3" t="s">
        <v>9771</v>
      </c>
      <c r="D5993" s="3" t="s">
        <v>9706</v>
      </c>
      <c r="E5993" s="3" t="s">
        <v>7805</v>
      </c>
      <c r="F5993" s="3" t="s">
        <v>399</v>
      </c>
      <c r="I5993" s="3" t="s">
        <v>7359</v>
      </c>
    </row>
    <row r="5994" spans="2:9" hidden="1" x14ac:dyDescent="0.4">
      <c r="B5994" s="8" t="s">
        <v>516</v>
      </c>
      <c r="C5994" s="3" t="s">
        <v>9772</v>
      </c>
      <c r="D5994" s="3" t="s">
        <v>9707</v>
      </c>
      <c r="E5994" s="3" t="s">
        <v>7805</v>
      </c>
      <c r="F5994" s="3" t="s">
        <v>399</v>
      </c>
      <c r="I5994" s="3" t="s">
        <v>7359</v>
      </c>
    </row>
    <row r="5995" spans="2:9" hidden="1" x14ac:dyDescent="0.4">
      <c r="B5995" s="8" t="s">
        <v>516</v>
      </c>
      <c r="C5995" s="3" t="s">
        <v>9773</v>
      </c>
      <c r="D5995" s="3" t="s">
        <v>9708</v>
      </c>
      <c r="E5995" s="3" t="s">
        <v>7805</v>
      </c>
      <c r="F5995" s="3" t="s">
        <v>399</v>
      </c>
      <c r="I5995" s="3" t="s">
        <v>7359</v>
      </c>
    </row>
    <row r="5996" spans="2:9" hidden="1" x14ac:dyDescent="0.4">
      <c r="B5996" s="8" t="s">
        <v>516</v>
      </c>
      <c r="C5996" s="3" t="s">
        <v>9774</v>
      </c>
      <c r="D5996" s="3" t="s">
        <v>9709</v>
      </c>
      <c r="E5996" s="3" t="s">
        <v>7805</v>
      </c>
      <c r="F5996" s="3" t="s">
        <v>399</v>
      </c>
      <c r="I5996" s="3" t="s">
        <v>7359</v>
      </c>
    </row>
    <row r="5997" spans="2:9" hidden="1" x14ac:dyDescent="0.4">
      <c r="B5997" s="8" t="s">
        <v>516</v>
      </c>
      <c r="C5997" s="3" t="s">
        <v>9775</v>
      </c>
      <c r="D5997" s="3" t="s">
        <v>9782</v>
      </c>
      <c r="E5997" s="3" t="s">
        <v>7805</v>
      </c>
      <c r="F5997" s="3" t="s">
        <v>399</v>
      </c>
      <c r="I5997" s="3" t="s">
        <v>7359</v>
      </c>
    </row>
    <row r="5998" spans="2:9" hidden="1" x14ac:dyDescent="0.4">
      <c r="D5998" s="3" t="s">
        <v>9710</v>
      </c>
      <c r="F5998" s="3" t="s">
        <v>399</v>
      </c>
      <c r="I5998" s="3" t="s">
        <v>7359</v>
      </c>
    </row>
    <row r="5999" spans="2:9" hidden="1" x14ac:dyDescent="0.4">
      <c r="D5999" s="3" t="s">
        <v>9711</v>
      </c>
      <c r="F5999" s="3" t="s">
        <v>399</v>
      </c>
      <c r="I5999" s="3" t="s">
        <v>7359</v>
      </c>
    </row>
    <row r="6000" spans="2:9" hidden="1" x14ac:dyDescent="0.4">
      <c r="D6000" s="3" t="s">
        <v>9712</v>
      </c>
      <c r="F6000" s="3" t="s">
        <v>399</v>
      </c>
      <c r="I6000" s="3" t="s">
        <v>7359</v>
      </c>
    </row>
    <row r="6001" spans="2:9" hidden="1" x14ac:dyDescent="0.4">
      <c r="D6001" s="3" t="s">
        <v>9713</v>
      </c>
      <c r="F6001" s="3" t="s">
        <v>399</v>
      </c>
      <c r="I6001" s="3" t="s">
        <v>7359</v>
      </c>
    </row>
    <row r="6002" spans="2:9" hidden="1" x14ac:dyDescent="0.4">
      <c r="D6002" s="3" t="s">
        <v>9714</v>
      </c>
      <c r="F6002" s="3" t="s">
        <v>399</v>
      </c>
      <c r="I6002" s="3" t="s">
        <v>7359</v>
      </c>
    </row>
    <row r="6003" spans="2:9" hidden="1" x14ac:dyDescent="0.4">
      <c r="D6003" s="3" t="s">
        <v>9715</v>
      </c>
      <c r="F6003" s="3" t="s">
        <v>399</v>
      </c>
      <c r="I6003" s="3" t="s">
        <v>7359</v>
      </c>
    </row>
    <row r="6004" spans="2:9" hidden="1" x14ac:dyDescent="0.4">
      <c r="D6004" s="3" t="s">
        <v>9716</v>
      </c>
      <c r="F6004" s="3" t="s">
        <v>399</v>
      </c>
      <c r="I6004" s="3" t="s">
        <v>7359</v>
      </c>
    </row>
    <row r="6005" spans="2:9" hidden="1" x14ac:dyDescent="0.4">
      <c r="D6005" s="3" t="s">
        <v>9717</v>
      </c>
      <c r="F6005" s="3" t="s">
        <v>399</v>
      </c>
      <c r="I6005" s="3" t="s">
        <v>7359</v>
      </c>
    </row>
    <row r="6006" spans="2:9" hidden="1" x14ac:dyDescent="0.4">
      <c r="D6006" s="3" t="s">
        <v>9718</v>
      </c>
      <c r="F6006" s="3" t="s">
        <v>399</v>
      </c>
      <c r="I6006" s="3" t="s">
        <v>7359</v>
      </c>
    </row>
    <row r="6007" spans="2:9" hidden="1" x14ac:dyDescent="0.4">
      <c r="D6007" s="3" t="s">
        <v>9719</v>
      </c>
      <c r="F6007" s="3" t="s">
        <v>399</v>
      </c>
      <c r="I6007" s="3" t="s">
        <v>7359</v>
      </c>
    </row>
    <row r="6008" spans="2:9" hidden="1" x14ac:dyDescent="0.4">
      <c r="D6008" s="3" t="s">
        <v>9720</v>
      </c>
      <c r="F6008" s="3" t="s">
        <v>399</v>
      </c>
      <c r="I6008" s="3" t="s">
        <v>7359</v>
      </c>
    </row>
    <row r="6009" spans="2:9" hidden="1" x14ac:dyDescent="0.4">
      <c r="D6009" s="3" t="s">
        <v>9721</v>
      </c>
      <c r="F6009" s="3" t="s">
        <v>399</v>
      </c>
      <c r="I6009" s="3" t="s">
        <v>7359</v>
      </c>
    </row>
    <row r="6010" spans="2:9" hidden="1" x14ac:dyDescent="0.4">
      <c r="D6010" s="3" t="s">
        <v>9722</v>
      </c>
      <c r="F6010" s="3" t="s">
        <v>399</v>
      </c>
      <c r="I6010" s="3" t="s">
        <v>7359</v>
      </c>
    </row>
    <row r="6011" spans="2:9" hidden="1" x14ac:dyDescent="0.4">
      <c r="D6011" s="3" t="s">
        <v>9723</v>
      </c>
      <c r="F6011" s="3" t="s">
        <v>399</v>
      </c>
      <c r="I6011" s="3" t="s">
        <v>7359</v>
      </c>
    </row>
    <row r="6012" spans="2:9" hidden="1" x14ac:dyDescent="0.4">
      <c r="D6012" s="3" t="s">
        <v>9724</v>
      </c>
      <c r="F6012" s="3" t="s">
        <v>399</v>
      </c>
      <c r="I6012" s="3" t="s">
        <v>7359</v>
      </c>
    </row>
    <row r="6013" spans="2:9" hidden="1" x14ac:dyDescent="0.4">
      <c r="B6013" s="8" t="s">
        <v>517</v>
      </c>
      <c r="C6013" s="3" t="s">
        <v>9776</v>
      </c>
      <c r="D6013" s="3" t="s">
        <v>9725</v>
      </c>
      <c r="F6013" s="3" t="s">
        <v>399</v>
      </c>
      <c r="I6013" s="3" t="s">
        <v>7359</v>
      </c>
    </row>
    <row r="6014" spans="2:9" hidden="1" x14ac:dyDescent="0.4">
      <c r="B6014" s="8" t="s">
        <v>6739</v>
      </c>
      <c r="C6014" s="3" t="s">
        <v>9777</v>
      </c>
      <c r="D6014" s="3" t="s">
        <v>9726</v>
      </c>
      <c r="F6014" s="3" t="s">
        <v>399</v>
      </c>
      <c r="I6014" s="3" t="s">
        <v>7359</v>
      </c>
    </row>
    <row r="6015" spans="2:9" hidden="1" x14ac:dyDescent="0.4">
      <c r="D6015" s="3" t="s">
        <v>9727</v>
      </c>
      <c r="E6015" s="3" t="s">
        <v>7805</v>
      </c>
      <c r="F6015" s="3" t="s">
        <v>399</v>
      </c>
      <c r="I6015" s="3" t="s">
        <v>7359</v>
      </c>
    </row>
    <row r="6016" spans="2:9" hidden="1" x14ac:dyDescent="0.4">
      <c r="B6016" s="8" t="s">
        <v>1990</v>
      </c>
      <c r="C6016" s="3" t="s">
        <v>9778</v>
      </c>
      <c r="D6016" s="3" t="s">
        <v>9728</v>
      </c>
      <c r="E6016" s="3" t="s">
        <v>7805</v>
      </c>
      <c r="F6016" s="3" t="s">
        <v>399</v>
      </c>
      <c r="I6016" s="3" t="s">
        <v>7359</v>
      </c>
    </row>
    <row r="6017" spans="2:9" hidden="1" x14ac:dyDescent="0.4">
      <c r="B6017" s="8" t="s">
        <v>517</v>
      </c>
      <c r="C6017" s="3" t="s">
        <v>9779</v>
      </c>
      <c r="D6017" s="3" t="s">
        <v>9781</v>
      </c>
      <c r="E6017" s="3" t="s">
        <v>425</v>
      </c>
      <c r="F6017" s="3" t="s">
        <v>399</v>
      </c>
      <c r="I6017" s="3" t="s">
        <v>523</v>
      </c>
    </row>
    <row r="6018" spans="2:9" hidden="1" x14ac:dyDescent="0.4">
      <c r="B6018" s="8" t="s">
        <v>9750</v>
      </c>
      <c r="C6018" s="3" t="s">
        <v>9793</v>
      </c>
      <c r="D6018" s="3" t="s">
        <v>9641</v>
      </c>
      <c r="E6018" s="3" t="s">
        <v>425</v>
      </c>
      <c r="F6018" s="3" t="s">
        <v>399</v>
      </c>
      <c r="I6018" s="3" t="s">
        <v>7359</v>
      </c>
    </row>
    <row r="6019" spans="2:9" hidden="1" x14ac:dyDescent="0.4">
      <c r="B6019" s="8" t="s">
        <v>515</v>
      </c>
      <c r="C6019" s="3" t="s">
        <v>9795</v>
      </c>
      <c r="D6019" s="3" t="s">
        <v>9650</v>
      </c>
      <c r="E6019" s="3" t="s">
        <v>425</v>
      </c>
      <c r="F6019" s="3" t="s">
        <v>399</v>
      </c>
      <c r="I6019" s="3" t="s">
        <v>7359</v>
      </c>
    </row>
    <row r="6020" spans="2:9" hidden="1" x14ac:dyDescent="0.4">
      <c r="B6020" s="8" t="s">
        <v>512</v>
      </c>
      <c r="C6020" s="3" t="s">
        <v>9797</v>
      </c>
      <c r="D6020" s="16" t="s">
        <v>9796</v>
      </c>
      <c r="E6020" s="3" t="s">
        <v>425</v>
      </c>
      <c r="F6020" s="3" t="s">
        <v>399</v>
      </c>
      <c r="I6020" s="3" t="s">
        <v>7359</v>
      </c>
    </row>
    <row r="6021" spans="2:9" hidden="1" x14ac:dyDescent="0.4">
      <c r="B6021" s="8" t="s">
        <v>515</v>
      </c>
      <c r="C6021" s="3" t="s">
        <v>9798</v>
      </c>
      <c r="D6021" s="3" t="s">
        <v>9642</v>
      </c>
      <c r="E6021" s="3" t="s">
        <v>425</v>
      </c>
      <c r="F6021" s="3" t="s">
        <v>399</v>
      </c>
      <c r="I6021" s="3" t="s">
        <v>7359</v>
      </c>
    </row>
    <row r="6022" spans="2:9" hidden="1" x14ac:dyDescent="0.4">
      <c r="B6022" s="8" t="s">
        <v>516</v>
      </c>
      <c r="C6022" s="3" t="s">
        <v>9802</v>
      </c>
      <c r="D6022" s="3" t="s">
        <v>9655</v>
      </c>
      <c r="E6022" s="3" t="s">
        <v>425</v>
      </c>
      <c r="F6022" s="3" t="s">
        <v>399</v>
      </c>
      <c r="I6022" s="3" t="s">
        <v>7359</v>
      </c>
    </row>
    <row r="6023" spans="2:9" hidden="1" x14ac:dyDescent="0.4">
      <c r="B6023" s="8" t="s">
        <v>1981</v>
      </c>
      <c r="C6023" s="3" t="s">
        <v>9805</v>
      </c>
      <c r="D6023" s="3" t="s">
        <v>9595</v>
      </c>
      <c r="E6023" s="3" t="s">
        <v>432</v>
      </c>
      <c r="F6023" s="3" t="s">
        <v>399</v>
      </c>
      <c r="I6023" s="3" t="s">
        <v>7359</v>
      </c>
    </row>
    <row r="6024" spans="2:9" hidden="1" x14ac:dyDescent="0.4">
      <c r="B6024" s="8" t="s">
        <v>4061</v>
      </c>
      <c r="C6024" s="3" t="s">
        <v>9806</v>
      </c>
      <c r="D6024" s="3" t="s">
        <v>9807</v>
      </c>
      <c r="E6024" s="3" t="s">
        <v>432</v>
      </c>
      <c r="F6024" s="3" t="s">
        <v>399</v>
      </c>
      <c r="I6024" s="3" t="s">
        <v>7359</v>
      </c>
    </row>
    <row r="6025" spans="2:9" hidden="1" x14ac:dyDescent="0.4">
      <c r="B6025" s="8" t="s">
        <v>9729</v>
      </c>
      <c r="C6025" s="3" t="s">
        <v>9808</v>
      </c>
      <c r="D6025" s="3" t="s">
        <v>9807</v>
      </c>
      <c r="E6025" s="3" t="s">
        <v>432</v>
      </c>
      <c r="F6025" s="3" t="s">
        <v>399</v>
      </c>
      <c r="I6025" s="3" t="s">
        <v>7359</v>
      </c>
    </row>
    <row r="6026" spans="2:9" hidden="1" x14ac:dyDescent="0.4">
      <c r="B6026" s="8" t="s">
        <v>517</v>
      </c>
      <c r="C6026" s="3" t="s">
        <v>9810</v>
      </c>
      <c r="D6026" s="3" t="s">
        <v>9811</v>
      </c>
      <c r="F6026" s="3" t="s">
        <v>399</v>
      </c>
      <c r="I6026" s="3" t="s">
        <v>7359</v>
      </c>
    </row>
    <row r="6027" spans="2:9" hidden="1" x14ac:dyDescent="0.4">
      <c r="B6027" s="8" t="s">
        <v>4055</v>
      </c>
      <c r="C6027" s="3" t="s">
        <v>9813</v>
      </c>
      <c r="D6027" s="3" t="s">
        <v>9815</v>
      </c>
      <c r="E6027" s="3" t="s">
        <v>432</v>
      </c>
      <c r="F6027" s="3" t="s">
        <v>399</v>
      </c>
      <c r="I6027" s="3" t="s">
        <v>7359</v>
      </c>
    </row>
    <row r="6028" spans="2:9" hidden="1" x14ac:dyDescent="0.4">
      <c r="B6028" s="8" t="s">
        <v>516</v>
      </c>
      <c r="C6028" s="3" t="s">
        <v>9814</v>
      </c>
      <c r="D6028" s="3" t="s">
        <v>9815</v>
      </c>
      <c r="E6028" s="3" t="s">
        <v>432</v>
      </c>
      <c r="F6028" s="3" t="s">
        <v>399</v>
      </c>
      <c r="I6028" s="3" t="s">
        <v>7359</v>
      </c>
    </row>
    <row r="6029" spans="2:9" hidden="1" x14ac:dyDescent="0.4">
      <c r="B6029" s="8" t="s">
        <v>529</v>
      </c>
      <c r="C6029" s="3" t="s">
        <v>9817</v>
      </c>
      <c r="D6029" s="3" t="s">
        <v>9609</v>
      </c>
      <c r="E6029" s="3" t="s">
        <v>425</v>
      </c>
      <c r="F6029" s="3" t="s">
        <v>399</v>
      </c>
      <c r="I6029" s="3" t="s">
        <v>7359</v>
      </c>
    </row>
    <row r="6030" spans="2:9" hidden="1" x14ac:dyDescent="0.4">
      <c r="B6030" s="8" t="s">
        <v>526</v>
      </c>
      <c r="C6030" s="3" t="s">
        <v>9818</v>
      </c>
      <c r="D6030" s="3" t="s">
        <v>9595</v>
      </c>
      <c r="E6030" s="3" t="s">
        <v>432</v>
      </c>
      <c r="F6030" s="3" t="s">
        <v>399</v>
      </c>
      <c r="I6030" s="3" t="s">
        <v>7359</v>
      </c>
    </row>
    <row r="6031" spans="2:9" hidden="1" x14ac:dyDescent="0.4">
      <c r="B6031" s="8" t="s">
        <v>531</v>
      </c>
      <c r="C6031" s="3" t="s">
        <v>9822</v>
      </c>
      <c r="D6031" s="3" t="s">
        <v>9823</v>
      </c>
      <c r="F6031" s="3" t="s">
        <v>399</v>
      </c>
      <c r="I6031" s="3" t="s">
        <v>7359</v>
      </c>
    </row>
    <row r="6032" spans="2:9" hidden="1" x14ac:dyDescent="0.4">
      <c r="B6032" s="8" t="s">
        <v>520</v>
      </c>
      <c r="C6032" s="3" t="s">
        <v>9824</v>
      </c>
      <c r="D6032" s="3" t="s">
        <v>419</v>
      </c>
      <c r="F6032" s="3" t="s">
        <v>399</v>
      </c>
      <c r="I6032" s="3" t="s">
        <v>1335</v>
      </c>
    </row>
    <row r="6033" spans="2:9" hidden="1" x14ac:dyDescent="0.4">
      <c r="B6033" s="8" t="s">
        <v>517</v>
      </c>
      <c r="C6033" s="3" t="s">
        <v>9825</v>
      </c>
      <c r="D6033" s="3" t="s">
        <v>10345</v>
      </c>
      <c r="F6033" s="3" t="s">
        <v>399</v>
      </c>
      <c r="I6033" s="3" t="s">
        <v>10345</v>
      </c>
    </row>
    <row r="6034" spans="2:9" hidden="1" x14ac:dyDescent="0.4">
      <c r="B6034" s="8" t="s">
        <v>517</v>
      </c>
      <c r="C6034" s="3" t="s">
        <v>9826</v>
      </c>
      <c r="D6034" s="3" t="s">
        <v>10346</v>
      </c>
      <c r="F6034" s="3" t="s">
        <v>399</v>
      </c>
      <c r="I6034" s="3" t="s">
        <v>10345</v>
      </c>
    </row>
    <row r="6035" spans="2:9" hidden="1" x14ac:dyDescent="0.4">
      <c r="B6035" s="8" t="s">
        <v>517</v>
      </c>
      <c r="C6035" s="3" t="s">
        <v>9827</v>
      </c>
      <c r="D6035" s="3" t="s">
        <v>10347</v>
      </c>
      <c r="F6035" s="3" t="s">
        <v>399</v>
      </c>
      <c r="I6035" s="3" t="s">
        <v>10345</v>
      </c>
    </row>
    <row r="6036" spans="2:9" hidden="1" x14ac:dyDescent="0.4">
      <c r="B6036" s="8" t="s">
        <v>517</v>
      </c>
      <c r="C6036" s="3" t="s">
        <v>9828</v>
      </c>
      <c r="D6036" s="3" t="s">
        <v>10348</v>
      </c>
      <c r="E6036" s="3" t="s">
        <v>1272</v>
      </c>
      <c r="F6036" s="3" t="s">
        <v>399</v>
      </c>
      <c r="I6036" s="3" t="s">
        <v>10345</v>
      </c>
    </row>
    <row r="6037" spans="2:9" hidden="1" x14ac:dyDescent="0.4">
      <c r="B6037" s="8" t="s">
        <v>517</v>
      </c>
      <c r="C6037" s="3" t="s">
        <v>9829</v>
      </c>
      <c r="D6037" s="3" t="s">
        <v>10348</v>
      </c>
      <c r="E6037" s="3" t="s">
        <v>2038</v>
      </c>
      <c r="F6037" s="3" t="s">
        <v>399</v>
      </c>
      <c r="I6037" s="3" t="s">
        <v>10345</v>
      </c>
    </row>
    <row r="6038" spans="2:9" hidden="1" x14ac:dyDescent="0.4">
      <c r="B6038" s="8" t="s">
        <v>517</v>
      </c>
      <c r="C6038" s="3" t="s">
        <v>9830</v>
      </c>
      <c r="D6038" s="3" t="s">
        <v>10349</v>
      </c>
      <c r="E6038" s="3" t="s">
        <v>1272</v>
      </c>
      <c r="F6038" s="3" t="s">
        <v>399</v>
      </c>
      <c r="I6038" s="3" t="s">
        <v>10345</v>
      </c>
    </row>
    <row r="6039" spans="2:9" hidden="1" x14ac:dyDescent="0.4">
      <c r="B6039" s="8" t="s">
        <v>517</v>
      </c>
      <c r="C6039" s="3" t="s">
        <v>9831</v>
      </c>
      <c r="D6039" s="3" t="s">
        <v>10350</v>
      </c>
      <c r="E6039" s="3" t="s">
        <v>1272</v>
      </c>
      <c r="F6039" s="3" t="s">
        <v>399</v>
      </c>
      <c r="I6039" s="3" t="s">
        <v>10345</v>
      </c>
    </row>
    <row r="6040" spans="2:9" hidden="1" x14ac:dyDescent="0.4">
      <c r="B6040" s="8" t="s">
        <v>517</v>
      </c>
      <c r="C6040" s="3" t="s">
        <v>9832</v>
      </c>
      <c r="D6040" s="3" t="s">
        <v>10351</v>
      </c>
      <c r="E6040" s="3" t="s">
        <v>1272</v>
      </c>
      <c r="F6040" s="3" t="s">
        <v>399</v>
      </c>
      <c r="I6040" s="3" t="s">
        <v>10345</v>
      </c>
    </row>
    <row r="6041" spans="2:9" hidden="1" x14ac:dyDescent="0.4">
      <c r="B6041" s="8" t="s">
        <v>517</v>
      </c>
      <c r="C6041" s="3" t="s">
        <v>9834</v>
      </c>
      <c r="D6041" s="3" t="s">
        <v>10356</v>
      </c>
      <c r="F6041" s="3" t="s">
        <v>399</v>
      </c>
      <c r="I6041" s="3" t="s">
        <v>10353</v>
      </c>
    </row>
    <row r="6042" spans="2:9" hidden="1" x14ac:dyDescent="0.4">
      <c r="B6042" s="8" t="s">
        <v>529</v>
      </c>
      <c r="C6042" s="3" t="s">
        <v>9835</v>
      </c>
      <c r="D6042" s="3" t="s">
        <v>7242</v>
      </c>
      <c r="E6042" s="3" t="s">
        <v>1272</v>
      </c>
      <c r="F6042" s="3" t="s">
        <v>399</v>
      </c>
      <c r="I6042" s="3" t="s">
        <v>10353</v>
      </c>
    </row>
    <row r="6043" spans="2:9" hidden="1" x14ac:dyDescent="0.4">
      <c r="B6043" s="8" t="s">
        <v>529</v>
      </c>
      <c r="C6043" s="3" t="s">
        <v>9836</v>
      </c>
      <c r="D6043" s="3" t="s">
        <v>10357</v>
      </c>
      <c r="E6043" s="3" t="s">
        <v>1272</v>
      </c>
      <c r="F6043" s="3" t="s">
        <v>399</v>
      </c>
      <c r="I6043" s="3" t="s">
        <v>10353</v>
      </c>
    </row>
    <row r="6044" spans="2:9" hidden="1" x14ac:dyDescent="0.4">
      <c r="B6044" s="8" t="s">
        <v>517</v>
      </c>
      <c r="C6044" s="3" t="s">
        <v>9837</v>
      </c>
      <c r="D6044" s="3" t="s">
        <v>10358</v>
      </c>
      <c r="E6044" s="3" t="s">
        <v>1272</v>
      </c>
      <c r="F6044" s="3" t="s">
        <v>399</v>
      </c>
      <c r="I6044" s="3" t="s">
        <v>10353</v>
      </c>
    </row>
    <row r="6045" spans="2:9" hidden="1" x14ac:dyDescent="0.4">
      <c r="B6045" s="8" t="s">
        <v>517</v>
      </c>
      <c r="C6045" s="3" t="s">
        <v>9838</v>
      </c>
      <c r="D6045" s="3" t="s">
        <v>10359</v>
      </c>
      <c r="F6045" s="3" t="s">
        <v>399</v>
      </c>
      <c r="I6045" s="3" t="s">
        <v>10353</v>
      </c>
    </row>
    <row r="6046" spans="2:9" hidden="1" x14ac:dyDescent="0.4">
      <c r="B6046" s="8" t="s">
        <v>518</v>
      </c>
      <c r="C6046" s="3" t="s">
        <v>9839</v>
      </c>
      <c r="D6046" s="3" t="s">
        <v>10360</v>
      </c>
      <c r="F6046" s="3" t="s">
        <v>399</v>
      </c>
      <c r="I6046" s="3" t="s">
        <v>10353</v>
      </c>
    </row>
    <row r="6047" spans="2:9" hidden="1" x14ac:dyDescent="0.4">
      <c r="B6047" s="8" t="s">
        <v>517</v>
      </c>
      <c r="C6047" s="3" t="s">
        <v>9840</v>
      </c>
      <c r="D6047" s="3" t="s">
        <v>10361</v>
      </c>
      <c r="F6047" s="3" t="s">
        <v>399</v>
      </c>
      <c r="I6047" s="3" t="s">
        <v>10353</v>
      </c>
    </row>
    <row r="6048" spans="2:9" hidden="1" x14ac:dyDescent="0.4">
      <c r="B6048" s="8" t="s">
        <v>518</v>
      </c>
      <c r="C6048" s="3" t="s">
        <v>9841</v>
      </c>
      <c r="D6048" s="3" t="s">
        <v>10362</v>
      </c>
      <c r="F6048" s="3" t="s">
        <v>399</v>
      </c>
      <c r="I6048" s="3" t="s">
        <v>10353</v>
      </c>
    </row>
    <row r="6049" spans="2:9" hidden="1" x14ac:dyDescent="0.4">
      <c r="B6049" s="8" t="s">
        <v>517</v>
      </c>
      <c r="C6049" s="3" t="s">
        <v>9842</v>
      </c>
      <c r="D6049" s="3" t="s">
        <v>10363</v>
      </c>
      <c r="F6049" s="3" t="s">
        <v>399</v>
      </c>
      <c r="I6049" s="3" t="s">
        <v>10353</v>
      </c>
    </row>
    <row r="6050" spans="2:9" hidden="1" x14ac:dyDescent="0.4">
      <c r="B6050" s="8" t="s">
        <v>517</v>
      </c>
      <c r="C6050" s="3" t="s">
        <v>9843</v>
      </c>
      <c r="D6050" s="3" t="s">
        <v>10364</v>
      </c>
      <c r="F6050" s="3" t="s">
        <v>399</v>
      </c>
      <c r="I6050" s="3" t="s">
        <v>10353</v>
      </c>
    </row>
    <row r="6051" spans="2:9" hidden="1" x14ac:dyDescent="0.4">
      <c r="B6051" s="8" t="s">
        <v>518</v>
      </c>
      <c r="C6051" s="3" t="s">
        <v>9844</v>
      </c>
      <c r="D6051" s="3" t="s">
        <v>10365</v>
      </c>
      <c r="F6051" s="3" t="s">
        <v>399</v>
      </c>
      <c r="I6051" s="3" t="s">
        <v>10353</v>
      </c>
    </row>
    <row r="6052" spans="2:9" hidden="1" x14ac:dyDescent="0.4">
      <c r="B6052" s="8" t="s">
        <v>520</v>
      </c>
      <c r="C6052" s="3" t="s">
        <v>9845</v>
      </c>
      <c r="D6052" s="3" t="s">
        <v>10366</v>
      </c>
      <c r="F6052" s="3" t="s">
        <v>399</v>
      </c>
      <c r="I6052" s="3" t="s">
        <v>10353</v>
      </c>
    </row>
    <row r="6053" spans="2:9" hidden="1" x14ac:dyDescent="0.4">
      <c r="B6053" s="8" t="s">
        <v>517</v>
      </c>
      <c r="C6053" s="3" t="s">
        <v>9846</v>
      </c>
      <c r="D6053" s="3" t="s">
        <v>10367</v>
      </c>
      <c r="F6053" s="3" t="s">
        <v>399</v>
      </c>
      <c r="I6053" s="3" t="s">
        <v>10353</v>
      </c>
    </row>
    <row r="6054" spans="2:9" hidden="1" x14ac:dyDescent="0.4">
      <c r="B6054" s="8" t="s">
        <v>518</v>
      </c>
      <c r="C6054" s="3" t="s">
        <v>10354</v>
      </c>
      <c r="D6054" s="3" t="s">
        <v>10368</v>
      </c>
      <c r="F6054" s="3" t="s">
        <v>399</v>
      </c>
      <c r="I6054" s="3" t="s">
        <v>10353</v>
      </c>
    </row>
    <row r="6055" spans="2:9" hidden="1" x14ac:dyDescent="0.4">
      <c r="B6055" s="8" t="s">
        <v>520</v>
      </c>
      <c r="C6055" s="3" t="s">
        <v>9847</v>
      </c>
      <c r="D6055" s="3" t="s">
        <v>10369</v>
      </c>
      <c r="E6055" s="3" t="s">
        <v>425</v>
      </c>
      <c r="F6055" s="3" t="s">
        <v>399</v>
      </c>
      <c r="I6055" s="3" t="s">
        <v>10353</v>
      </c>
    </row>
    <row r="6056" spans="2:9" hidden="1" x14ac:dyDescent="0.4">
      <c r="B6056" s="8" t="s">
        <v>520</v>
      </c>
      <c r="C6056" s="3" t="s">
        <v>9848</v>
      </c>
      <c r="D6056" s="3" t="s">
        <v>10370</v>
      </c>
      <c r="E6056" s="3" t="s">
        <v>425</v>
      </c>
      <c r="F6056" s="3" t="s">
        <v>399</v>
      </c>
      <c r="I6056" s="3" t="s">
        <v>10353</v>
      </c>
    </row>
    <row r="6057" spans="2:9" hidden="1" x14ac:dyDescent="0.4">
      <c r="B6057" s="8" t="s">
        <v>520</v>
      </c>
      <c r="C6057" s="3" t="s">
        <v>9849</v>
      </c>
      <c r="D6057" s="3" t="s">
        <v>10373</v>
      </c>
      <c r="E6057" s="3" t="s">
        <v>425</v>
      </c>
      <c r="F6057" s="3" t="s">
        <v>399</v>
      </c>
      <c r="I6057" s="3" t="s">
        <v>10353</v>
      </c>
    </row>
    <row r="6058" spans="2:9" hidden="1" x14ac:dyDescent="0.4">
      <c r="B6058" s="8" t="s">
        <v>520</v>
      </c>
      <c r="C6058" s="3" t="s">
        <v>9850</v>
      </c>
      <c r="D6058" s="3" t="s">
        <v>10374</v>
      </c>
      <c r="E6058" s="3" t="s">
        <v>425</v>
      </c>
      <c r="F6058" s="3" t="s">
        <v>399</v>
      </c>
      <c r="I6058" s="3" t="s">
        <v>10353</v>
      </c>
    </row>
    <row r="6059" spans="2:9" hidden="1" x14ac:dyDescent="0.4">
      <c r="B6059" s="8" t="s">
        <v>518</v>
      </c>
      <c r="C6059" s="3" t="s">
        <v>10355</v>
      </c>
      <c r="D6059" s="3" t="s">
        <v>10375</v>
      </c>
      <c r="F6059" s="3" t="s">
        <v>399</v>
      </c>
      <c r="I6059" s="3" t="s">
        <v>10353</v>
      </c>
    </row>
    <row r="6060" spans="2:9" hidden="1" x14ac:dyDescent="0.4">
      <c r="B6060" s="8" t="s">
        <v>518</v>
      </c>
      <c r="C6060" s="3" t="s">
        <v>9851</v>
      </c>
      <c r="D6060" s="3" t="s">
        <v>10376</v>
      </c>
      <c r="F6060" s="3" t="s">
        <v>399</v>
      </c>
      <c r="I6060" s="3" t="s">
        <v>10353</v>
      </c>
    </row>
    <row r="6061" spans="2:9" hidden="1" x14ac:dyDescent="0.4">
      <c r="B6061" s="8" t="s">
        <v>517</v>
      </c>
      <c r="C6061" s="3" t="s">
        <v>9852</v>
      </c>
      <c r="D6061" s="3" t="s">
        <v>10377</v>
      </c>
      <c r="F6061" s="3" t="s">
        <v>399</v>
      </c>
      <c r="I6061" s="3" t="s">
        <v>10353</v>
      </c>
    </row>
    <row r="6062" spans="2:9" hidden="1" x14ac:dyDescent="0.4">
      <c r="B6062" s="8" t="s">
        <v>517</v>
      </c>
      <c r="C6062" s="3" t="s">
        <v>9853</v>
      </c>
      <c r="D6062" s="3" t="s">
        <v>10378</v>
      </c>
      <c r="F6062" s="3" t="s">
        <v>399</v>
      </c>
      <c r="I6062" s="3" t="s">
        <v>10353</v>
      </c>
    </row>
    <row r="6063" spans="2:9" hidden="1" x14ac:dyDescent="0.4">
      <c r="B6063" s="8" t="s">
        <v>518</v>
      </c>
      <c r="C6063" s="3" t="s">
        <v>9854</v>
      </c>
      <c r="D6063" s="3" t="s">
        <v>10378</v>
      </c>
      <c r="F6063" s="3" t="s">
        <v>399</v>
      </c>
      <c r="I6063" s="3" t="s">
        <v>10353</v>
      </c>
    </row>
    <row r="6064" spans="2:9" hidden="1" x14ac:dyDescent="0.4">
      <c r="B6064" s="8" t="s">
        <v>518</v>
      </c>
      <c r="C6064" s="3" t="s">
        <v>9855</v>
      </c>
      <c r="D6064" s="3" t="s">
        <v>10378</v>
      </c>
      <c r="E6064" s="3" t="s">
        <v>432</v>
      </c>
      <c r="F6064" s="3" t="s">
        <v>399</v>
      </c>
      <c r="I6064" s="3" t="s">
        <v>10353</v>
      </c>
    </row>
    <row r="6065" spans="2:9" hidden="1" x14ac:dyDescent="0.4">
      <c r="B6065" s="8" t="s">
        <v>529</v>
      </c>
      <c r="C6065" s="3" t="s">
        <v>9856</v>
      </c>
      <c r="D6065" s="3" t="s">
        <v>10379</v>
      </c>
      <c r="F6065" s="3" t="s">
        <v>399</v>
      </c>
      <c r="I6065" s="3" t="s">
        <v>10353</v>
      </c>
    </row>
    <row r="6066" spans="2:9" hidden="1" x14ac:dyDescent="0.4">
      <c r="B6066" s="8" t="s">
        <v>531</v>
      </c>
      <c r="C6066" s="3" t="s">
        <v>9857</v>
      </c>
      <c r="D6066" s="3" t="s">
        <v>10380</v>
      </c>
      <c r="F6066" s="3" t="s">
        <v>399</v>
      </c>
      <c r="I6066" s="3" t="s">
        <v>10353</v>
      </c>
    </row>
    <row r="6067" spans="2:9" hidden="1" x14ac:dyDescent="0.4">
      <c r="B6067" s="8" t="s">
        <v>518</v>
      </c>
      <c r="C6067" s="3" t="s">
        <v>9858</v>
      </c>
      <c r="D6067" s="3" t="s">
        <v>10381</v>
      </c>
      <c r="F6067" s="3" t="s">
        <v>399</v>
      </c>
      <c r="I6067" s="3" t="s">
        <v>10353</v>
      </c>
    </row>
    <row r="6068" spans="2:9" hidden="1" x14ac:dyDescent="0.4">
      <c r="B6068" s="8" t="s">
        <v>518</v>
      </c>
      <c r="C6068" s="3" t="s">
        <v>9859</v>
      </c>
      <c r="D6068" s="3" t="s">
        <v>10381</v>
      </c>
      <c r="F6068" s="3" t="s">
        <v>399</v>
      </c>
      <c r="I6068" s="3" t="s">
        <v>10353</v>
      </c>
    </row>
    <row r="6069" spans="2:9" hidden="1" x14ac:dyDescent="0.4">
      <c r="B6069" s="8" t="s">
        <v>520</v>
      </c>
      <c r="C6069" s="3" t="s">
        <v>9860</v>
      </c>
      <c r="D6069" s="3" t="s">
        <v>10382</v>
      </c>
      <c r="F6069" s="3" t="s">
        <v>399</v>
      </c>
      <c r="I6069" s="3" t="s">
        <v>10353</v>
      </c>
    </row>
    <row r="6070" spans="2:9" hidden="1" x14ac:dyDescent="0.4">
      <c r="B6070" s="8" t="s">
        <v>518</v>
      </c>
      <c r="C6070" s="3" t="s">
        <v>9861</v>
      </c>
      <c r="D6070" s="3" t="s">
        <v>10382</v>
      </c>
      <c r="F6070" s="3" t="s">
        <v>399</v>
      </c>
      <c r="I6070" s="3" t="s">
        <v>10353</v>
      </c>
    </row>
    <row r="6071" spans="2:9" hidden="1" x14ac:dyDescent="0.4">
      <c r="B6071" s="8" t="s">
        <v>517</v>
      </c>
      <c r="C6071" s="3" t="s">
        <v>9862</v>
      </c>
      <c r="D6071" s="3" t="s">
        <v>10383</v>
      </c>
      <c r="F6071" s="3" t="s">
        <v>399</v>
      </c>
      <c r="I6071" s="3" t="s">
        <v>10353</v>
      </c>
    </row>
    <row r="6072" spans="2:9" hidden="1" x14ac:dyDescent="0.4">
      <c r="B6072" s="8" t="s">
        <v>517</v>
      </c>
      <c r="C6072" s="3" t="s">
        <v>9863</v>
      </c>
      <c r="D6072" s="3" t="s">
        <v>10384</v>
      </c>
      <c r="F6072" s="3" t="s">
        <v>399</v>
      </c>
      <c r="I6072" s="3" t="s">
        <v>10353</v>
      </c>
    </row>
    <row r="6073" spans="2:9" hidden="1" x14ac:dyDescent="0.4">
      <c r="B6073" s="8" t="s">
        <v>517</v>
      </c>
      <c r="C6073" s="3" t="s">
        <v>9864</v>
      </c>
      <c r="D6073" s="3" t="s">
        <v>10385</v>
      </c>
      <c r="F6073" s="3" t="s">
        <v>399</v>
      </c>
      <c r="I6073" s="3" t="s">
        <v>10353</v>
      </c>
    </row>
    <row r="6074" spans="2:9" hidden="1" x14ac:dyDescent="0.4">
      <c r="B6074" s="8" t="s">
        <v>517</v>
      </c>
      <c r="C6074" s="3" t="s">
        <v>9865</v>
      </c>
      <c r="D6074" s="3" t="s">
        <v>10386</v>
      </c>
      <c r="F6074" s="3" t="s">
        <v>399</v>
      </c>
      <c r="I6074" s="3" t="s">
        <v>10353</v>
      </c>
    </row>
    <row r="6075" spans="2:9" hidden="1" x14ac:dyDescent="0.4">
      <c r="B6075" s="8" t="s">
        <v>517</v>
      </c>
      <c r="C6075" s="3" t="s">
        <v>2248</v>
      </c>
      <c r="D6075" s="3" t="s">
        <v>10387</v>
      </c>
      <c r="F6075" s="3" t="s">
        <v>399</v>
      </c>
      <c r="I6075" s="3" t="s">
        <v>10353</v>
      </c>
    </row>
    <row r="6076" spans="2:9" hidden="1" x14ac:dyDescent="0.4">
      <c r="B6076" s="8" t="s">
        <v>517</v>
      </c>
      <c r="C6076" s="3" t="s">
        <v>9866</v>
      </c>
      <c r="D6076" s="3" t="s">
        <v>10388</v>
      </c>
      <c r="E6076" s="3" t="s">
        <v>1272</v>
      </c>
      <c r="F6076" s="3" t="s">
        <v>399</v>
      </c>
      <c r="I6076" s="3" t="s">
        <v>10353</v>
      </c>
    </row>
    <row r="6077" spans="2:9" hidden="1" x14ac:dyDescent="0.4">
      <c r="B6077" s="8" t="s">
        <v>517</v>
      </c>
      <c r="C6077" s="3" t="s">
        <v>9867</v>
      </c>
      <c r="D6077" s="3" t="s">
        <v>10389</v>
      </c>
      <c r="F6077" s="3" t="s">
        <v>399</v>
      </c>
      <c r="I6077" s="3" t="s">
        <v>10353</v>
      </c>
    </row>
    <row r="6078" spans="2:9" hidden="1" x14ac:dyDescent="0.4">
      <c r="B6078" s="8" t="s">
        <v>517</v>
      </c>
      <c r="C6078" s="3" t="s">
        <v>9868</v>
      </c>
      <c r="D6078" s="3" t="s">
        <v>10390</v>
      </c>
      <c r="F6078" s="3" t="s">
        <v>399</v>
      </c>
      <c r="I6078" s="3" t="s">
        <v>10353</v>
      </c>
    </row>
    <row r="6079" spans="2:9" hidden="1" x14ac:dyDescent="0.4">
      <c r="B6079" s="8" t="s">
        <v>6734</v>
      </c>
      <c r="C6079" s="3" t="s">
        <v>9869</v>
      </c>
      <c r="D6079" s="3" t="s">
        <v>10391</v>
      </c>
      <c r="F6079" s="3" t="s">
        <v>399</v>
      </c>
      <c r="I6079" s="3" t="s">
        <v>10353</v>
      </c>
    </row>
    <row r="6080" spans="2:9" hidden="1" x14ac:dyDescent="0.4">
      <c r="B6080" s="8" t="s">
        <v>529</v>
      </c>
      <c r="C6080" s="3" t="s">
        <v>9870</v>
      </c>
      <c r="D6080" s="3" t="s">
        <v>10392</v>
      </c>
      <c r="F6080" s="3" t="s">
        <v>399</v>
      </c>
      <c r="I6080" s="3" t="s">
        <v>10353</v>
      </c>
    </row>
    <row r="6081" spans="2:9" hidden="1" x14ac:dyDescent="0.4">
      <c r="B6081" s="8" t="s">
        <v>518</v>
      </c>
      <c r="C6081" s="3" t="s">
        <v>9871</v>
      </c>
      <c r="D6081" s="3" t="s">
        <v>10393</v>
      </c>
      <c r="F6081" s="3" t="s">
        <v>399</v>
      </c>
      <c r="I6081" s="3" t="s">
        <v>10353</v>
      </c>
    </row>
    <row r="6082" spans="2:9" hidden="1" x14ac:dyDescent="0.4">
      <c r="B6082" s="8" t="s">
        <v>520</v>
      </c>
      <c r="C6082" s="3" t="s">
        <v>9872</v>
      </c>
      <c r="D6082" s="3" t="s">
        <v>10394</v>
      </c>
      <c r="E6082" s="3" t="s">
        <v>1272</v>
      </c>
      <c r="F6082" s="3" t="s">
        <v>399</v>
      </c>
      <c r="I6082" s="3" t="s">
        <v>10353</v>
      </c>
    </row>
    <row r="6083" spans="2:9" hidden="1" x14ac:dyDescent="0.4">
      <c r="B6083" s="8" t="s">
        <v>532</v>
      </c>
      <c r="C6083" s="3" t="s">
        <v>9873</v>
      </c>
      <c r="D6083" s="3" t="s">
        <v>10394</v>
      </c>
      <c r="E6083" s="3" t="s">
        <v>1272</v>
      </c>
      <c r="F6083" s="3" t="s">
        <v>399</v>
      </c>
      <c r="I6083" s="3" t="s">
        <v>10353</v>
      </c>
    </row>
    <row r="6084" spans="2:9" hidden="1" x14ac:dyDescent="0.4">
      <c r="B6084" s="8" t="s">
        <v>529</v>
      </c>
      <c r="C6084" s="3" t="s">
        <v>9874</v>
      </c>
      <c r="D6084" s="3" t="s">
        <v>10395</v>
      </c>
      <c r="E6084" s="3" t="s">
        <v>1272</v>
      </c>
      <c r="F6084" s="3" t="s">
        <v>399</v>
      </c>
      <c r="I6084" s="3" t="s">
        <v>10353</v>
      </c>
    </row>
    <row r="6085" spans="2:9" hidden="1" x14ac:dyDescent="0.4">
      <c r="B6085" s="8" t="s">
        <v>529</v>
      </c>
      <c r="C6085" s="3" t="s">
        <v>9875</v>
      </c>
      <c r="D6085" s="3" t="s">
        <v>10396</v>
      </c>
      <c r="F6085" s="3" t="s">
        <v>399</v>
      </c>
      <c r="I6085" s="3" t="s">
        <v>10353</v>
      </c>
    </row>
    <row r="6086" spans="2:9" hidden="1" x14ac:dyDescent="0.4">
      <c r="B6086" s="8" t="s">
        <v>518</v>
      </c>
      <c r="C6086" s="3" t="s">
        <v>9876</v>
      </c>
      <c r="D6086" s="3" t="s">
        <v>10397</v>
      </c>
      <c r="F6086" s="3" t="s">
        <v>399</v>
      </c>
      <c r="I6086" s="3" t="s">
        <v>10353</v>
      </c>
    </row>
    <row r="6087" spans="2:9" hidden="1" x14ac:dyDescent="0.4">
      <c r="B6087" s="8" t="s">
        <v>529</v>
      </c>
      <c r="C6087" s="3" t="s">
        <v>9877</v>
      </c>
      <c r="D6087" s="3" t="s">
        <v>10398</v>
      </c>
      <c r="F6087" s="3" t="s">
        <v>399</v>
      </c>
      <c r="I6087" s="3" t="s">
        <v>10353</v>
      </c>
    </row>
    <row r="6088" spans="2:9" hidden="1" x14ac:dyDescent="0.4">
      <c r="B6088" s="8" t="s">
        <v>517</v>
      </c>
      <c r="C6088" s="3" t="s">
        <v>9878</v>
      </c>
      <c r="D6088" s="3" t="s">
        <v>10399</v>
      </c>
      <c r="F6088" s="3" t="s">
        <v>399</v>
      </c>
      <c r="I6088" s="3" t="s">
        <v>10353</v>
      </c>
    </row>
    <row r="6089" spans="2:9" hidden="1" x14ac:dyDescent="0.4">
      <c r="B6089" s="8" t="s">
        <v>517</v>
      </c>
      <c r="C6089" s="3" t="s">
        <v>9879</v>
      </c>
      <c r="D6089" s="3" t="s">
        <v>10400</v>
      </c>
      <c r="F6089" s="3" t="s">
        <v>399</v>
      </c>
      <c r="I6089" s="3" t="s">
        <v>10353</v>
      </c>
    </row>
    <row r="6090" spans="2:9" hidden="1" x14ac:dyDescent="0.4">
      <c r="B6090" s="8" t="s">
        <v>529</v>
      </c>
      <c r="C6090" s="3" t="s">
        <v>9880</v>
      </c>
      <c r="D6090" s="3" t="s">
        <v>10401</v>
      </c>
      <c r="F6090" s="3" t="s">
        <v>399</v>
      </c>
      <c r="I6090" s="3" t="s">
        <v>10353</v>
      </c>
    </row>
    <row r="6091" spans="2:9" hidden="1" x14ac:dyDescent="0.4">
      <c r="B6091" s="8" t="s">
        <v>520</v>
      </c>
      <c r="C6091" s="3" t="s">
        <v>9881</v>
      </c>
      <c r="D6091" s="3" t="s">
        <v>10402</v>
      </c>
      <c r="F6091" s="3" t="s">
        <v>399</v>
      </c>
      <c r="I6091" s="3" t="s">
        <v>10353</v>
      </c>
    </row>
    <row r="6092" spans="2:9" hidden="1" x14ac:dyDescent="0.4">
      <c r="B6092" s="8" t="s">
        <v>518</v>
      </c>
      <c r="C6092" s="3" t="s">
        <v>9882</v>
      </c>
      <c r="D6092" s="3" t="s">
        <v>10403</v>
      </c>
      <c r="E6092" s="3" t="s">
        <v>1272</v>
      </c>
      <c r="F6092" s="3" t="s">
        <v>399</v>
      </c>
      <c r="I6092" s="3" t="s">
        <v>10353</v>
      </c>
    </row>
    <row r="6093" spans="2:9" hidden="1" x14ac:dyDescent="0.4">
      <c r="B6093" s="8" t="s">
        <v>518</v>
      </c>
      <c r="C6093" s="3" t="s">
        <v>9883</v>
      </c>
      <c r="D6093" s="3" t="s">
        <v>10403</v>
      </c>
      <c r="F6093" s="3" t="s">
        <v>399</v>
      </c>
      <c r="I6093" s="3" t="s">
        <v>10353</v>
      </c>
    </row>
    <row r="6094" spans="2:9" hidden="1" x14ac:dyDescent="0.4">
      <c r="B6094" s="8" t="s">
        <v>517</v>
      </c>
      <c r="C6094" s="3" t="s">
        <v>9884</v>
      </c>
      <c r="D6094" s="3" t="s">
        <v>10404</v>
      </c>
      <c r="F6094" s="3" t="s">
        <v>399</v>
      </c>
      <c r="I6094" s="3" t="s">
        <v>10353</v>
      </c>
    </row>
    <row r="6095" spans="2:9" hidden="1" x14ac:dyDescent="0.4">
      <c r="B6095" s="8" t="s">
        <v>520</v>
      </c>
      <c r="C6095" s="3" t="s">
        <v>9885</v>
      </c>
      <c r="D6095" s="3" t="s">
        <v>10405</v>
      </c>
      <c r="F6095" s="3" t="s">
        <v>399</v>
      </c>
      <c r="I6095" s="3" t="s">
        <v>10353</v>
      </c>
    </row>
    <row r="6096" spans="2:9" hidden="1" x14ac:dyDescent="0.4">
      <c r="B6096" s="8" t="s">
        <v>520</v>
      </c>
      <c r="C6096" s="3" t="s">
        <v>9886</v>
      </c>
      <c r="D6096" s="3" t="s">
        <v>10406</v>
      </c>
      <c r="F6096" s="3" t="s">
        <v>399</v>
      </c>
      <c r="I6096" s="3" t="s">
        <v>10353</v>
      </c>
    </row>
    <row r="6097" spans="2:9" hidden="1" x14ac:dyDescent="0.4">
      <c r="B6097" s="8" t="s">
        <v>529</v>
      </c>
      <c r="C6097" s="3" t="s">
        <v>9887</v>
      </c>
      <c r="D6097" s="3" t="s">
        <v>10407</v>
      </c>
      <c r="F6097" s="3" t="s">
        <v>399</v>
      </c>
      <c r="I6097" s="3" t="s">
        <v>10353</v>
      </c>
    </row>
    <row r="6098" spans="2:9" hidden="1" x14ac:dyDescent="0.4">
      <c r="B6098" s="8" t="s">
        <v>529</v>
      </c>
      <c r="C6098" s="3" t="s">
        <v>9888</v>
      </c>
      <c r="D6098" s="3" t="s">
        <v>10408</v>
      </c>
      <c r="E6098" s="3" t="s">
        <v>1272</v>
      </c>
      <c r="F6098" s="3" t="s">
        <v>399</v>
      </c>
      <c r="I6098" s="3" t="s">
        <v>10353</v>
      </c>
    </row>
    <row r="6099" spans="2:9" hidden="1" x14ac:dyDescent="0.4">
      <c r="B6099" s="8" t="s">
        <v>520</v>
      </c>
      <c r="C6099" s="3" t="s">
        <v>9889</v>
      </c>
      <c r="D6099" s="3" t="s">
        <v>10409</v>
      </c>
      <c r="E6099" s="3" t="s">
        <v>1272</v>
      </c>
      <c r="F6099" s="3" t="s">
        <v>399</v>
      </c>
      <c r="I6099" s="3" t="s">
        <v>10353</v>
      </c>
    </row>
    <row r="6100" spans="2:9" hidden="1" x14ac:dyDescent="0.4">
      <c r="B6100" s="8" t="s">
        <v>517</v>
      </c>
      <c r="C6100" s="3" t="s">
        <v>9890</v>
      </c>
      <c r="D6100" s="3" t="s">
        <v>10410</v>
      </c>
      <c r="F6100" s="3" t="s">
        <v>399</v>
      </c>
      <c r="I6100" s="3" t="s">
        <v>10353</v>
      </c>
    </row>
    <row r="6101" spans="2:9" hidden="1" x14ac:dyDescent="0.4">
      <c r="B6101" s="8" t="s">
        <v>512</v>
      </c>
      <c r="C6101" s="3" t="s">
        <v>9891</v>
      </c>
      <c r="D6101" s="3" t="s">
        <v>10411</v>
      </c>
      <c r="F6101" s="3" t="s">
        <v>399</v>
      </c>
      <c r="I6101" s="3" t="s">
        <v>10353</v>
      </c>
    </row>
    <row r="6102" spans="2:9" hidden="1" x14ac:dyDescent="0.4">
      <c r="B6102" s="8" t="s">
        <v>512</v>
      </c>
      <c r="C6102" s="3" t="s">
        <v>9892</v>
      </c>
      <c r="D6102" s="3" t="s">
        <v>10411</v>
      </c>
      <c r="F6102" s="3" t="s">
        <v>399</v>
      </c>
      <c r="I6102" s="3" t="s">
        <v>10353</v>
      </c>
    </row>
    <row r="6103" spans="2:9" hidden="1" x14ac:dyDescent="0.4">
      <c r="B6103" s="8" t="s">
        <v>520</v>
      </c>
      <c r="C6103" s="3" t="s">
        <v>9893</v>
      </c>
      <c r="D6103" s="3" t="s">
        <v>10412</v>
      </c>
      <c r="F6103" s="3" t="s">
        <v>399</v>
      </c>
      <c r="I6103" s="3" t="s">
        <v>10353</v>
      </c>
    </row>
    <row r="6104" spans="2:9" hidden="1" x14ac:dyDescent="0.4">
      <c r="B6104" s="8" t="s">
        <v>2053</v>
      </c>
      <c r="C6104" s="3" t="s">
        <v>9894</v>
      </c>
      <c r="D6104" s="3" t="s">
        <v>10412</v>
      </c>
      <c r="F6104" s="3" t="s">
        <v>399</v>
      </c>
      <c r="I6104" s="3" t="s">
        <v>10353</v>
      </c>
    </row>
    <row r="6105" spans="2:9" hidden="1" x14ac:dyDescent="0.4">
      <c r="B6105" s="8" t="s">
        <v>517</v>
      </c>
      <c r="C6105" s="3" t="s">
        <v>9895</v>
      </c>
      <c r="D6105" s="3" t="s">
        <v>10413</v>
      </c>
      <c r="F6105" s="3" t="s">
        <v>399</v>
      </c>
      <c r="I6105" s="3" t="s">
        <v>10353</v>
      </c>
    </row>
    <row r="6106" spans="2:9" hidden="1" x14ac:dyDescent="0.4">
      <c r="B6106" s="8" t="s">
        <v>516</v>
      </c>
      <c r="C6106" s="3" t="s">
        <v>9896</v>
      </c>
      <c r="D6106" s="3" t="s">
        <v>10413</v>
      </c>
      <c r="F6106" s="3" t="s">
        <v>399</v>
      </c>
      <c r="I6106" s="3" t="s">
        <v>10353</v>
      </c>
    </row>
    <row r="6107" spans="2:9" hidden="1" x14ac:dyDescent="0.4">
      <c r="B6107" s="8" t="s">
        <v>529</v>
      </c>
      <c r="C6107" s="3" t="s">
        <v>9897</v>
      </c>
      <c r="D6107" s="3" t="s">
        <v>10414</v>
      </c>
      <c r="F6107" s="3" t="s">
        <v>399</v>
      </c>
      <c r="I6107" s="3" t="s">
        <v>10353</v>
      </c>
    </row>
    <row r="6108" spans="2:9" hidden="1" x14ac:dyDescent="0.4">
      <c r="B6108" s="8" t="s">
        <v>531</v>
      </c>
      <c r="C6108" s="3" t="s">
        <v>9898</v>
      </c>
      <c r="D6108" s="3" t="s">
        <v>10415</v>
      </c>
      <c r="F6108" s="3" t="s">
        <v>399</v>
      </c>
      <c r="I6108" s="3" t="s">
        <v>10353</v>
      </c>
    </row>
    <row r="6109" spans="2:9" hidden="1" x14ac:dyDescent="0.4">
      <c r="B6109" s="8" t="s">
        <v>529</v>
      </c>
      <c r="C6109" s="3" t="s">
        <v>9899</v>
      </c>
      <c r="D6109" s="3" t="s">
        <v>10416</v>
      </c>
      <c r="F6109" s="3" t="s">
        <v>399</v>
      </c>
      <c r="I6109" s="3" t="s">
        <v>10353</v>
      </c>
    </row>
    <row r="6110" spans="2:9" hidden="1" x14ac:dyDescent="0.4">
      <c r="B6110" s="8" t="s">
        <v>517</v>
      </c>
      <c r="C6110" s="3" t="s">
        <v>9900</v>
      </c>
      <c r="D6110" s="3" t="s">
        <v>10417</v>
      </c>
      <c r="E6110" s="3" t="s">
        <v>1272</v>
      </c>
      <c r="F6110" s="3" t="s">
        <v>399</v>
      </c>
      <c r="I6110" s="3" t="s">
        <v>10353</v>
      </c>
    </row>
    <row r="6111" spans="2:9" hidden="1" x14ac:dyDescent="0.4">
      <c r="B6111" s="8" t="s">
        <v>515</v>
      </c>
      <c r="C6111" s="3" t="s">
        <v>10420</v>
      </c>
      <c r="D6111" s="3" t="s">
        <v>10417</v>
      </c>
      <c r="E6111" s="3" t="s">
        <v>1272</v>
      </c>
      <c r="F6111" s="3" t="s">
        <v>399</v>
      </c>
      <c r="I6111" s="3" t="s">
        <v>10353</v>
      </c>
    </row>
    <row r="6112" spans="2:9" hidden="1" x14ac:dyDescent="0.4">
      <c r="B6112" s="8" t="s">
        <v>518</v>
      </c>
      <c r="C6112" s="3" t="s">
        <v>9901</v>
      </c>
      <c r="D6112" s="3" t="s">
        <v>10418</v>
      </c>
      <c r="F6112" s="3" t="s">
        <v>399</v>
      </c>
      <c r="I6112" s="3" t="s">
        <v>10353</v>
      </c>
    </row>
    <row r="6113" spans="2:9" hidden="1" x14ac:dyDescent="0.4">
      <c r="B6113" s="8" t="s">
        <v>520</v>
      </c>
      <c r="C6113" s="3" t="s">
        <v>9902</v>
      </c>
      <c r="D6113" s="3" t="s">
        <v>10419</v>
      </c>
      <c r="F6113" s="3" t="s">
        <v>399</v>
      </c>
      <c r="I6113" s="3" t="s">
        <v>10353</v>
      </c>
    </row>
    <row r="6114" spans="2:9" hidden="1" x14ac:dyDescent="0.4">
      <c r="B6114" s="8" t="s">
        <v>517</v>
      </c>
      <c r="C6114" s="3" t="s">
        <v>9903</v>
      </c>
      <c r="D6114" s="3" t="s">
        <v>10421</v>
      </c>
      <c r="F6114" s="3" t="s">
        <v>399</v>
      </c>
      <c r="I6114" s="3" t="s">
        <v>10353</v>
      </c>
    </row>
    <row r="6115" spans="2:9" hidden="1" x14ac:dyDescent="0.4">
      <c r="B6115" s="8" t="s">
        <v>517</v>
      </c>
      <c r="C6115" s="3" t="s">
        <v>9904</v>
      </c>
      <c r="D6115" s="3" t="s">
        <v>10422</v>
      </c>
      <c r="E6115" s="3" t="s">
        <v>1272</v>
      </c>
      <c r="F6115" s="3" t="s">
        <v>399</v>
      </c>
      <c r="I6115" s="3" t="s">
        <v>10353</v>
      </c>
    </row>
    <row r="6116" spans="2:9" hidden="1" x14ac:dyDescent="0.4">
      <c r="B6116" s="8" t="s">
        <v>515</v>
      </c>
      <c r="C6116" s="3" t="s">
        <v>10423</v>
      </c>
      <c r="D6116" s="3" t="s">
        <v>10422</v>
      </c>
      <c r="E6116" s="3" t="s">
        <v>1272</v>
      </c>
      <c r="F6116" s="3" t="s">
        <v>399</v>
      </c>
      <c r="I6116" s="3" t="s">
        <v>10353</v>
      </c>
    </row>
    <row r="6117" spans="2:9" hidden="1" x14ac:dyDescent="0.4">
      <c r="B6117" s="8" t="s">
        <v>517</v>
      </c>
      <c r="C6117" s="3" t="s">
        <v>9905</v>
      </c>
      <c r="D6117" s="3" t="s">
        <v>10424</v>
      </c>
      <c r="E6117" s="3" t="s">
        <v>1272</v>
      </c>
      <c r="F6117" s="3" t="s">
        <v>399</v>
      </c>
      <c r="I6117" s="3" t="s">
        <v>10353</v>
      </c>
    </row>
    <row r="6118" spans="2:9" hidden="1" x14ac:dyDescent="0.4">
      <c r="B6118" s="8" t="s">
        <v>517</v>
      </c>
      <c r="C6118" s="3" t="s">
        <v>9906</v>
      </c>
      <c r="D6118" s="3" t="s">
        <v>10425</v>
      </c>
      <c r="E6118" s="3" t="s">
        <v>1272</v>
      </c>
      <c r="F6118" s="3" t="s">
        <v>399</v>
      </c>
      <c r="I6118" s="3" t="s">
        <v>10353</v>
      </c>
    </row>
    <row r="6119" spans="2:9" hidden="1" x14ac:dyDescent="0.4">
      <c r="B6119" s="8" t="s">
        <v>529</v>
      </c>
      <c r="C6119" s="3" t="s">
        <v>9907</v>
      </c>
      <c r="D6119" s="3" t="s">
        <v>10427</v>
      </c>
      <c r="E6119" s="3" t="s">
        <v>1272</v>
      </c>
      <c r="F6119" s="3" t="s">
        <v>399</v>
      </c>
      <c r="I6119" s="3" t="s">
        <v>10353</v>
      </c>
    </row>
    <row r="6120" spans="2:9" hidden="1" x14ac:dyDescent="0.4">
      <c r="B6120" s="8" t="s">
        <v>517</v>
      </c>
      <c r="C6120" s="3" t="s">
        <v>9908</v>
      </c>
      <c r="D6120" s="3" t="s">
        <v>10428</v>
      </c>
      <c r="E6120" s="3" t="s">
        <v>1272</v>
      </c>
      <c r="F6120" s="3" t="s">
        <v>399</v>
      </c>
      <c r="I6120" s="3" t="s">
        <v>10353</v>
      </c>
    </row>
    <row r="6121" spans="2:9" hidden="1" x14ac:dyDescent="0.4">
      <c r="B6121" s="8" t="s">
        <v>520</v>
      </c>
      <c r="C6121" s="3" t="s">
        <v>9909</v>
      </c>
      <c r="D6121" s="3" t="s">
        <v>10429</v>
      </c>
      <c r="E6121" s="3" t="s">
        <v>1272</v>
      </c>
      <c r="F6121" s="3" t="s">
        <v>399</v>
      </c>
      <c r="I6121" s="3" t="s">
        <v>10353</v>
      </c>
    </row>
    <row r="6122" spans="2:9" hidden="1" x14ac:dyDescent="0.4">
      <c r="B6122" s="8" t="s">
        <v>518</v>
      </c>
      <c r="C6122" s="3" t="s">
        <v>9910</v>
      </c>
      <c r="D6122" s="3" t="s">
        <v>10430</v>
      </c>
      <c r="E6122" s="3" t="s">
        <v>1272</v>
      </c>
      <c r="F6122" s="3" t="s">
        <v>399</v>
      </c>
      <c r="I6122" s="3" t="s">
        <v>10353</v>
      </c>
    </row>
    <row r="6123" spans="2:9" hidden="1" x14ac:dyDescent="0.4">
      <c r="B6123" s="8" t="s">
        <v>518</v>
      </c>
      <c r="C6123" s="3" t="s">
        <v>9911</v>
      </c>
      <c r="D6123" s="3" t="s">
        <v>10431</v>
      </c>
      <c r="E6123" s="3" t="s">
        <v>425</v>
      </c>
      <c r="F6123" s="3" t="s">
        <v>399</v>
      </c>
      <c r="I6123" s="3" t="s">
        <v>10353</v>
      </c>
    </row>
    <row r="6124" spans="2:9" hidden="1" x14ac:dyDescent="0.4">
      <c r="B6124" s="8" t="s">
        <v>517</v>
      </c>
      <c r="C6124" s="3" t="s">
        <v>9912</v>
      </c>
      <c r="D6124" s="3" t="s">
        <v>10432</v>
      </c>
      <c r="E6124" s="3" t="s">
        <v>425</v>
      </c>
      <c r="F6124" s="3" t="s">
        <v>399</v>
      </c>
      <c r="I6124" s="3" t="s">
        <v>10353</v>
      </c>
    </row>
    <row r="6125" spans="2:9" hidden="1" x14ac:dyDescent="0.4">
      <c r="B6125" s="8" t="s">
        <v>517</v>
      </c>
      <c r="C6125" s="3" t="s">
        <v>9913</v>
      </c>
      <c r="D6125" s="3" t="s">
        <v>10433</v>
      </c>
      <c r="E6125" s="3" t="s">
        <v>1272</v>
      </c>
      <c r="F6125" s="3" t="s">
        <v>399</v>
      </c>
      <c r="I6125" s="3" t="s">
        <v>10353</v>
      </c>
    </row>
    <row r="6126" spans="2:9" hidden="1" x14ac:dyDescent="0.4">
      <c r="B6126" s="8" t="s">
        <v>517</v>
      </c>
      <c r="C6126" s="3" t="s">
        <v>9914</v>
      </c>
      <c r="D6126" s="3" t="s">
        <v>10434</v>
      </c>
      <c r="E6126" s="3" t="s">
        <v>1272</v>
      </c>
      <c r="F6126" s="3" t="s">
        <v>399</v>
      </c>
      <c r="I6126" s="3" t="s">
        <v>10353</v>
      </c>
    </row>
    <row r="6127" spans="2:9" hidden="1" x14ac:dyDescent="0.4">
      <c r="B6127" s="8" t="s">
        <v>517</v>
      </c>
      <c r="C6127" s="3" t="s">
        <v>9915</v>
      </c>
      <c r="D6127" s="3" t="s">
        <v>10435</v>
      </c>
      <c r="F6127" s="3" t="s">
        <v>399</v>
      </c>
      <c r="I6127" s="3" t="s">
        <v>10353</v>
      </c>
    </row>
    <row r="6128" spans="2:9" hidden="1" x14ac:dyDescent="0.4">
      <c r="B6128" s="8" t="s">
        <v>520</v>
      </c>
      <c r="C6128" s="3" t="s">
        <v>9916</v>
      </c>
      <c r="D6128" s="3" t="s">
        <v>10436</v>
      </c>
      <c r="F6128" s="3" t="s">
        <v>399</v>
      </c>
      <c r="I6128" s="3" t="s">
        <v>10353</v>
      </c>
    </row>
    <row r="6129" spans="2:9" hidden="1" x14ac:dyDescent="0.4">
      <c r="B6129" s="8" t="s">
        <v>529</v>
      </c>
      <c r="C6129" s="3" t="s">
        <v>9917</v>
      </c>
      <c r="D6129" s="3" t="s">
        <v>10437</v>
      </c>
      <c r="F6129" s="3" t="s">
        <v>399</v>
      </c>
      <c r="I6129" s="3" t="s">
        <v>10353</v>
      </c>
    </row>
    <row r="6130" spans="2:9" hidden="1" x14ac:dyDescent="0.4">
      <c r="B6130" s="8" t="s">
        <v>518</v>
      </c>
      <c r="C6130" s="3" t="s">
        <v>9918</v>
      </c>
      <c r="D6130" s="3" t="s">
        <v>10438</v>
      </c>
      <c r="F6130" s="3" t="s">
        <v>399</v>
      </c>
      <c r="I6130" s="3" t="s">
        <v>10353</v>
      </c>
    </row>
    <row r="6131" spans="2:9" hidden="1" x14ac:dyDescent="0.4">
      <c r="B6131" s="8" t="s">
        <v>520</v>
      </c>
      <c r="C6131" s="3" t="s">
        <v>9919</v>
      </c>
      <c r="D6131" s="3" t="s">
        <v>10439</v>
      </c>
      <c r="F6131" s="3" t="s">
        <v>399</v>
      </c>
      <c r="I6131" s="3" t="s">
        <v>10353</v>
      </c>
    </row>
    <row r="6132" spans="2:9" hidden="1" x14ac:dyDescent="0.4">
      <c r="B6132" s="8" t="s">
        <v>10868</v>
      </c>
      <c r="C6132" s="3" t="s">
        <v>9920</v>
      </c>
      <c r="D6132" s="3" t="s">
        <v>10440</v>
      </c>
      <c r="F6132" s="3" t="s">
        <v>399</v>
      </c>
      <c r="I6132" s="3" t="s">
        <v>10353</v>
      </c>
    </row>
    <row r="6133" spans="2:9" hidden="1" x14ac:dyDescent="0.4">
      <c r="B6133" s="8" t="s">
        <v>518</v>
      </c>
      <c r="C6133" s="3" t="s">
        <v>9921</v>
      </c>
      <c r="D6133" s="3" t="s">
        <v>10394</v>
      </c>
      <c r="F6133" s="3" t="s">
        <v>399</v>
      </c>
      <c r="I6133" s="3" t="s">
        <v>10353</v>
      </c>
    </row>
    <row r="6134" spans="2:9" hidden="1" x14ac:dyDescent="0.4">
      <c r="B6134" s="8" t="s">
        <v>529</v>
      </c>
      <c r="C6134" s="3" t="s">
        <v>9922</v>
      </c>
      <c r="D6134" s="3" t="s">
        <v>10441</v>
      </c>
      <c r="F6134" s="3" t="s">
        <v>399</v>
      </c>
      <c r="I6134" s="3" t="s">
        <v>10353</v>
      </c>
    </row>
    <row r="6135" spans="2:9" hidden="1" x14ac:dyDescent="0.4">
      <c r="B6135" s="8" t="s">
        <v>9750</v>
      </c>
      <c r="C6135" s="3" t="s">
        <v>9923</v>
      </c>
      <c r="D6135" s="3" t="s">
        <v>10441</v>
      </c>
      <c r="F6135" s="3" t="s">
        <v>399</v>
      </c>
      <c r="I6135" s="3" t="s">
        <v>10353</v>
      </c>
    </row>
    <row r="6136" spans="2:9" hidden="1" x14ac:dyDescent="0.4">
      <c r="B6136" s="8" t="s">
        <v>529</v>
      </c>
      <c r="C6136" s="3" t="s">
        <v>9924</v>
      </c>
      <c r="D6136" s="3" t="s">
        <v>10442</v>
      </c>
      <c r="F6136" s="3" t="s">
        <v>399</v>
      </c>
      <c r="I6136" s="3" t="s">
        <v>10353</v>
      </c>
    </row>
    <row r="6137" spans="2:9" hidden="1" x14ac:dyDescent="0.4">
      <c r="B6137" s="8" t="s">
        <v>518</v>
      </c>
      <c r="C6137" s="3" t="s">
        <v>9925</v>
      </c>
      <c r="D6137" s="3" t="s">
        <v>10443</v>
      </c>
      <c r="F6137" s="3" t="s">
        <v>399</v>
      </c>
      <c r="I6137" s="3" t="s">
        <v>10353</v>
      </c>
    </row>
    <row r="6138" spans="2:9" hidden="1" x14ac:dyDescent="0.4">
      <c r="B6138" s="8" t="s">
        <v>520</v>
      </c>
      <c r="C6138" s="3" t="s">
        <v>9926</v>
      </c>
      <c r="D6138" s="3" t="s">
        <v>10444</v>
      </c>
      <c r="E6138" s="3" t="s">
        <v>1272</v>
      </c>
      <c r="F6138" s="3" t="s">
        <v>399</v>
      </c>
      <c r="I6138" s="3" t="s">
        <v>10353</v>
      </c>
    </row>
    <row r="6139" spans="2:9" hidden="1" x14ac:dyDescent="0.4">
      <c r="B6139" s="8" t="s">
        <v>517</v>
      </c>
      <c r="C6139" s="3" t="s">
        <v>9927</v>
      </c>
      <c r="D6139" s="3" t="s">
        <v>10445</v>
      </c>
      <c r="E6139" s="3" t="s">
        <v>1272</v>
      </c>
      <c r="F6139" s="3" t="s">
        <v>399</v>
      </c>
      <c r="I6139" s="3" t="s">
        <v>10353</v>
      </c>
    </row>
    <row r="6140" spans="2:9" hidden="1" x14ac:dyDescent="0.4">
      <c r="B6140" s="8" t="s">
        <v>520</v>
      </c>
      <c r="C6140" s="3" t="s">
        <v>9928</v>
      </c>
      <c r="D6140" s="3" t="s">
        <v>10446</v>
      </c>
      <c r="E6140" s="3" t="s">
        <v>1272</v>
      </c>
      <c r="F6140" s="3" t="s">
        <v>399</v>
      </c>
      <c r="I6140" s="3" t="s">
        <v>10353</v>
      </c>
    </row>
    <row r="6141" spans="2:9" hidden="1" x14ac:dyDescent="0.4">
      <c r="B6141" s="8" t="s">
        <v>529</v>
      </c>
      <c r="C6141" s="3" t="s">
        <v>9929</v>
      </c>
      <c r="D6141" s="3" t="s">
        <v>10447</v>
      </c>
      <c r="E6141" s="3" t="s">
        <v>1272</v>
      </c>
      <c r="F6141" s="3" t="s">
        <v>399</v>
      </c>
      <c r="I6141" s="3" t="s">
        <v>10353</v>
      </c>
    </row>
    <row r="6142" spans="2:9" hidden="1" x14ac:dyDescent="0.4">
      <c r="B6142" s="8" t="s">
        <v>517</v>
      </c>
      <c r="C6142" s="3" t="s">
        <v>9930</v>
      </c>
      <c r="D6142" s="3" t="s">
        <v>10448</v>
      </c>
      <c r="E6142" s="3" t="s">
        <v>425</v>
      </c>
      <c r="F6142" s="3" t="s">
        <v>399</v>
      </c>
      <c r="I6142" s="3" t="s">
        <v>10353</v>
      </c>
    </row>
    <row r="6143" spans="2:9" hidden="1" x14ac:dyDescent="0.4">
      <c r="B6143" s="8" t="s">
        <v>529</v>
      </c>
      <c r="C6143" s="3" t="s">
        <v>9931</v>
      </c>
      <c r="D6143" s="3" t="s">
        <v>10449</v>
      </c>
      <c r="E6143" s="3" t="s">
        <v>425</v>
      </c>
      <c r="F6143" s="3" t="s">
        <v>399</v>
      </c>
      <c r="I6143" s="3" t="s">
        <v>10353</v>
      </c>
    </row>
    <row r="6144" spans="2:9" hidden="1" x14ac:dyDescent="0.4">
      <c r="B6144" s="8" t="s">
        <v>532</v>
      </c>
      <c r="C6144" s="3" t="s">
        <v>9932</v>
      </c>
      <c r="D6144" s="3" t="s">
        <v>10450</v>
      </c>
      <c r="E6144" s="3" t="s">
        <v>425</v>
      </c>
      <c r="F6144" s="3" t="s">
        <v>399</v>
      </c>
      <c r="I6144" s="3" t="s">
        <v>10353</v>
      </c>
    </row>
    <row r="6145" spans="2:9" hidden="1" x14ac:dyDescent="0.4">
      <c r="B6145" s="8" t="s">
        <v>518</v>
      </c>
      <c r="C6145" s="3" t="s">
        <v>9933</v>
      </c>
      <c r="D6145" s="3" t="s">
        <v>10451</v>
      </c>
      <c r="E6145" s="3" t="s">
        <v>425</v>
      </c>
      <c r="F6145" s="3" t="s">
        <v>399</v>
      </c>
      <c r="I6145" s="3" t="s">
        <v>10353</v>
      </c>
    </row>
    <row r="6146" spans="2:9" hidden="1" x14ac:dyDescent="0.4">
      <c r="B6146" s="8" t="s">
        <v>517</v>
      </c>
      <c r="C6146" s="3" t="s">
        <v>9934</v>
      </c>
      <c r="D6146" s="3" t="s">
        <v>10452</v>
      </c>
      <c r="E6146" s="3" t="s">
        <v>425</v>
      </c>
      <c r="F6146" s="3" t="s">
        <v>399</v>
      </c>
      <c r="I6146" s="3" t="s">
        <v>10353</v>
      </c>
    </row>
    <row r="6147" spans="2:9" hidden="1" x14ac:dyDescent="0.4">
      <c r="B6147" s="8" t="s">
        <v>529</v>
      </c>
      <c r="C6147" s="3" t="s">
        <v>1481</v>
      </c>
      <c r="D6147" s="3" t="s">
        <v>10453</v>
      </c>
      <c r="E6147" s="3" t="s">
        <v>425</v>
      </c>
      <c r="F6147" s="3" t="s">
        <v>399</v>
      </c>
      <c r="I6147" s="3" t="s">
        <v>10353</v>
      </c>
    </row>
    <row r="6148" spans="2:9" hidden="1" x14ac:dyDescent="0.4">
      <c r="B6148" s="8" t="s">
        <v>529</v>
      </c>
      <c r="C6148" s="3" t="s">
        <v>1481</v>
      </c>
      <c r="D6148" s="3" t="s">
        <v>10454</v>
      </c>
      <c r="E6148" s="3" t="s">
        <v>425</v>
      </c>
      <c r="F6148" s="3" t="s">
        <v>399</v>
      </c>
      <c r="I6148" s="3" t="s">
        <v>10353</v>
      </c>
    </row>
    <row r="6149" spans="2:9" hidden="1" x14ac:dyDescent="0.4">
      <c r="B6149" s="8" t="s">
        <v>517</v>
      </c>
      <c r="C6149" s="3" t="s">
        <v>9935</v>
      </c>
      <c r="D6149" s="3" t="s">
        <v>10455</v>
      </c>
      <c r="E6149" s="3" t="s">
        <v>1272</v>
      </c>
      <c r="F6149" s="3" t="s">
        <v>399</v>
      </c>
      <c r="I6149" s="3" t="s">
        <v>10353</v>
      </c>
    </row>
    <row r="6150" spans="2:9" hidden="1" x14ac:dyDescent="0.4">
      <c r="B6150" s="8" t="s">
        <v>517</v>
      </c>
      <c r="C6150" s="3" t="s">
        <v>9936</v>
      </c>
      <c r="D6150" s="3" t="s">
        <v>10456</v>
      </c>
      <c r="E6150" s="3" t="s">
        <v>1272</v>
      </c>
      <c r="F6150" s="3" t="s">
        <v>399</v>
      </c>
      <c r="I6150" s="3" t="s">
        <v>10353</v>
      </c>
    </row>
    <row r="6151" spans="2:9" hidden="1" x14ac:dyDescent="0.4">
      <c r="B6151" s="8" t="s">
        <v>517</v>
      </c>
      <c r="C6151" s="3" t="s">
        <v>9937</v>
      </c>
      <c r="D6151" s="3" t="s">
        <v>10457</v>
      </c>
      <c r="E6151" s="3" t="s">
        <v>1272</v>
      </c>
      <c r="F6151" s="3" t="s">
        <v>399</v>
      </c>
      <c r="I6151" s="3" t="s">
        <v>10353</v>
      </c>
    </row>
    <row r="6152" spans="2:9" hidden="1" x14ac:dyDescent="0.4">
      <c r="B6152" s="8" t="s">
        <v>517</v>
      </c>
      <c r="C6152" s="3" t="s">
        <v>9938</v>
      </c>
      <c r="D6152" s="3" t="s">
        <v>10458</v>
      </c>
      <c r="E6152" s="3" t="s">
        <v>1272</v>
      </c>
      <c r="F6152" s="3" t="s">
        <v>399</v>
      </c>
      <c r="I6152" s="3" t="s">
        <v>10353</v>
      </c>
    </row>
    <row r="6153" spans="2:9" hidden="1" x14ac:dyDescent="0.4">
      <c r="B6153" s="8" t="s">
        <v>520</v>
      </c>
      <c r="C6153" s="3" t="s">
        <v>9939</v>
      </c>
      <c r="D6153" s="3" t="s">
        <v>10459</v>
      </c>
      <c r="E6153" s="3" t="s">
        <v>1272</v>
      </c>
      <c r="F6153" s="3" t="s">
        <v>399</v>
      </c>
      <c r="I6153" s="3" t="s">
        <v>10353</v>
      </c>
    </row>
    <row r="6154" spans="2:9" hidden="1" x14ac:dyDescent="0.4">
      <c r="B6154" s="8" t="s">
        <v>517</v>
      </c>
      <c r="C6154" s="3" t="s">
        <v>9940</v>
      </c>
      <c r="D6154" s="3" t="s">
        <v>10460</v>
      </c>
      <c r="E6154" s="3" t="s">
        <v>1272</v>
      </c>
      <c r="F6154" s="3" t="s">
        <v>399</v>
      </c>
      <c r="I6154" s="3" t="s">
        <v>10353</v>
      </c>
    </row>
    <row r="6155" spans="2:9" hidden="1" x14ac:dyDescent="0.4">
      <c r="B6155" s="8" t="s">
        <v>517</v>
      </c>
      <c r="C6155" s="3" t="s">
        <v>9941</v>
      </c>
      <c r="D6155" s="3" t="s">
        <v>10461</v>
      </c>
      <c r="E6155" s="3" t="s">
        <v>1272</v>
      </c>
      <c r="F6155" s="3" t="s">
        <v>399</v>
      </c>
      <c r="I6155" s="3" t="s">
        <v>10353</v>
      </c>
    </row>
    <row r="6156" spans="2:9" hidden="1" x14ac:dyDescent="0.4">
      <c r="B6156" s="8" t="s">
        <v>517</v>
      </c>
      <c r="C6156" s="3" t="s">
        <v>9942</v>
      </c>
      <c r="D6156" s="3" t="s">
        <v>10462</v>
      </c>
      <c r="E6156" s="3" t="s">
        <v>1272</v>
      </c>
      <c r="F6156" s="3" t="s">
        <v>399</v>
      </c>
      <c r="I6156" s="3" t="s">
        <v>10353</v>
      </c>
    </row>
    <row r="6157" spans="2:9" hidden="1" x14ac:dyDescent="0.4">
      <c r="B6157" s="8" t="s">
        <v>517</v>
      </c>
      <c r="C6157" s="3" t="s">
        <v>9943</v>
      </c>
      <c r="D6157" s="3" t="s">
        <v>10463</v>
      </c>
      <c r="E6157" s="3" t="s">
        <v>1272</v>
      </c>
      <c r="F6157" s="3" t="s">
        <v>399</v>
      </c>
      <c r="I6157" s="3" t="s">
        <v>10353</v>
      </c>
    </row>
    <row r="6158" spans="2:9" hidden="1" x14ac:dyDescent="0.4">
      <c r="B6158" s="8" t="s">
        <v>518</v>
      </c>
      <c r="C6158" s="3" t="s">
        <v>9944</v>
      </c>
      <c r="D6158" s="3" t="s">
        <v>10464</v>
      </c>
      <c r="E6158" s="3" t="s">
        <v>1272</v>
      </c>
      <c r="F6158" s="3" t="s">
        <v>399</v>
      </c>
      <c r="I6158" s="3" t="s">
        <v>10353</v>
      </c>
    </row>
    <row r="6159" spans="2:9" hidden="1" x14ac:dyDescent="0.4">
      <c r="B6159" s="8" t="s">
        <v>520</v>
      </c>
      <c r="C6159" s="3" t="s">
        <v>9945</v>
      </c>
      <c r="D6159" s="3" t="s">
        <v>10465</v>
      </c>
      <c r="E6159" s="3" t="s">
        <v>1272</v>
      </c>
      <c r="F6159" s="3" t="s">
        <v>399</v>
      </c>
      <c r="I6159" s="3" t="s">
        <v>10353</v>
      </c>
    </row>
    <row r="6160" spans="2:9" hidden="1" x14ac:dyDescent="0.4">
      <c r="B6160" s="8" t="s">
        <v>517</v>
      </c>
      <c r="C6160" s="3" t="s">
        <v>10869</v>
      </c>
      <c r="D6160" s="3" t="s">
        <v>10466</v>
      </c>
      <c r="E6160" s="3" t="s">
        <v>1272</v>
      </c>
      <c r="F6160" s="3" t="s">
        <v>399</v>
      </c>
      <c r="I6160" s="3" t="s">
        <v>10353</v>
      </c>
    </row>
    <row r="6161" spans="2:9" hidden="1" x14ac:dyDescent="0.4">
      <c r="B6161" s="8" t="s">
        <v>520</v>
      </c>
      <c r="C6161" s="3" t="s">
        <v>9946</v>
      </c>
      <c r="D6161" s="3" t="s">
        <v>10467</v>
      </c>
      <c r="E6161" s="3" t="s">
        <v>1272</v>
      </c>
      <c r="F6161" s="3" t="s">
        <v>399</v>
      </c>
      <c r="I6161" s="3" t="s">
        <v>10353</v>
      </c>
    </row>
    <row r="6162" spans="2:9" hidden="1" x14ac:dyDescent="0.4">
      <c r="B6162" s="8" t="s">
        <v>520</v>
      </c>
      <c r="C6162" s="3" t="s">
        <v>10871</v>
      </c>
      <c r="D6162" s="3" t="s">
        <v>10468</v>
      </c>
      <c r="E6162" s="3" t="s">
        <v>1272</v>
      </c>
      <c r="F6162" s="3" t="s">
        <v>399</v>
      </c>
      <c r="I6162" s="3" t="s">
        <v>10353</v>
      </c>
    </row>
    <row r="6163" spans="2:9" hidden="1" x14ac:dyDescent="0.4">
      <c r="B6163" s="8" t="s">
        <v>520</v>
      </c>
      <c r="C6163" s="3" t="s">
        <v>9947</v>
      </c>
      <c r="D6163" s="3" t="s">
        <v>10469</v>
      </c>
      <c r="E6163" s="3" t="s">
        <v>1272</v>
      </c>
      <c r="F6163" s="3" t="s">
        <v>399</v>
      </c>
      <c r="I6163" s="3" t="s">
        <v>10353</v>
      </c>
    </row>
    <row r="6164" spans="2:9" hidden="1" x14ac:dyDescent="0.4">
      <c r="B6164" s="8" t="s">
        <v>517</v>
      </c>
      <c r="C6164" s="3" t="s">
        <v>9948</v>
      </c>
      <c r="D6164" s="3" t="s">
        <v>10470</v>
      </c>
      <c r="F6164" s="3" t="s">
        <v>399</v>
      </c>
      <c r="I6164" s="3" t="s">
        <v>10353</v>
      </c>
    </row>
    <row r="6165" spans="2:9" hidden="1" x14ac:dyDescent="0.4">
      <c r="B6165" s="8" t="s">
        <v>529</v>
      </c>
      <c r="C6165" s="3" t="s">
        <v>9949</v>
      </c>
      <c r="D6165" s="3" t="s">
        <v>10471</v>
      </c>
      <c r="F6165" s="3" t="s">
        <v>399</v>
      </c>
      <c r="I6165" s="3" t="s">
        <v>10353</v>
      </c>
    </row>
    <row r="6166" spans="2:9" hidden="1" x14ac:dyDescent="0.4">
      <c r="B6166" s="8" t="s">
        <v>518</v>
      </c>
      <c r="C6166" s="3" t="s">
        <v>9950</v>
      </c>
      <c r="D6166" s="3" t="s">
        <v>10472</v>
      </c>
      <c r="F6166" s="3" t="s">
        <v>399</v>
      </c>
      <c r="I6166" s="3" t="s">
        <v>10353</v>
      </c>
    </row>
    <row r="6167" spans="2:9" hidden="1" x14ac:dyDescent="0.4">
      <c r="B6167" s="8" t="s">
        <v>520</v>
      </c>
      <c r="C6167" s="3" t="s">
        <v>9951</v>
      </c>
      <c r="D6167" s="3" t="s">
        <v>10473</v>
      </c>
      <c r="F6167" s="3" t="s">
        <v>399</v>
      </c>
      <c r="I6167" s="3" t="s">
        <v>10353</v>
      </c>
    </row>
    <row r="6168" spans="2:9" hidden="1" x14ac:dyDescent="0.4">
      <c r="B6168" s="8" t="s">
        <v>529</v>
      </c>
      <c r="C6168" s="3" t="s">
        <v>9952</v>
      </c>
      <c r="D6168" s="3" t="s">
        <v>10872</v>
      </c>
      <c r="F6168" s="3" t="s">
        <v>399</v>
      </c>
      <c r="I6168" s="3" t="s">
        <v>10353</v>
      </c>
    </row>
    <row r="6169" spans="2:9" hidden="1" x14ac:dyDescent="0.4">
      <c r="B6169" s="8" t="s">
        <v>517</v>
      </c>
      <c r="C6169" s="3" t="s">
        <v>9953</v>
      </c>
      <c r="D6169" s="3" t="s">
        <v>10474</v>
      </c>
      <c r="F6169" s="3" t="s">
        <v>399</v>
      </c>
      <c r="I6169" s="3" t="s">
        <v>10353</v>
      </c>
    </row>
    <row r="6170" spans="2:9" hidden="1" x14ac:dyDescent="0.4">
      <c r="B6170" s="8" t="s">
        <v>520</v>
      </c>
      <c r="C6170" s="3" t="s">
        <v>9954</v>
      </c>
      <c r="D6170" s="3" t="s">
        <v>10870</v>
      </c>
      <c r="F6170" s="3" t="s">
        <v>399</v>
      </c>
      <c r="I6170" s="3" t="s">
        <v>10353</v>
      </c>
    </row>
    <row r="6171" spans="2:9" hidden="1" x14ac:dyDescent="0.4">
      <c r="B6171" s="8" t="s">
        <v>518</v>
      </c>
      <c r="C6171" s="3" t="s">
        <v>9955</v>
      </c>
      <c r="D6171" s="3" t="s">
        <v>10475</v>
      </c>
      <c r="F6171" s="3" t="s">
        <v>399</v>
      </c>
      <c r="I6171" s="3" t="s">
        <v>10353</v>
      </c>
    </row>
    <row r="6172" spans="2:9" hidden="1" x14ac:dyDescent="0.4">
      <c r="B6172" s="8" t="s">
        <v>532</v>
      </c>
      <c r="C6172" s="3" t="s">
        <v>9956</v>
      </c>
      <c r="D6172" s="3" t="s">
        <v>10476</v>
      </c>
      <c r="F6172" s="3" t="s">
        <v>399</v>
      </c>
      <c r="I6172" s="3" t="s">
        <v>10353</v>
      </c>
    </row>
    <row r="6173" spans="2:9" hidden="1" x14ac:dyDescent="0.4">
      <c r="B6173" s="8" t="s">
        <v>529</v>
      </c>
      <c r="C6173" s="3" t="s">
        <v>9957</v>
      </c>
      <c r="D6173" s="3" t="s">
        <v>10477</v>
      </c>
      <c r="F6173" s="3" t="s">
        <v>399</v>
      </c>
      <c r="I6173" s="3" t="s">
        <v>10353</v>
      </c>
    </row>
    <row r="6174" spans="2:9" hidden="1" x14ac:dyDescent="0.4">
      <c r="B6174" s="8" t="s">
        <v>520</v>
      </c>
      <c r="C6174" s="3" t="s">
        <v>9958</v>
      </c>
      <c r="D6174" s="3" t="s">
        <v>10478</v>
      </c>
      <c r="E6174" s="3" t="s">
        <v>1272</v>
      </c>
      <c r="F6174" s="3" t="s">
        <v>399</v>
      </c>
      <c r="I6174" s="3" t="s">
        <v>10353</v>
      </c>
    </row>
    <row r="6175" spans="2:9" hidden="1" x14ac:dyDescent="0.4">
      <c r="B6175" s="8" t="s">
        <v>531</v>
      </c>
      <c r="C6175" s="3" t="s">
        <v>9959</v>
      </c>
      <c r="D6175" s="3" t="s">
        <v>10479</v>
      </c>
      <c r="F6175" s="3" t="s">
        <v>399</v>
      </c>
      <c r="I6175" s="3" t="s">
        <v>10353</v>
      </c>
    </row>
    <row r="6176" spans="2:9" hidden="1" x14ac:dyDescent="0.4">
      <c r="B6176" s="8" t="s">
        <v>531</v>
      </c>
      <c r="C6176" s="3" t="s">
        <v>9960</v>
      </c>
      <c r="D6176" s="3" t="s">
        <v>10480</v>
      </c>
      <c r="F6176" s="3" t="s">
        <v>399</v>
      </c>
      <c r="I6176" s="3" t="s">
        <v>10353</v>
      </c>
    </row>
    <row r="6177" spans="2:9" hidden="1" x14ac:dyDescent="0.4">
      <c r="B6177" s="8" t="s">
        <v>520</v>
      </c>
      <c r="C6177" s="3" t="s">
        <v>9961</v>
      </c>
      <c r="D6177" s="3" t="s">
        <v>10481</v>
      </c>
      <c r="F6177" s="3" t="s">
        <v>399</v>
      </c>
      <c r="I6177" s="3" t="s">
        <v>10353</v>
      </c>
    </row>
    <row r="6178" spans="2:9" hidden="1" x14ac:dyDescent="0.4">
      <c r="B6178" s="8" t="s">
        <v>532</v>
      </c>
      <c r="C6178" s="3" t="s">
        <v>9962</v>
      </c>
      <c r="D6178" s="3" t="s">
        <v>10482</v>
      </c>
      <c r="F6178" s="3" t="s">
        <v>399</v>
      </c>
      <c r="I6178" s="3" t="s">
        <v>10353</v>
      </c>
    </row>
    <row r="6179" spans="2:9" hidden="1" x14ac:dyDescent="0.4">
      <c r="B6179" s="8" t="s">
        <v>520</v>
      </c>
      <c r="C6179" s="3" t="s">
        <v>9963</v>
      </c>
      <c r="D6179" s="3" t="s">
        <v>10483</v>
      </c>
      <c r="F6179" s="3" t="s">
        <v>399</v>
      </c>
      <c r="I6179" s="3" t="s">
        <v>10353</v>
      </c>
    </row>
    <row r="6180" spans="2:9" hidden="1" x14ac:dyDescent="0.4">
      <c r="B6180" s="8" t="s">
        <v>531</v>
      </c>
      <c r="C6180" s="3" t="s">
        <v>9964</v>
      </c>
      <c r="D6180" s="3" t="s">
        <v>10484</v>
      </c>
      <c r="F6180" s="3" t="s">
        <v>399</v>
      </c>
      <c r="I6180" s="3" t="s">
        <v>10353</v>
      </c>
    </row>
    <row r="6181" spans="2:9" hidden="1" x14ac:dyDescent="0.4">
      <c r="B6181" s="8" t="s">
        <v>517</v>
      </c>
      <c r="C6181" s="3" t="s">
        <v>9965</v>
      </c>
      <c r="D6181" s="3" t="s">
        <v>10485</v>
      </c>
      <c r="F6181" s="3" t="s">
        <v>399</v>
      </c>
      <c r="I6181" s="3" t="s">
        <v>10353</v>
      </c>
    </row>
    <row r="6182" spans="2:9" hidden="1" x14ac:dyDescent="0.4">
      <c r="B6182" s="8" t="s">
        <v>529</v>
      </c>
      <c r="C6182" s="3" t="s">
        <v>9966</v>
      </c>
      <c r="D6182" s="3" t="s">
        <v>10488</v>
      </c>
      <c r="E6182" s="3" t="s">
        <v>1272</v>
      </c>
      <c r="F6182" s="3" t="s">
        <v>399</v>
      </c>
      <c r="I6182" s="3" t="s">
        <v>10353</v>
      </c>
    </row>
    <row r="6183" spans="2:9" hidden="1" x14ac:dyDescent="0.4">
      <c r="B6183" s="8" t="s">
        <v>518</v>
      </c>
      <c r="C6183" s="3" t="s">
        <v>9967</v>
      </c>
      <c r="D6183" s="3" t="s">
        <v>10489</v>
      </c>
      <c r="E6183" s="3" t="s">
        <v>1272</v>
      </c>
      <c r="F6183" s="3" t="s">
        <v>399</v>
      </c>
      <c r="I6183" s="3" t="s">
        <v>10353</v>
      </c>
    </row>
    <row r="6184" spans="2:9" hidden="1" x14ac:dyDescent="0.4">
      <c r="B6184" s="8" t="s">
        <v>529</v>
      </c>
      <c r="C6184" s="3" t="s">
        <v>9968</v>
      </c>
      <c r="D6184" s="3" t="s">
        <v>10486</v>
      </c>
      <c r="E6184" s="3" t="s">
        <v>1272</v>
      </c>
      <c r="F6184" s="3" t="s">
        <v>399</v>
      </c>
      <c r="I6184" s="3" t="s">
        <v>10353</v>
      </c>
    </row>
    <row r="6185" spans="2:9" hidden="1" x14ac:dyDescent="0.4">
      <c r="B6185" s="8" t="s">
        <v>531</v>
      </c>
      <c r="C6185" s="3" t="s">
        <v>9969</v>
      </c>
      <c r="D6185" s="3" t="s">
        <v>10487</v>
      </c>
      <c r="F6185" s="3" t="s">
        <v>399</v>
      </c>
      <c r="I6185" s="3" t="s">
        <v>10353</v>
      </c>
    </row>
    <row r="6186" spans="2:9" hidden="1" x14ac:dyDescent="0.4">
      <c r="B6186" s="8" t="s">
        <v>532</v>
      </c>
      <c r="C6186" s="3" t="s">
        <v>9970</v>
      </c>
      <c r="D6186" s="3" t="s">
        <v>10490</v>
      </c>
      <c r="F6186" s="3" t="s">
        <v>399</v>
      </c>
      <c r="I6186" s="3" t="s">
        <v>10353</v>
      </c>
    </row>
    <row r="6187" spans="2:9" hidden="1" x14ac:dyDescent="0.4">
      <c r="B6187" s="8" t="s">
        <v>518</v>
      </c>
      <c r="C6187" s="3" t="s">
        <v>9971</v>
      </c>
      <c r="D6187" s="3" t="s">
        <v>10491</v>
      </c>
      <c r="F6187" s="3" t="s">
        <v>399</v>
      </c>
      <c r="I6187" s="3" t="s">
        <v>10353</v>
      </c>
    </row>
    <row r="6188" spans="2:9" hidden="1" x14ac:dyDescent="0.4">
      <c r="B6188" s="8" t="s">
        <v>517</v>
      </c>
      <c r="C6188" s="3" t="s">
        <v>9972</v>
      </c>
      <c r="D6188" s="3" t="s">
        <v>10492</v>
      </c>
      <c r="F6188" s="3" t="s">
        <v>399</v>
      </c>
      <c r="I6188" s="3" t="s">
        <v>10353</v>
      </c>
    </row>
    <row r="6189" spans="2:9" hidden="1" x14ac:dyDescent="0.4">
      <c r="B6189" s="8" t="s">
        <v>529</v>
      </c>
      <c r="C6189" s="3" t="s">
        <v>9973</v>
      </c>
      <c r="D6189" s="3" t="s">
        <v>10493</v>
      </c>
      <c r="E6189" s="3" t="s">
        <v>1272</v>
      </c>
      <c r="F6189" s="3" t="s">
        <v>399</v>
      </c>
      <c r="I6189" s="3" t="s">
        <v>10353</v>
      </c>
    </row>
    <row r="6190" spans="2:9" hidden="1" x14ac:dyDescent="0.4">
      <c r="B6190" s="8" t="s">
        <v>518</v>
      </c>
      <c r="C6190" s="3" t="s">
        <v>9974</v>
      </c>
      <c r="D6190" s="3" t="s">
        <v>10494</v>
      </c>
      <c r="F6190" s="3" t="s">
        <v>399</v>
      </c>
      <c r="I6190" s="3" t="s">
        <v>10353</v>
      </c>
    </row>
    <row r="6191" spans="2:9" hidden="1" x14ac:dyDescent="0.4">
      <c r="B6191" s="8" t="s">
        <v>529</v>
      </c>
      <c r="C6191" s="3" t="s">
        <v>9975</v>
      </c>
      <c r="D6191" s="3" t="s">
        <v>10495</v>
      </c>
      <c r="E6191" s="3" t="s">
        <v>1272</v>
      </c>
      <c r="F6191" s="3" t="s">
        <v>399</v>
      </c>
      <c r="I6191" s="3" t="s">
        <v>10353</v>
      </c>
    </row>
    <row r="6192" spans="2:9" hidden="1" x14ac:dyDescent="0.4">
      <c r="B6192" s="8" t="s">
        <v>532</v>
      </c>
      <c r="C6192" s="3" t="s">
        <v>9976</v>
      </c>
      <c r="D6192" s="3" t="s">
        <v>10497</v>
      </c>
      <c r="E6192" s="3" t="s">
        <v>1272</v>
      </c>
      <c r="F6192" s="3" t="s">
        <v>399</v>
      </c>
      <c r="I6192" s="3" t="s">
        <v>10353</v>
      </c>
    </row>
    <row r="6193" spans="2:9" hidden="1" x14ac:dyDescent="0.4">
      <c r="B6193" s="8" t="s">
        <v>520</v>
      </c>
      <c r="C6193" s="3" t="s">
        <v>9977</v>
      </c>
      <c r="D6193" s="3" t="s">
        <v>10496</v>
      </c>
      <c r="E6193" s="3" t="s">
        <v>1272</v>
      </c>
      <c r="F6193" s="3" t="s">
        <v>399</v>
      </c>
      <c r="I6193" s="3" t="s">
        <v>10353</v>
      </c>
    </row>
    <row r="6194" spans="2:9" hidden="1" x14ac:dyDescent="0.4">
      <c r="B6194" s="8" t="s">
        <v>520</v>
      </c>
      <c r="C6194" s="3" t="s">
        <v>9978</v>
      </c>
      <c r="D6194" s="3" t="s">
        <v>10498</v>
      </c>
      <c r="E6194" s="3" t="s">
        <v>1272</v>
      </c>
      <c r="F6194" s="3" t="s">
        <v>399</v>
      </c>
      <c r="I6194" s="3" t="s">
        <v>10353</v>
      </c>
    </row>
    <row r="6195" spans="2:9" hidden="1" x14ac:dyDescent="0.4">
      <c r="B6195" s="8" t="s">
        <v>520</v>
      </c>
      <c r="C6195" s="3" t="s">
        <v>9979</v>
      </c>
      <c r="D6195" s="3" t="s">
        <v>10499</v>
      </c>
      <c r="E6195" s="3" t="s">
        <v>1272</v>
      </c>
      <c r="F6195" s="3" t="s">
        <v>399</v>
      </c>
      <c r="I6195" s="3" t="s">
        <v>10353</v>
      </c>
    </row>
    <row r="6196" spans="2:9" hidden="1" x14ac:dyDescent="0.4">
      <c r="B6196" s="8" t="s">
        <v>529</v>
      </c>
      <c r="C6196" s="3" t="s">
        <v>9980</v>
      </c>
      <c r="D6196" s="3" t="s">
        <v>10500</v>
      </c>
      <c r="E6196" s="3" t="s">
        <v>1272</v>
      </c>
      <c r="F6196" s="3" t="s">
        <v>399</v>
      </c>
      <c r="I6196" s="3" t="s">
        <v>10353</v>
      </c>
    </row>
    <row r="6197" spans="2:9" hidden="1" x14ac:dyDescent="0.4">
      <c r="B6197" s="8" t="s">
        <v>517</v>
      </c>
      <c r="C6197" s="3" t="s">
        <v>9981</v>
      </c>
      <c r="D6197" s="3" t="s">
        <v>10501</v>
      </c>
      <c r="E6197" s="3" t="s">
        <v>1272</v>
      </c>
      <c r="F6197" s="3" t="s">
        <v>399</v>
      </c>
      <c r="I6197" s="3" t="s">
        <v>10353</v>
      </c>
    </row>
    <row r="6198" spans="2:9" hidden="1" x14ac:dyDescent="0.4">
      <c r="B6198" s="8" t="s">
        <v>520</v>
      </c>
      <c r="C6198" s="3" t="s">
        <v>9982</v>
      </c>
      <c r="D6198" s="3" t="s">
        <v>10502</v>
      </c>
      <c r="E6198" s="3" t="s">
        <v>1272</v>
      </c>
      <c r="F6198" s="3" t="s">
        <v>399</v>
      </c>
      <c r="I6198" s="3" t="s">
        <v>10353</v>
      </c>
    </row>
    <row r="6199" spans="2:9" hidden="1" x14ac:dyDescent="0.4">
      <c r="B6199" s="8" t="s">
        <v>518</v>
      </c>
      <c r="C6199" s="3" t="s">
        <v>9983</v>
      </c>
      <c r="D6199" s="3" t="s">
        <v>10503</v>
      </c>
      <c r="F6199" s="3" t="s">
        <v>399</v>
      </c>
      <c r="I6199" s="3" t="s">
        <v>10353</v>
      </c>
    </row>
    <row r="6200" spans="2:9" hidden="1" x14ac:dyDescent="0.4">
      <c r="B6200" s="8" t="s">
        <v>518</v>
      </c>
      <c r="C6200" s="3" t="s">
        <v>9984</v>
      </c>
      <c r="D6200" s="3" t="s">
        <v>10504</v>
      </c>
      <c r="E6200" s="3" t="s">
        <v>1272</v>
      </c>
      <c r="F6200" s="3" t="s">
        <v>399</v>
      </c>
      <c r="I6200" s="3" t="s">
        <v>10353</v>
      </c>
    </row>
    <row r="6201" spans="2:9" hidden="1" x14ac:dyDescent="0.4">
      <c r="B6201" s="8" t="s">
        <v>529</v>
      </c>
      <c r="C6201" s="3" t="s">
        <v>9985</v>
      </c>
      <c r="D6201" s="3" t="s">
        <v>10505</v>
      </c>
      <c r="E6201" s="3" t="s">
        <v>1272</v>
      </c>
      <c r="F6201" s="3" t="s">
        <v>399</v>
      </c>
      <c r="I6201" s="3" t="s">
        <v>10353</v>
      </c>
    </row>
    <row r="6202" spans="2:9" hidden="1" x14ac:dyDescent="0.4">
      <c r="B6202" s="8" t="s">
        <v>532</v>
      </c>
      <c r="C6202" s="3" t="s">
        <v>10527</v>
      </c>
      <c r="D6202" s="3" t="s">
        <v>10506</v>
      </c>
      <c r="E6202" s="3" t="s">
        <v>1272</v>
      </c>
      <c r="F6202" s="3" t="s">
        <v>399</v>
      </c>
      <c r="I6202" s="3" t="s">
        <v>10353</v>
      </c>
    </row>
    <row r="6203" spans="2:9" hidden="1" x14ac:dyDescent="0.4">
      <c r="B6203" s="8" t="s">
        <v>529</v>
      </c>
      <c r="C6203" s="3" t="s">
        <v>9986</v>
      </c>
      <c r="D6203" s="3" t="s">
        <v>10507</v>
      </c>
      <c r="E6203" s="3" t="s">
        <v>1272</v>
      </c>
      <c r="F6203" s="3" t="s">
        <v>399</v>
      </c>
      <c r="I6203" s="3" t="s">
        <v>10353</v>
      </c>
    </row>
    <row r="6204" spans="2:9" hidden="1" x14ac:dyDescent="0.4">
      <c r="B6204" s="8" t="s">
        <v>532</v>
      </c>
      <c r="C6204" s="3" t="s">
        <v>9987</v>
      </c>
      <c r="D6204" s="3" t="s">
        <v>10508</v>
      </c>
      <c r="E6204" s="3" t="s">
        <v>1272</v>
      </c>
      <c r="F6204" s="3" t="s">
        <v>399</v>
      </c>
      <c r="I6204" s="3" t="s">
        <v>10353</v>
      </c>
    </row>
    <row r="6205" spans="2:9" hidden="1" x14ac:dyDescent="0.4">
      <c r="B6205" s="8" t="s">
        <v>517</v>
      </c>
      <c r="C6205" s="3" t="s">
        <v>9988</v>
      </c>
      <c r="D6205" s="3" t="s">
        <v>10509</v>
      </c>
      <c r="E6205" s="3" t="s">
        <v>1272</v>
      </c>
      <c r="F6205" s="3" t="s">
        <v>399</v>
      </c>
      <c r="I6205" s="3" t="s">
        <v>10353</v>
      </c>
    </row>
    <row r="6206" spans="2:9" hidden="1" x14ac:dyDescent="0.4">
      <c r="B6206" s="8" t="s">
        <v>520</v>
      </c>
      <c r="C6206" s="3" t="s">
        <v>9989</v>
      </c>
      <c r="D6206" s="3" t="s">
        <v>10510</v>
      </c>
      <c r="E6206" s="3" t="s">
        <v>1272</v>
      </c>
      <c r="F6206" s="3" t="s">
        <v>399</v>
      </c>
      <c r="I6206" s="3" t="s">
        <v>10353</v>
      </c>
    </row>
    <row r="6207" spans="2:9" hidden="1" x14ac:dyDescent="0.4">
      <c r="B6207" s="8" t="s">
        <v>529</v>
      </c>
      <c r="C6207" s="3" t="s">
        <v>9990</v>
      </c>
      <c r="D6207" s="3" t="s">
        <v>10503</v>
      </c>
      <c r="E6207" s="3" t="s">
        <v>432</v>
      </c>
      <c r="F6207" s="3" t="s">
        <v>399</v>
      </c>
      <c r="I6207" s="3" t="s">
        <v>10353</v>
      </c>
    </row>
    <row r="6208" spans="2:9" hidden="1" x14ac:dyDescent="0.4">
      <c r="B6208" s="8" t="s">
        <v>529</v>
      </c>
      <c r="C6208" s="3" t="s">
        <v>9991</v>
      </c>
      <c r="D6208" s="3" t="s">
        <v>10511</v>
      </c>
      <c r="F6208" s="3" t="s">
        <v>399</v>
      </c>
      <c r="I6208" s="3" t="s">
        <v>10353</v>
      </c>
    </row>
    <row r="6209" spans="2:9" hidden="1" x14ac:dyDescent="0.4">
      <c r="B6209" s="8" t="s">
        <v>520</v>
      </c>
      <c r="C6209" s="3" t="s">
        <v>9992</v>
      </c>
      <c r="D6209" s="3" t="s">
        <v>10512</v>
      </c>
      <c r="E6209" s="3" t="s">
        <v>1272</v>
      </c>
      <c r="F6209" s="3" t="s">
        <v>399</v>
      </c>
      <c r="I6209" s="3" t="s">
        <v>10353</v>
      </c>
    </row>
    <row r="6210" spans="2:9" hidden="1" x14ac:dyDescent="0.4">
      <c r="B6210" s="8" t="s">
        <v>517</v>
      </c>
      <c r="C6210" s="3" t="s">
        <v>9993</v>
      </c>
      <c r="D6210" s="3" t="s">
        <v>10513</v>
      </c>
      <c r="E6210" s="3" t="s">
        <v>1272</v>
      </c>
      <c r="F6210" s="3" t="s">
        <v>399</v>
      </c>
      <c r="I6210" s="3" t="s">
        <v>10353</v>
      </c>
    </row>
    <row r="6211" spans="2:9" hidden="1" x14ac:dyDescent="0.4">
      <c r="B6211" s="8" t="s">
        <v>520</v>
      </c>
      <c r="C6211" s="3" t="s">
        <v>9994</v>
      </c>
      <c r="D6211" s="3" t="s">
        <v>10514</v>
      </c>
      <c r="E6211" s="3" t="s">
        <v>1272</v>
      </c>
      <c r="F6211" s="3" t="s">
        <v>399</v>
      </c>
      <c r="I6211" s="3" t="s">
        <v>10353</v>
      </c>
    </row>
    <row r="6212" spans="2:9" hidden="1" x14ac:dyDescent="0.4">
      <c r="B6212" s="8" t="s">
        <v>517</v>
      </c>
      <c r="C6212" s="3" t="s">
        <v>9995</v>
      </c>
      <c r="D6212" s="3" t="s">
        <v>10515</v>
      </c>
      <c r="E6212" s="3" t="s">
        <v>432</v>
      </c>
      <c r="F6212" s="3" t="s">
        <v>399</v>
      </c>
      <c r="I6212" s="3" t="s">
        <v>10353</v>
      </c>
    </row>
    <row r="6213" spans="2:9" hidden="1" x14ac:dyDescent="0.4">
      <c r="B6213" s="8" t="s">
        <v>518</v>
      </c>
      <c r="C6213" s="3" t="s">
        <v>9996</v>
      </c>
      <c r="D6213" s="3" t="s">
        <v>10528</v>
      </c>
      <c r="F6213" s="3" t="s">
        <v>399</v>
      </c>
      <c r="I6213" s="3" t="s">
        <v>10353</v>
      </c>
    </row>
    <row r="6214" spans="2:9" hidden="1" x14ac:dyDescent="0.4">
      <c r="B6214" s="8" t="s">
        <v>518</v>
      </c>
      <c r="C6214" s="3" t="s">
        <v>9998</v>
      </c>
      <c r="D6214" s="3" t="s">
        <v>10516</v>
      </c>
      <c r="F6214" s="3" t="s">
        <v>399</v>
      </c>
      <c r="I6214" s="3" t="s">
        <v>10353</v>
      </c>
    </row>
    <row r="6215" spans="2:9" hidden="1" x14ac:dyDescent="0.4">
      <c r="B6215" s="8" t="s">
        <v>518</v>
      </c>
      <c r="C6215" s="3" t="s">
        <v>9997</v>
      </c>
      <c r="D6215" s="3" t="s">
        <v>10516</v>
      </c>
      <c r="F6215" s="3" t="s">
        <v>399</v>
      </c>
      <c r="I6215" s="3" t="s">
        <v>10353</v>
      </c>
    </row>
    <row r="6216" spans="2:9" hidden="1" x14ac:dyDescent="0.4">
      <c r="B6216" s="8" t="s">
        <v>531</v>
      </c>
      <c r="C6216" s="3" t="s">
        <v>9999</v>
      </c>
      <c r="D6216" s="3" t="s">
        <v>10517</v>
      </c>
      <c r="F6216" s="3" t="s">
        <v>399</v>
      </c>
      <c r="I6216" s="3" t="s">
        <v>10353</v>
      </c>
    </row>
    <row r="6217" spans="2:9" hidden="1" x14ac:dyDescent="0.4">
      <c r="B6217" s="8" t="s">
        <v>518</v>
      </c>
      <c r="C6217" s="3" t="s">
        <v>10000</v>
      </c>
      <c r="D6217" s="3" t="s">
        <v>10518</v>
      </c>
      <c r="F6217" s="3" t="s">
        <v>399</v>
      </c>
      <c r="I6217" s="3" t="s">
        <v>10353</v>
      </c>
    </row>
    <row r="6218" spans="2:9" hidden="1" x14ac:dyDescent="0.4">
      <c r="B6218" s="8" t="s">
        <v>532</v>
      </c>
      <c r="C6218" s="3" t="s">
        <v>10001</v>
      </c>
      <c r="D6218" s="3" t="s">
        <v>10519</v>
      </c>
      <c r="F6218" s="3" t="s">
        <v>399</v>
      </c>
      <c r="I6218" s="3" t="s">
        <v>10353</v>
      </c>
    </row>
    <row r="6219" spans="2:9" hidden="1" x14ac:dyDescent="0.4">
      <c r="B6219" s="8" t="s">
        <v>518</v>
      </c>
      <c r="C6219" s="3" t="s">
        <v>10002</v>
      </c>
      <c r="D6219" s="3" t="s">
        <v>10520</v>
      </c>
      <c r="F6219" s="3" t="s">
        <v>399</v>
      </c>
      <c r="I6219" s="3" t="s">
        <v>10353</v>
      </c>
    </row>
    <row r="6220" spans="2:9" hidden="1" x14ac:dyDescent="0.4">
      <c r="B6220" s="8" t="s">
        <v>517</v>
      </c>
      <c r="C6220" s="3" t="s">
        <v>10003</v>
      </c>
      <c r="D6220" s="3" t="s">
        <v>10521</v>
      </c>
      <c r="F6220" s="3" t="s">
        <v>399</v>
      </c>
      <c r="I6220" s="3" t="s">
        <v>10353</v>
      </c>
    </row>
    <row r="6221" spans="2:9" hidden="1" x14ac:dyDescent="0.4">
      <c r="B6221" s="8" t="s">
        <v>518</v>
      </c>
      <c r="C6221" s="3" t="s">
        <v>10004</v>
      </c>
      <c r="D6221" s="3" t="s">
        <v>10522</v>
      </c>
      <c r="F6221" s="3" t="s">
        <v>399</v>
      </c>
      <c r="I6221" s="3" t="s">
        <v>10353</v>
      </c>
    </row>
    <row r="6222" spans="2:9" hidden="1" x14ac:dyDescent="0.4">
      <c r="B6222" s="8" t="s">
        <v>520</v>
      </c>
      <c r="C6222" s="3" t="s">
        <v>10005</v>
      </c>
      <c r="D6222" s="3" t="s">
        <v>10529</v>
      </c>
      <c r="F6222" s="3" t="s">
        <v>399</v>
      </c>
      <c r="I6222" s="3" t="s">
        <v>10353</v>
      </c>
    </row>
    <row r="6223" spans="2:9" hidden="1" x14ac:dyDescent="0.4">
      <c r="B6223" s="8" t="s">
        <v>531</v>
      </c>
      <c r="C6223" s="3" t="s">
        <v>10006</v>
      </c>
      <c r="D6223" s="3" t="s">
        <v>10530</v>
      </c>
      <c r="F6223" s="3" t="s">
        <v>399</v>
      </c>
      <c r="I6223" s="3" t="s">
        <v>10353</v>
      </c>
    </row>
    <row r="6224" spans="2:9" hidden="1" x14ac:dyDescent="0.4">
      <c r="B6224" s="8" t="s">
        <v>518</v>
      </c>
      <c r="C6224" s="3" t="s">
        <v>10007</v>
      </c>
      <c r="D6224" s="3" t="s">
        <v>10523</v>
      </c>
      <c r="F6224" s="3" t="s">
        <v>399</v>
      </c>
      <c r="I6224" s="3" t="s">
        <v>10353</v>
      </c>
    </row>
    <row r="6225" spans="2:9" hidden="1" x14ac:dyDescent="0.4">
      <c r="B6225" s="8" t="s">
        <v>520</v>
      </c>
      <c r="C6225" s="3" t="s">
        <v>10008</v>
      </c>
      <c r="D6225" s="3" t="s">
        <v>10524</v>
      </c>
      <c r="F6225" s="3" t="s">
        <v>399</v>
      </c>
      <c r="I6225" s="3" t="s">
        <v>10353</v>
      </c>
    </row>
    <row r="6226" spans="2:9" hidden="1" x14ac:dyDescent="0.4">
      <c r="B6226" s="8" t="s">
        <v>520</v>
      </c>
      <c r="C6226" s="3" t="s">
        <v>10009</v>
      </c>
      <c r="D6226" s="3" t="s">
        <v>10525</v>
      </c>
      <c r="F6226" s="3" t="s">
        <v>399</v>
      </c>
      <c r="I6226" s="3" t="s">
        <v>10353</v>
      </c>
    </row>
    <row r="6227" spans="2:9" hidden="1" x14ac:dyDescent="0.4">
      <c r="B6227" s="8" t="s">
        <v>532</v>
      </c>
      <c r="C6227" s="3" t="s">
        <v>10010</v>
      </c>
      <c r="D6227" s="3" t="s">
        <v>10526</v>
      </c>
      <c r="F6227" s="3" t="s">
        <v>399</v>
      </c>
      <c r="I6227" s="3" t="s">
        <v>10353</v>
      </c>
    </row>
    <row r="6228" spans="2:9" hidden="1" x14ac:dyDescent="0.4">
      <c r="B6228" s="8" t="s">
        <v>530</v>
      </c>
      <c r="C6228" s="3" t="s">
        <v>9833</v>
      </c>
      <c r="D6228" s="3" t="s">
        <v>10352</v>
      </c>
      <c r="F6228" s="3" t="s">
        <v>399</v>
      </c>
      <c r="I6228" s="3" t="s">
        <v>10353</v>
      </c>
    </row>
    <row r="6229" spans="2:9" hidden="1" x14ac:dyDescent="0.4">
      <c r="B6229" s="8" t="s">
        <v>517</v>
      </c>
      <c r="C6229" s="3" t="s">
        <v>10011</v>
      </c>
      <c r="D6229" s="3" t="s">
        <v>10531</v>
      </c>
      <c r="E6229" s="3" t="s">
        <v>1272</v>
      </c>
      <c r="F6229" s="3" t="s">
        <v>399</v>
      </c>
      <c r="I6229" s="3" t="s">
        <v>10353</v>
      </c>
    </row>
    <row r="6230" spans="2:9" hidden="1" x14ac:dyDescent="0.4">
      <c r="B6230" s="8" t="s">
        <v>532</v>
      </c>
      <c r="C6230" s="3" t="s">
        <v>10012</v>
      </c>
      <c r="D6230" s="3" t="s">
        <v>10531</v>
      </c>
      <c r="F6230" s="3" t="s">
        <v>399</v>
      </c>
      <c r="I6230" s="3" t="s">
        <v>10353</v>
      </c>
    </row>
    <row r="6231" spans="2:9" hidden="1" x14ac:dyDescent="0.4">
      <c r="B6231" s="8" t="s">
        <v>520</v>
      </c>
      <c r="C6231" s="3" t="s">
        <v>10013</v>
      </c>
      <c r="D6231" s="3" t="s">
        <v>10532</v>
      </c>
      <c r="F6231" s="3" t="s">
        <v>399</v>
      </c>
      <c r="I6231" s="3" t="s">
        <v>10353</v>
      </c>
    </row>
    <row r="6232" spans="2:9" hidden="1" x14ac:dyDescent="0.4">
      <c r="B6232" s="8" t="s">
        <v>520</v>
      </c>
      <c r="C6232" s="3" t="s">
        <v>10014</v>
      </c>
      <c r="D6232" s="3" t="s">
        <v>10533</v>
      </c>
      <c r="F6232" s="3" t="s">
        <v>399</v>
      </c>
      <c r="I6232" s="3" t="s">
        <v>10353</v>
      </c>
    </row>
    <row r="6233" spans="2:9" hidden="1" x14ac:dyDescent="0.4">
      <c r="B6233" s="8" t="s">
        <v>517</v>
      </c>
      <c r="C6233" s="3" t="s">
        <v>10015</v>
      </c>
      <c r="D6233" s="3" t="s">
        <v>10534</v>
      </c>
      <c r="F6233" s="3" t="s">
        <v>399</v>
      </c>
      <c r="I6233" s="3" t="s">
        <v>10353</v>
      </c>
    </row>
    <row r="6234" spans="2:9" hidden="1" x14ac:dyDescent="0.4">
      <c r="B6234" s="8" t="s">
        <v>517</v>
      </c>
      <c r="C6234" s="3" t="s">
        <v>10016</v>
      </c>
      <c r="D6234" s="3" t="s">
        <v>10535</v>
      </c>
      <c r="F6234" s="3" t="s">
        <v>399</v>
      </c>
      <c r="I6234" s="3" t="s">
        <v>10353</v>
      </c>
    </row>
    <row r="6235" spans="2:9" hidden="1" x14ac:dyDescent="0.4">
      <c r="B6235" s="8" t="s">
        <v>529</v>
      </c>
      <c r="C6235" s="3" t="s">
        <v>10017</v>
      </c>
      <c r="D6235" s="3" t="s">
        <v>10536</v>
      </c>
      <c r="F6235" s="3" t="s">
        <v>399</v>
      </c>
      <c r="I6235" s="3" t="s">
        <v>10353</v>
      </c>
    </row>
    <row r="6236" spans="2:9" hidden="1" x14ac:dyDescent="0.4">
      <c r="B6236" s="8" t="s">
        <v>520</v>
      </c>
      <c r="C6236" s="3" t="s">
        <v>10018</v>
      </c>
      <c r="D6236" s="3" t="s">
        <v>10537</v>
      </c>
      <c r="F6236" s="3" t="s">
        <v>399</v>
      </c>
      <c r="I6236" s="3" t="s">
        <v>10353</v>
      </c>
    </row>
    <row r="6237" spans="2:9" hidden="1" x14ac:dyDescent="0.4">
      <c r="B6237" s="8" t="s">
        <v>518</v>
      </c>
      <c r="C6237" s="3" t="s">
        <v>10019</v>
      </c>
      <c r="D6237" s="3" t="s">
        <v>10538</v>
      </c>
      <c r="F6237" s="3" t="s">
        <v>399</v>
      </c>
      <c r="I6237" s="3" t="s">
        <v>10353</v>
      </c>
    </row>
    <row r="6238" spans="2:9" hidden="1" x14ac:dyDescent="0.4">
      <c r="B6238" s="8" t="s">
        <v>529</v>
      </c>
      <c r="C6238" s="3" t="s">
        <v>10020</v>
      </c>
      <c r="D6238" s="3" t="s">
        <v>10539</v>
      </c>
      <c r="E6238" s="3" t="s">
        <v>1272</v>
      </c>
      <c r="F6238" s="3" t="s">
        <v>399</v>
      </c>
      <c r="I6238" s="3" t="s">
        <v>10353</v>
      </c>
    </row>
    <row r="6239" spans="2:9" hidden="1" x14ac:dyDescent="0.4">
      <c r="B6239" s="8" t="s">
        <v>520</v>
      </c>
      <c r="C6239" s="3" t="s">
        <v>10021</v>
      </c>
      <c r="D6239" s="3" t="s">
        <v>10540</v>
      </c>
      <c r="E6239" s="3" t="s">
        <v>1272</v>
      </c>
      <c r="F6239" s="3" t="s">
        <v>399</v>
      </c>
      <c r="I6239" s="3" t="s">
        <v>10353</v>
      </c>
    </row>
    <row r="6240" spans="2:9" hidden="1" x14ac:dyDescent="0.4">
      <c r="B6240" s="8" t="s">
        <v>517</v>
      </c>
      <c r="C6240" s="3" t="s">
        <v>10022</v>
      </c>
      <c r="D6240" s="3" t="s">
        <v>10541</v>
      </c>
      <c r="E6240" s="3" t="s">
        <v>1272</v>
      </c>
      <c r="F6240" s="3" t="s">
        <v>399</v>
      </c>
      <c r="I6240" s="3" t="s">
        <v>10353</v>
      </c>
    </row>
    <row r="6241" spans="2:9" hidden="1" x14ac:dyDescent="0.4">
      <c r="B6241" s="8" t="s">
        <v>517</v>
      </c>
      <c r="C6241" s="3" t="s">
        <v>10023</v>
      </c>
      <c r="D6241" s="3" t="s">
        <v>10542</v>
      </c>
      <c r="E6241" s="3" t="s">
        <v>1272</v>
      </c>
      <c r="F6241" s="3" t="s">
        <v>399</v>
      </c>
      <c r="I6241" s="3" t="s">
        <v>10353</v>
      </c>
    </row>
    <row r="6242" spans="2:9" hidden="1" x14ac:dyDescent="0.4">
      <c r="B6242" s="8" t="s">
        <v>520</v>
      </c>
      <c r="C6242" s="3" t="s">
        <v>10024</v>
      </c>
      <c r="D6242" s="3" t="s">
        <v>10543</v>
      </c>
      <c r="E6242" s="3" t="s">
        <v>1272</v>
      </c>
      <c r="F6242" s="3" t="s">
        <v>399</v>
      </c>
      <c r="I6242" s="3" t="s">
        <v>10353</v>
      </c>
    </row>
    <row r="6243" spans="2:9" hidden="1" x14ac:dyDescent="0.4">
      <c r="B6243" s="8" t="s">
        <v>517</v>
      </c>
      <c r="C6243" s="3" t="s">
        <v>10025</v>
      </c>
      <c r="D6243" s="3" t="s">
        <v>10544</v>
      </c>
      <c r="E6243" s="3" t="s">
        <v>1272</v>
      </c>
      <c r="F6243" s="3" t="s">
        <v>399</v>
      </c>
      <c r="I6243" s="3" t="s">
        <v>10353</v>
      </c>
    </row>
    <row r="6244" spans="2:9" hidden="1" x14ac:dyDescent="0.4">
      <c r="B6244" s="8" t="s">
        <v>517</v>
      </c>
      <c r="C6244" s="3" t="s">
        <v>10026</v>
      </c>
      <c r="D6244" s="3" t="s">
        <v>10545</v>
      </c>
      <c r="E6244" s="3" t="s">
        <v>1272</v>
      </c>
      <c r="F6244" s="3" t="s">
        <v>399</v>
      </c>
      <c r="I6244" s="3" t="s">
        <v>10353</v>
      </c>
    </row>
    <row r="6245" spans="2:9" hidden="1" x14ac:dyDescent="0.4">
      <c r="B6245" s="8" t="s">
        <v>517</v>
      </c>
      <c r="C6245" s="3" t="s">
        <v>10027</v>
      </c>
      <c r="D6245" s="3" t="s">
        <v>10546</v>
      </c>
      <c r="E6245" s="3" t="s">
        <v>1272</v>
      </c>
      <c r="F6245" s="3" t="s">
        <v>399</v>
      </c>
      <c r="I6245" s="3" t="s">
        <v>10353</v>
      </c>
    </row>
    <row r="6246" spans="2:9" hidden="1" x14ac:dyDescent="0.4">
      <c r="B6246" s="8" t="s">
        <v>529</v>
      </c>
      <c r="C6246" s="3" t="s">
        <v>10028</v>
      </c>
      <c r="D6246" s="3" t="s">
        <v>10547</v>
      </c>
      <c r="E6246" s="3" t="s">
        <v>1272</v>
      </c>
      <c r="F6246" s="3" t="s">
        <v>399</v>
      </c>
      <c r="I6246" s="3" t="s">
        <v>10353</v>
      </c>
    </row>
    <row r="6247" spans="2:9" hidden="1" x14ac:dyDescent="0.4">
      <c r="B6247" s="8" t="s">
        <v>520</v>
      </c>
      <c r="C6247" s="3" t="s">
        <v>10029</v>
      </c>
      <c r="D6247" s="3" t="s">
        <v>10548</v>
      </c>
      <c r="E6247" s="3" t="s">
        <v>1272</v>
      </c>
      <c r="F6247" s="3" t="s">
        <v>399</v>
      </c>
      <c r="I6247" s="3" t="s">
        <v>10353</v>
      </c>
    </row>
    <row r="6248" spans="2:9" hidden="1" x14ac:dyDescent="0.4">
      <c r="B6248" s="8" t="s">
        <v>517</v>
      </c>
      <c r="C6248" s="3" t="s">
        <v>10030</v>
      </c>
      <c r="D6248" s="3" t="s">
        <v>10549</v>
      </c>
      <c r="E6248" s="3" t="s">
        <v>1272</v>
      </c>
      <c r="F6248" s="3" t="s">
        <v>399</v>
      </c>
      <c r="I6248" s="3" t="s">
        <v>10353</v>
      </c>
    </row>
    <row r="6249" spans="2:9" hidden="1" x14ac:dyDescent="0.4">
      <c r="B6249" s="8" t="s">
        <v>520</v>
      </c>
      <c r="C6249" s="3" t="s">
        <v>10031</v>
      </c>
      <c r="D6249" s="3" t="s">
        <v>10549</v>
      </c>
      <c r="E6249" s="3" t="s">
        <v>1272</v>
      </c>
      <c r="F6249" s="3" t="s">
        <v>399</v>
      </c>
      <c r="I6249" s="3" t="s">
        <v>10353</v>
      </c>
    </row>
    <row r="6250" spans="2:9" hidden="1" x14ac:dyDescent="0.4">
      <c r="B6250" s="8" t="s">
        <v>518</v>
      </c>
      <c r="C6250" s="3" t="s">
        <v>10032</v>
      </c>
      <c r="D6250" s="3" t="s">
        <v>10550</v>
      </c>
      <c r="E6250" s="3" t="s">
        <v>1272</v>
      </c>
      <c r="F6250" s="3" t="s">
        <v>399</v>
      </c>
      <c r="I6250" s="3" t="s">
        <v>10353</v>
      </c>
    </row>
    <row r="6251" spans="2:9" hidden="1" x14ac:dyDescent="0.4">
      <c r="B6251" s="8" t="s">
        <v>516</v>
      </c>
      <c r="C6251" s="3" t="s">
        <v>10033</v>
      </c>
      <c r="D6251" s="3" t="s">
        <v>10551</v>
      </c>
      <c r="E6251" s="3" t="s">
        <v>1272</v>
      </c>
      <c r="F6251" s="3" t="s">
        <v>399</v>
      </c>
      <c r="I6251" s="3" t="s">
        <v>10353</v>
      </c>
    </row>
    <row r="6252" spans="2:9" hidden="1" x14ac:dyDescent="0.4">
      <c r="B6252" s="8" t="s">
        <v>520</v>
      </c>
      <c r="C6252" s="3" t="s">
        <v>10034</v>
      </c>
      <c r="D6252" s="3" t="s">
        <v>10552</v>
      </c>
      <c r="E6252" s="3" t="s">
        <v>1272</v>
      </c>
      <c r="F6252" s="3" t="s">
        <v>399</v>
      </c>
      <c r="I6252" s="3" t="s">
        <v>10353</v>
      </c>
    </row>
    <row r="6253" spans="2:9" hidden="1" x14ac:dyDescent="0.4">
      <c r="B6253" s="8" t="s">
        <v>520</v>
      </c>
      <c r="C6253" s="3" t="s">
        <v>10035</v>
      </c>
      <c r="D6253" s="3" t="s">
        <v>10553</v>
      </c>
      <c r="E6253" s="3" t="s">
        <v>1272</v>
      </c>
      <c r="F6253" s="3" t="s">
        <v>399</v>
      </c>
      <c r="I6253" s="3" t="s">
        <v>10353</v>
      </c>
    </row>
    <row r="6254" spans="2:9" hidden="1" x14ac:dyDescent="0.4">
      <c r="B6254" s="8" t="s">
        <v>520</v>
      </c>
      <c r="C6254" s="3" t="s">
        <v>10037</v>
      </c>
      <c r="D6254" s="3" t="s">
        <v>10554</v>
      </c>
      <c r="E6254" s="3" t="s">
        <v>1272</v>
      </c>
      <c r="F6254" s="3" t="s">
        <v>399</v>
      </c>
      <c r="I6254" s="3" t="s">
        <v>10353</v>
      </c>
    </row>
    <row r="6255" spans="2:9" hidden="1" x14ac:dyDescent="0.4">
      <c r="B6255" s="8" t="s">
        <v>518</v>
      </c>
      <c r="C6255" s="3" t="s">
        <v>10036</v>
      </c>
      <c r="D6255" s="3" t="s">
        <v>10555</v>
      </c>
      <c r="E6255" s="3" t="s">
        <v>1272</v>
      </c>
      <c r="F6255" s="3" t="s">
        <v>399</v>
      </c>
      <c r="I6255" s="3" t="s">
        <v>10353</v>
      </c>
    </row>
    <row r="6256" spans="2:9" hidden="1" x14ac:dyDescent="0.4">
      <c r="B6256" s="8" t="s">
        <v>520</v>
      </c>
      <c r="C6256" s="3" t="s">
        <v>10038</v>
      </c>
      <c r="D6256" s="3" t="s">
        <v>10556</v>
      </c>
      <c r="E6256" s="3" t="s">
        <v>1272</v>
      </c>
      <c r="F6256" s="3" t="s">
        <v>399</v>
      </c>
      <c r="I6256" s="3" t="s">
        <v>10353</v>
      </c>
    </row>
    <row r="6257" spans="2:9" hidden="1" x14ac:dyDescent="0.4">
      <c r="B6257" s="8" t="s">
        <v>518</v>
      </c>
      <c r="C6257" s="3" t="s">
        <v>10039</v>
      </c>
      <c r="D6257" s="3" t="s">
        <v>10557</v>
      </c>
      <c r="E6257" s="3" t="s">
        <v>1272</v>
      </c>
      <c r="F6257" s="3" t="s">
        <v>399</v>
      </c>
      <c r="I6257" s="3" t="s">
        <v>10353</v>
      </c>
    </row>
    <row r="6258" spans="2:9" hidden="1" x14ac:dyDescent="0.4">
      <c r="B6258" s="8" t="s">
        <v>520</v>
      </c>
      <c r="C6258" s="3" t="s">
        <v>10040</v>
      </c>
      <c r="D6258" s="3" t="s">
        <v>10558</v>
      </c>
      <c r="E6258" s="3" t="s">
        <v>1272</v>
      </c>
      <c r="F6258" s="3" t="s">
        <v>399</v>
      </c>
      <c r="I6258" s="3" t="s">
        <v>10353</v>
      </c>
    </row>
    <row r="6259" spans="2:9" hidden="1" x14ac:dyDescent="0.4">
      <c r="B6259" s="8" t="s">
        <v>529</v>
      </c>
      <c r="C6259" s="3" t="s">
        <v>10041</v>
      </c>
      <c r="D6259" s="3" t="s">
        <v>10559</v>
      </c>
      <c r="E6259" s="3" t="s">
        <v>1272</v>
      </c>
      <c r="F6259" s="3" t="s">
        <v>399</v>
      </c>
      <c r="I6259" s="3" t="s">
        <v>10353</v>
      </c>
    </row>
    <row r="6260" spans="2:9" hidden="1" x14ac:dyDescent="0.4">
      <c r="B6260" s="8" t="s">
        <v>517</v>
      </c>
      <c r="C6260" s="3" t="s">
        <v>10042</v>
      </c>
      <c r="D6260" s="3" t="s">
        <v>10559</v>
      </c>
      <c r="E6260" s="3" t="s">
        <v>1272</v>
      </c>
      <c r="F6260" s="3" t="s">
        <v>399</v>
      </c>
      <c r="I6260" s="3" t="s">
        <v>10353</v>
      </c>
    </row>
    <row r="6261" spans="2:9" hidden="1" x14ac:dyDescent="0.4">
      <c r="B6261" s="8" t="s">
        <v>517</v>
      </c>
      <c r="C6261" s="3" t="s">
        <v>10043</v>
      </c>
      <c r="D6261" s="3" t="s">
        <v>10560</v>
      </c>
      <c r="E6261" s="3" t="s">
        <v>1272</v>
      </c>
      <c r="F6261" s="3" t="s">
        <v>399</v>
      </c>
      <c r="I6261" s="3" t="s">
        <v>10353</v>
      </c>
    </row>
    <row r="6262" spans="2:9" hidden="1" x14ac:dyDescent="0.4">
      <c r="B6262" s="8" t="s">
        <v>520</v>
      </c>
      <c r="C6262" s="3" t="s">
        <v>10044</v>
      </c>
      <c r="D6262" s="3" t="s">
        <v>10561</v>
      </c>
      <c r="E6262" s="3" t="s">
        <v>1272</v>
      </c>
      <c r="F6262" s="3" t="s">
        <v>399</v>
      </c>
      <c r="I6262" s="3" t="s">
        <v>10353</v>
      </c>
    </row>
    <row r="6263" spans="2:9" hidden="1" x14ac:dyDescent="0.4">
      <c r="B6263" s="8" t="s">
        <v>520</v>
      </c>
      <c r="C6263" s="3" t="s">
        <v>10045</v>
      </c>
      <c r="D6263" s="3" t="s">
        <v>10562</v>
      </c>
      <c r="E6263" s="3" t="s">
        <v>1272</v>
      </c>
      <c r="F6263" s="3" t="s">
        <v>399</v>
      </c>
      <c r="I6263" s="3" t="s">
        <v>10353</v>
      </c>
    </row>
    <row r="6264" spans="2:9" hidden="1" x14ac:dyDescent="0.4">
      <c r="B6264" s="8" t="s">
        <v>517</v>
      </c>
      <c r="C6264" s="3" t="s">
        <v>10046</v>
      </c>
      <c r="D6264" s="3" t="s">
        <v>10563</v>
      </c>
      <c r="E6264" s="3" t="s">
        <v>1272</v>
      </c>
      <c r="F6264" s="3" t="s">
        <v>399</v>
      </c>
      <c r="I6264" s="3" t="s">
        <v>10353</v>
      </c>
    </row>
    <row r="6265" spans="2:9" hidden="1" x14ac:dyDescent="0.4">
      <c r="B6265" s="8" t="s">
        <v>529</v>
      </c>
      <c r="C6265" s="3" t="s">
        <v>10047</v>
      </c>
      <c r="D6265" s="3" t="s">
        <v>10564</v>
      </c>
      <c r="E6265" s="3" t="s">
        <v>1272</v>
      </c>
      <c r="F6265" s="3" t="s">
        <v>399</v>
      </c>
      <c r="I6265" s="3" t="s">
        <v>10353</v>
      </c>
    </row>
    <row r="6266" spans="2:9" hidden="1" x14ac:dyDescent="0.4">
      <c r="B6266" s="8" t="s">
        <v>518</v>
      </c>
      <c r="C6266" s="3" t="s">
        <v>10048</v>
      </c>
      <c r="D6266" s="3" t="s">
        <v>10565</v>
      </c>
      <c r="E6266" s="3" t="s">
        <v>1272</v>
      </c>
      <c r="F6266" s="3" t="s">
        <v>399</v>
      </c>
      <c r="I6266" s="3" t="s">
        <v>10353</v>
      </c>
    </row>
    <row r="6267" spans="2:9" hidden="1" x14ac:dyDescent="0.4">
      <c r="B6267" s="8" t="s">
        <v>529</v>
      </c>
      <c r="C6267" s="3" t="s">
        <v>10049</v>
      </c>
      <c r="D6267" s="3" t="s">
        <v>10566</v>
      </c>
      <c r="E6267" s="3" t="s">
        <v>1272</v>
      </c>
      <c r="F6267" s="3" t="s">
        <v>399</v>
      </c>
      <c r="I6267" s="3" t="s">
        <v>10353</v>
      </c>
    </row>
    <row r="6268" spans="2:9" hidden="1" x14ac:dyDescent="0.4">
      <c r="B6268" s="8" t="s">
        <v>520</v>
      </c>
      <c r="C6268" s="3" t="s">
        <v>10050</v>
      </c>
      <c r="D6268" s="3" t="s">
        <v>10567</v>
      </c>
      <c r="E6268" s="3" t="s">
        <v>1272</v>
      </c>
      <c r="F6268" s="3" t="s">
        <v>399</v>
      </c>
      <c r="I6268" s="3" t="s">
        <v>10353</v>
      </c>
    </row>
    <row r="6269" spans="2:9" hidden="1" x14ac:dyDescent="0.4">
      <c r="B6269" s="8" t="s">
        <v>529</v>
      </c>
      <c r="C6269" s="3" t="s">
        <v>10051</v>
      </c>
      <c r="D6269" s="3" t="s">
        <v>10568</v>
      </c>
      <c r="E6269" s="3" t="s">
        <v>1272</v>
      </c>
      <c r="F6269" s="3" t="s">
        <v>399</v>
      </c>
      <c r="I6269" s="3" t="s">
        <v>10353</v>
      </c>
    </row>
    <row r="6270" spans="2:9" hidden="1" x14ac:dyDescent="0.4">
      <c r="B6270" s="8" t="s">
        <v>517</v>
      </c>
      <c r="C6270" s="3" t="s">
        <v>10052</v>
      </c>
      <c r="D6270" s="3" t="s">
        <v>10569</v>
      </c>
      <c r="E6270" s="3" t="s">
        <v>1272</v>
      </c>
      <c r="F6270" s="3" t="s">
        <v>399</v>
      </c>
      <c r="I6270" s="3" t="s">
        <v>10353</v>
      </c>
    </row>
    <row r="6271" spans="2:9" hidden="1" x14ac:dyDescent="0.4">
      <c r="B6271" s="8" t="s">
        <v>517</v>
      </c>
      <c r="C6271" s="3" t="s">
        <v>10053</v>
      </c>
      <c r="D6271" s="3" t="s">
        <v>10570</v>
      </c>
      <c r="E6271" s="3" t="s">
        <v>1272</v>
      </c>
      <c r="F6271" s="3" t="s">
        <v>399</v>
      </c>
      <c r="I6271" s="3" t="s">
        <v>10353</v>
      </c>
    </row>
    <row r="6272" spans="2:9" hidden="1" x14ac:dyDescent="0.4">
      <c r="B6272" s="8" t="s">
        <v>531</v>
      </c>
      <c r="C6272" s="3" t="s">
        <v>10054</v>
      </c>
      <c r="D6272" s="3" t="s">
        <v>10571</v>
      </c>
      <c r="F6272" s="3" t="s">
        <v>399</v>
      </c>
      <c r="I6272" s="3" t="s">
        <v>10353</v>
      </c>
    </row>
    <row r="6273" spans="2:9" hidden="1" x14ac:dyDescent="0.4">
      <c r="B6273" s="8" t="s">
        <v>529</v>
      </c>
      <c r="C6273" s="3" t="s">
        <v>10055</v>
      </c>
      <c r="D6273" s="3" t="s">
        <v>10572</v>
      </c>
      <c r="E6273" s="3" t="s">
        <v>1272</v>
      </c>
      <c r="F6273" s="3" t="s">
        <v>399</v>
      </c>
      <c r="I6273" s="3" t="s">
        <v>10353</v>
      </c>
    </row>
    <row r="6274" spans="2:9" hidden="1" x14ac:dyDescent="0.4">
      <c r="B6274" s="8" t="s">
        <v>517</v>
      </c>
      <c r="C6274" s="3" t="s">
        <v>10056</v>
      </c>
      <c r="D6274" s="3" t="s">
        <v>10573</v>
      </c>
      <c r="E6274" s="3" t="s">
        <v>1272</v>
      </c>
      <c r="F6274" s="3" t="s">
        <v>399</v>
      </c>
      <c r="I6274" s="3" t="s">
        <v>10353</v>
      </c>
    </row>
    <row r="6275" spans="2:9" hidden="1" x14ac:dyDescent="0.4">
      <c r="B6275" s="8" t="s">
        <v>518</v>
      </c>
      <c r="C6275" s="3" t="s">
        <v>10057</v>
      </c>
      <c r="D6275" s="3" t="s">
        <v>10574</v>
      </c>
      <c r="F6275" s="3" t="s">
        <v>399</v>
      </c>
      <c r="I6275" s="3" t="s">
        <v>10353</v>
      </c>
    </row>
    <row r="6276" spans="2:9" hidden="1" x14ac:dyDescent="0.4">
      <c r="B6276" s="8" t="s">
        <v>518</v>
      </c>
      <c r="C6276" s="3" t="s">
        <v>10058</v>
      </c>
      <c r="D6276" s="3" t="s">
        <v>10575</v>
      </c>
      <c r="F6276" s="3" t="s">
        <v>399</v>
      </c>
      <c r="I6276" s="3" t="s">
        <v>10353</v>
      </c>
    </row>
    <row r="6277" spans="2:9" hidden="1" x14ac:dyDescent="0.4">
      <c r="B6277" s="8" t="s">
        <v>520</v>
      </c>
      <c r="C6277" s="3" t="s">
        <v>10059</v>
      </c>
      <c r="D6277" s="3" t="s">
        <v>10576</v>
      </c>
      <c r="E6277" s="3" t="s">
        <v>1272</v>
      </c>
      <c r="F6277" s="3" t="s">
        <v>399</v>
      </c>
      <c r="I6277" s="3" t="s">
        <v>10353</v>
      </c>
    </row>
    <row r="6278" spans="2:9" hidden="1" x14ac:dyDescent="0.4">
      <c r="B6278" s="8" t="s">
        <v>518</v>
      </c>
      <c r="C6278" s="3" t="s">
        <v>10060</v>
      </c>
      <c r="D6278" s="3" t="s">
        <v>10577</v>
      </c>
      <c r="F6278" s="3" t="s">
        <v>399</v>
      </c>
      <c r="I6278" s="3" t="s">
        <v>10353</v>
      </c>
    </row>
    <row r="6279" spans="2:9" hidden="1" x14ac:dyDescent="0.4">
      <c r="B6279" s="8" t="s">
        <v>529</v>
      </c>
      <c r="C6279" s="3" t="s">
        <v>10061</v>
      </c>
      <c r="D6279" s="3" t="s">
        <v>10577</v>
      </c>
      <c r="F6279" s="3" t="s">
        <v>399</v>
      </c>
      <c r="I6279" s="3" t="s">
        <v>10353</v>
      </c>
    </row>
    <row r="6280" spans="2:9" hidden="1" x14ac:dyDescent="0.4">
      <c r="B6280" s="8" t="s">
        <v>517</v>
      </c>
      <c r="C6280" s="3" t="s">
        <v>10062</v>
      </c>
      <c r="D6280" s="3" t="s">
        <v>10578</v>
      </c>
      <c r="E6280" s="3" t="s">
        <v>1272</v>
      </c>
      <c r="F6280" s="3" t="s">
        <v>399</v>
      </c>
      <c r="I6280" s="3" t="s">
        <v>10353</v>
      </c>
    </row>
    <row r="6281" spans="2:9" hidden="1" x14ac:dyDescent="0.4">
      <c r="B6281" s="8" t="s">
        <v>517</v>
      </c>
      <c r="C6281" s="3" t="s">
        <v>10063</v>
      </c>
      <c r="D6281" s="3" t="s">
        <v>10579</v>
      </c>
      <c r="E6281" s="3" t="s">
        <v>1272</v>
      </c>
      <c r="F6281" s="3" t="s">
        <v>399</v>
      </c>
      <c r="I6281" s="3" t="s">
        <v>10353</v>
      </c>
    </row>
    <row r="6282" spans="2:9" hidden="1" x14ac:dyDescent="0.4">
      <c r="B6282" s="8" t="s">
        <v>517</v>
      </c>
      <c r="C6282" s="3" t="s">
        <v>10064</v>
      </c>
      <c r="D6282" s="3" t="s">
        <v>10580</v>
      </c>
      <c r="E6282" s="3" t="s">
        <v>1272</v>
      </c>
      <c r="F6282" s="3" t="s">
        <v>399</v>
      </c>
      <c r="I6282" s="3" t="s">
        <v>10353</v>
      </c>
    </row>
    <row r="6283" spans="2:9" hidden="1" x14ac:dyDescent="0.4">
      <c r="B6283" s="8" t="s">
        <v>529</v>
      </c>
      <c r="C6283" s="3" t="s">
        <v>10065</v>
      </c>
      <c r="D6283" s="3" t="s">
        <v>10581</v>
      </c>
      <c r="E6283" s="3" t="s">
        <v>1272</v>
      </c>
      <c r="F6283" s="3" t="s">
        <v>399</v>
      </c>
      <c r="I6283" s="3" t="s">
        <v>10353</v>
      </c>
    </row>
    <row r="6284" spans="2:9" hidden="1" x14ac:dyDescent="0.4">
      <c r="B6284" s="8" t="s">
        <v>531</v>
      </c>
      <c r="C6284" s="3" t="s">
        <v>10066</v>
      </c>
      <c r="D6284" s="3" t="s">
        <v>10581</v>
      </c>
      <c r="F6284" s="3" t="s">
        <v>399</v>
      </c>
      <c r="I6284" s="3" t="s">
        <v>10353</v>
      </c>
    </row>
    <row r="6285" spans="2:9" hidden="1" x14ac:dyDescent="0.4">
      <c r="B6285" s="8" t="s">
        <v>517</v>
      </c>
      <c r="C6285" s="3" t="s">
        <v>10067</v>
      </c>
      <c r="D6285" s="3" t="s">
        <v>10582</v>
      </c>
      <c r="E6285" s="3" t="s">
        <v>1272</v>
      </c>
      <c r="F6285" s="3" t="s">
        <v>399</v>
      </c>
      <c r="I6285" s="3" t="s">
        <v>10353</v>
      </c>
    </row>
    <row r="6286" spans="2:9" hidden="1" x14ac:dyDescent="0.4">
      <c r="B6286" s="8" t="s">
        <v>529</v>
      </c>
      <c r="C6286" s="3" t="s">
        <v>10068</v>
      </c>
      <c r="D6286" s="3" t="s">
        <v>10583</v>
      </c>
      <c r="E6286" s="3" t="s">
        <v>1272</v>
      </c>
      <c r="F6286" s="3" t="s">
        <v>399</v>
      </c>
      <c r="I6286" s="3" t="s">
        <v>10353</v>
      </c>
    </row>
    <row r="6287" spans="2:9" hidden="1" x14ac:dyDescent="0.4">
      <c r="B6287" s="8" t="s">
        <v>517</v>
      </c>
      <c r="C6287" s="3" t="s">
        <v>10069</v>
      </c>
      <c r="D6287" s="3" t="s">
        <v>10584</v>
      </c>
      <c r="E6287" s="3" t="s">
        <v>1272</v>
      </c>
      <c r="F6287" s="3" t="s">
        <v>399</v>
      </c>
      <c r="I6287" s="3" t="s">
        <v>10353</v>
      </c>
    </row>
    <row r="6288" spans="2:9" hidden="1" x14ac:dyDescent="0.4">
      <c r="B6288" s="8" t="s">
        <v>529</v>
      </c>
      <c r="C6288" s="3" t="s">
        <v>10070</v>
      </c>
      <c r="D6288" s="3" t="s">
        <v>10585</v>
      </c>
      <c r="E6288" s="3" t="s">
        <v>1272</v>
      </c>
      <c r="F6288" s="3" t="s">
        <v>399</v>
      </c>
      <c r="I6288" s="3" t="s">
        <v>10353</v>
      </c>
    </row>
    <row r="6289" spans="2:9" hidden="1" x14ac:dyDescent="0.4">
      <c r="B6289" s="8" t="s">
        <v>532</v>
      </c>
      <c r="C6289" s="3" t="s">
        <v>10071</v>
      </c>
      <c r="D6289" s="3" t="s">
        <v>10586</v>
      </c>
      <c r="F6289" s="3" t="s">
        <v>399</v>
      </c>
      <c r="I6289" s="3" t="s">
        <v>10353</v>
      </c>
    </row>
    <row r="6290" spans="2:9" hidden="1" x14ac:dyDescent="0.4">
      <c r="B6290" s="8" t="s">
        <v>530</v>
      </c>
      <c r="C6290" s="3" t="s">
        <v>10072</v>
      </c>
      <c r="D6290" s="3" t="s">
        <v>10587</v>
      </c>
      <c r="F6290" s="3" t="s">
        <v>399</v>
      </c>
      <c r="I6290" s="3" t="s">
        <v>10353</v>
      </c>
    </row>
    <row r="6291" spans="2:9" hidden="1" x14ac:dyDescent="0.4">
      <c r="B6291" s="8" t="s">
        <v>532</v>
      </c>
      <c r="C6291" s="3" t="s">
        <v>10073</v>
      </c>
      <c r="D6291" s="3" t="s">
        <v>10588</v>
      </c>
      <c r="F6291" s="3" t="s">
        <v>399</v>
      </c>
      <c r="I6291" s="3" t="s">
        <v>10353</v>
      </c>
    </row>
    <row r="6292" spans="2:9" hidden="1" x14ac:dyDescent="0.4">
      <c r="B6292" s="8" t="s">
        <v>530</v>
      </c>
      <c r="C6292" s="3" t="s">
        <v>10074</v>
      </c>
      <c r="D6292" s="3" t="s">
        <v>10589</v>
      </c>
      <c r="F6292" s="3" t="s">
        <v>399</v>
      </c>
      <c r="I6292" s="3" t="s">
        <v>10353</v>
      </c>
    </row>
    <row r="6293" spans="2:9" hidden="1" x14ac:dyDescent="0.4">
      <c r="B6293" s="8" t="s">
        <v>529</v>
      </c>
      <c r="C6293" s="3" t="s">
        <v>10075</v>
      </c>
      <c r="D6293" s="3" t="s">
        <v>10590</v>
      </c>
      <c r="F6293" s="3" t="s">
        <v>399</v>
      </c>
      <c r="I6293" s="3" t="s">
        <v>10353</v>
      </c>
    </row>
    <row r="6294" spans="2:9" hidden="1" x14ac:dyDescent="0.4">
      <c r="B6294" s="8" t="s">
        <v>529</v>
      </c>
      <c r="C6294" s="3" t="s">
        <v>10076</v>
      </c>
      <c r="D6294" s="3" t="s">
        <v>10591</v>
      </c>
      <c r="F6294" s="3" t="s">
        <v>399</v>
      </c>
      <c r="I6294" s="3" t="s">
        <v>10353</v>
      </c>
    </row>
    <row r="6295" spans="2:9" hidden="1" x14ac:dyDescent="0.4">
      <c r="B6295" s="8" t="s">
        <v>517</v>
      </c>
      <c r="C6295" s="3" t="s">
        <v>10077</v>
      </c>
      <c r="D6295" s="3" t="s">
        <v>10592</v>
      </c>
      <c r="F6295" s="3" t="s">
        <v>399</v>
      </c>
      <c r="I6295" s="3" t="s">
        <v>10353</v>
      </c>
    </row>
    <row r="6296" spans="2:9" hidden="1" x14ac:dyDescent="0.4">
      <c r="B6296" s="8" t="s">
        <v>529</v>
      </c>
      <c r="C6296" s="3" t="s">
        <v>10078</v>
      </c>
      <c r="D6296" s="3" t="s">
        <v>10593</v>
      </c>
      <c r="F6296" s="3" t="s">
        <v>399</v>
      </c>
      <c r="I6296" s="3" t="s">
        <v>10353</v>
      </c>
    </row>
    <row r="6297" spans="2:9" hidden="1" x14ac:dyDescent="0.4">
      <c r="B6297" s="8" t="s">
        <v>517</v>
      </c>
      <c r="C6297" s="3" t="s">
        <v>10079</v>
      </c>
      <c r="D6297" s="3" t="s">
        <v>10594</v>
      </c>
      <c r="E6297" s="3" t="s">
        <v>1272</v>
      </c>
      <c r="F6297" s="3" t="s">
        <v>399</v>
      </c>
      <c r="I6297" s="3" t="s">
        <v>10353</v>
      </c>
    </row>
    <row r="6298" spans="2:9" hidden="1" x14ac:dyDescent="0.4">
      <c r="B6298" s="8" t="s">
        <v>517</v>
      </c>
      <c r="C6298" s="3" t="s">
        <v>10080</v>
      </c>
      <c r="D6298" s="3" t="s">
        <v>10595</v>
      </c>
      <c r="E6298" s="3" t="s">
        <v>1272</v>
      </c>
      <c r="F6298" s="3" t="s">
        <v>399</v>
      </c>
      <c r="I6298" s="3" t="s">
        <v>10353</v>
      </c>
    </row>
    <row r="6299" spans="2:9" hidden="1" x14ac:dyDescent="0.4">
      <c r="B6299" s="8" t="s">
        <v>529</v>
      </c>
      <c r="C6299" s="3" t="s">
        <v>10081</v>
      </c>
      <c r="D6299" s="3" t="s">
        <v>10596</v>
      </c>
      <c r="F6299" s="3" t="s">
        <v>399</v>
      </c>
      <c r="I6299" s="3" t="s">
        <v>10353</v>
      </c>
    </row>
    <row r="6300" spans="2:9" hidden="1" x14ac:dyDescent="0.4">
      <c r="B6300" s="8" t="s">
        <v>520</v>
      </c>
      <c r="C6300" s="3" t="s">
        <v>10082</v>
      </c>
      <c r="D6300" s="3" t="s">
        <v>10597</v>
      </c>
      <c r="F6300" s="3" t="s">
        <v>399</v>
      </c>
      <c r="I6300" s="3" t="s">
        <v>10353</v>
      </c>
    </row>
    <row r="6301" spans="2:9" hidden="1" x14ac:dyDescent="0.4">
      <c r="B6301" s="8" t="s">
        <v>520</v>
      </c>
      <c r="C6301" s="3" t="s">
        <v>10083</v>
      </c>
      <c r="D6301" s="3" t="s">
        <v>10598</v>
      </c>
      <c r="E6301" s="3" t="s">
        <v>1272</v>
      </c>
      <c r="F6301" s="3" t="s">
        <v>399</v>
      </c>
      <c r="I6301" s="3" t="s">
        <v>10353</v>
      </c>
    </row>
    <row r="6302" spans="2:9" hidden="1" x14ac:dyDescent="0.4">
      <c r="B6302" s="8" t="s">
        <v>531</v>
      </c>
      <c r="C6302" s="3" t="s">
        <v>10084</v>
      </c>
      <c r="D6302" s="3" t="s">
        <v>10599</v>
      </c>
      <c r="E6302" s="3" t="s">
        <v>1272</v>
      </c>
      <c r="F6302" s="3" t="s">
        <v>399</v>
      </c>
      <c r="I6302" s="3" t="s">
        <v>10353</v>
      </c>
    </row>
    <row r="6303" spans="2:9" hidden="1" x14ac:dyDescent="0.4">
      <c r="B6303" s="8" t="s">
        <v>520</v>
      </c>
      <c r="C6303" s="3" t="s">
        <v>10085</v>
      </c>
      <c r="D6303" s="3" t="s">
        <v>10600</v>
      </c>
      <c r="E6303" s="3" t="s">
        <v>1272</v>
      </c>
      <c r="F6303" s="3" t="s">
        <v>399</v>
      </c>
      <c r="I6303" s="3" t="s">
        <v>10353</v>
      </c>
    </row>
    <row r="6304" spans="2:9" hidden="1" x14ac:dyDescent="0.4">
      <c r="B6304" s="8" t="s">
        <v>520</v>
      </c>
      <c r="C6304" s="3" t="s">
        <v>10086</v>
      </c>
      <c r="D6304" s="3" t="s">
        <v>10601</v>
      </c>
      <c r="E6304" s="3" t="s">
        <v>1272</v>
      </c>
      <c r="F6304" s="3" t="s">
        <v>399</v>
      </c>
      <c r="I6304" s="3" t="s">
        <v>10353</v>
      </c>
    </row>
    <row r="6305" spans="2:9" hidden="1" x14ac:dyDescent="0.4">
      <c r="B6305" s="8" t="s">
        <v>532</v>
      </c>
      <c r="C6305" s="3" t="s">
        <v>10087</v>
      </c>
      <c r="D6305" s="3" t="s">
        <v>10602</v>
      </c>
      <c r="F6305" s="3" t="s">
        <v>399</v>
      </c>
      <c r="I6305" s="3" t="s">
        <v>10353</v>
      </c>
    </row>
    <row r="6306" spans="2:9" hidden="1" x14ac:dyDescent="0.4">
      <c r="B6306" s="8" t="s">
        <v>517</v>
      </c>
      <c r="C6306" s="3" t="s">
        <v>10088</v>
      </c>
      <c r="D6306" s="3" t="s">
        <v>10603</v>
      </c>
      <c r="E6306" s="3" t="s">
        <v>1272</v>
      </c>
      <c r="F6306" s="3" t="s">
        <v>399</v>
      </c>
      <c r="I6306" s="3" t="s">
        <v>10353</v>
      </c>
    </row>
    <row r="6307" spans="2:9" hidden="1" x14ac:dyDescent="0.4">
      <c r="B6307" s="8" t="s">
        <v>518</v>
      </c>
      <c r="C6307" s="3" t="s">
        <v>10089</v>
      </c>
      <c r="D6307" s="3" t="s">
        <v>10604</v>
      </c>
      <c r="E6307" s="3" t="s">
        <v>1272</v>
      </c>
      <c r="F6307" s="3" t="s">
        <v>399</v>
      </c>
      <c r="I6307" s="3" t="s">
        <v>10353</v>
      </c>
    </row>
    <row r="6308" spans="2:9" hidden="1" x14ac:dyDescent="0.4">
      <c r="B6308" s="8" t="s">
        <v>520</v>
      </c>
      <c r="C6308" s="3" t="s">
        <v>10090</v>
      </c>
      <c r="D6308" s="3" t="s">
        <v>10605</v>
      </c>
      <c r="E6308" s="3" t="s">
        <v>1272</v>
      </c>
      <c r="F6308" s="3" t="s">
        <v>399</v>
      </c>
      <c r="I6308" s="3" t="s">
        <v>10353</v>
      </c>
    </row>
    <row r="6309" spans="2:9" hidden="1" x14ac:dyDescent="0.4">
      <c r="B6309" s="8" t="s">
        <v>529</v>
      </c>
      <c r="C6309" s="3" t="s">
        <v>10091</v>
      </c>
      <c r="D6309" s="3" t="s">
        <v>10606</v>
      </c>
      <c r="E6309" s="3" t="s">
        <v>1272</v>
      </c>
      <c r="F6309" s="3" t="s">
        <v>399</v>
      </c>
      <c r="I6309" s="3" t="s">
        <v>10353</v>
      </c>
    </row>
    <row r="6310" spans="2:9" hidden="1" x14ac:dyDescent="0.4">
      <c r="B6310" s="8" t="s">
        <v>529</v>
      </c>
      <c r="C6310" s="3" t="s">
        <v>10092</v>
      </c>
      <c r="D6310" s="3" t="s">
        <v>10607</v>
      </c>
      <c r="E6310" s="3" t="s">
        <v>1272</v>
      </c>
      <c r="F6310" s="3" t="s">
        <v>399</v>
      </c>
      <c r="I6310" s="3" t="s">
        <v>10353</v>
      </c>
    </row>
    <row r="6311" spans="2:9" hidden="1" x14ac:dyDescent="0.4">
      <c r="B6311" s="8" t="s">
        <v>517</v>
      </c>
      <c r="C6311" s="3" t="s">
        <v>10093</v>
      </c>
      <c r="D6311" s="3" t="s">
        <v>10608</v>
      </c>
      <c r="E6311" s="3" t="s">
        <v>1272</v>
      </c>
      <c r="F6311" s="3" t="s">
        <v>399</v>
      </c>
      <c r="I6311" s="3" t="s">
        <v>10353</v>
      </c>
    </row>
    <row r="6312" spans="2:9" hidden="1" x14ac:dyDescent="0.4">
      <c r="B6312" s="8" t="s">
        <v>520</v>
      </c>
      <c r="C6312" s="3" t="s">
        <v>10094</v>
      </c>
      <c r="D6312" s="3" t="s">
        <v>10609</v>
      </c>
      <c r="E6312" s="3" t="s">
        <v>1272</v>
      </c>
      <c r="F6312" s="3" t="s">
        <v>399</v>
      </c>
      <c r="I6312" s="3" t="s">
        <v>10353</v>
      </c>
    </row>
    <row r="6313" spans="2:9" hidden="1" x14ac:dyDescent="0.4">
      <c r="B6313" s="8" t="s">
        <v>517</v>
      </c>
      <c r="C6313" s="3" t="s">
        <v>10095</v>
      </c>
      <c r="D6313" s="3" t="s">
        <v>10610</v>
      </c>
      <c r="E6313" s="3" t="s">
        <v>1272</v>
      </c>
      <c r="F6313" s="3" t="s">
        <v>399</v>
      </c>
      <c r="I6313" s="3" t="s">
        <v>10353</v>
      </c>
    </row>
    <row r="6314" spans="2:9" hidden="1" x14ac:dyDescent="0.4">
      <c r="B6314" s="8" t="s">
        <v>520</v>
      </c>
      <c r="C6314" s="3" t="s">
        <v>10096</v>
      </c>
      <c r="D6314" s="3" t="s">
        <v>10611</v>
      </c>
      <c r="E6314" s="3" t="s">
        <v>1272</v>
      </c>
      <c r="F6314" s="3" t="s">
        <v>399</v>
      </c>
      <c r="I6314" s="3" t="s">
        <v>10353</v>
      </c>
    </row>
    <row r="6315" spans="2:9" hidden="1" x14ac:dyDescent="0.4">
      <c r="B6315" s="8" t="s">
        <v>518</v>
      </c>
      <c r="C6315" s="3" t="s">
        <v>10097</v>
      </c>
      <c r="D6315" s="3" t="s">
        <v>10612</v>
      </c>
      <c r="E6315" s="3" t="s">
        <v>1272</v>
      </c>
      <c r="F6315" s="3" t="s">
        <v>399</v>
      </c>
      <c r="I6315" s="3" t="s">
        <v>10353</v>
      </c>
    </row>
    <row r="6316" spans="2:9" hidden="1" x14ac:dyDescent="0.4">
      <c r="B6316" s="8" t="s">
        <v>520</v>
      </c>
      <c r="C6316" s="3" t="s">
        <v>10098</v>
      </c>
      <c r="D6316" s="3" t="s">
        <v>10613</v>
      </c>
      <c r="E6316" s="3" t="s">
        <v>1272</v>
      </c>
      <c r="F6316" s="3" t="s">
        <v>399</v>
      </c>
      <c r="I6316" s="3" t="s">
        <v>10353</v>
      </c>
    </row>
    <row r="6317" spans="2:9" hidden="1" x14ac:dyDescent="0.4">
      <c r="B6317" s="8" t="s">
        <v>520</v>
      </c>
      <c r="C6317" s="3" t="s">
        <v>10099</v>
      </c>
      <c r="D6317" s="3" t="s">
        <v>10614</v>
      </c>
      <c r="E6317" s="3" t="s">
        <v>1272</v>
      </c>
      <c r="F6317" s="3" t="s">
        <v>399</v>
      </c>
      <c r="I6317" s="3" t="s">
        <v>10353</v>
      </c>
    </row>
    <row r="6318" spans="2:9" hidden="1" x14ac:dyDescent="0.4">
      <c r="B6318" s="8" t="s">
        <v>532</v>
      </c>
      <c r="C6318" s="3" t="s">
        <v>10100</v>
      </c>
      <c r="D6318" s="3" t="s">
        <v>10615</v>
      </c>
      <c r="F6318" s="3" t="s">
        <v>399</v>
      </c>
      <c r="I6318" s="3" t="s">
        <v>10353</v>
      </c>
    </row>
    <row r="6319" spans="2:9" hidden="1" x14ac:dyDescent="0.4">
      <c r="B6319" s="8" t="s">
        <v>518</v>
      </c>
      <c r="C6319" s="3" t="s">
        <v>10101</v>
      </c>
      <c r="D6319" s="3" t="s">
        <v>10616</v>
      </c>
      <c r="E6319" s="3" t="s">
        <v>1272</v>
      </c>
      <c r="F6319" s="3" t="s">
        <v>399</v>
      </c>
      <c r="I6319" s="3" t="s">
        <v>10353</v>
      </c>
    </row>
    <row r="6320" spans="2:9" hidden="1" x14ac:dyDescent="0.4">
      <c r="B6320" s="8" t="s">
        <v>520</v>
      </c>
      <c r="C6320" s="3" t="s">
        <v>10102</v>
      </c>
      <c r="D6320" s="3" t="s">
        <v>10617</v>
      </c>
      <c r="E6320" s="3" t="s">
        <v>1272</v>
      </c>
      <c r="F6320" s="3" t="s">
        <v>399</v>
      </c>
      <c r="I6320" s="3" t="s">
        <v>10353</v>
      </c>
    </row>
    <row r="6321" spans="2:9" hidden="1" x14ac:dyDescent="0.4">
      <c r="B6321" s="8" t="s">
        <v>517</v>
      </c>
      <c r="C6321" s="3" t="s">
        <v>10103</v>
      </c>
      <c r="D6321" s="3" t="s">
        <v>10618</v>
      </c>
      <c r="E6321" s="3" t="s">
        <v>1272</v>
      </c>
      <c r="F6321" s="3" t="s">
        <v>399</v>
      </c>
      <c r="I6321" s="3" t="s">
        <v>10353</v>
      </c>
    </row>
    <row r="6322" spans="2:9" hidden="1" x14ac:dyDescent="0.4">
      <c r="B6322" s="8" t="s">
        <v>520</v>
      </c>
      <c r="C6322" s="3" t="s">
        <v>10104</v>
      </c>
      <c r="D6322" s="3" t="s">
        <v>10619</v>
      </c>
      <c r="E6322" s="3" t="s">
        <v>1272</v>
      </c>
      <c r="F6322" s="3" t="s">
        <v>399</v>
      </c>
      <c r="I6322" s="3" t="s">
        <v>10353</v>
      </c>
    </row>
    <row r="6323" spans="2:9" hidden="1" x14ac:dyDescent="0.4">
      <c r="B6323" s="8" t="s">
        <v>520</v>
      </c>
      <c r="C6323" s="3" t="s">
        <v>10105</v>
      </c>
      <c r="D6323" s="3" t="s">
        <v>10620</v>
      </c>
      <c r="E6323" s="3" t="s">
        <v>1272</v>
      </c>
      <c r="F6323" s="3" t="s">
        <v>399</v>
      </c>
      <c r="I6323" s="3" t="s">
        <v>10353</v>
      </c>
    </row>
    <row r="6324" spans="2:9" hidden="1" x14ac:dyDescent="0.4">
      <c r="B6324" s="8" t="s">
        <v>517</v>
      </c>
      <c r="C6324" s="3" t="s">
        <v>10106</v>
      </c>
      <c r="D6324" s="3" t="s">
        <v>10621</v>
      </c>
      <c r="E6324" s="3" t="s">
        <v>1272</v>
      </c>
      <c r="F6324" s="3" t="s">
        <v>399</v>
      </c>
      <c r="I6324" s="3" t="s">
        <v>10353</v>
      </c>
    </row>
    <row r="6325" spans="2:9" hidden="1" x14ac:dyDescent="0.4">
      <c r="B6325" s="8" t="s">
        <v>517</v>
      </c>
      <c r="C6325" s="3" t="s">
        <v>10107</v>
      </c>
      <c r="D6325" s="3" t="s">
        <v>10622</v>
      </c>
      <c r="E6325" s="3" t="s">
        <v>1272</v>
      </c>
      <c r="F6325" s="3" t="s">
        <v>399</v>
      </c>
      <c r="I6325" s="3" t="s">
        <v>10353</v>
      </c>
    </row>
    <row r="6326" spans="2:9" hidden="1" x14ac:dyDescent="0.4">
      <c r="B6326" s="8" t="s">
        <v>517</v>
      </c>
      <c r="C6326" s="3" t="s">
        <v>10108</v>
      </c>
      <c r="D6326" s="3" t="s">
        <v>10623</v>
      </c>
      <c r="E6326" s="3" t="s">
        <v>1272</v>
      </c>
      <c r="F6326" s="3" t="s">
        <v>399</v>
      </c>
      <c r="I6326" s="3" t="s">
        <v>10353</v>
      </c>
    </row>
    <row r="6327" spans="2:9" hidden="1" x14ac:dyDescent="0.4">
      <c r="B6327" s="8" t="s">
        <v>520</v>
      </c>
      <c r="C6327" s="3" t="s">
        <v>10109</v>
      </c>
      <c r="D6327" s="3" t="s">
        <v>10624</v>
      </c>
      <c r="E6327" s="3" t="s">
        <v>1272</v>
      </c>
      <c r="F6327" s="3" t="s">
        <v>399</v>
      </c>
      <c r="I6327" s="3" t="s">
        <v>10353</v>
      </c>
    </row>
    <row r="6328" spans="2:9" hidden="1" x14ac:dyDescent="0.4">
      <c r="B6328" s="8" t="s">
        <v>518</v>
      </c>
      <c r="C6328" s="3" t="s">
        <v>10110</v>
      </c>
      <c r="D6328" s="3" t="s">
        <v>10625</v>
      </c>
      <c r="E6328" s="3" t="s">
        <v>425</v>
      </c>
      <c r="F6328" s="3" t="s">
        <v>399</v>
      </c>
      <c r="I6328" s="3" t="s">
        <v>10353</v>
      </c>
    </row>
    <row r="6329" spans="2:9" hidden="1" x14ac:dyDescent="0.4">
      <c r="B6329" s="8" t="s">
        <v>531</v>
      </c>
      <c r="C6329" s="3" t="s">
        <v>10111</v>
      </c>
      <c r="D6329" s="3" t="s">
        <v>10626</v>
      </c>
      <c r="F6329" s="3" t="s">
        <v>399</v>
      </c>
      <c r="I6329" s="3" t="s">
        <v>10353</v>
      </c>
    </row>
    <row r="6330" spans="2:9" hidden="1" x14ac:dyDescent="0.4">
      <c r="B6330" s="8" t="s">
        <v>529</v>
      </c>
      <c r="C6330" s="3" t="s">
        <v>10112</v>
      </c>
      <c r="D6330" s="3" t="s">
        <v>10627</v>
      </c>
      <c r="E6330" s="3" t="s">
        <v>1272</v>
      </c>
      <c r="F6330" s="3" t="s">
        <v>399</v>
      </c>
      <c r="I6330" s="3" t="s">
        <v>10353</v>
      </c>
    </row>
    <row r="6331" spans="2:9" hidden="1" x14ac:dyDescent="0.4">
      <c r="B6331" s="8" t="s">
        <v>517</v>
      </c>
      <c r="C6331" s="3" t="s">
        <v>10113</v>
      </c>
      <c r="D6331" s="3" t="s">
        <v>10628</v>
      </c>
      <c r="E6331" s="3" t="s">
        <v>1272</v>
      </c>
      <c r="F6331" s="3" t="s">
        <v>399</v>
      </c>
      <c r="I6331" s="3" t="s">
        <v>10353</v>
      </c>
    </row>
    <row r="6332" spans="2:9" hidden="1" x14ac:dyDescent="0.4">
      <c r="B6332" s="8" t="s">
        <v>520</v>
      </c>
      <c r="C6332" s="3" t="s">
        <v>10114</v>
      </c>
      <c r="D6332" s="3" t="s">
        <v>10629</v>
      </c>
      <c r="E6332" s="3" t="s">
        <v>1272</v>
      </c>
      <c r="F6332" s="3" t="s">
        <v>399</v>
      </c>
      <c r="I6332" s="3" t="s">
        <v>10353</v>
      </c>
    </row>
    <row r="6333" spans="2:9" hidden="1" x14ac:dyDescent="0.4">
      <c r="B6333" s="8" t="s">
        <v>529</v>
      </c>
      <c r="C6333" s="3" t="s">
        <v>10115</v>
      </c>
      <c r="D6333" s="3" t="s">
        <v>10630</v>
      </c>
      <c r="E6333" s="3" t="s">
        <v>1272</v>
      </c>
      <c r="F6333" s="3" t="s">
        <v>399</v>
      </c>
      <c r="I6333" s="3" t="s">
        <v>10353</v>
      </c>
    </row>
    <row r="6334" spans="2:9" hidden="1" x14ac:dyDescent="0.4">
      <c r="B6334" s="8" t="s">
        <v>529</v>
      </c>
      <c r="C6334" s="3" t="s">
        <v>10116</v>
      </c>
      <c r="D6334" s="3" t="s">
        <v>10631</v>
      </c>
      <c r="E6334" s="3" t="s">
        <v>1272</v>
      </c>
      <c r="F6334" s="3" t="s">
        <v>399</v>
      </c>
      <c r="I6334" s="3" t="s">
        <v>10353</v>
      </c>
    </row>
    <row r="6335" spans="2:9" hidden="1" x14ac:dyDescent="0.4">
      <c r="B6335" s="8" t="s">
        <v>517</v>
      </c>
      <c r="C6335" s="3" t="s">
        <v>10117</v>
      </c>
      <c r="D6335" s="3" t="s">
        <v>10632</v>
      </c>
      <c r="E6335" s="3" t="s">
        <v>1272</v>
      </c>
      <c r="F6335" s="3" t="s">
        <v>399</v>
      </c>
      <c r="I6335" s="3" t="s">
        <v>10353</v>
      </c>
    </row>
    <row r="6336" spans="2:9" hidden="1" x14ac:dyDescent="0.4">
      <c r="B6336" s="8" t="s">
        <v>531</v>
      </c>
      <c r="C6336" s="3" t="s">
        <v>10118</v>
      </c>
      <c r="D6336" s="3" t="s">
        <v>10633</v>
      </c>
      <c r="E6336" s="3" t="s">
        <v>1272</v>
      </c>
      <c r="F6336" s="3" t="s">
        <v>399</v>
      </c>
      <c r="I6336" s="3" t="s">
        <v>10353</v>
      </c>
    </row>
    <row r="6337" spans="2:9" hidden="1" x14ac:dyDescent="0.4">
      <c r="B6337" s="8" t="s">
        <v>517</v>
      </c>
      <c r="C6337" s="3" t="s">
        <v>10119</v>
      </c>
      <c r="D6337" s="3" t="s">
        <v>10634</v>
      </c>
      <c r="E6337" s="3" t="s">
        <v>1272</v>
      </c>
      <c r="F6337" s="3" t="s">
        <v>399</v>
      </c>
      <c r="I6337" s="3" t="s">
        <v>10353</v>
      </c>
    </row>
    <row r="6338" spans="2:9" hidden="1" x14ac:dyDescent="0.4">
      <c r="B6338" s="8" t="s">
        <v>529</v>
      </c>
      <c r="C6338" s="3" t="s">
        <v>10120</v>
      </c>
      <c r="D6338" s="3" t="s">
        <v>10635</v>
      </c>
      <c r="E6338" s="3" t="s">
        <v>1272</v>
      </c>
      <c r="F6338" s="3" t="s">
        <v>399</v>
      </c>
      <c r="I6338" s="3" t="s">
        <v>10353</v>
      </c>
    </row>
    <row r="6339" spans="2:9" hidden="1" x14ac:dyDescent="0.4">
      <c r="B6339" s="8" t="s">
        <v>517</v>
      </c>
      <c r="C6339" s="3" t="s">
        <v>10121</v>
      </c>
      <c r="D6339" s="3" t="s">
        <v>10635</v>
      </c>
      <c r="F6339" s="3" t="s">
        <v>399</v>
      </c>
      <c r="I6339" s="3" t="s">
        <v>10353</v>
      </c>
    </row>
    <row r="6340" spans="2:9" hidden="1" x14ac:dyDescent="0.4">
      <c r="B6340" s="8" t="s">
        <v>517</v>
      </c>
      <c r="C6340" s="3" t="s">
        <v>10122</v>
      </c>
      <c r="D6340" s="3" t="s">
        <v>10636</v>
      </c>
      <c r="E6340" s="3" t="s">
        <v>1272</v>
      </c>
      <c r="F6340" s="3" t="s">
        <v>399</v>
      </c>
      <c r="I6340" s="3" t="s">
        <v>10353</v>
      </c>
    </row>
    <row r="6341" spans="2:9" hidden="1" x14ac:dyDescent="0.4">
      <c r="B6341" s="8" t="s">
        <v>517</v>
      </c>
      <c r="C6341" s="3" t="s">
        <v>10103</v>
      </c>
      <c r="D6341" s="3" t="s">
        <v>10637</v>
      </c>
      <c r="E6341" s="3" t="s">
        <v>1272</v>
      </c>
      <c r="F6341" s="3" t="s">
        <v>399</v>
      </c>
      <c r="I6341" s="3" t="s">
        <v>10353</v>
      </c>
    </row>
    <row r="6342" spans="2:9" hidden="1" x14ac:dyDescent="0.4">
      <c r="B6342" s="8" t="s">
        <v>520</v>
      </c>
      <c r="C6342" s="3" t="s">
        <v>10123</v>
      </c>
      <c r="D6342" s="3" t="s">
        <v>10638</v>
      </c>
      <c r="E6342" s="3" t="s">
        <v>1272</v>
      </c>
      <c r="F6342" s="3" t="s">
        <v>399</v>
      </c>
      <c r="I6342" s="3" t="s">
        <v>10353</v>
      </c>
    </row>
    <row r="6343" spans="2:9" hidden="1" x14ac:dyDescent="0.4">
      <c r="B6343" s="8" t="s">
        <v>517</v>
      </c>
      <c r="C6343" s="3" t="s">
        <v>10124</v>
      </c>
      <c r="D6343" s="3" t="s">
        <v>10639</v>
      </c>
      <c r="F6343" s="3" t="s">
        <v>399</v>
      </c>
      <c r="I6343" s="3" t="s">
        <v>10353</v>
      </c>
    </row>
    <row r="6344" spans="2:9" hidden="1" x14ac:dyDescent="0.4">
      <c r="B6344" s="8" t="s">
        <v>517</v>
      </c>
      <c r="C6344" s="3" t="s">
        <v>10125</v>
      </c>
      <c r="D6344" s="3" t="s">
        <v>10640</v>
      </c>
      <c r="F6344" s="3" t="s">
        <v>399</v>
      </c>
      <c r="I6344" s="3" t="s">
        <v>10353</v>
      </c>
    </row>
    <row r="6345" spans="2:9" hidden="1" x14ac:dyDescent="0.4">
      <c r="B6345" s="8" t="s">
        <v>517</v>
      </c>
      <c r="C6345" s="3" t="s">
        <v>10126</v>
      </c>
      <c r="D6345" s="3" t="s">
        <v>10641</v>
      </c>
      <c r="F6345" s="3" t="s">
        <v>399</v>
      </c>
      <c r="I6345" s="3" t="s">
        <v>10353</v>
      </c>
    </row>
    <row r="6346" spans="2:9" hidden="1" x14ac:dyDescent="0.4">
      <c r="B6346" s="8" t="s">
        <v>2053</v>
      </c>
      <c r="C6346" s="3" t="s">
        <v>10127</v>
      </c>
      <c r="D6346" s="3" t="s">
        <v>10642</v>
      </c>
      <c r="F6346" s="3" t="s">
        <v>399</v>
      </c>
      <c r="I6346" s="3" t="s">
        <v>10353</v>
      </c>
    </row>
    <row r="6347" spans="2:9" hidden="1" x14ac:dyDescent="0.4">
      <c r="B6347" s="8" t="s">
        <v>517</v>
      </c>
      <c r="C6347" s="3" t="s">
        <v>10128</v>
      </c>
      <c r="D6347" s="3" t="s">
        <v>10643</v>
      </c>
      <c r="F6347" s="3" t="s">
        <v>399</v>
      </c>
      <c r="I6347" s="3" t="s">
        <v>10353</v>
      </c>
    </row>
    <row r="6348" spans="2:9" hidden="1" x14ac:dyDescent="0.4">
      <c r="B6348" s="8" t="s">
        <v>520</v>
      </c>
      <c r="C6348" s="3" t="s">
        <v>10129</v>
      </c>
      <c r="D6348" s="3" t="s">
        <v>10644</v>
      </c>
      <c r="F6348" s="3" t="s">
        <v>399</v>
      </c>
      <c r="I6348" s="3" t="s">
        <v>10353</v>
      </c>
    </row>
    <row r="6349" spans="2:9" hidden="1" x14ac:dyDescent="0.4">
      <c r="B6349" s="8" t="s">
        <v>517</v>
      </c>
      <c r="C6349" s="3" t="s">
        <v>10130</v>
      </c>
      <c r="D6349" s="3" t="s">
        <v>10645</v>
      </c>
      <c r="F6349" s="3" t="s">
        <v>399</v>
      </c>
      <c r="I6349" s="3" t="s">
        <v>10353</v>
      </c>
    </row>
    <row r="6350" spans="2:9" hidden="1" x14ac:dyDescent="0.4">
      <c r="B6350" s="8" t="s">
        <v>517</v>
      </c>
      <c r="C6350" s="3" t="s">
        <v>10131</v>
      </c>
      <c r="D6350" s="3" t="s">
        <v>10646</v>
      </c>
      <c r="F6350" s="3" t="s">
        <v>399</v>
      </c>
      <c r="I6350" s="3" t="s">
        <v>10353</v>
      </c>
    </row>
    <row r="6351" spans="2:9" hidden="1" x14ac:dyDescent="0.4">
      <c r="B6351" s="8" t="s">
        <v>517</v>
      </c>
      <c r="C6351" s="3" t="s">
        <v>10132</v>
      </c>
      <c r="D6351" s="3" t="s">
        <v>10647</v>
      </c>
      <c r="F6351" s="3" t="s">
        <v>399</v>
      </c>
      <c r="I6351" s="3" t="s">
        <v>10353</v>
      </c>
    </row>
    <row r="6352" spans="2:9" hidden="1" x14ac:dyDescent="0.4">
      <c r="B6352" s="8" t="s">
        <v>517</v>
      </c>
      <c r="C6352" s="3" t="s">
        <v>10133</v>
      </c>
      <c r="D6352" s="3" t="s">
        <v>10648</v>
      </c>
      <c r="F6352" s="3" t="s">
        <v>399</v>
      </c>
      <c r="I6352" s="3" t="s">
        <v>10353</v>
      </c>
    </row>
    <row r="6353" spans="2:9" hidden="1" x14ac:dyDescent="0.4">
      <c r="B6353" s="8" t="s">
        <v>517</v>
      </c>
      <c r="C6353" s="3" t="s">
        <v>10134</v>
      </c>
      <c r="D6353" s="3" t="s">
        <v>10649</v>
      </c>
      <c r="F6353" s="3" t="s">
        <v>399</v>
      </c>
      <c r="I6353" s="3" t="s">
        <v>10353</v>
      </c>
    </row>
    <row r="6354" spans="2:9" hidden="1" x14ac:dyDescent="0.4">
      <c r="B6354" s="8" t="s">
        <v>512</v>
      </c>
      <c r="C6354" s="3" t="s">
        <v>10135</v>
      </c>
      <c r="D6354" s="3" t="s">
        <v>10650</v>
      </c>
      <c r="F6354" s="3" t="s">
        <v>399</v>
      </c>
      <c r="I6354" s="3" t="s">
        <v>10353</v>
      </c>
    </row>
    <row r="6355" spans="2:9" hidden="1" x14ac:dyDescent="0.4">
      <c r="B6355" s="8" t="s">
        <v>518</v>
      </c>
      <c r="C6355" s="3" t="s">
        <v>10651</v>
      </c>
      <c r="D6355" s="3" t="s">
        <v>10652</v>
      </c>
      <c r="F6355" s="3" t="s">
        <v>399</v>
      </c>
      <c r="I6355" s="3" t="s">
        <v>10353</v>
      </c>
    </row>
    <row r="6356" spans="2:9" hidden="1" x14ac:dyDescent="0.4">
      <c r="B6356" s="8" t="s">
        <v>516</v>
      </c>
      <c r="C6356" s="3" t="s">
        <v>10654</v>
      </c>
      <c r="D6356" s="3" t="s">
        <v>10653</v>
      </c>
      <c r="F6356" s="3" t="s">
        <v>399</v>
      </c>
      <c r="I6356" s="3" t="s">
        <v>10353</v>
      </c>
    </row>
    <row r="6357" spans="2:9" hidden="1" x14ac:dyDescent="0.4">
      <c r="B6357" s="8" t="s">
        <v>520</v>
      </c>
      <c r="C6357" s="3" t="s">
        <v>10136</v>
      </c>
      <c r="D6357" s="3" t="s">
        <v>10655</v>
      </c>
      <c r="F6357" s="3" t="s">
        <v>399</v>
      </c>
      <c r="I6357" s="3" t="s">
        <v>10353</v>
      </c>
    </row>
    <row r="6358" spans="2:9" hidden="1" x14ac:dyDescent="0.4">
      <c r="B6358" s="8" t="s">
        <v>517</v>
      </c>
      <c r="C6358" s="3" t="s">
        <v>10137</v>
      </c>
      <c r="D6358" s="3" t="s">
        <v>10656</v>
      </c>
      <c r="F6358" s="3" t="s">
        <v>399</v>
      </c>
      <c r="I6358" s="3" t="s">
        <v>10353</v>
      </c>
    </row>
    <row r="6359" spans="2:9" hidden="1" x14ac:dyDescent="0.4">
      <c r="B6359" s="8" t="s">
        <v>517</v>
      </c>
      <c r="C6359" s="3" t="s">
        <v>10138</v>
      </c>
      <c r="D6359" s="3" t="s">
        <v>10657</v>
      </c>
      <c r="F6359" s="3" t="s">
        <v>399</v>
      </c>
      <c r="I6359" s="3" t="s">
        <v>10353</v>
      </c>
    </row>
    <row r="6360" spans="2:9" hidden="1" x14ac:dyDescent="0.4">
      <c r="B6360" s="8" t="s">
        <v>517</v>
      </c>
      <c r="C6360" s="3" t="s">
        <v>10139</v>
      </c>
      <c r="D6360" s="3" t="s">
        <v>10658</v>
      </c>
      <c r="F6360" s="3" t="s">
        <v>399</v>
      </c>
      <c r="I6360" s="3" t="s">
        <v>10353</v>
      </c>
    </row>
    <row r="6361" spans="2:9" hidden="1" x14ac:dyDescent="0.4">
      <c r="B6361" s="8" t="s">
        <v>529</v>
      </c>
      <c r="C6361" s="3" t="s">
        <v>10140</v>
      </c>
      <c r="D6361" s="3" t="s">
        <v>10659</v>
      </c>
      <c r="F6361" s="3" t="s">
        <v>399</v>
      </c>
      <c r="I6361" s="3" t="s">
        <v>10353</v>
      </c>
    </row>
    <row r="6362" spans="2:9" hidden="1" x14ac:dyDescent="0.4">
      <c r="B6362" s="8" t="s">
        <v>517</v>
      </c>
      <c r="C6362" s="3" t="s">
        <v>10141</v>
      </c>
      <c r="D6362" s="3" t="s">
        <v>10660</v>
      </c>
      <c r="F6362" s="3" t="s">
        <v>399</v>
      </c>
      <c r="I6362" s="3" t="s">
        <v>10353</v>
      </c>
    </row>
    <row r="6363" spans="2:9" hidden="1" x14ac:dyDescent="0.4">
      <c r="B6363" s="8" t="s">
        <v>518</v>
      </c>
      <c r="C6363" s="3" t="s">
        <v>10142</v>
      </c>
      <c r="D6363" s="3" t="s">
        <v>10661</v>
      </c>
      <c r="F6363" s="3" t="s">
        <v>399</v>
      </c>
      <c r="I6363" s="3" t="s">
        <v>10353</v>
      </c>
    </row>
    <row r="6364" spans="2:9" hidden="1" x14ac:dyDescent="0.4">
      <c r="B6364" s="8" t="s">
        <v>517</v>
      </c>
      <c r="C6364" s="3" t="s">
        <v>10662</v>
      </c>
      <c r="D6364" s="3" t="s">
        <v>10663</v>
      </c>
      <c r="F6364" s="3" t="s">
        <v>399</v>
      </c>
      <c r="I6364" s="3" t="s">
        <v>10353</v>
      </c>
    </row>
    <row r="6365" spans="2:9" hidden="1" x14ac:dyDescent="0.4">
      <c r="B6365" s="8" t="s">
        <v>517</v>
      </c>
      <c r="C6365" s="3" t="s">
        <v>10143</v>
      </c>
      <c r="D6365" s="3" t="s">
        <v>10664</v>
      </c>
      <c r="F6365" s="3" t="s">
        <v>399</v>
      </c>
      <c r="I6365" s="3" t="s">
        <v>10353</v>
      </c>
    </row>
    <row r="6366" spans="2:9" hidden="1" x14ac:dyDescent="0.4">
      <c r="B6366" s="8" t="s">
        <v>1002</v>
      </c>
      <c r="C6366" s="3" t="s">
        <v>10144</v>
      </c>
      <c r="D6366" s="3" t="s">
        <v>10665</v>
      </c>
      <c r="F6366" s="3" t="s">
        <v>399</v>
      </c>
      <c r="I6366" s="3" t="s">
        <v>10353</v>
      </c>
    </row>
    <row r="6367" spans="2:9" hidden="1" x14ac:dyDescent="0.4">
      <c r="B6367" s="8" t="s">
        <v>1002</v>
      </c>
      <c r="C6367" s="3" t="s">
        <v>10145</v>
      </c>
      <c r="D6367" s="3" t="s">
        <v>10666</v>
      </c>
      <c r="F6367" s="3" t="s">
        <v>399</v>
      </c>
      <c r="I6367" s="3" t="s">
        <v>10353</v>
      </c>
    </row>
    <row r="6368" spans="2:9" hidden="1" x14ac:dyDescent="0.4">
      <c r="B6368" s="8" t="s">
        <v>10873</v>
      </c>
      <c r="C6368" s="3" t="s">
        <v>10667</v>
      </c>
      <c r="D6368" s="3" t="s">
        <v>10668</v>
      </c>
      <c r="F6368" s="3" t="s">
        <v>399</v>
      </c>
      <c r="I6368" s="3" t="s">
        <v>10353</v>
      </c>
    </row>
    <row r="6369" spans="2:9" hidden="1" x14ac:dyDescent="0.4">
      <c r="B6369" s="8" t="s">
        <v>517</v>
      </c>
      <c r="C6369" s="3" t="s">
        <v>10146</v>
      </c>
      <c r="D6369" s="3" t="s">
        <v>10669</v>
      </c>
      <c r="F6369" s="3" t="s">
        <v>399</v>
      </c>
      <c r="I6369" s="3" t="s">
        <v>10353</v>
      </c>
    </row>
    <row r="6370" spans="2:9" hidden="1" x14ac:dyDescent="0.4">
      <c r="B6370" s="8" t="s">
        <v>517</v>
      </c>
      <c r="C6370" s="3" t="s">
        <v>10147</v>
      </c>
      <c r="D6370" s="3" t="s">
        <v>10670</v>
      </c>
      <c r="F6370" s="3" t="s">
        <v>399</v>
      </c>
      <c r="I6370" s="3" t="s">
        <v>10353</v>
      </c>
    </row>
    <row r="6371" spans="2:9" hidden="1" x14ac:dyDescent="0.4">
      <c r="B6371" s="8" t="s">
        <v>520</v>
      </c>
      <c r="C6371" s="3" t="s">
        <v>10148</v>
      </c>
      <c r="D6371" s="3" t="s">
        <v>10671</v>
      </c>
      <c r="F6371" s="3" t="s">
        <v>399</v>
      </c>
      <c r="I6371" s="3" t="s">
        <v>10353</v>
      </c>
    </row>
    <row r="6372" spans="2:9" hidden="1" x14ac:dyDescent="0.4">
      <c r="B6372" s="8" t="s">
        <v>517</v>
      </c>
      <c r="C6372" s="3" t="s">
        <v>10149</v>
      </c>
      <c r="D6372" s="3" t="s">
        <v>10671</v>
      </c>
      <c r="F6372" s="3" t="s">
        <v>399</v>
      </c>
      <c r="I6372" s="3" t="s">
        <v>10353</v>
      </c>
    </row>
    <row r="6373" spans="2:9" hidden="1" x14ac:dyDescent="0.4">
      <c r="B6373" s="8" t="s">
        <v>529</v>
      </c>
      <c r="C6373" s="3" t="s">
        <v>10150</v>
      </c>
      <c r="D6373" s="3" t="s">
        <v>10672</v>
      </c>
      <c r="E6373" s="3" t="s">
        <v>1272</v>
      </c>
      <c r="F6373" s="3" t="s">
        <v>399</v>
      </c>
      <c r="I6373" s="3" t="s">
        <v>10353</v>
      </c>
    </row>
    <row r="6374" spans="2:9" hidden="1" x14ac:dyDescent="0.4">
      <c r="B6374" s="8" t="s">
        <v>518</v>
      </c>
      <c r="C6374" s="3" t="s">
        <v>10151</v>
      </c>
      <c r="D6374" s="3" t="s">
        <v>10673</v>
      </c>
      <c r="E6374" s="3" t="s">
        <v>1272</v>
      </c>
      <c r="F6374" s="3" t="s">
        <v>399</v>
      </c>
      <c r="I6374" s="3" t="s">
        <v>10353</v>
      </c>
    </row>
    <row r="6375" spans="2:9" hidden="1" x14ac:dyDescent="0.4">
      <c r="B6375" s="8" t="s">
        <v>517</v>
      </c>
      <c r="C6375" s="3" t="s">
        <v>10152</v>
      </c>
      <c r="D6375" s="3" t="s">
        <v>10674</v>
      </c>
      <c r="E6375" s="3" t="s">
        <v>1272</v>
      </c>
      <c r="F6375" s="3" t="s">
        <v>399</v>
      </c>
      <c r="I6375" s="3" t="s">
        <v>10353</v>
      </c>
    </row>
    <row r="6376" spans="2:9" hidden="1" x14ac:dyDescent="0.4">
      <c r="B6376" s="8" t="s">
        <v>517</v>
      </c>
      <c r="C6376" s="3" t="s">
        <v>10153</v>
      </c>
      <c r="D6376" s="3" t="s">
        <v>10675</v>
      </c>
      <c r="E6376" s="3" t="s">
        <v>1272</v>
      </c>
      <c r="F6376" s="3" t="s">
        <v>399</v>
      </c>
      <c r="I6376" s="3" t="s">
        <v>10353</v>
      </c>
    </row>
    <row r="6377" spans="2:9" hidden="1" x14ac:dyDescent="0.4">
      <c r="B6377" s="8" t="s">
        <v>517</v>
      </c>
      <c r="C6377" s="3" t="s">
        <v>10154</v>
      </c>
      <c r="D6377" s="3" t="s">
        <v>10676</v>
      </c>
      <c r="E6377" s="3" t="s">
        <v>1272</v>
      </c>
      <c r="F6377" s="3" t="s">
        <v>399</v>
      </c>
      <c r="I6377" s="3" t="s">
        <v>10353</v>
      </c>
    </row>
    <row r="6378" spans="2:9" hidden="1" x14ac:dyDescent="0.4">
      <c r="B6378" s="8" t="s">
        <v>517</v>
      </c>
      <c r="C6378" s="3" t="s">
        <v>10155</v>
      </c>
      <c r="D6378" s="3" t="s">
        <v>10673</v>
      </c>
      <c r="E6378" s="3" t="s">
        <v>1272</v>
      </c>
      <c r="F6378" s="3" t="s">
        <v>399</v>
      </c>
      <c r="I6378" s="3" t="s">
        <v>10353</v>
      </c>
    </row>
    <row r="6379" spans="2:9" hidden="1" x14ac:dyDescent="0.4">
      <c r="B6379" s="8" t="s">
        <v>518</v>
      </c>
      <c r="C6379" s="3" t="s">
        <v>10156</v>
      </c>
      <c r="D6379" s="3" t="s">
        <v>10677</v>
      </c>
      <c r="F6379" s="3" t="s">
        <v>399</v>
      </c>
      <c r="I6379" s="3" t="s">
        <v>10353</v>
      </c>
    </row>
    <row r="6380" spans="2:9" hidden="1" x14ac:dyDescent="0.4">
      <c r="B6380" s="8" t="s">
        <v>517</v>
      </c>
      <c r="C6380" s="3" t="s">
        <v>10157</v>
      </c>
      <c r="D6380" s="3" t="s">
        <v>10678</v>
      </c>
      <c r="E6380" s="3" t="s">
        <v>1272</v>
      </c>
      <c r="F6380" s="3" t="s">
        <v>399</v>
      </c>
      <c r="I6380" s="3" t="s">
        <v>10353</v>
      </c>
    </row>
    <row r="6381" spans="2:9" hidden="1" x14ac:dyDescent="0.4">
      <c r="B6381" s="8" t="s">
        <v>517</v>
      </c>
      <c r="C6381" s="3" t="s">
        <v>10158</v>
      </c>
      <c r="D6381" s="3" t="s">
        <v>10679</v>
      </c>
      <c r="E6381" s="3" t="s">
        <v>1272</v>
      </c>
      <c r="F6381" s="3" t="s">
        <v>399</v>
      </c>
      <c r="I6381" s="3" t="s">
        <v>10353</v>
      </c>
    </row>
    <row r="6382" spans="2:9" hidden="1" x14ac:dyDescent="0.4">
      <c r="B6382" s="8" t="s">
        <v>520</v>
      </c>
      <c r="C6382" s="3" t="s">
        <v>10159</v>
      </c>
      <c r="D6382" s="3" t="s">
        <v>10723</v>
      </c>
      <c r="E6382" s="3" t="s">
        <v>1272</v>
      </c>
      <c r="F6382" s="3" t="s">
        <v>399</v>
      </c>
      <c r="I6382" s="3" t="s">
        <v>10353</v>
      </c>
    </row>
    <row r="6383" spans="2:9" hidden="1" x14ac:dyDescent="0.4">
      <c r="B6383" s="8" t="s">
        <v>529</v>
      </c>
      <c r="C6383" s="3" t="s">
        <v>10160</v>
      </c>
      <c r="D6383" s="3" t="s">
        <v>10680</v>
      </c>
      <c r="E6383" s="3" t="s">
        <v>1272</v>
      </c>
      <c r="F6383" s="3" t="s">
        <v>399</v>
      </c>
      <c r="I6383" s="3" t="s">
        <v>10353</v>
      </c>
    </row>
    <row r="6384" spans="2:9" hidden="1" x14ac:dyDescent="0.4">
      <c r="B6384" s="8" t="s">
        <v>517</v>
      </c>
      <c r="C6384" s="3" t="s">
        <v>10161</v>
      </c>
      <c r="D6384" s="3" t="s">
        <v>10681</v>
      </c>
      <c r="F6384" s="3" t="s">
        <v>399</v>
      </c>
      <c r="I6384" s="3" t="s">
        <v>10353</v>
      </c>
    </row>
    <row r="6385" spans="2:9" hidden="1" x14ac:dyDescent="0.4">
      <c r="B6385" s="8" t="s">
        <v>518</v>
      </c>
      <c r="C6385" s="3" t="s">
        <v>10162</v>
      </c>
      <c r="D6385" s="3" t="s">
        <v>10682</v>
      </c>
      <c r="E6385" s="3" t="s">
        <v>1272</v>
      </c>
      <c r="F6385" s="3" t="s">
        <v>399</v>
      </c>
      <c r="I6385" s="3" t="s">
        <v>10353</v>
      </c>
    </row>
    <row r="6386" spans="2:9" hidden="1" x14ac:dyDescent="0.4">
      <c r="B6386" s="8" t="s">
        <v>529</v>
      </c>
      <c r="C6386" s="3" t="s">
        <v>10163</v>
      </c>
      <c r="D6386" s="3" t="s">
        <v>10683</v>
      </c>
      <c r="E6386" s="3" t="s">
        <v>1272</v>
      </c>
      <c r="F6386" s="3" t="s">
        <v>399</v>
      </c>
      <c r="I6386" s="3" t="s">
        <v>10353</v>
      </c>
    </row>
    <row r="6387" spans="2:9" hidden="1" x14ac:dyDescent="0.4">
      <c r="B6387" s="8" t="s">
        <v>520</v>
      </c>
      <c r="C6387" s="3" t="s">
        <v>10164</v>
      </c>
      <c r="D6387" s="3" t="s">
        <v>10684</v>
      </c>
      <c r="E6387" s="3" t="s">
        <v>1272</v>
      </c>
      <c r="F6387" s="3" t="s">
        <v>399</v>
      </c>
      <c r="I6387" s="3" t="s">
        <v>10353</v>
      </c>
    </row>
    <row r="6388" spans="2:9" hidden="1" x14ac:dyDescent="0.4">
      <c r="B6388" s="8" t="s">
        <v>517</v>
      </c>
      <c r="C6388" s="3" t="s">
        <v>10165</v>
      </c>
      <c r="D6388" s="3" t="s">
        <v>10685</v>
      </c>
      <c r="F6388" s="3" t="s">
        <v>399</v>
      </c>
      <c r="I6388" s="3" t="s">
        <v>10353</v>
      </c>
    </row>
    <row r="6389" spans="2:9" hidden="1" x14ac:dyDescent="0.4">
      <c r="B6389" s="8" t="s">
        <v>517</v>
      </c>
      <c r="C6389" s="3" t="s">
        <v>10166</v>
      </c>
      <c r="D6389" s="3" t="s">
        <v>10686</v>
      </c>
      <c r="F6389" s="3" t="s">
        <v>399</v>
      </c>
      <c r="I6389" s="3" t="s">
        <v>10353</v>
      </c>
    </row>
    <row r="6390" spans="2:9" hidden="1" x14ac:dyDescent="0.4">
      <c r="B6390" s="8" t="s">
        <v>518</v>
      </c>
      <c r="C6390" s="3" t="s">
        <v>10167</v>
      </c>
      <c r="D6390" s="3" t="s">
        <v>10687</v>
      </c>
      <c r="F6390" s="3" t="s">
        <v>399</v>
      </c>
      <c r="I6390" s="3" t="s">
        <v>10353</v>
      </c>
    </row>
    <row r="6391" spans="2:9" hidden="1" x14ac:dyDescent="0.4">
      <c r="B6391" s="8" t="s">
        <v>532</v>
      </c>
      <c r="C6391" s="3" t="s">
        <v>10168</v>
      </c>
      <c r="D6391" s="3" t="s">
        <v>10688</v>
      </c>
      <c r="F6391" s="3" t="s">
        <v>399</v>
      </c>
      <c r="I6391" s="3" t="s">
        <v>10353</v>
      </c>
    </row>
    <row r="6392" spans="2:9" hidden="1" x14ac:dyDescent="0.4">
      <c r="B6392" s="8" t="s">
        <v>529</v>
      </c>
      <c r="C6392" s="3" t="s">
        <v>10169</v>
      </c>
      <c r="D6392" s="3" t="s">
        <v>10583</v>
      </c>
      <c r="E6392" s="3" t="s">
        <v>1272</v>
      </c>
      <c r="F6392" s="3" t="s">
        <v>399</v>
      </c>
      <c r="I6392" s="3" t="s">
        <v>10353</v>
      </c>
    </row>
    <row r="6393" spans="2:9" hidden="1" x14ac:dyDescent="0.4">
      <c r="B6393" s="8" t="s">
        <v>517</v>
      </c>
      <c r="C6393" s="3" t="s">
        <v>10170</v>
      </c>
      <c r="D6393" s="3" t="s">
        <v>10689</v>
      </c>
      <c r="E6393" s="3" t="s">
        <v>1272</v>
      </c>
      <c r="F6393" s="3" t="s">
        <v>399</v>
      </c>
      <c r="I6393" s="3" t="s">
        <v>10353</v>
      </c>
    </row>
    <row r="6394" spans="2:9" hidden="1" x14ac:dyDescent="0.4">
      <c r="B6394" s="8" t="s">
        <v>517</v>
      </c>
      <c r="C6394" s="3" t="s">
        <v>10171</v>
      </c>
      <c r="D6394" s="3" t="s">
        <v>10690</v>
      </c>
      <c r="F6394" s="3" t="s">
        <v>399</v>
      </c>
      <c r="I6394" s="3" t="s">
        <v>10353</v>
      </c>
    </row>
    <row r="6395" spans="2:9" hidden="1" x14ac:dyDescent="0.4">
      <c r="B6395" s="8" t="s">
        <v>520</v>
      </c>
      <c r="C6395" s="3" t="s">
        <v>10172</v>
      </c>
      <c r="D6395" s="3" t="s">
        <v>10691</v>
      </c>
      <c r="F6395" s="3" t="s">
        <v>399</v>
      </c>
      <c r="I6395" s="3" t="s">
        <v>10353</v>
      </c>
    </row>
    <row r="6396" spans="2:9" hidden="1" x14ac:dyDescent="0.4">
      <c r="B6396" s="8" t="s">
        <v>520</v>
      </c>
      <c r="C6396" s="3" t="s">
        <v>10173</v>
      </c>
      <c r="D6396" s="3" t="s">
        <v>10692</v>
      </c>
      <c r="F6396" s="3" t="s">
        <v>399</v>
      </c>
      <c r="I6396" s="3" t="s">
        <v>10353</v>
      </c>
    </row>
    <row r="6397" spans="2:9" hidden="1" x14ac:dyDescent="0.4">
      <c r="B6397" s="8" t="s">
        <v>520</v>
      </c>
      <c r="C6397" s="3" t="s">
        <v>10174</v>
      </c>
      <c r="D6397" s="3" t="s">
        <v>10693</v>
      </c>
      <c r="E6397" s="3" t="s">
        <v>1272</v>
      </c>
      <c r="F6397" s="3" t="s">
        <v>399</v>
      </c>
      <c r="I6397" s="3" t="s">
        <v>10353</v>
      </c>
    </row>
    <row r="6398" spans="2:9" hidden="1" x14ac:dyDescent="0.4">
      <c r="B6398" s="8" t="s">
        <v>532</v>
      </c>
      <c r="C6398" s="3" t="s">
        <v>10175</v>
      </c>
      <c r="D6398" s="3" t="s">
        <v>10693</v>
      </c>
      <c r="F6398" s="3" t="s">
        <v>399</v>
      </c>
      <c r="I6398" s="3" t="s">
        <v>10353</v>
      </c>
    </row>
    <row r="6399" spans="2:9" hidden="1" x14ac:dyDescent="0.4">
      <c r="B6399" s="8" t="s">
        <v>517</v>
      </c>
      <c r="C6399" s="3" t="s">
        <v>10176</v>
      </c>
      <c r="D6399" s="3" t="s">
        <v>10694</v>
      </c>
      <c r="F6399" s="3" t="s">
        <v>399</v>
      </c>
      <c r="I6399" s="3" t="s">
        <v>10353</v>
      </c>
    </row>
    <row r="6400" spans="2:9" hidden="1" x14ac:dyDescent="0.4">
      <c r="B6400" s="8" t="s">
        <v>529</v>
      </c>
      <c r="C6400" s="3" t="s">
        <v>10177</v>
      </c>
      <c r="D6400" s="3" t="s">
        <v>10695</v>
      </c>
      <c r="F6400" s="3" t="s">
        <v>399</v>
      </c>
      <c r="I6400" s="3" t="s">
        <v>10353</v>
      </c>
    </row>
    <row r="6401" spans="2:9" hidden="1" x14ac:dyDescent="0.4">
      <c r="B6401" s="8" t="s">
        <v>518</v>
      </c>
      <c r="C6401" s="3" t="s">
        <v>10178</v>
      </c>
      <c r="D6401" s="3" t="s">
        <v>10696</v>
      </c>
      <c r="E6401" s="3" t="s">
        <v>432</v>
      </c>
      <c r="F6401" s="3" t="s">
        <v>399</v>
      </c>
      <c r="I6401" s="3" t="s">
        <v>10353</v>
      </c>
    </row>
    <row r="6402" spans="2:9" hidden="1" x14ac:dyDescent="0.4">
      <c r="B6402" s="8" t="s">
        <v>517</v>
      </c>
      <c r="C6402" s="3" t="s">
        <v>10179</v>
      </c>
      <c r="D6402" s="3" t="s">
        <v>10697</v>
      </c>
      <c r="F6402" s="3" t="s">
        <v>399</v>
      </c>
      <c r="I6402" s="3" t="s">
        <v>10353</v>
      </c>
    </row>
    <row r="6403" spans="2:9" hidden="1" x14ac:dyDescent="0.4">
      <c r="B6403" s="8" t="s">
        <v>517</v>
      </c>
      <c r="C6403" s="3" t="s">
        <v>10180</v>
      </c>
      <c r="D6403" s="3" t="s">
        <v>10698</v>
      </c>
      <c r="F6403" s="3" t="s">
        <v>399</v>
      </c>
      <c r="I6403" s="3" t="s">
        <v>10353</v>
      </c>
    </row>
    <row r="6404" spans="2:9" hidden="1" x14ac:dyDescent="0.4">
      <c r="B6404" s="8" t="s">
        <v>532</v>
      </c>
      <c r="C6404" s="3" t="s">
        <v>10181</v>
      </c>
      <c r="D6404" s="3" t="s">
        <v>10699</v>
      </c>
      <c r="F6404" s="3" t="s">
        <v>399</v>
      </c>
      <c r="I6404" s="3" t="s">
        <v>10353</v>
      </c>
    </row>
    <row r="6405" spans="2:9" hidden="1" x14ac:dyDescent="0.4">
      <c r="B6405" s="8" t="s">
        <v>529</v>
      </c>
      <c r="C6405" s="3" t="s">
        <v>10182</v>
      </c>
      <c r="D6405" s="3" t="s">
        <v>10700</v>
      </c>
      <c r="E6405" s="3" t="s">
        <v>1272</v>
      </c>
      <c r="F6405" s="3" t="s">
        <v>399</v>
      </c>
      <c r="I6405" s="3" t="s">
        <v>10353</v>
      </c>
    </row>
    <row r="6406" spans="2:9" hidden="1" x14ac:dyDescent="0.4">
      <c r="B6406" s="8" t="s">
        <v>529</v>
      </c>
      <c r="C6406" s="3" t="s">
        <v>10183</v>
      </c>
      <c r="D6406" s="3" t="s">
        <v>10701</v>
      </c>
      <c r="E6406" s="3" t="s">
        <v>1272</v>
      </c>
      <c r="F6406" s="3" t="s">
        <v>399</v>
      </c>
      <c r="I6406" s="3" t="s">
        <v>10353</v>
      </c>
    </row>
    <row r="6407" spans="2:9" hidden="1" x14ac:dyDescent="0.4">
      <c r="B6407" s="8" t="s">
        <v>518</v>
      </c>
      <c r="C6407" s="3" t="s">
        <v>10184</v>
      </c>
      <c r="D6407" s="3" t="s">
        <v>10702</v>
      </c>
      <c r="E6407" s="3" t="s">
        <v>1272</v>
      </c>
      <c r="F6407" s="3" t="s">
        <v>399</v>
      </c>
      <c r="I6407" s="3" t="s">
        <v>10353</v>
      </c>
    </row>
    <row r="6408" spans="2:9" hidden="1" x14ac:dyDescent="0.4">
      <c r="B6408" s="8" t="s">
        <v>517</v>
      </c>
      <c r="C6408" s="3" t="s">
        <v>10185</v>
      </c>
      <c r="D6408" s="3" t="s">
        <v>10703</v>
      </c>
      <c r="E6408" s="3" t="s">
        <v>1272</v>
      </c>
      <c r="F6408" s="3" t="s">
        <v>399</v>
      </c>
      <c r="I6408" s="3" t="s">
        <v>10353</v>
      </c>
    </row>
    <row r="6409" spans="2:9" hidden="1" x14ac:dyDescent="0.4">
      <c r="B6409" s="8" t="s">
        <v>529</v>
      </c>
      <c r="C6409" s="3" t="s">
        <v>10186</v>
      </c>
      <c r="D6409" s="3" t="s">
        <v>10704</v>
      </c>
      <c r="F6409" s="3" t="s">
        <v>399</v>
      </c>
      <c r="I6409" s="3" t="s">
        <v>10353</v>
      </c>
    </row>
    <row r="6410" spans="2:9" hidden="1" x14ac:dyDescent="0.4">
      <c r="B6410" s="8" t="s">
        <v>531</v>
      </c>
      <c r="C6410" s="3" t="s">
        <v>10187</v>
      </c>
      <c r="D6410" s="3" t="s">
        <v>10705</v>
      </c>
      <c r="E6410" s="3" t="s">
        <v>1272</v>
      </c>
      <c r="F6410" s="3" t="s">
        <v>399</v>
      </c>
      <c r="I6410" s="3" t="s">
        <v>10353</v>
      </c>
    </row>
    <row r="6411" spans="2:9" hidden="1" x14ac:dyDescent="0.4">
      <c r="B6411" s="8" t="s">
        <v>517</v>
      </c>
      <c r="C6411" s="3" t="s">
        <v>10188</v>
      </c>
      <c r="D6411" s="3" t="s">
        <v>10706</v>
      </c>
      <c r="E6411" s="3" t="s">
        <v>1272</v>
      </c>
      <c r="F6411" s="3" t="s">
        <v>399</v>
      </c>
      <c r="I6411" s="3" t="s">
        <v>10353</v>
      </c>
    </row>
    <row r="6412" spans="2:9" hidden="1" x14ac:dyDescent="0.4">
      <c r="B6412" s="8" t="s">
        <v>517</v>
      </c>
      <c r="C6412" s="3" t="s">
        <v>10189</v>
      </c>
      <c r="D6412" s="3" t="s">
        <v>10707</v>
      </c>
      <c r="E6412" s="3" t="s">
        <v>1272</v>
      </c>
      <c r="F6412" s="3" t="s">
        <v>399</v>
      </c>
      <c r="I6412" s="3" t="s">
        <v>10353</v>
      </c>
    </row>
    <row r="6413" spans="2:9" hidden="1" x14ac:dyDescent="0.4">
      <c r="B6413" s="8" t="s">
        <v>518</v>
      </c>
      <c r="C6413" s="3" t="s">
        <v>10190</v>
      </c>
      <c r="D6413" s="3" t="s">
        <v>10708</v>
      </c>
      <c r="E6413" s="3" t="s">
        <v>1272</v>
      </c>
      <c r="F6413" s="3" t="s">
        <v>399</v>
      </c>
      <c r="I6413" s="3" t="s">
        <v>10353</v>
      </c>
    </row>
    <row r="6414" spans="2:9" hidden="1" x14ac:dyDescent="0.4">
      <c r="B6414" s="8" t="s">
        <v>517</v>
      </c>
      <c r="C6414" s="3" t="s">
        <v>10191</v>
      </c>
      <c r="D6414" s="3" t="s">
        <v>10709</v>
      </c>
      <c r="E6414" s="3" t="s">
        <v>1272</v>
      </c>
      <c r="F6414" s="3" t="s">
        <v>399</v>
      </c>
      <c r="I6414" s="3" t="s">
        <v>10353</v>
      </c>
    </row>
    <row r="6415" spans="2:9" hidden="1" x14ac:dyDescent="0.4">
      <c r="B6415" s="8" t="s">
        <v>516</v>
      </c>
      <c r="C6415" s="3" t="s">
        <v>10192</v>
      </c>
      <c r="D6415" s="3" t="s">
        <v>10710</v>
      </c>
      <c r="E6415" s="3" t="s">
        <v>1272</v>
      </c>
      <c r="F6415" s="3" t="s">
        <v>399</v>
      </c>
      <c r="I6415" s="3" t="s">
        <v>10353</v>
      </c>
    </row>
    <row r="6416" spans="2:9" hidden="1" x14ac:dyDescent="0.4">
      <c r="B6416" s="8" t="s">
        <v>517</v>
      </c>
      <c r="C6416" s="3" t="s">
        <v>10193</v>
      </c>
      <c r="D6416" s="3" t="s">
        <v>10711</v>
      </c>
      <c r="E6416" s="3" t="s">
        <v>1272</v>
      </c>
      <c r="F6416" s="3" t="s">
        <v>399</v>
      </c>
      <c r="I6416" s="3" t="s">
        <v>10353</v>
      </c>
    </row>
    <row r="6417" spans="2:9" hidden="1" x14ac:dyDescent="0.4">
      <c r="B6417" s="8" t="s">
        <v>531</v>
      </c>
      <c r="C6417" s="3" t="s">
        <v>10194</v>
      </c>
      <c r="D6417" s="3" t="s">
        <v>10712</v>
      </c>
      <c r="E6417" s="3" t="s">
        <v>1272</v>
      </c>
      <c r="F6417" s="3" t="s">
        <v>399</v>
      </c>
      <c r="I6417" s="3" t="s">
        <v>10353</v>
      </c>
    </row>
    <row r="6418" spans="2:9" hidden="1" x14ac:dyDescent="0.4">
      <c r="B6418" s="8" t="s">
        <v>529</v>
      </c>
      <c r="C6418" s="3" t="s">
        <v>10195</v>
      </c>
      <c r="D6418" s="3" t="s">
        <v>10713</v>
      </c>
      <c r="E6418" s="3" t="s">
        <v>1272</v>
      </c>
      <c r="F6418" s="3" t="s">
        <v>399</v>
      </c>
      <c r="I6418" s="3" t="s">
        <v>10353</v>
      </c>
    </row>
    <row r="6419" spans="2:9" hidden="1" x14ac:dyDescent="0.4">
      <c r="B6419" s="8" t="s">
        <v>531</v>
      </c>
      <c r="C6419" s="3" t="s">
        <v>10196</v>
      </c>
      <c r="D6419" s="3" t="s">
        <v>10714</v>
      </c>
      <c r="E6419" s="3" t="s">
        <v>1272</v>
      </c>
      <c r="F6419" s="3" t="s">
        <v>399</v>
      </c>
      <c r="I6419" s="3" t="s">
        <v>10353</v>
      </c>
    </row>
    <row r="6420" spans="2:9" hidden="1" x14ac:dyDescent="0.4">
      <c r="B6420" s="8" t="s">
        <v>515</v>
      </c>
      <c r="C6420" s="3" t="s">
        <v>10197</v>
      </c>
      <c r="D6420" s="3" t="s">
        <v>10715</v>
      </c>
      <c r="E6420" s="3" t="s">
        <v>1272</v>
      </c>
      <c r="F6420" s="3" t="s">
        <v>399</v>
      </c>
      <c r="I6420" s="3" t="s">
        <v>10353</v>
      </c>
    </row>
    <row r="6421" spans="2:9" hidden="1" x14ac:dyDescent="0.4">
      <c r="B6421" s="8" t="s">
        <v>517</v>
      </c>
      <c r="C6421" s="3" t="s">
        <v>10198</v>
      </c>
      <c r="D6421" s="3" t="s">
        <v>10716</v>
      </c>
      <c r="E6421" s="3" t="s">
        <v>1272</v>
      </c>
      <c r="F6421" s="3" t="s">
        <v>399</v>
      </c>
      <c r="I6421" s="3" t="s">
        <v>10353</v>
      </c>
    </row>
    <row r="6422" spans="2:9" hidden="1" x14ac:dyDescent="0.4">
      <c r="B6422" s="8" t="s">
        <v>517</v>
      </c>
      <c r="C6422" s="3" t="s">
        <v>10199</v>
      </c>
      <c r="D6422" s="3" t="s">
        <v>10717</v>
      </c>
      <c r="F6422" s="3" t="s">
        <v>399</v>
      </c>
      <c r="I6422" s="3" t="s">
        <v>10353</v>
      </c>
    </row>
    <row r="6423" spans="2:9" hidden="1" x14ac:dyDescent="0.4">
      <c r="B6423" s="8" t="s">
        <v>532</v>
      </c>
      <c r="C6423" s="3" t="s">
        <v>10200</v>
      </c>
      <c r="D6423" s="3" t="s">
        <v>10718</v>
      </c>
      <c r="F6423" s="3" t="s">
        <v>399</v>
      </c>
      <c r="I6423" s="3" t="s">
        <v>10353</v>
      </c>
    </row>
    <row r="6424" spans="2:9" hidden="1" x14ac:dyDescent="0.4">
      <c r="B6424" s="8" t="s">
        <v>529</v>
      </c>
      <c r="C6424" s="3" t="s">
        <v>10201</v>
      </c>
      <c r="D6424" s="3" t="s">
        <v>10719</v>
      </c>
      <c r="E6424" s="3" t="s">
        <v>425</v>
      </c>
      <c r="F6424" s="3" t="s">
        <v>399</v>
      </c>
      <c r="I6424" s="3" t="s">
        <v>10353</v>
      </c>
    </row>
    <row r="6425" spans="2:9" hidden="1" x14ac:dyDescent="0.4">
      <c r="B6425" s="8" t="s">
        <v>517</v>
      </c>
      <c r="C6425" s="3" t="s">
        <v>10202</v>
      </c>
      <c r="D6425" s="3" t="s">
        <v>10720</v>
      </c>
      <c r="F6425" s="3" t="s">
        <v>399</v>
      </c>
      <c r="I6425" s="3" t="s">
        <v>10353</v>
      </c>
    </row>
    <row r="6426" spans="2:9" hidden="1" x14ac:dyDescent="0.4">
      <c r="B6426" s="8" t="s">
        <v>530</v>
      </c>
      <c r="C6426" s="3" t="s">
        <v>10203</v>
      </c>
      <c r="D6426" s="3" t="s">
        <v>10721</v>
      </c>
      <c r="F6426" s="3" t="s">
        <v>399</v>
      </c>
      <c r="I6426" s="3" t="s">
        <v>10353</v>
      </c>
    </row>
    <row r="6427" spans="2:9" hidden="1" x14ac:dyDescent="0.4">
      <c r="B6427" s="8" t="s">
        <v>517</v>
      </c>
      <c r="C6427" s="3" t="s">
        <v>10204</v>
      </c>
      <c r="D6427" s="3" t="s">
        <v>10722</v>
      </c>
      <c r="F6427" s="3" t="s">
        <v>399</v>
      </c>
      <c r="I6427" s="3" t="s">
        <v>10353</v>
      </c>
    </row>
    <row r="6428" spans="2:9" hidden="1" x14ac:dyDescent="0.4">
      <c r="B6428" s="8" t="s">
        <v>1711</v>
      </c>
      <c r="C6428" s="3" t="s">
        <v>10206</v>
      </c>
      <c r="D6428" s="3" t="s">
        <v>10724</v>
      </c>
      <c r="E6428" s="3" t="s">
        <v>1272</v>
      </c>
      <c r="F6428" s="3" t="s">
        <v>399</v>
      </c>
      <c r="I6428" s="3" t="s">
        <v>10353</v>
      </c>
    </row>
    <row r="6429" spans="2:9" hidden="1" x14ac:dyDescent="0.4">
      <c r="B6429" s="8" t="s">
        <v>1711</v>
      </c>
      <c r="C6429" s="3" t="s">
        <v>10207</v>
      </c>
      <c r="D6429" s="3" t="s">
        <v>10725</v>
      </c>
      <c r="E6429" s="3" t="s">
        <v>1272</v>
      </c>
      <c r="F6429" s="3" t="s">
        <v>399</v>
      </c>
      <c r="I6429" s="3" t="s">
        <v>10353</v>
      </c>
    </row>
    <row r="6430" spans="2:9" hidden="1" x14ac:dyDescent="0.4">
      <c r="B6430" s="8" t="s">
        <v>517</v>
      </c>
      <c r="C6430" s="3" t="s">
        <v>10208</v>
      </c>
      <c r="D6430" s="3" t="s">
        <v>10726</v>
      </c>
      <c r="F6430" s="3" t="s">
        <v>399</v>
      </c>
      <c r="I6430" s="3" t="s">
        <v>10353</v>
      </c>
    </row>
    <row r="6431" spans="2:9" hidden="1" x14ac:dyDescent="0.4">
      <c r="B6431" s="8" t="s">
        <v>517</v>
      </c>
      <c r="C6431" s="3" t="s">
        <v>10205</v>
      </c>
      <c r="D6431" s="3" t="s">
        <v>10727</v>
      </c>
      <c r="F6431" s="3" t="s">
        <v>399</v>
      </c>
      <c r="I6431" s="3" t="s">
        <v>10353</v>
      </c>
    </row>
    <row r="6432" spans="2:9" hidden="1" x14ac:dyDescent="0.4">
      <c r="B6432" s="8" t="s">
        <v>10874</v>
      </c>
      <c r="C6432" s="3" t="s">
        <v>10209</v>
      </c>
      <c r="D6432" s="3" t="s">
        <v>10728</v>
      </c>
      <c r="E6432" s="3" t="s">
        <v>1272</v>
      </c>
      <c r="F6432" s="3" t="s">
        <v>399</v>
      </c>
      <c r="I6432" s="3" t="s">
        <v>10353</v>
      </c>
    </row>
    <row r="6433" spans="2:9" hidden="1" x14ac:dyDescent="0.4">
      <c r="B6433" s="8" t="s">
        <v>517</v>
      </c>
      <c r="C6433" s="3" t="s">
        <v>10210</v>
      </c>
      <c r="D6433" s="3" t="s">
        <v>10729</v>
      </c>
      <c r="E6433" s="3" t="s">
        <v>1272</v>
      </c>
      <c r="F6433" s="3" t="s">
        <v>399</v>
      </c>
      <c r="I6433" s="3" t="s">
        <v>10353</v>
      </c>
    </row>
    <row r="6434" spans="2:9" hidden="1" x14ac:dyDescent="0.4">
      <c r="B6434" s="8" t="s">
        <v>517</v>
      </c>
      <c r="C6434" s="3" t="s">
        <v>10211</v>
      </c>
      <c r="D6434" s="3" t="s">
        <v>10730</v>
      </c>
      <c r="E6434" s="3" t="s">
        <v>1272</v>
      </c>
      <c r="F6434" s="3" t="s">
        <v>399</v>
      </c>
      <c r="I6434" s="3" t="s">
        <v>10353</v>
      </c>
    </row>
    <row r="6435" spans="2:9" hidden="1" x14ac:dyDescent="0.4">
      <c r="B6435" s="8" t="s">
        <v>517</v>
      </c>
      <c r="C6435" s="3" t="s">
        <v>10212</v>
      </c>
      <c r="D6435" s="3" t="s">
        <v>10731</v>
      </c>
      <c r="E6435" s="3" t="s">
        <v>1272</v>
      </c>
      <c r="F6435" s="3" t="s">
        <v>399</v>
      </c>
      <c r="I6435" s="3" t="s">
        <v>10353</v>
      </c>
    </row>
    <row r="6436" spans="2:9" hidden="1" x14ac:dyDescent="0.4">
      <c r="B6436" s="8" t="s">
        <v>529</v>
      </c>
      <c r="C6436" s="3" t="s">
        <v>10213</v>
      </c>
      <c r="D6436" s="3" t="s">
        <v>10732</v>
      </c>
      <c r="E6436" s="3" t="s">
        <v>1272</v>
      </c>
      <c r="F6436" s="3" t="s">
        <v>399</v>
      </c>
      <c r="I6436" s="3" t="s">
        <v>10353</v>
      </c>
    </row>
    <row r="6437" spans="2:9" hidden="1" x14ac:dyDescent="0.4">
      <c r="B6437" s="8" t="s">
        <v>529</v>
      </c>
      <c r="C6437" s="3" t="s">
        <v>10214</v>
      </c>
      <c r="D6437" s="3" t="s">
        <v>10733</v>
      </c>
      <c r="E6437" s="3" t="s">
        <v>1272</v>
      </c>
      <c r="F6437" s="3" t="s">
        <v>399</v>
      </c>
      <c r="I6437" s="3" t="s">
        <v>10353</v>
      </c>
    </row>
    <row r="6438" spans="2:9" hidden="1" x14ac:dyDescent="0.4">
      <c r="B6438" s="8" t="s">
        <v>517</v>
      </c>
      <c r="C6438" s="3" t="s">
        <v>10215</v>
      </c>
      <c r="D6438" s="3" t="s">
        <v>10734</v>
      </c>
      <c r="E6438" s="3" t="s">
        <v>1272</v>
      </c>
      <c r="F6438" s="3" t="s">
        <v>399</v>
      </c>
      <c r="I6438" s="3" t="s">
        <v>10353</v>
      </c>
    </row>
    <row r="6439" spans="2:9" hidden="1" x14ac:dyDescent="0.4">
      <c r="B6439" s="8" t="s">
        <v>517</v>
      </c>
      <c r="C6439" s="3" t="s">
        <v>10216</v>
      </c>
      <c r="D6439" s="3" t="s">
        <v>10735</v>
      </c>
      <c r="E6439" s="3" t="s">
        <v>1272</v>
      </c>
      <c r="F6439" s="3" t="s">
        <v>399</v>
      </c>
      <c r="I6439" s="3" t="s">
        <v>10353</v>
      </c>
    </row>
    <row r="6440" spans="2:9" hidden="1" x14ac:dyDescent="0.4">
      <c r="B6440" s="8" t="s">
        <v>529</v>
      </c>
      <c r="C6440" s="3" t="s">
        <v>10217</v>
      </c>
      <c r="D6440" s="3" t="s">
        <v>10736</v>
      </c>
      <c r="E6440" s="3" t="s">
        <v>1272</v>
      </c>
      <c r="F6440" s="3" t="s">
        <v>399</v>
      </c>
      <c r="I6440" s="3" t="s">
        <v>10353</v>
      </c>
    </row>
    <row r="6441" spans="2:9" hidden="1" x14ac:dyDescent="0.4">
      <c r="B6441" s="8" t="s">
        <v>532</v>
      </c>
      <c r="C6441" s="3" t="s">
        <v>10218</v>
      </c>
      <c r="D6441" s="3" t="s">
        <v>10737</v>
      </c>
      <c r="E6441" s="3" t="s">
        <v>1272</v>
      </c>
      <c r="F6441" s="3" t="s">
        <v>399</v>
      </c>
      <c r="I6441" s="3" t="s">
        <v>10353</v>
      </c>
    </row>
    <row r="6442" spans="2:9" hidden="1" x14ac:dyDescent="0.4">
      <c r="B6442" s="8" t="s">
        <v>532</v>
      </c>
      <c r="C6442" s="3" t="s">
        <v>10219</v>
      </c>
      <c r="D6442" s="3" t="s">
        <v>10738</v>
      </c>
      <c r="E6442" s="3" t="s">
        <v>1272</v>
      </c>
      <c r="F6442" s="3" t="s">
        <v>399</v>
      </c>
      <c r="I6442" s="3" t="s">
        <v>10353</v>
      </c>
    </row>
    <row r="6443" spans="2:9" hidden="1" x14ac:dyDescent="0.4">
      <c r="B6443" s="8" t="s">
        <v>532</v>
      </c>
      <c r="C6443" s="3" t="s">
        <v>10865</v>
      </c>
      <c r="D6443" s="3" t="s">
        <v>10739</v>
      </c>
      <c r="E6443" s="3" t="s">
        <v>1272</v>
      </c>
      <c r="F6443" s="3" t="s">
        <v>399</v>
      </c>
      <c r="I6443" s="3" t="s">
        <v>10353</v>
      </c>
    </row>
    <row r="6444" spans="2:9" hidden="1" x14ac:dyDescent="0.4">
      <c r="B6444" s="8" t="s">
        <v>517</v>
      </c>
      <c r="C6444" s="3" t="s">
        <v>10866</v>
      </c>
      <c r="D6444" s="3" t="s">
        <v>10740</v>
      </c>
      <c r="E6444" s="3" t="s">
        <v>1272</v>
      </c>
      <c r="F6444" s="3" t="s">
        <v>399</v>
      </c>
      <c r="I6444" s="3" t="s">
        <v>10353</v>
      </c>
    </row>
    <row r="6445" spans="2:9" hidden="1" x14ac:dyDescent="0.4">
      <c r="B6445" s="8" t="s">
        <v>532</v>
      </c>
      <c r="C6445" s="3" t="s">
        <v>10220</v>
      </c>
      <c r="D6445" s="3" t="s">
        <v>10741</v>
      </c>
      <c r="E6445" s="3" t="s">
        <v>1272</v>
      </c>
      <c r="F6445" s="3" t="s">
        <v>399</v>
      </c>
      <c r="I6445" s="3" t="s">
        <v>10353</v>
      </c>
    </row>
    <row r="6446" spans="2:9" hidden="1" x14ac:dyDescent="0.4">
      <c r="B6446" s="8" t="s">
        <v>532</v>
      </c>
      <c r="C6446" s="3" t="s">
        <v>10221</v>
      </c>
      <c r="D6446" s="3" t="s">
        <v>10742</v>
      </c>
      <c r="E6446" s="3" t="s">
        <v>1272</v>
      </c>
      <c r="F6446" s="3" t="s">
        <v>399</v>
      </c>
      <c r="I6446" s="3" t="s">
        <v>10353</v>
      </c>
    </row>
    <row r="6447" spans="2:9" hidden="1" x14ac:dyDescent="0.4">
      <c r="B6447" s="8" t="s">
        <v>532</v>
      </c>
      <c r="C6447" s="3" t="s">
        <v>10222</v>
      </c>
      <c r="D6447" s="3" t="s">
        <v>10743</v>
      </c>
      <c r="E6447" s="3" t="s">
        <v>1272</v>
      </c>
      <c r="F6447" s="3" t="s">
        <v>399</v>
      </c>
      <c r="I6447" s="3" t="s">
        <v>10353</v>
      </c>
    </row>
    <row r="6448" spans="2:9" hidden="1" x14ac:dyDescent="0.4">
      <c r="B6448" s="8" t="s">
        <v>529</v>
      </c>
      <c r="C6448" s="3" t="s">
        <v>10223</v>
      </c>
      <c r="D6448" s="3" t="s">
        <v>10744</v>
      </c>
      <c r="E6448" s="3" t="s">
        <v>1272</v>
      </c>
      <c r="F6448" s="3" t="s">
        <v>399</v>
      </c>
      <c r="I6448" s="3" t="s">
        <v>10353</v>
      </c>
    </row>
    <row r="6449" spans="2:9" hidden="1" x14ac:dyDescent="0.4">
      <c r="B6449" s="8" t="s">
        <v>520</v>
      </c>
      <c r="C6449" s="3" t="s">
        <v>10224</v>
      </c>
      <c r="D6449" s="3" t="s">
        <v>10745</v>
      </c>
      <c r="E6449" s="3" t="s">
        <v>1272</v>
      </c>
      <c r="F6449" s="3" t="s">
        <v>399</v>
      </c>
      <c r="I6449" s="3" t="s">
        <v>10353</v>
      </c>
    </row>
    <row r="6450" spans="2:9" hidden="1" x14ac:dyDescent="0.4">
      <c r="B6450" s="8" t="s">
        <v>517</v>
      </c>
      <c r="C6450" s="3" t="s">
        <v>10225</v>
      </c>
      <c r="D6450" s="3" t="s">
        <v>10746</v>
      </c>
      <c r="F6450" s="3" t="s">
        <v>399</v>
      </c>
      <c r="I6450" s="3" t="s">
        <v>10353</v>
      </c>
    </row>
    <row r="6451" spans="2:9" hidden="1" x14ac:dyDescent="0.4">
      <c r="B6451" s="8" t="s">
        <v>529</v>
      </c>
      <c r="C6451" s="3" t="s">
        <v>10226</v>
      </c>
      <c r="D6451" s="3" t="s">
        <v>10747</v>
      </c>
      <c r="E6451" s="3" t="s">
        <v>1272</v>
      </c>
      <c r="F6451" s="3" t="s">
        <v>399</v>
      </c>
      <c r="I6451" s="3" t="s">
        <v>10353</v>
      </c>
    </row>
    <row r="6452" spans="2:9" ht="29.25" hidden="1" x14ac:dyDescent="0.4">
      <c r="B6452" s="8" t="s">
        <v>10875</v>
      </c>
      <c r="C6452" s="3" t="s">
        <v>10227</v>
      </c>
      <c r="D6452" s="3" t="s">
        <v>10748</v>
      </c>
      <c r="E6452" s="3" t="s">
        <v>1272</v>
      </c>
      <c r="F6452" s="3" t="s">
        <v>399</v>
      </c>
      <c r="I6452" s="3" t="s">
        <v>10353</v>
      </c>
    </row>
    <row r="6453" spans="2:9" hidden="1" x14ac:dyDescent="0.4">
      <c r="B6453" s="8" t="s">
        <v>529</v>
      </c>
      <c r="C6453" s="3" t="s">
        <v>10228</v>
      </c>
      <c r="D6453" s="3" t="s">
        <v>10749</v>
      </c>
      <c r="E6453" s="3" t="s">
        <v>1272</v>
      </c>
      <c r="F6453" s="3" t="s">
        <v>399</v>
      </c>
      <c r="I6453" s="3" t="s">
        <v>10353</v>
      </c>
    </row>
    <row r="6454" spans="2:9" hidden="1" x14ac:dyDescent="0.4">
      <c r="B6454" s="8" t="s">
        <v>520</v>
      </c>
      <c r="C6454" s="3" t="s">
        <v>10229</v>
      </c>
      <c r="D6454" s="3" t="s">
        <v>10750</v>
      </c>
      <c r="E6454" s="3" t="s">
        <v>1272</v>
      </c>
      <c r="F6454" s="3" t="s">
        <v>399</v>
      </c>
      <c r="I6454" s="3" t="s">
        <v>10353</v>
      </c>
    </row>
    <row r="6455" spans="2:9" hidden="1" x14ac:dyDescent="0.4">
      <c r="B6455" s="8" t="s">
        <v>517</v>
      </c>
      <c r="C6455" s="3" t="s">
        <v>10230</v>
      </c>
      <c r="D6455" s="3" t="s">
        <v>10751</v>
      </c>
      <c r="E6455" s="3" t="s">
        <v>1272</v>
      </c>
      <c r="F6455" s="3" t="s">
        <v>399</v>
      </c>
      <c r="I6455" s="3" t="s">
        <v>10353</v>
      </c>
    </row>
    <row r="6456" spans="2:9" hidden="1" x14ac:dyDescent="0.4">
      <c r="B6456" s="8" t="s">
        <v>529</v>
      </c>
      <c r="C6456" s="3" t="s">
        <v>9907</v>
      </c>
      <c r="D6456" s="3" t="s">
        <v>10426</v>
      </c>
      <c r="E6456" s="3" t="s">
        <v>1272</v>
      </c>
      <c r="F6456" s="3" t="s">
        <v>399</v>
      </c>
      <c r="I6456" s="3" t="s">
        <v>10353</v>
      </c>
    </row>
    <row r="6457" spans="2:9" hidden="1" x14ac:dyDescent="0.4">
      <c r="B6457" s="8" t="s">
        <v>529</v>
      </c>
      <c r="C6457" s="3" t="s">
        <v>10231</v>
      </c>
      <c r="D6457" s="3" t="s">
        <v>10752</v>
      </c>
      <c r="E6457" s="3" t="s">
        <v>1272</v>
      </c>
      <c r="F6457" s="3" t="s">
        <v>399</v>
      </c>
      <c r="I6457" s="3" t="s">
        <v>10353</v>
      </c>
    </row>
    <row r="6458" spans="2:9" hidden="1" x14ac:dyDescent="0.4">
      <c r="B6458" s="8" t="s">
        <v>517</v>
      </c>
      <c r="C6458" s="3" t="s">
        <v>10232</v>
      </c>
      <c r="D6458" s="3" t="s">
        <v>10753</v>
      </c>
      <c r="E6458" s="3" t="s">
        <v>1272</v>
      </c>
      <c r="F6458" s="3" t="s">
        <v>399</v>
      </c>
      <c r="I6458" s="3" t="s">
        <v>10353</v>
      </c>
    </row>
    <row r="6459" spans="2:9" hidden="1" x14ac:dyDescent="0.4">
      <c r="B6459" s="8" t="s">
        <v>517</v>
      </c>
      <c r="C6459" s="3" t="s">
        <v>10233</v>
      </c>
      <c r="D6459" s="3" t="s">
        <v>10754</v>
      </c>
      <c r="E6459" s="3" t="s">
        <v>1272</v>
      </c>
      <c r="F6459" s="3" t="s">
        <v>399</v>
      </c>
      <c r="I6459" s="3" t="s">
        <v>10353</v>
      </c>
    </row>
    <row r="6460" spans="2:9" hidden="1" x14ac:dyDescent="0.4">
      <c r="B6460" s="8" t="s">
        <v>529</v>
      </c>
      <c r="C6460" s="3" t="s">
        <v>10234</v>
      </c>
      <c r="D6460" s="3" t="s">
        <v>10755</v>
      </c>
      <c r="E6460" s="3" t="s">
        <v>1272</v>
      </c>
      <c r="F6460" s="3" t="s">
        <v>399</v>
      </c>
      <c r="I6460" s="3" t="s">
        <v>10353</v>
      </c>
    </row>
    <row r="6461" spans="2:9" hidden="1" x14ac:dyDescent="0.4">
      <c r="B6461" s="8" t="s">
        <v>529</v>
      </c>
      <c r="C6461" s="3" t="s">
        <v>10235</v>
      </c>
      <c r="D6461" s="3" t="s">
        <v>10756</v>
      </c>
      <c r="E6461" s="3" t="s">
        <v>1272</v>
      </c>
      <c r="F6461" s="3" t="s">
        <v>399</v>
      </c>
      <c r="I6461" s="3" t="s">
        <v>10353</v>
      </c>
    </row>
    <row r="6462" spans="2:9" hidden="1" x14ac:dyDescent="0.4">
      <c r="B6462" s="8" t="s">
        <v>529</v>
      </c>
      <c r="C6462" s="3" t="s">
        <v>10236</v>
      </c>
      <c r="D6462" s="3" t="s">
        <v>10757</v>
      </c>
      <c r="E6462" s="3" t="s">
        <v>1272</v>
      </c>
      <c r="F6462" s="3" t="s">
        <v>399</v>
      </c>
      <c r="I6462" s="3" t="s">
        <v>10353</v>
      </c>
    </row>
    <row r="6463" spans="2:9" hidden="1" x14ac:dyDescent="0.4">
      <c r="B6463" s="8" t="s">
        <v>529</v>
      </c>
      <c r="C6463" s="3" t="s">
        <v>10237</v>
      </c>
      <c r="D6463" s="3" t="s">
        <v>10758</v>
      </c>
      <c r="E6463" s="3" t="s">
        <v>1272</v>
      </c>
      <c r="F6463" s="3" t="s">
        <v>399</v>
      </c>
      <c r="I6463" s="3" t="s">
        <v>10353</v>
      </c>
    </row>
    <row r="6464" spans="2:9" hidden="1" x14ac:dyDescent="0.4">
      <c r="B6464" s="8" t="s">
        <v>517</v>
      </c>
      <c r="C6464" s="3" t="s">
        <v>10238</v>
      </c>
      <c r="D6464" s="3" t="s">
        <v>10759</v>
      </c>
      <c r="E6464" s="3" t="s">
        <v>1272</v>
      </c>
      <c r="F6464" s="3" t="s">
        <v>399</v>
      </c>
      <c r="I6464" s="3" t="s">
        <v>10353</v>
      </c>
    </row>
    <row r="6465" spans="2:9" hidden="1" x14ac:dyDescent="0.4">
      <c r="B6465" s="8" t="s">
        <v>536</v>
      </c>
      <c r="C6465" s="3" t="s">
        <v>10239</v>
      </c>
      <c r="D6465" s="3" t="s">
        <v>10760</v>
      </c>
      <c r="E6465" s="3" t="s">
        <v>1272</v>
      </c>
      <c r="F6465" s="3" t="s">
        <v>399</v>
      </c>
      <c r="I6465" s="3" t="s">
        <v>10353</v>
      </c>
    </row>
    <row r="6466" spans="2:9" hidden="1" x14ac:dyDescent="0.4">
      <c r="B6466" s="8" t="s">
        <v>517</v>
      </c>
      <c r="C6466" s="3" t="s">
        <v>10240</v>
      </c>
      <c r="D6466" s="3" t="s">
        <v>10761</v>
      </c>
      <c r="E6466" s="3" t="s">
        <v>1272</v>
      </c>
      <c r="F6466" s="3" t="s">
        <v>399</v>
      </c>
      <c r="I6466" s="3" t="s">
        <v>10353</v>
      </c>
    </row>
    <row r="6467" spans="2:9" hidden="1" x14ac:dyDescent="0.4">
      <c r="B6467" s="8" t="s">
        <v>517</v>
      </c>
      <c r="C6467" s="3" t="s">
        <v>10241</v>
      </c>
      <c r="D6467" s="3" t="s">
        <v>10762</v>
      </c>
      <c r="E6467" s="3" t="s">
        <v>1272</v>
      </c>
      <c r="F6467" s="3" t="s">
        <v>399</v>
      </c>
      <c r="I6467" s="3" t="s">
        <v>10353</v>
      </c>
    </row>
    <row r="6468" spans="2:9" hidden="1" x14ac:dyDescent="0.4">
      <c r="B6468" s="8" t="s">
        <v>517</v>
      </c>
      <c r="C6468" s="3" t="s">
        <v>10242</v>
      </c>
      <c r="D6468" s="3" t="s">
        <v>10763</v>
      </c>
      <c r="F6468" s="3" t="s">
        <v>399</v>
      </c>
      <c r="I6468" s="3" t="s">
        <v>10353</v>
      </c>
    </row>
    <row r="6469" spans="2:9" hidden="1" x14ac:dyDescent="0.4">
      <c r="B6469" s="8" t="s">
        <v>531</v>
      </c>
      <c r="C6469" s="3" t="s">
        <v>10243</v>
      </c>
      <c r="D6469" s="3" t="s">
        <v>10764</v>
      </c>
      <c r="F6469" s="3" t="s">
        <v>399</v>
      </c>
      <c r="I6469" s="3" t="s">
        <v>10353</v>
      </c>
    </row>
    <row r="6470" spans="2:9" hidden="1" x14ac:dyDescent="0.4">
      <c r="B6470" s="8" t="s">
        <v>520</v>
      </c>
      <c r="C6470" s="3" t="s">
        <v>10864</v>
      </c>
      <c r="D6470" s="3" t="s">
        <v>10765</v>
      </c>
      <c r="F6470" s="3" t="s">
        <v>399</v>
      </c>
      <c r="I6470" s="3" t="s">
        <v>10353</v>
      </c>
    </row>
    <row r="6471" spans="2:9" hidden="1" x14ac:dyDescent="0.4">
      <c r="B6471" s="8" t="s">
        <v>520</v>
      </c>
      <c r="C6471" s="3" t="s">
        <v>10244</v>
      </c>
      <c r="D6471" s="3" t="s">
        <v>10766</v>
      </c>
      <c r="F6471" s="3" t="s">
        <v>399</v>
      </c>
      <c r="I6471" s="3" t="s">
        <v>10353</v>
      </c>
    </row>
    <row r="6472" spans="2:9" hidden="1" x14ac:dyDescent="0.4">
      <c r="B6472" s="8" t="s">
        <v>517</v>
      </c>
      <c r="C6472" s="3" t="s">
        <v>10245</v>
      </c>
      <c r="D6472" s="3" t="s">
        <v>10767</v>
      </c>
      <c r="F6472" s="3" t="s">
        <v>399</v>
      </c>
      <c r="I6472" s="3" t="s">
        <v>10353</v>
      </c>
    </row>
    <row r="6473" spans="2:9" hidden="1" x14ac:dyDescent="0.4">
      <c r="B6473" s="8" t="s">
        <v>517</v>
      </c>
      <c r="C6473" s="3" t="s">
        <v>10246</v>
      </c>
      <c r="D6473" s="3" t="s">
        <v>10768</v>
      </c>
      <c r="F6473" s="3" t="s">
        <v>399</v>
      </c>
      <c r="I6473" s="3" t="s">
        <v>10353</v>
      </c>
    </row>
    <row r="6474" spans="2:9" hidden="1" x14ac:dyDescent="0.4">
      <c r="B6474" s="8" t="s">
        <v>517</v>
      </c>
      <c r="C6474" s="3" t="s">
        <v>10876</v>
      </c>
      <c r="D6474" s="3" t="s">
        <v>10769</v>
      </c>
      <c r="E6474" s="3" t="s">
        <v>1272</v>
      </c>
      <c r="F6474" s="3" t="s">
        <v>399</v>
      </c>
      <c r="I6474" s="3" t="s">
        <v>10353</v>
      </c>
    </row>
    <row r="6475" spans="2:9" hidden="1" x14ac:dyDescent="0.4">
      <c r="B6475" s="8" t="s">
        <v>529</v>
      </c>
      <c r="C6475" s="3" t="s">
        <v>10247</v>
      </c>
      <c r="D6475" s="3" t="s">
        <v>10770</v>
      </c>
      <c r="E6475" s="3" t="s">
        <v>1272</v>
      </c>
      <c r="F6475" s="3" t="s">
        <v>399</v>
      </c>
      <c r="I6475" s="3" t="s">
        <v>10353</v>
      </c>
    </row>
    <row r="6476" spans="2:9" hidden="1" x14ac:dyDescent="0.4">
      <c r="B6476" s="8" t="s">
        <v>518</v>
      </c>
      <c r="C6476" s="3" t="s">
        <v>10248</v>
      </c>
      <c r="D6476" s="3" t="s">
        <v>10771</v>
      </c>
      <c r="F6476" s="3" t="s">
        <v>399</v>
      </c>
      <c r="I6476" s="3" t="s">
        <v>10353</v>
      </c>
    </row>
    <row r="6477" spans="2:9" hidden="1" x14ac:dyDescent="0.4">
      <c r="B6477" s="8" t="s">
        <v>517</v>
      </c>
      <c r="C6477" s="3" t="s">
        <v>10249</v>
      </c>
      <c r="D6477" s="3" t="s">
        <v>10772</v>
      </c>
      <c r="F6477" s="3" t="s">
        <v>399</v>
      </c>
      <c r="I6477" s="3" t="s">
        <v>10353</v>
      </c>
    </row>
    <row r="6478" spans="2:9" hidden="1" x14ac:dyDescent="0.4">
      <c r="B6478" s="8" t="s">
        <v>518</v>
      </c>
      <c r="C6478" s="3" t="s">
        <v>10250</v>
      </c>
      <c r="D6478" s="3" t="s">
        <v>10773</v>
      </c>
      <c r="E6478" s="3" t="s">
        <v>1272</v>
      </c>
      <c r="F6478" s="3" t="s">
        <v>399</v>
      </c>
      <c r="I6478" s="3" t="s">
        <v>10353</v>
      </c>
    </row>
    <row r="6479" spans="2:9" hidden="1" x14ac:dyDescent="0.4">
      <c r="B6479" s="8" t="s">
        <v>529</v>
      </c>
      <c r="C6479" s="3" t="s">
        <v>10251</v>
      </c>
      <c r="D6479" s="3" t="s">
        <v>10774</v>
      </c>
      <c r="E6479" s="3" t="s">
        <v>1272</v>
      </c>
      <c r="F6479" s="3" t="s">
        <v>399</v>
      </c>
      <c r="I6479" s="3" t="s">
        <v>10353</v>
      </c>
    </row>
    <row r="6480" spans="2:9" hidden="1" x14ac:dyDescent="0.4">
      <c r="B6480" s="8" t="s">
        <v>531</v>
      </c>
      <c r="C6480" s="3" t="s">
        <v>10252</v>
      </c>
      <c r="D6480" s="3" t="s">
        <v>10775</v>
      </c>
      <c r="E6480" s="3" t="s">
        <v>1272</v>
      </c>
      <c r="F6480" s="3" t="s">
        <v>399</v>
      </c>
      <c r="I6480" s="3" t="s">
        <v>10353</v>
      </c>
    </row>
    <row r="6481" spans="2:9" hidden="1" x14ac:dyDescent="0.4">
      <c r="B6481" s="8" t="s">
        <v>529</v>
      </c>
      <c r="C6481" s="3" t="s">
        <v>10253</v>
      </c>
      <c r="D6481" s="3" t="s">
        <v>10776</v>
      </c>
      <c r="E6481" s="3" t="s">
        <v>1272</v>
      </c>
      <c r="F6481" s="3" t="s">
        <v>399</v>
      </c>
      <c r="I6481" s="3" t="s">
        <v>10353</v>
      </c>
    </row>
    <row r="6482" spans="2:9" hidden="1" x14ac:dyDescent="0.4">
      <c r="B6482" s="8" t="s">
        <v>529</v>
      </c>
      <c r="C6482" s="3" t="s">
        <v>10254</v>
      </c>
      <c r="D6482" s="3" t="s">
        <v>10777</v>
      </c>
      <c r="E6482" s="3" t="s">
        <v>1272</v>
      </c>
      <c r="F6482" s="3" t="s">
        <v>399</v>
      </c>
      <c r="I6482" s="3" t="s">
        <v>10353</v>
      </c>
    </row>
    <row r="6483" spans="2:9" hidden="1" x14ac:dyDescent="0.4">
      <c r="B6483" s="8" t="s">
        <v>517</v>
      </c>
      <c r="C6483" s="3" t="s">
        <v>10255</v>
      </c>
      <c r="D6483" s="3" t="s">
        <v>10778</v>
      </c>
      <c r="E6483" s="3" t="s">
        <v>1272</v>
      </c>
      <c r="F6483" s="3" t="s">
        <v>399</v>
      </c>
      <c r="I6483" s="3" t="s">
        <v>10353</v>
      </c>
    </row>
    <row r="6484" spans="2:9" hidden="1" x14ac:dyDescent="0.4">
      <c r="B6484" s="8" t="s">
        <v>529</v>
      </c>
      <c r="C6484" s="3" t="s">
        <v>10256</v>
      </c>
      <c r="D6484" s="3" t="s">
        <v>10779</v>
      </c>
      <c r="E6484" s="3" t="s">
        <v>1272</v>
      </c>
      <c r="F6484" s="3" t="s">
        <v>399</v>
      </c>
      <c r="I6484" s="3" t="s">
        <v>10353</v>
      </c>
    </row>
    <row r="6485" spans="2:9" hidden="1" x14ac:dyDescent="0.4">
      <c r="B6485" s="8" t="s">
        <v>517</v>
      </c>
      <c r="C6485" s="3" t="s">
        <v>10257</v>
      </c>
      <c r="D6485" s="3" t="s">
        <v>10780</v>
      </c>
      <c r="E6485" s="3" t="s">
        <v>1272</v>
      </c>
      <c r="F6485" s="3" t="s">
        <v>399</v>
      </c>
      <c r="I6485" s="3" t="s">
        <v>10353</v>
      </c>
    </row>
    <row r="6486" spans="2:9" hidden="1" x14ac:dyDescent="0.4">
      <c r="B6486" s="8" t="s">
        <v>517</v>
      </c>
      <c r="C6486" s="3" t="s">
        <v>10258</v>
      </c>
      <c r="D6486" s="3" t="s">
        <v>10781</v>
      </c>
      <c r="E6486" s="3" t="s">
        <v>1272</v>
      </c>
      <c r="F6486" s="3" t="s">
        <v>399</v>
      </c>
      <c r="I6486" s="3" t="s">
        <v>10353</v>
      </c>
    </row>
    <row r="6487" spans="2:9" hidden="1" x14ac:dyDescent="0.4">
      <c r="B6487" s="8" t="s">
        <v>517</v>
      </c>
      <c r="C6487" s="3" t="s">
        <v>10259</v>
      </c>
      <c r="D6487" s="3" t="s">
        <v>10782</v>
      </c>
      <c r="E6487" s="3" t="s">
        <v>1272</v>
      </c>
      <c r="F6487" s="3" t="s">
        <v>399</v>
      </c>
      <c r="I6487" s="3" t="s">
        <v>10353</v>
      </c>
    </row>
    <row r="6488" spans="2:9" hidden="1" x14ac:dyDescent="0.4">
      <c r="B6488" s="8" t="s">
        <v>9732</v>
      </c>
      <c r="C6488" s="3" t="s">
        <v>10260</v>
      </c>
      <c r="D6488" s="3" t="s">
        <v>10783</v>
      </c>
      <c r="E6488" s="3" t="s">
        <v>1272</v>
      </c>
      <c r="F6488" s="3" t="s">
        <v>399</v>
      </c>
      <c r="I6488" s="3" t="s">
        <v>10353</v>
      </c>
    </row>
    <row r="6489" spans="2:9" hidden="1" x14ac:dyDescent="0.4">
      <c r="B6489" s="8" t="s">
        <v>9732</v>
      </c>
      <c r="C6489" s="3" t="s">
        <v>10261</v>
      </c>
      <c r="D6489" s="3" t="s">
        <v>10784</v>
      </c>
      <c r="E6489" s="3" t="s">
        <v>1272</v>
      </c>
      <c r="F6489" s="3" t="s">
        <v>399</v>
      </c>
      <c r="I6489" s="3" t="s">
        <v>10353</v>
      </c>
    </row>
    <row r="6490" spans="2:9" hidden="1" x14ac:dyDescent="0.4">
      <c r="B6490" s="8" t="s">
        <v>10877</v>
      </c>
      <c r="C6490" s="3" t="s">
        <v>10262</v>
      </c>
      <c r="D6490" s="3" t="s">
        <v>10785</v>
      </c>
      <c r="E6490" s="3" t="s">
        <v>1272</v>
      </c>
      <c r="F6490" s="3" t="s">
        <v>399</v>
      </c>
      <c r="I6490" s="3" t="s">
        <v>10353</v>
      </c>
    </row>
    <row r="6491" spans="2:9" hidden="1" x14ac:dyDescent="0.4">
      <c r="B6491" s="8" t="s">
        <v>9732</v>
      </c>
      <c r="C6491" s="3" t="s">
        <v>10263</v>
      </c>
      <c r="D6491" s="3" t="s">
        <v>10786</v>
      </c>
      <c r="E6491" s="3" t="s">
        <v>1272</v>
      </c>
      <c r="F6491" s="3" t="s">
        <v>399</v>
      </c>
      <c r="I6491" s="3" t="s">
        <v>10353</v>
      </c>
    </row>
    <row r="6492" spans="2:9" hidden="1" x14ac:dyDescent="0.4">
      <c r="B6492" s="8" t="s">
        <v>519</v>
      </c>
      <c r="C6492" s="3" t="s">
        <v>10264</v>
      </c>
      <c r="D6492" s="3" t="s">
        <v>10787</v>
      </c>
      <c r="E6492" s="3" t="s">
        <v>1272</v>
      </c>
      <c r="F6492" s="3" t="s">
        <v>399</v>
      </c>
      <c r="I6492" s="3" t="s">
        <v>10353</v>
      </c>
    </row>
    <row r="6493" spans="2:9" hidden="1" x14ac:dyDescent="0.4">
      <c r="B6493" s="8" t="s">
        <v>10877</v>
      </c>
      <c r="C6493" s="3" t="s">
        <v>10267</v>
      </c>
      <c r="D6493" s="3" t="s">
        <v>10788</v>
      </c>
      <c r="E6493" s="3" t="s">
        <v>1272</v>
      </c>
      <c r="F6493" s="3" t="s">
        <v>399</v>
      </c>
      <c r="I6493" s="3" t="s">
        <v>10353</v>
      </c>
    </row>
    <row r="6494" spans="2:9" hidden="1" x14ac:dyDescent="0.4">
      <c r="B6494" s="8" t="s">
        <v>10878</v>
      </c>
      <c r="C6494" s="3" t="s">
        <v>10265</v>
      </c>
      <c r="D6494" s="3" t="s">
        <v>10789</v>
      </c>
      <c r="E6494" s="3" t="s">
        <v>1272</v>
      </c>
      <c r="F6494" s="3" t="s">
        <v>399</v>
      </c>
      <c r="I6494" s="3" t="s">
        <v>10353</v>
      </c>
    </row>
    <row r="6495" spans="2:9" hidden="1" x14ac:dyDescent="0.4">
      <c r="B6495" s="8" t="s">
        <v>519</v>
      </c>
      <c r="C6495" s="3" t="s">
        <v>10266</v>
      </c>
      <c r="D6495" s="3" t="s">
        <v>10790</v>
      </c>
      <c r="E6495" s="3" t="s">
        <v>1272</v>
      </c>
      <c r="F6495" s="3" t="s">
        <v>399</v>
      </c>
      <c r="I6495" s="3" t="s">
        <v>10353</v>
      </c>
    </row>
    <row r="6496" spans="2:9" hidden="1" x14ac:dyDescent="0.4">
      <c r="B6496" s="8" t="s">
        <v>4055</v>
      </c>
      <c r="C6496" s="3" t="s">
        <v>10268</v>
      </c>
      <c r="D6496" s="3" t="s">
        <v>10791</v>
      </c>
      <c r="E6496" s="3" t="s">
        <v>1272</v>
      </c>
      <c r="F6496" s="3" t="s">
        <v>399</v>
      </c>
      <c r="I6496" s="3" t="s">
        <v>10353</v>
      </c>
    </row>
    <row r="6497" spans="2:9" hidden="1" x14ac:dyDescent="0.4">
      <c r="B6497" s="8" t="s">
        <v>4055</v>
      </c>
      <c r="C6497" s="3" t="s">
        <v>10269</v>
      </c>
      <c r="D6497" s="3" t="s">
        <v>10792</v>
      </c>
      <c r="E6497" s="3" t="s">
        <v>1272</v>
      </c>
      <c r="F6497" s="3" t="s">
        <v>399</v>
      </c>
      <c r="I6497" s="3" t="s">
        <v>10353</v>
      </c>
    </row>
    <row r="6498" spans="2:9" hidden="1" x14ac:dyDescent="0.4">
      <c r="B6498" s="8" t="s">
        <v>4055</v>
      </c>
      <c r="C6498" s="3" t="s">
        <v>10270</v>
      </c>
      <c r="D6498" s="3" t="s">
        <v>10793</v>
      </c>
      <c r="E6498" s="3" t="s">
        <v>1272</v>
      </c>
      <c r="F6498" s="3" t="s">
        <v>399</v>
      </c>
      <c r="I6498" s="3" t="s">
        <v>10353</v>
      </c>
    </row>
    <row r="6499" spans="2:9" hidden="1" x14ac:dyDescent="0.4">
      <c r="B6499" s="8" t="s">
        <v>4055</v>
      </c>
      <c r="C6499" s="3" t="s">
        <v>10271</v>
      </c>
      <c r="D6499" s="3" t="s">
        <v>10794</v>
      </c>
      <c r="E6499" s="3" t="s">
        <v>1272</v>
      </c>
      <c r="F6499" s="3" t="s">
        <v>399</v>
      </c>
      <c r="I6499" s="3" t="s">
        <v>10353</v>
      </c>
    </row>
    <row r="6500" spans="2:9" hidden="1" x14ac:dyDescent="0.4">
      <c r="B6500" s="8" t="s">
        <v>516</v>
      </c>
      <c r="C6500" s="3" t="s">
        <v>10272</v>
      </c>
      <c r="D6500" s="3" t="s">
        <v>10795</v>
      </c>
      <c r="E6500" s="3" t="s">
        <v>1272</v>
      </c>
      <c r="F6500" s="3" t="s">
        <v>399</v>
      </c>
      <c r="I6500" s="3" t="s">
        <v>10353</v>
      </c>
    </row>
    <row r="6501" spans="2:9" hidden="1" x14ac:dyDescent="0.4">
      <c r="B6501" s="8" t="s">
        <v>4055</v>
      </c>
      <c r="C6501" s="3" t="s">
        <v>10273</v>
      </c>
      <c r="D6501" s="3" t="s">
        <v>10796</v>
      </c>
      <c r="E6501" s="3" t="s">
        <v>1272</v>
      </c>
      <c r="F6501" s="3" t="s">
        <v>399</v>
      </c>
      <c r="I6501" s="3" t="s">
        <v>10353</v>
      </c>
    </row>
    <row r="6502" spans="2:9" hidden="1" x14ac:dyDescent="0.4">
      <c r="B6502" s="8" t="s">
        <v>516</v>
      </c>
      <c r="C6502" s="3" t="s">
        <v>10274</v>
      </c>
      <c r="D6502" s="3" t="s">
        <v>10797</v>
      </c>
      <c r="E6502" s="3" t="s">
        <v>1272</v>
      </c>
      <c r="F6502" s="3" t="s">
        <v>399</v>
      </c>
      <c r="I6502" s="3" t="s">
        <v>10353</v>
      </c>
    </row>
    <row r="6503" spans="2:9" hidden="1" x14ac:dyDescent="0.4">
      <c r="B6503" s="8" t="s">
        <v>4055</v>
      </c>
      <c r="C6503" s="3" t="s">
        <v>10275</v>
      </c>
      <c r="D6503" s="3" t="s">
        <v>10798</v>
      </c>
      <c r="E6503" s="3" t="s">
        <v>1272</v>
      </c>
      <c r="F6503" s="3" t="s">
        <v>399</v>
      </c>
      <c r="I6503" s="3" t="s">
        <v>10353</v>
      </c>
    </row>
    <row r="6504" spans="2:9" hidden="1" x14ac:dyDescent="0.4">
      <c r="B6504" s="8" t="s">
        <v>1990</v>
      </c>
      <c r="C6504" s="3" t="s">
        <v>10276</v>
      </c>
      <c r="D6504" s="3" t="s">
        <v>10799</v>
      </c>
      <c r="E6504" s="3" t="s">
        <v>1272</v>
      </c>
      <c r="F6504" s="3" t="s">
        <v>399</v>
      </c>
      <c r="I6504" s="3" t="s">
        <v>10353</v>
      </c>
    </row>
    <row r="6505" spans="2:9" hidden="1" x14ac:dyDescent="0.4">
      <c r="B6505" s="8" t="s">
        <v>517</v>
      </c>
      <c r="C6505" s="3" t="s">
        <v>10277</v>
      </c>
      <c r="D6505" s="3" t="s">
        <v>10800</v>
      </c>
      <c r="E6505" s="3" t="s">
        <v>1272</v>
      </c>
      <c r="F6505" s="3" t="s">
        <v>399</v>
      </c>
      <c r="I6505" s="3" t="s">
        <v>10353</v>
      </c>
    </row>
    <row r="6506" spans="2:9" hidden="1" x14ac:dyDescent="0.4">
      <c r="B6506" s="8" t="s">
        <v>10879</v>
      </c>
      <c r="C6506" s="3" t="s">
        <v>10278</v>
      </c>
      <c r="D6506" s="3" t="s">
        <v>10801</v>
      </c>
      <c r="E6506" s="3" t="s">
        <v>1272</v>
      </c>
      <c r="F6506" s="3" t="s">
        <v>399</v>
      </c>
      <c r="I6506" s="3" t="s">
        <v>10353</v>
      </c>
    </row>
    <row r="6507" spans="2:9" hidden="1" x14ac:dyDescent="0.4">
      <c r="B6507" s="8" t="s">
        <v>517</v>
      </c>
      <c r="C6507" s="3" t="s">
        <v>10280</v>
      </c>
      <c r="D6507" s="3" t="s">
        <v>10802</v>
      </c>
      <c r="E6507" s="3" t="s">
        <v>1272</v>
      </c>
      <c r="F6507" s="3" t="s">
        <v>399</v>
      </c>
      <c r="I6507" s="3" t="s">
        <v>10353</v>
      </c>
    </row>
    <row r="6508" spans="2:9" hidden="1" x14ac:dyDescent="0.4">
      <c r="B6508" s="8" t="s">
        <v>2143</v>
      </c>
      <c r="C6508" s="3" t="s">
        <v>10281</v>
      </c>
      <c r="D6508" s="3" t="s">
        <v>10803</v>
      </c>
      <c r="E6508" s="3" t="s">
        <v>1272</v>
      </c>
      <c r="F6508" s="3" t="s">
        <v>399</v>
      </c>
      <c r="I6508" s="3" t="s">
        <v>10353</v>
      </c>
    </row>
    <row r="6509" spans="2:9" hidden="1" x14ac:dyDescent="0.4">
      <c r="B6509" s="8" t="s">
        <v>2143</v>
      </c>
      <c r="C6509" s="3" t="s">
        <v>10282</v>
      </c>
      <c r="D6509" s="3" t="s">
        <v>10804</v>
      </c>
      <c r="E6509" s="3" t="s">
        <v>1272</v>
      </c>
      <c r="F6509" s="3" t="s">
        <v>399</v>
      </c>
      <c r="I6509" s="3" t="s">
        <v>10353</v>
      </c>
    </row>
    <row r="6510" spans="2:9" hidden="1" x14ac:dyDescent="0.4">
      <c r="B6510" s="8" t="s">
        <v>2143</v>
      </c>
      <c r="C6510" s="3" t="s">
        <v>10283</v>
      </c>
      <c r="D6510" s="3" t="s">
        <v>10804</v>
      </c>
      <c r="E6510" s="3" t="s">
        <v>425</v>
      </c>
      <c r="F6510" s="3" t="s">
        <v>399</v>
      </c>
      <c r="I6510" s="3" t="s">
        <v>10353</v>
      </c>
    </row>
    <row r="6511" spans="2:9" hidden="1" x14ac:dyDescent="0.4">
      <c r="B6511" s="8" t="s">
        <v>517</v>
      </c>
      <c r="C6511" s="3" t="s">
        <v>10285</v>
      </c>
      <c r="D6511" s="3" t="s">
        <v>10805</v>
      </c>
      <c r="F6511" s="3" t="s">
        <v>399</v>
      </c>
      <c r="I6511" s="3" t="s">
        <v>10353</v>
      </c>
    </row>
    <row r="6512" spans="2:9" hidden="1" x14ac:dyDescent="0.4">
      <c r="B6512" s="8" t="s">
        <v>532</v>
      </c>
      <c r="C6512" s="3" t="s">
        <v>10284</v>
      </c>
      <c r="D6512" s="3" t="s">
        <v>10805</v>
      </c>
      <c r="F6512" s="3" t="s">
        <v>399</v>
      </c>
      <c r="I6512" s="3" t="s">
        <v>10353</v>
      </c>
    </row>
    <row r="6513" spans="2:9" hidden="1" x14ac:dyDescent="0.4">
      <c r="B6513" s="8" t="s">
        <v>517</v>
      </c>
      <c r="C6513" s="3" t="s">
        <v>10286</v>
      </c>
      <c r="D6513" s="3" t="s">
        <v>10806</v>
      </c>
      <c r="F6513" s="3" t="s">
        <v>399</v>
      </c>
      <c r="I6513" s="3" t="s">
        <v>10353</v>
      </c>
    </row>
    <row r="6514" spans="2:9" hidden="1" x14ac:dyDescent="0.4">
      <c r="B6514" s="8" t="s">
        <v>532</v>
      </c>
      <c r="C6514" s="3" t="s">
        <v>10287</v>
      </c>
      <c r="D6514" s="3" t="s">
        <v>10807</v>
      </c>
      <c r="F6514" s="3" t="s">
        <v>399</v>
      </c>
      <c r="I6514" s="3" t="s">
        <v>10353</v>
      </c>
    </row>
    <row r="6515" spans="2:9" hidden="1" x14ac:dyDescent="0.4">
      <c r="B6515" s="8" t="s">
        <v>520</v>
      </c>
      <c r="C6515" s="3" t="s">
        <v>10288</v>
      </c>
      <c r="D6515" s="3" t="s">
        <v>10808</v>
      </c>
      <c r="F6515" s="3" t="s">
        <v>399</v>
      </c>
      <c r="I6515" s="3" t="s">
        <v>10353</v>
      </c>
    </row>
    <row r="6516" spans="2:9" hidden="1" x14ac:dyDescent="0.4">
      <c r="B6516" s="8" t="s">
        <v>529</v>
      </c>
      <c r="C6516" s="3" t="s">
        <v>10289</v>
      </c>
      <c r="D6516" s="3" t="s">
        <v>10809</v>
      </c>
      <c r="E6516" s="3" t="s">
        <v>1272</v>
      </c>
      <c r="F6516" s="3" t="s">
        <v>399</v>
      </c>
      <c r="I6516" s="3" t="s">
        <v>10353</v>
      </c>
    </row>
    <row r="6517" spans="2:9" hidden="1" x14ac:dyDescent="0.4">
      <c r="B6517" s="8" t="s">
        <v>520</v>
      </c>
      <c r="C6517" s="3" t="s">
        <v>10290</v>
      </c>
      <c r="D6517" s="3" t="s">
        <v>10810</v>
      </c>
      <c r="E6517" s="3" t="s">
        <v>1272</v>
      </c>
      <c r="F6517" s="3" t="s">
        <v>399</v>
      </c>
      <c r="I6517" s="3" t="s">
        <v>10353</v>
      </c>
    </row>
    <row r="6518" spans="2:9" hidden="1" x14ac:dyDescent="0.4">
      <c r="B6518" s="8" t="s">
        <v>520</v>
      </c>
      <c r="C6518" s="3" t="s">
        <v>10291</v>
      </c>
      <c r="D6518" s="3" t="s">
        <v>10811</v>
      </c>
      <c r="E6518" s="3" t="s">
        <v>1272</v>
      </c>
      <c r="F6518" s="3" t="s">
        <v>399</v>
      </c>
      <c r="I6518" s="3" t="s">
        <v>10353</v>
      </c>
    </row>
    <row r="6519" spans="2:9" hidden="1" x14ac:dyDescent="0.4">
      <c r="B6519" s="8" t="s">
        <v>529</v>
      </c>
      <c r="C6519" s="3" t="s">
        <v>10292</v>
      </c>
      <c r="D6519" s="3" t="s">
        <v>10812</v>
      </c>
      <c r="F6519" s="3" t="s">
        <v>399</v>
      </c>
      <c r="I6519" s="3" t="s">
        <v>10353</v>
      </c>
    </row>
    <row r="6520" spans="2:9" hidden="1" x14ac:dyDescent="0.4">
      <c r="B6520" s="8" t="s">
        <v>517</v>
      </c>
      <c r="C6520" s="3" t="s">
        <v>10293</v>
      </c>
      <c r="D6520" s="3" t="s">
        <v>10813</v>
      </c>
      <c r="E6520" s="3" t="s">
        <v>1272</v>
      </c>
      <c r="F6520" s="3" t="s">
        <v>399</v>
      </c>
      <c r="I6520" s="3" t="s">
        <v>10353</v>
      </c>
    </row>
    <row r="6521" spans="2:9" hidden="1" x14ac:dyDescent="0.4">
      <c r="B6521" s="8" t="s">
        <v>529</v>
      </c>
      <c r="C6521" s="3" t="s">
        <v>10294</v>
      </c>
      <c r="D6521" s="3" t="s">
        <v>10814</v>
      </c>
      <c r="E6521" s="3" t="s">
        <v>1272</v>
      </c>
      <c r="F6521" s="3" t="s">
        <v>399</v>
      </c>
      <c r="I6521" s="3" t="s">
        <v>10353</v>
      </c>
    </row>
    <row r="6522" spans="2:9" hidden="1" x14ac:dyDescent="0.4">
      <c r="B6522" s="8" t="s">
        <v>520</v>
      </c>
      <c r="C6522" s="3" t="s">
        <v>10295</v>
      </c>
      <c r="D6522" s="3" t="s">
        <v>10867</v>
      </c>
      <c r="E6522" s="3" t="s">
        <v>1272</v>
      </c>
      <c r="F6522" s="3" t="s">
        <v>399</v>
      </c>
      <c r="I6522" s="3" t="s">
        <v>10353</v>
      </c>
    </row>
    <row r="6523" spans="2:9" hidden="1" x14ac:dyDescent="0.4">
      <c r="B6523" s="8" t="s">
        <v>520</v>
      </c>
      <c r="C6523" s="3" t="s">
        <v>10296</v>
      </c>
      <c r="D6523" s="3" t="s">
        <v>10815</v>
      </c>
      <c r="E6523" s="3" t="s">
        <v>1272</v>
      </c>
      <c r="F6523" s="3" t="s">
        <v>399</v>
      </c>
      <c r="I6523" s="3" t="s">
        <v>10353</v>
      </c>
    </row>
    <row r="6524" spans="2:9" hidden="1" x14ac:dyDescent="0.4">
      <c r="B6524" s="8" t="s">
        <v>529</v>
      </c>
      <c r="C6524" s="3" t="s">
        <v>10297</v>
      </c>
      <c r="D6524" s="3" t="s">
        <v>10816</v>
      </c>
      <c r="E6524" s="3" t="s">
        <v>1272</v>
      </c>
      <c r="F6524" s="3" t="s">
        <v>399</v>
      </c>
      <c r="I6524" s="3" t="s">
        <v>10353</v>
      </c>
    </row>
    <row r="6525" spans="2:9" hidden="1" x14ac:dyDescent="0.4">
      <c r="B6525" s="8" t="s">
        <v>529</v>
      </c>
      <c r="C6525" s="3" t="s">
        <v>10298</v>
      </c>
      <c r="D6525" s="3" t="s">
        <v>10817</v>
      </c>
      <c r="E6525" s="3" t="s">
        <v>1272</v>
      </c>
      <c r="F6525" s="3" t="s">
        <v>399</v>
      </c>
      <c r="I6525" s="3" t="s">
        <v>10353</v>
      </c>
    </row>
    <row r="6526" spans="2:9" hidden="1" x14ac:dyDescent="0.4">
      <c r="B6526" s="8" t="s">
        <v>529</v>
      </c>
      <c r="C6526" s="3" t="s">
        <v>10299</v>
      </c>
      <c r="D6526" s="3" t="s">
        <v>10818</v>
      </c>
      <c r="E6526" s="3" t="s">
        <v>1272</v>
      </c>
      <c r="F6526" s="3" t="s">
        <v>399</v>
      </c>
      <c r="I6526" s="3" t="s">
        <v>10353</v>
      </c>
    </row>
    <row r="6527" spans="2:9" hidden="1" x14ac:dyDescent="0.4">
      <c r="B6527" s="8" t="s">
        <v>517</v>
      </c>
      <c r="C6527" s="3" t="s">
        <v>10300</v>
      </c>
      <c r="D6527" s="3" t="s">
        <v>10819</v>
      </c>
      <c r="F6527" s="3" t="s">
        <v>399</v>
      </c>
      <c r="I6527" s="3" t="s">
        <v>10353</v>
      </c>
    </row>
    <row r="6528" spans="2:9" hidden="1" x14ac:dyDescent="0.4">
      <c r="B6528" s="8" t="s">
        <v>529</v>
      </c>
      <c r="C6528" s="3" t="s">
        <v>10301</v>
      </c>
      <c r="D6528" s="3" t="s">
        <v>10820</v>
      </c>
      <c r="F6528" s="3" t="s">
        <v>399</v>
      </c>
      <c r="I6528" s="3" t="s">
        <v>10353</v>
      </c>
    </row>
    <row r="6529" spans="2:9" hidden="1" x14ac:dyDescent="0.4">
      <c r="B6529" s="8" t="s">
        <v>517</v>
      </c>
      <c r="C6529" s="3" t="s">
        <v>10302</v>
      </c>
      <c r="D6529" s="3" t="s">
        <v>10821</v>
      </c>
      <c r="F6529" s="3" t="s">
        <v>399</v>
      </c>
      <c r="I6529" s="3" t="s">
        <v>10353</v>
      </c>
    </row>
    <row r="6530" spans="2:9" hidden="1" x14ac:dyDescent="0.4">
      <c r="B6530" s="8" t="s">
        <v>517</v>
      </c>
      <c r="C6530" s="3" t="s">
        <v>10303</v>
      </c>
      <c r="D6530" s="3" t="s">
        <v>10822</v>
      </c>
      <c r="E6530" s="3" t="s">
        <v>1272</v>
      </c>
      <c r="F6530" s="3" t="s">
        <v>399</v>
      </c>
      <c r="I6530" s="3" t="s">
        <v>10353</v>
      </c>
    </row>
    <row r="6531" spans="2:9" hidden="1" x14ac:dyDescent="0.4">
      <c r="B6531" s="8" t="s">
        <v>517</v>
      </c>
      <c r="C6531" s="3" t="s">
        <v>10304</v>
      </c>
      <c r="D6531" s="3" t="s">
        <v>10823</v>
      </c>
      <c r="E6531" s="3" t="s">
        <v>1272</v>
      </c>
      <c r="F6531" s="3" t="s">
        <v>399</v>
      </c>
      <c r="I6531" s="3" t="s">
        <v>10353</v>
      </c>
    </row>
    <row r="6532" spans="2:9" hidden="1" x14ac:dyDescent="0.4">
      <c r="B6532" s="8" t="s">
        <v>10880</v>
      </c>
      <c r="C6532" s="3" t="s">
        <v>10305</v>
      </c>
      <c r="D6532" s="3" t="s">
        <v>10824</v>
      </c>
      <c r="E6532" s="3" t="s">
        <v>1272</v>
      </c>
      <c r="F6532" s="3" t="s">
        <v>399</v>
      </c>
      <c r="I6532" s="3" t="s">
        <v>10353</v>
      </c>
    </row>
    <row r="6533" spans="2:9" hidden="1" x14ac:dyDescent="0.4">
      <c r="B6533" s="8" t="s">
        <v>517</v>
      </c>
      <c r="C6533" s="3" t="s">
        <v>10306</v>
      </c>
      <c r="D6533" s="3" t="s">
        <v>10825</v>
      </c>
      <c r="E6533" s="3" t="s">
        <v>1272</v>
      </c>
      <c r="F6533" s="3" t="s">
        <v>399</v>
      </c>
      <c r="I6533" s="3" t="s">
        <v>10353</v>
      </c>
    </row>
    <row r="6534" spans="2:9" hidden="1" x14ac:dyDescent="0.4">
      <c r="B6534" s="8" t="s">
        <v>520</v>
      </c>
      <c r="C6534" s="3" t="s">
        <v>10307</v>
      </c>
      <c r="D6534" s="3" t="s">
        <v>10826</v>
      </c>
      <c r="E6534" s="3" t="s">
        <v>1272</v>
      </c>
      <c r="F6534" s="3" t="s">
        <v>399</v>
      </c>
      <c r="I6534" s="3" t="s">
        <v>10353</v>
      </c>
    </row>
    <row r="6535" spans="2:9" hidden="1" x14ac:dyDescent="0.4">
      <c r="B6535" s="8" t="s">
        <v>520</v>
      </c>
      <c r="C6535" s="3" t="s">
        <v>10308</v>
      </c>
      <c r="D6535" s="3" t="s">
        <v>10827</v>
      </c>
      <c r="E6535" s="3" t="s">
        <v>1272</v>
      </c>
      <c r="F6535" s="3" t="s">
        <v>399</v>
      </c>
      <c r="I6535" s="3" t="s">
        <v>10353</v>
      </c>
    </row>
    <row r="6536" spans="2:9" hidden="1" x14ac:dyDescent="0.4">
      <c r="B6536" s="8" t="s">
        <v>517</v>
      </c>
      <c r="C6536" s="3" t="s">
        <v>10309</v>
      </c>
      <c r="D6536" s="3" t="s">
        <v>10828</v>
      </c>
      <c r="E6536" s="3" t="s">
        <v>1272</v>
      </c>
      <c r="F6536" s="3" t="s">
        <v>399</v>
      </c>
      <c r="I6536" s="3" t="s">
        <v>10353</v>
      </c>
    </row>
    <row r="6537" spans="2:9" hidden="1" x14ac:dyDescent="0.4">
      <c r="B6537" s="8" t="s">
        <v>526</v>
      </c>
      <c r="C6537" s="3" t="s">
        <v>10310</v>
      </c>
      <c r="D6537" s="3" t="s">
        <v>10829</v>
      </c>
      <c r="E6537" s="3" t="s">
        <v>1272</v>
      </c>
      <c r="F6537" s="3" t="s">
        <v>399</v>
      </c>
      <c r="I6537" s="3" t="s">
        <v>10353</v>
      </c>
    </row>
    <row r="6538" spans="2:9" hidden="1" x14ac:dyDescent="0.4">
      <c r="B6538" s="8" t="s">
        <v>517</v>
      </c>
      <c r="C6538" s="3" t="s">
        <v>10311</v>
      </c>
      <c r="D6538" s="3" t="s">
        <v>10830</v>
      </c>
      <c r="E6538" s="3" t="s">
        <v>1272</v>
      </c>
      <c r="F6538" s="3" t="s">
        <v>399</v>
      </c>
      <c r="I6538" s="3" t="s">
        <v>10353</v>
      </c>
    </row>
    <row r="6539" spans="2:9" hidden="1" x14ac:dyDescent="0.4">
      <c r="B6539" s="8" t="s">
        <v>531</v>
      </c>
      <c r="C6539" s="3" t="s">
        <v>10312</v>
      </c>
      <c r="D6539" s="3" t="s">
        <v>10831</v>
      </c>
      <c r="F6539" s="3" t="s">
        <v>399</v>
      </c>
      <c r="I6539" s="3" t="s">
        <v>10353</v>
      </c>
    </row>
    <row r="6540" spans="2:9" hidden="1" x14ac:dyDescent="0.4">
      <c r="B6540" s="8" t="s">
        <v>517</v>
      </c>
      <c r="C6540" s="3" t="s">
        <v>10313</v>
      </c>
      <c r="D6540" s="3" t="s">
        <v>10832</v>
      </c>
      <c r="E6540" s="3" t="s">
        <v>1272</v>
      </c>
      <c r="F6540" s="3" t="s">
        <v>399</v>
      </c>
      <c r="I6540" s="3" t="s">
        <v>10353</v>
      </c>
    </row>
    <row r="6541" spans="2:9" hidden="1" x14ac:dyDescent="0.4">
      <c r="B6541" s="8" t="s">
        <v>517</v>
      </c>
      <c r="C6541" s="3" t="s">
        <v>10314</v>
      </c>
      <c r="D6541" s="3" t="s">
        <v>10833</v>
      </c>
      <c r="E6541" s="3" t="s">
        <v>1272</v>
      </c>
      <c r="F6541" s="3" t="s">
        <v>399</v>
      </c>
      <c r="I6541" s="3" t="s">
        <v>10353</v>
      </c>
    </row>
    <row r="6542" spans="2:9" hidden="1" x14ac:dyDescent="0.4">
      <c r="B6542" s="8" t="s">
        <v>529</v>
      </c>
      <c r="C6542" s="3" t="s">
        <v>10315</v>
      </c>
      <c r="D6542" s="3" t="s">
        <v>10834</v>
      </c>
      <c r="E6542" s="3" t="s">
        <v>1272</v>
      </c>
      <c r="F6542" s="3" t="s">
        <v>399</v>
      </c>
      <c r="I6542" s="3" t="s">
        <v>10353</v>
      </c>
    </row>
    <row r="6543" spans="2:9" hidden="1" x14ac:dyDescent="0.4">
      <c r="B6543" s="8" t="s">
        <v>517</v>
      </c>
      <c r="C6543" s="3" t="s">
        <v>10316</v>
      </c>
      <c r="D6543" s="3" t="s">
        <v>10835</v>
      </c>
      <c r="E6543" s="3" t="s">
        <v>1272</v>
      </c>
      <c r="F6543" s="3" t="s">
        <v>399</v>
      </c>
      <c r="I6543" s="3" t="s">
        <v>10353</v>
      </c>
    </row>
    <row r="6544" spans="2:9" hidden="1" x14ac:dyDescent="0.4">
      <c r="B6544" s="8" t="s">
        <v>517</v>
      </c>
      <c r="C6544" s="3" t="s">
        <v>10863</v>
      </c>
      <c r="D6544" s="3" t="s">
        <v>10836</v>
      </c>
      <c r="E6544" s="3" t="s">
        <v>1272</v>
      </c>
      <c r="F6544" s="3" t="s">
        <v>399</v>
      </c>
      <c r="I6544" s="3" t="s">
        <v>10353</v>
      </c>
    </row>
    <row r="6545" spans="2:9" hidden="1" x14ac:dyDescent="0.4">
      <c r="B6545" s="8" t="s">
        <v>532</v>
      </c>
      <c r="C6545" s="3" t="s">
        <v>10317</v>
      </c>
      <c r="D6545" s="3" t="s">
        <v>10837</v>
      </c>
      <c r="E6545" s="3" t="s">
        <v>1272</v>
      </c>
      <c r="F6545" s="3" t="s">
        <v>399</v>
      </c>
      <c r="I6545" s="3" t="s">
        <v>10353</v>
      </c>
    </row>
    <row r="6546" spans="2:9" hidden="1" x14ac:dyDescent="0.4">
      <c r="B6546" s="8" t="s">
        <v>1990</v>
      </c>
      <c r="C6546" s="3" t="s">
        <v>10318</v>
      </c>
      <c r="D6546" s="3" t="s">
        <v>10838</v>
      </c>
      <c r="E6546" s="3" t="s">
        <v>1272</v>
      </c>
      <c r="F6546" s="3" t="s">
        <v>399</v>
      </c>
      <c r="I6546" s="3" t="s">
        <v>10353</v>
      </c>
    </row>
    <row r="6547" spans="2:9" hidden="1" x14ac:dyDescent="0.4">
      <c r="B6547" s="8" t="s">
        <v>516</v>
      </c>
      <c r="C6547" s="3" t="s">
        <v>10319</v>
      </c>
      <c r="D6547" s="3" t="s">
        <v>10839</v>
      </c>
      <c r="E6547" s="3" t="s">
        <v>1272</v>
      </c>
      <c r="F6547" s="3" t="s">
        <v>399</v>
      </c>
      <c r="I6547" s="3" t="s">
        <v>10353</v>
      </c>
    </row>
    <row r="6548" spans="2:9" hidden="1" x14ac:dyDescent="0.4">
      <c r="B6548" s="8" t="s">
        <v>517</v>
      </c>
      <c r="C6548" s="3" t="s">
        <v>10320</v>
      </c>
      <c r="D6548" s="3" t="s">
        <v>10840</v>
      </c>
      <c r="E6548" s="3" t="s">
        <v>1272</v>
      </c>
      <c r="F6548" s="3" t="s">
        <v>399</v>
      </c>
      <c r="I6548" s="3" t="s">
        <v>10353</v>
      </c>
    </row>
    <row r="6549" spans="2:9" hidden="1" x14ac:dyDescent="0.4">
      <c r="B6549" s="8" t="s">
        <v>516</v>
      </c>
      <c r="C6549" s="3" t="s">
        <v>10321</v>
      </c>
      <c r="D6549" s="3" t="s">
        <v>10841</v>
      </c>
      <c r="E6549" s="3" t="s">
        <v>1272</v>
      </c>
      <c r="F6549" s="3" t="s">
        <v>399</v>
      </c>
      <c r="I6549" s="3" t="s">
        <v>10353</v>
      </c>
    </row>
    <row r="6550" spans="2:9" hidden="1" x14ac:dyDescent="0.4">
      <c r="B6550" s="8" t="s">
        <v>517</v>
      </c>
      <c r="C6550" s="3" t="s">
        <v>10322</v>
      </c>
      <c r="D6550" s="3" t="s">
        <v>10842</v>
      </c>
      <c r="E6550" s="3" t="s">
        <v>1272</v>
      </c>
      <c r="F6550" s="3" t="s">
        <v>399</v>
      </c>
      <c r="I6550" s="3" t="s">
        <v>10353</v>
      </c>
    </row>
    <row r="6551" spans="2:9" hidden="1" x14ac:dyDescent="0.4">
      <c r="B6551" s="8" t="s">
        <v>516</v>
      </c>
      <c r="C6551" s="3" t="s">
        <v>10323</v>
      </c>
      <c r="D6551" s="3" t="s">
        <v>10843</v>
      </c>
      <c r="E6551" s="3" t="s">
        <v>1272</v>
      </c>
      <c r="F6551" s="3" t="s">
        <v>399</v>
      </c>
      <c r="I6551" s="3" t="s">
        <v>10353</v>
      </c>
    </row>
    <row r="6552" spans="2:9" hidden="1" x14ac:dyDescent="0.4">
      <c r="B6552" s="8" t="s">
        <v>517</v>
      </c>
      <c r="C6552" s="3" t="s">
        <v>10324</v>
      </c>
      <c r="D6552" s="3" t="s">
        <v>10842</v>
      </c>
      <c r="E6552" s="3" t="s">
        <v>1272</v>
      </c>
      <c r="F6552" s="3" t="s">
        <v>399</v>
      </c>
      <c r="I6552" s="3" t="s">
        <v>10353</v>
      </c>
    </row>
    <row r="6553" spans="2:9" hidden="1" x14ac:dyDescent="0.4">
      <c r="B6553" s="8" t="s">
        <v>516</v>
      </c>
      <c r="C6553" s="3" t="s">
        <v>10325</v>
      </c>
      <c r="D6553" s="3" t="s">
        <v>10843</v>
      </c>
      <c r="E6553" s="3" t="s">
        <v>1272</v>
      </c>
      <c r="F6553" s="3" t="s">
        <v>399</v>
      </c>
      <c r="I6553" s="3" t="s">
        <v>10353</v>
      </c>
    </row>
    <row r="6554" spans="2:9" hidden="1" x14ac:dyDescent="0.4">
      <c r="B6554" s="8" t="s">
        <v>517</v>
      </c>
      <c r="C6554" s="3" t="s">
        <v>10327</v>
      </c>
      <c r="D6554" s="3" t="s">
        <v>10844</v>
      </c>
      <c r="E6554" s="3" t="s">
        <v>1272</v>
      </c>
      <c r="F6554" s="3" t="s">
        <v>399</v>
      </c>
      <c r="I6554" s="3" t="s">
        <v>10353</v>
      </c>
    </row>
    <row r="6555" spans="2:9" hidden="1" x14ac:dyDescent="0.4">
      <c r="B6555" s="8" t="s">
        <v>517</v>
      </c>
      <c r="C6555" s="3" t="s">
        <v>10326</v>
      </c>
      <c r="D6555" s="3" t="s">
        <v>10845</v>
      </c>
      <c r="E6555" s="3" t="s">
        <v>1272</v>
      </c>
      <c r="F6555" s="3" t="s">
        <v>399</v>
      </c>
      <c r="I6555" s="3" t="s">
        <v>10353</v>
      </c>
    </row>
    <row r="6556" spans="2:9" hidden="1" x14ac:dyDescent="0.4">
      <c r="B6556" s="8" t="s">
        <v>517</v>
      </c>
      <c r="C6556" s="3" t="s">
        <v>10328</v>
      </c>
      <c r="D6556" s="3" t="s">
        <v>10846</v>
      </c>
      <c r="E6556" s="3" t="s">
        <v>1272</v>
      </c>
      <c r="F6556" s="3" t="s">
        <v>399</v>
      </c>
      <c r="I6556" s="3" t="s">
        <v>10353</v>
      </c>
    </row>
    <row r="6557" spans="2:9" hidden="1" x14ac:dyDescent="0.4">
      <c r="B6557" s="8" t="s">
        <v>517</v>
      </c>
      <c r="C6557" s="3" t="s">
        <v>10329</v>
      </c>
      <c r="D6557" s="3" t="s">
        <v>10847</v>
      </c>
      <c r="E6557" s="3" t="s">
        <v>1272</v>
      </c>
      <c r="F6557" s="3" t="s">
        <v>399</v>
      </c>
      <c r="I6557" s="3" t="s">
        <v>10353</v>
      </c>
    </row>
    <row r="6558" spans="2:9" hidden="1" x14ac:dyDescent="0.4">
      <c r="B6558" s="8" t="s">
        <v>517</v>
      </c>
      <c r="C6558" s="3" t="s">
        <v>10330</v>
      </c>
      <c r="D6558" s="3" t="s">
        <v>10848</v>
      </c>
      <c r="E6558" s="3" t="s">
        <v>1272</v>
      </c>
      <c r="F6558" s="3" t="s">
        <v>399</v>
      </c>
      <c r="I6558" s="3" t="s">
        <v>10353</v>
      </c>
    </row>
    <row r="6559" spans="2:9" hidden="1" x14ac:dyDescent="0.4">
      <c r="B6559" s="8" t="s">
        <v>517</v>
      </c>
      <c r="C6559" s="3" t="s">
        <v>10331</v>
      </c>
      <c r="D6559" s="3" t="s">
        <v>10849</v>
      </c>
      <c r="E6559" s="3" t="s">
        <v>1272</v>
      </c>
      <c r="F6559" s="3" t="s">
        <v>399</v>
      </c>
      <c r="I6559" s="3" t="s">
        <v>10353</v>
      </c>
    </row>
    <row r="6560" spans="2:9" hidden="1" x14ac:dyDescent="0.4">
      <c r="B6560" s="8" t="s">
        <v>517</v>
      </c>
      <c r="C6560" s="3" t="s">
        <v>10332</v>
      </c>
      <c r="D6560" s="3" t="s">
        <v>10850</v>
      </c>
      <c r="E6560" s="3" t="s">
        <v>1272</v>
      </c>
      <c r="F6560" s="3" t="s">
        <v>399</v>
      </c>
      <c r="I6560" s="3" t="s">
        <v>10353</v>
      </c>
    </row>
    <row r="6561" spans="2:9" hidden="1" x14ac:dyDescent="0.4">
      <c r="B6561" s="8" t="s">
        <v>517</v>
      </c>
      <c r="C6561" s="3" t="s">
        <v>10333</v>
      </c>
      <c r="D6561" s="3" t="s">
        <v>10851</v>
      </c>
      <c r="E6561" s="3" t="s">
        <v>1272</v>
      </c>
      <c r="F6561" s="3" t="s">
        <v>399</v>
      </c>
      <c r="I6561" s="3" t="s">
        <v>10353</v>
      </c>
    </row>
    <row r="6562" spans="2:9" hidden="1" x14ac:dyDescent="0.4">
      <c r="B6562" s="8" t="s">
        <v>517</v>
      </c>
      <c r="C6562" s="3" t="s">
        <v>10334</v>
      </c>
      <c r="D6562" s="3" t="s">
        <v>10852</v>
      </c>
      <c r="E6562" s="3" t="s">
        <v>1272</v>
      </c>
      <c r="F6562" s="3" t="s">
        <v>399</v>
      </c>
      <c r="I6562" s="3" t="s">
        <v>10353</v>
      </c>
    </row>
    <row r="6563" spans="2:9" hidden="1" x14ac:dyDescent="0.4">
      <c r="B6563" s="8" t="s">
        <v>517</v>
      </c>
      <c r="C6563" s="3" t="s">
        <v>10335</v>
      </c>
      <c r="D6563" s="3" t="s">
        <v>10853</v>
      </c>
      <c r="E6563" s="3" t="s">
        <v>1272</v>
      </c>
      <c r="F6563" s="3" t="s">
        <v>399</v>
      </c>
      <c r="I6563" s="3" t="s">
        <v>10353</v>
      </c>
    </row>
    <row r="6564" spans="2:9" hidden="1" x14ac:dyDescent="0.4">
      <c r="B6564" s="8" t="s">
        <v>520</v>
      </c>
      <c r="C6564" s="3" t="s">
        <v>10336</v>
      </c>
      <c r="D6564" s="3" t="s">
        <v>10854</v>
      </c>
      <c r="E6564" s="3" t="s">
        <v>1272</v>
      </c>
      <c r="F6564" s="3" t="s">
        <v>399</v>
      </c>
      <c r="I6564" s="3" t="s">
        <v>10353</v>
      </c>
    </row>
    <row r="6565" spans="2:9" hidden="1" x14ac:dyDescent="0.4">
      <c r="B6565" s="8" t="s">
        <v>517</v>
      </c>
      <c r="C6565" s="3" t="s">
        <v>10337</v>
      </c>
      <c r="D6565" s="3" t="s">
        <v>10855</v>
      </c>
      <c r="E6565" s="3" t="s">
        <v>1272</v>
      </c>
      <c r="F6565" s="3" t="s">
        <v>399</v>
      </c>
      <c r="I6565" s="3" t="s">
        <v>10353</v>
      </c>
    </row>
    <row r="6566" spans="2:9" hidden="1" x14ac:dyDescent="0.4">
      <c r="B6566" s="8" t="s">
        <v>517</v>
      </c>
      <c r="C6566" s="3" t="s">
        <v>10338</v>
      </c>
      <c r="D6566" s="3" t="s">
        <v>10856</v>
      </c>
      <c r="F6566" s="3" t="s">
        <v>399</v>
      </c>
      <c r="I6566" s="3" t="s">
        <v>10353</v>
      </c>
    </row>
    <row r="6567" spans="2:9" hidden="1" x14ac:dyDescent="0.4">
      <c r="B6567" s="8" t="s">
        <v>517</v>
      </c>
      <c r="C6567" s="3" t="s">
        <v>10339</v>
      </c>
      <c r="D6567" s="3" t="s">
        <v>10857</v>
      </c>
      <c r="F6567" s="3" t="s">
        <v>399</v>
      </c>
      <c r="I6567" s="3" t="s">
        <v>10353</v>
      </c>
    </row>
    <row r="6568" spans="2:9" hidden="1" x14ac:dyDescent="0.4">
      <c r="B6568" s="8" t="s">
        <v>517</v>
      </c>
      <c r="C6568" s="3" t="s">
        <v>10340</v>
      </c>
      <c r="D6568" s="3" t="s">
        <v>10858</v>
      </c>
      <c r="F6568" s="3" t="s">
        <v>399</v>
      </c>
      <c r="I6568" s="3" t="s">
        <v>10353</v>
      </c>
    </row>
    <row r="6569" spans="2:9" hidden="1" x14ac:dyDescent="0.4">
      <c r="B6569" s="8" t="s">
        <v>516</v>
      </c>
      <c r="C6569" s="3" t="s">
        <v>10341</v>
      </c>
      <c r="D6569" s="3" t="s">
        <v>10859</v>
      </c>
      <c r="E6569" s="3" t="s">
        <v>1272</v>
      </c>
      <c r="F6569" s="3" t="s">
        <v>399</v>
      </c>
      <c r="I6569" s="3" t="s">
        <v>10353</v>
      </c>
    </row>
    <row r="6570" spans="2:9" hidden="1" x14ac:dyDescent="0.4">
      <c r="B6570" s="8" t="s">
        <v>517</v>
      </c>
      <c r="C6570" s="3" t="s">
        <v>10342</v>
      </c>
      <c r="D6570" s="3" t="s">
        <v>10860</v>
      </c>
      <c r="E6570" s="3" t="s">
        <v>1272</v>
      </c>
      <c r="F6570" s="3" t="s">
        <v>399</v>
      </c>
      <c r="I6570" s="3" t="s">
        <v>10353</v>
      </c>
    </row>
    <row r="6571" spans="2:9" hidden="1" x14ac:dyDescent="0.4">
      <c r="B6571" s="8" t="s">
        <v>520</v>
      </c>
      <c r="C6571" s="3" t="s">
        <v>10343</v>
      </c>
      <c r="D6571" s="3" t="s">
        <v>10861</v>
      </c>
      <c r="E6571" s="3" t="s">
        <v>1272</v>
      </c>
      <c r="F6571" s="3" t="s">
        <v>399</v>
      </c>
      <c r="I6571" s="3" t="s">
        <v>10353</v>
      </c>
    </row>
    <row r="6572" spans="2:9" hidden="1" x14ac:dyDescent="0.4">
      <c r="B6572" s="8" t="s">
        <v>517</v>
      </c>
      <c r="C6572" s="3" t="s">
        <v>10344</v>
      </c>
      <c r="D6572" s="3" t="s">
        <v>10862</v>
      </c>
      <c r="E6572" s="3" t="s">
        <v>1272</v>
      </c>
      <c r="F6572" s="3" t="s">
        <v>399</v>
      </c>
      <c r="I6572" s="3" t="s">
        <v>10353</v>
      </c>
    </row>
    <row r="6573" spans="2:9" hidden="1" x14ac:dyDescent="0.4">
      <c r="B6573" s="8" t="s">
        <v>517</v>
      </c>
      <c r="C6573" s="3" t="s">
        <v>10881</v>
      </c>
      <c r="D6573" s="3" t="s">
        <v>10995</v>
      </c>
      <c r="E6573" s="3" t="s">
        <v>1272</v>
      </c>
      <c r="F6573" s="3" t="s">
        <v>399</v>
      </c>
      <c r="I6573" s="3" t="s">
        <v>2369</v>
      </c>
    </row>
    <row r="6574" spans="2:9" hidden="1" x14ac:dyDescent="0.4">
      <c r="B6574" s="8" t="s">
        <v>518</v>
      </c>
      <c r="C6574" s="3" t="s">
        <v>2208</v>
      </c>
      <c r="D6574" s="3" t="s">
        <v>10995</v>
      </c>
      <c r="E6574" s="3" t="s">
        <v>1272</v>
      </c>
      <c r="F6574" s="3" t="s">
        <v>399</v>
      </c>
      <c r="I6574" s="3" t="s">
        <v>2369</v>
      </c>
    </row>
    <row r="6575" spans="2:9" hidden="1" x14ac:dyDescent="0.4">
      <c r="B6575" s="8" t="s">
        <v>517</v>
      </c>
      <c r="C6575" s="3" t="s">
        <v>10882</v>
      </c>
      <c r="D6575" s="3" t="s">
        <v>10996</v>
      </c>
      <c r="E6575" s="3" t="s">
        <v>1272</v>
      </c>
      <c r="F6575" s="3" t="s">
        <v>399</v>
      </c>
      <c r="I6575" s="3" t="s">
        <v>2369</v>
      </c>
    </row>
    <row r="6576" spans="2:9" hidden="1" x14ac:dyDescent="0.4">
      <c r="B6576" s="8" t="s">
        <v>515</v>
      </c>
      <c r="C6576" s="3" t="s">
        <v>10883</v>
      </c>
      <c r="D6576" s="3" t="s">
        <v>10996</v>
      </c>
      <c r="E6576" s="3" t="s">
        <v>1272</v>
      </c>
      <c r="F6576" s="3" t="s">
        <v>399</v>
      </c>
      <c r="I6576" s="3" t="s">
        <v>2369</v>
      </c>
    </row>
    <row r="6577" spans="2:9" hidden="1" x14ac:dyDescent="0.4">
      <c r="B6577" s="8" t="s">
        <v>517</v>
      </c>
      <c r="C6577" s="3" t="s">
        <v>10884</v>
      </c>
      <c r="D6577" s="3" t="s">
        <v>10997</v>
      </c>
      <c r="E6577" s="3" t="s">
        <v>1272</v>
      </c>
      <c r="F6577" s="3" t="s">
        <v>399</v>
      </c>
      <c r="I6577" s="3" t="s">
        <v>2369</v>
      </c>
    </row>
    <row r="6578" spans="2:9" hidden="1" x14ac:dyDescent="0.4">
      <c r="B6578" s="8" t="s">
        <v>517</v>
      </c>
      <c r="C6578" s="3" t="s">
        <v>10885</v>
      </c>
      <c r="D6578" s="3" t="s">
        <v>10998</v>
      </c>
      <c r="E6578" s="3" t="s">
        <v>1272</v>
      </c>
      <c r="F6578" s="3" t="s">
        <v>399</v>
      </c>
      <c r="I6578" s="3" t="s">
        <v>2369</v>
      </c>
    </row>
    <row r="6579" spans="2:9" hidden="1" x14ac:dyDescent="0.4">
      <c r="B6579" s="8" t="s">
        <v>516</v>
      </c>
      <c r="C6579" s="3" t="s">
        <v>10886</v>
      </c>
      <c r="D6579" s="3" t="s">
        <v>10999</v>
      </c>
      <c r="E6579" s="3" t="s">
        <v>1272</v>
      </c>
      <c r="F6579" s="3" t="s">
        <v>399</v>
      </c>
      <c r="I6579" s="3" t="s">
        <v>2369</v>
      </c>
    </row>
    <row r="6580" spans="2:9" hidden="1" x14ac:dyDescent="0.4">
      <c r="B6580" s="8" t="s">
        <v>516</v>
      </c>
      <c r="C6580" s="3" t="s">
        <v>10887</v>
      </c>
      <c r="D6580" s="3" t="s">
        <v>11000</v>
      </c>
      <c r="E6580" s="3" t="s">
        <v>1272</v>
      </c>
      <c r="F6580" s="3" t="s">
        <v>399</v>
      </c>
      <c r="I6580" s="3" t="s">
        <v>2369</v>
      </c>
    </row>
    <row r="6581" spans="2:9" hidden="1" x14ac:dyDescent="0.4">
      <c r="B6581" s="8" t="s">
        <v>516</v>
      </c>
      <c r="C6581" s="3" t="s">
        <v>10888</v>
      </c>
      <c r="D6581" s="3" t="s">
        <v>11001</v>
      </c>
      <c r="E6581" s="3" t="s">
        <v>1272</v>
      </c>
      <c r="F6581" s="3" t="s">
        <v>399</v>
      </c>
      <c r="I6581" s="3" t="s">
        <v>2369</v>
      </c>
    </row>
    <row r="6582" spans="2:9" hidden="1" x14ac:dyDescent="0.4">
      <c r="B6582" s="8" t="s">
        <v>516</v>
      </c>
      <c r="C6582" s="3" t="s">
        <v>10889</v>
      </c>
      <c r="D6582" s="3" t="s">
        <v>11002</v>
      </c>
      <c r="E6582" s="3" t="s">
        <v>1272</v>
      </c>
      <c r="F6582" s="3" t="s">
        <v>399</v>
      </c>
      <c r="I6582" s="3" t="s">
        <v>2369</v>
      </c>
    </row>
    <row r="6583" spans="2:9" hidden="1" x14ac:dyDescent="0.4">
      <c r="B6583" s="8" t="s">
        <v>516</v>
      </c>
      <c r="C6583" s="3" t="s">
        <v>10890</v>
      </c>
      <c r="D6583" s="3" t="s">
        <v>11003</v>
      </c>
      <c r="E6583" s="3" t="s">
        <v>1272</v>
      </c>
      <c r="F6583" s="3" t="s">
        <v>399</v>
      </c>
      <c r="I6583" s="3" t="s">
        <v>2369</v>
      </c>
    </row>
    <row r="6584" spans="2:9" hidden="1" x14ac:dyDescent="0.4">
      <c r="B6584" s="8" t="s">
        <v>4055</v>
      </c>
      <c r="C6584" s="3" t="s">
        <v>10891</v>
      </c>
      <c r="D6584" s="3" t="s">
        <v>11004</v>
      </c>
      <c r="E6584" s="3" t="s">
        <v>1272</v>
      </c>
      <c r="F6584" s="3" t="s">
        <v>399</v>
      </c>
      <c r="I6584" s="3" t="s">
        <v>2369</v>
      </c>
    </row>
    <row r="6585" spans="2:9" hidden="1" x14ac:dyDescent="0.4">
      <c r="B6585" s="8" t="s">
        <v>517</v>
      </c>
      <c r="C6585" s="3" t="s">
        <v>11005</v>
      </c>
      <c r="D6585" s="3" t="s">
        <v>11006</v>
      </c>
      <c r="E6585" s="3" t="s">
        <v>1272</v>
      </c>
      <c r="F6585" s="3" t="s">
        <v>399</v>
      </c>
      <c r="I6585" s="3" t="s">
        <v>2369</v>
      </c>
    </row>
    <row r="6586" spans="2:9" hidden="1" x14ac:dyDescent="0.4">
      <c r="B6586" s="8" t="s">
        <v>517</v>
      </c>
      <c r="C6586" s="3" t="s">
        <v>10892</v>
      </c>
      <c r="D6586" s="3" t="s">
        <v>11007</v>
      </c>
      <c r="E6586" s="3" t="s">
        <v>1272</v>
      </c>
      <c r="F6586" s="3" t="s">
        <v>399</v>
      </c>
      <c r="I6586" s="3" t="s">
        <v>2369</v>
      </c>
    </row>
    <row r="6587" spans="2:9" hidden="1" x14ac:dyDescent="0.4">
      <c r="B6587" s="8" t="s">
        <v>517</v>
      </c>
      <c r="C6587" s="3" t="s">
        <v>10893</v>
      </c>
      <c r="D6587" s="3" t="s">
        <v>11008</v>
      </c>
      <c r="E6587" s="3" t="s">
        <v>1272</v>
      </c>
      <c r="F6587" s="3" t="s">
        <v>399</v>
      </c>
      <c r="I6587" s="3" t="s">
        <v>2369</v>
      </c>
    </row>
    <row r="6588" spans="2:9" hidden="1" x14ac:dyDescent="0.4">
      <c r="B6588" s="8" t="s">
        <v>529</v>
      </c>
      <c r="C6588" s="3" t="s">
        <v>2212</v>
      </c>
      <c r="D6588" s="3" t="s">
        <v>11009</v>
      </c>
      <c r="E6588" s="3" t="s">
        <v>1272</v>
      </c>
      <c r="F6588" s="3" t="s">
        <v>399</v>
      </c>
      <c r="I6588" s="3" t="s">
        <v>2369</v>
      </c>
    </row>
    <row r="6589" spans="2:9" hidden="1" x14ac:dyDescent="0.4">
      <c r="B6589" s="8" t="s">
        <v>529</v>
      </c>
      <c r="C6589" s="3" t="s">
        <v>10894</v>
      </c>
      <c r="D6589" s="3" t="s">
        <v>11010</v>
      </c>
      <c r="E6589" s="3" t="s">
        <v>1272</v>
      </c>
      <c r="F6589" s="3" t="s">
        <v>399</v>
      </c>
      <c r="I6589" s="3" t="s">
        <v>2369</v>
      </c>
    </row>
    <row r="6590" spans="2:9" hidden="1" x14ac:dyDescent="0.4">
      <c r="B6590" s="8" t="s">
        <v>517</v>
      </c>
      <c r="C6590" s="3" t="s">
        <v>10894</v>
      </c>
      <c r="D6590" s="3" t="s">
        <v>11010</v>
      </c>
      <c r="E6590" s="3" t="s">
        <v>1272</v>
      </c>
      <c r="F6590" s="3" t="s">
        <v>399</v>
      </c>
      <c r="I6590" s="3" t="s">
        <v>2369</v>
      </c>
    </row>
    <row r="6591" spans="2:9" hidden="1" x14ac:dyDescent="0.4">
      <c r="B6591" s="8" t="s">
        <v>517</v>
      </c>
      <c r="C6591" s="3" t="s">
        <v>10895</v>
      </c>
      <c r="D6591" s="3" t="s">
        <v>11011</v>
      </c>
      <c r="E6591" s="3" t="s">
        <v>1272</v>
      </c>
      <c r="F6591" s="3" t="s">
        <v>399</v>
      </c>
      <c r="I6591" s="3" t="s">
        <v>2369</v>
      </c>
    </row>
    <row r="6592" spans="2:9" hidden="1" x14ac:dyDescent="0.4">
      <c r="B6592" s="8" t="s">
        <v>518</v>
      </c>
      <c r="C6592" s="3" t="s">
        <v>10896</v>
      </c>
      <c r="D6592" s="3" t="s">
        <v>11011</v>
      </c>
      <c r="E6592" s="3" t="s">
        <v>1272</v>
      </c>
      <c r="F6592" s="3" t="s">
        <v>399</v>
      </c>
      <c r="I6592" s="3" t="s">
        <v>2369</v>
      </c>
    </row>
    <row r="6593" spans="2:9" hidden="1" x14ac:dyDescent="0.4">
      <c r="B6593" s="8" t="s">
        <v>516</v>
      </c>
      <c r="C6593" s="3" t="s">
        <v>10897</v>
      </c>
      <c r="D6593" s="3" t="s">
        <v>11012</v>
      </c>
      <c r="E6593" s="3" t="s">
        <v>1272</v>
      </c>
      <c r="F6593" s="3" t="s">
        <v>399</v>
      </c>
      <c r="I6593" s="3" t="s">
        <v>2369</v>
      </c>
    </row>
    <row r="6594" spans="2:9" hidden="1" x14ac:dyDescent="0.4">
      <c r="B6594" s="8" t="s">
        <v>515</v>
      </c>
      <c r="C6594" s="3" t="s">
        <v>10898</v>
      </c>
      <c r="D6594" s="3" t="s">
        <v>11013</v>
      </c>
      <c r="E6594" s="3" t="s">
        <v>1272</v>
      </c>
      <c r="F6594" s="3" t="s">
        <v>399</v>
      </c>
      <c r="I6594" s="3" t="s">
        <v>2369</v>
      </c>
    </row>
    <row r="6595" spans="2:9" hidden="1" x14ac:dyDescent="0.4">
      <c r="B6595" s="8" t="s">
        <v>517</v>
      </c>
      <c r="C6595" s="3" t="s">
        <v>10899</v>
      </c>
      <c r="D6595" s="3" t="s">
        <v>11013</v>
      </c>
      <c r="E6595" s="3" t="s">
        <v>1272</v>
      </c>
      <c r="F6595" s="3" t="s">
        <v>399</v>
      </c>
      <c r="I6595" s="3" t="s">
        <v>2369</v>
      </c>
    </row>
    <row r="6596" spans="2:9" hidden="1" x14ac:dyDescent="0.4">
      <c r="B6596" s="8" t="s">
        <v>516</v>
      </c>
      <c r="C6596" s="3" t="s">
        <v>10900</v>
      </c>
      <c r="D6596" s="3" t="s">
        <v>11014</v>
      </c>
      <c r="E6596" s="3" t="s">
        <v>1272</v>
      </c>
      <c r="F6596" s="3" t="s">
        <v>399</v>
      </c>
      <c r="I6596" s="3" t="s">
        <v>2369</v>
      </c>
    </row>
    <row r="6597" spans="2:9" hidden="1" x14ac:dyDescent="0.4">
      <c r="B6597" s="8" t="s">
        <v>516</v>
      </c>
      <c r="C6597" s="3" t="s">
        <v>10901</v>
      </c>
      <c r="D6597" s="3" t="s">
        <v>11015</v>
      </c>
      <c r="E6597" s="3" t="s">
        <v>1272</v>
      </c>
      <c r="F6597" s="3" t="s">
        <v>399</v>
      </c>
      <c r="I6597" s="3" t="s">
        <v>2369</v>
      </c>
    </row>
    <row r="6598" spans="2:9" hidden="1" x14ac:dyDescent="0.4">
      <c r="B6598" s="8" t="s">
        <v>517</v>
      </c>
      <c r="C6598" s="3" t="s">
        <v>10902</v>
      </c>
      <c r="D6598" s="3" t="s">
        <v>11016</v>
      </c>
      <c r="E6598" s="3" t="s">
        <v>1272</v>
      </c>
      <c r="F6598" s="3" t="s">
        <v>399</v>
      </c>
      <c r="I6598" s="3" t="s">
        <v>2369</v>
      </c>
    </row>
    <row r="6599" spans="2:9" hidden="1" x14ac:dyDescent="0.4">
      <c r="B6599" s="8" t="s">
        <v>517</v>
      </c>
      <c r="C6599" s="3" t="s">
        <v>10903</v>
      </c>
      <c r="D6599" s="3" t="s">
        <v>11017</v>
      </c>
      <c r="E6599" s="3" t="s">
        <v>1272</v>
      </c>
      <c r="F6599" s="3" t="s">
        <v>399</v>
      </c>
      <c r="I6599" s="3" t="s">
        <v>2369</v>
      </c>
    </row>
    <row r="6600" spans="2:9" hidden="1" x14ac:dyDescent="0.4">
      <c r="B6600" s="8" t="s">
        <v>517</v>
      </c>
      <c r="C6600" s="3" t="s">
        <v>12191</v>
      </c>
      <c r="D6600" s="3" t="s">
        <v>11018</v>
      </c>
      <c r="E6600" s="3" t="s">
        <v>1272</v>
      </c>
      <c r="F6600" s="3" t="s">
        <v>399</v>
      </c>
      <c r="I6600" s="3" t="s">
        <v>2369</v>
      </c>
    </row>
    <row r="6601" spans="2:9" hidden="1" x14ac:dyDescent="0.4">
      <c r="B6601" s="8" t="s">
        <v>516</v>
      </c>
      <c r="C6601" s="3" t="s">
        <v>10904</v>
      </c>
      <c r="D6601" s="3" t="s">
        <v>11019</v>
      </c>
      <c r="E6601" s="3" t="s">
        <v>1272</v>
      </c>
      <c r="F6601" s="3" t="s">
        <v>399</v>
      </c>
      <c r="I6601" s="3" t="s">
        <v>2369</v>
      </c>
    </row>
    <row r="6602" spans="2:9" hidden="1" x14ac:dyDescent="0.4">
      <c r="B6602" s="8" t="s">
        <v>516</v>
      </c>
      <c r="C6602" s="3" t="s">
        <v>10905</v>
      </c>
      <c r="D6602" s="3" t="s">
        <v>11020</v>
      </c>
      <c r="E6602" s="3" t="s">
        <v>1272</v>
      </c>
      <c r="F6602" s="3" t="s">
        <v>399</v>
      </c>
      <c r="I6602" s="3" t="s">
        <v>2369</v>
      </c>
    </row>
    <row r="6603" spans="2:9" hidden="1" x14ac:dyDescent="0.4">
      <c r="B6603" s="8" t="s">
        <v>529</v>
      </c>
      <c r="C6603" s="3" t="s">
        <v>10906</v>
      </c>
      <c r="D6603" s="3" t="s">
        <v>11021</v>
      </c>
      <c r="E6603" s="3" t="s">
        <v>1272</v>
      </c>
      <c r="F6603" s="3" t="s">
        <v>399</v>
      </c>
      <c r="I6603" s="3" t="s">
        <v>2369</v>
      </c>
    </row>
    <row r="6604" spans="2:9" hidden="1" x14ac:dyDescent="0.4">
      <c r="B6604" s="8" t="s">
        <v>517</v>
      </c>
      <c r="C6604" s="3" t="s">
        <v>10907</v>
      </c>
      <c r="D6604" s="3" t="s">
        <v>11022</v>
      </c>
      <c r="E6604" s="3" t="s">
        <v>1272</v>
      </c>
      <c r="F6604" s="3" t="s">
        <v>399</v>
      </c>
      <c r="I6604" s="3" t="s">
        <v>2369</v>
      </c>
    </row>
    <row r="6605" spans="2:9" hidden="1" x14ac:dyDescent="0.4">
      <c r="B6605" s="8" t="s">
        <v>529</v>
      </c>
      <c r="C6605" s="3" t="s">
        <v>10908</v>
      </c>
      <c r="D6605" s="3" t="s">
        <v>11023</v>
      </c>
      <c r="E6605" s="3" t="s">
        <v>1272</v>
      </c>
      <c r="F6605" s="3" t="s">
        <v>399</v>
      </c>
      <c r="I6605" s="3" t="s">
        <v>2369</v>
      </c>
    </row>
    <row r="6606" spans="2:9" hidden="1" x14ac:dyDescent="0.4">
      <c r="D6606" s="3" t="s">
        <v>11024</v>
      </c>
      <c r="E6606" s="3" t="s">
        <v>1272</v>
      </c>
      <c r="F6606" s="3" t="s">
        <v>399</v>
      </c>
      <c r="I6606" s="3" t="s">
        <v>2369</v>
      </c>
    </row>
    <row r="6607" spans="2:9" hidden="1" x14ac:dyDescent="0.4">
      <c r="D6607" s="3" t="s">
        <v>11025</v>
      </c>
      <c r="E6607" s="3" t="s">
        <v>1272</v>
      </c>
      <c r="F6607" s="3" t="s">
        <v>399</v>
      </c>
      <c r="I6607" s="3" t="s">
        <v>2369</v>
      </c>
    </row>
    <row r="6608" spans="2:9" hidden="1" x14ac:dyDescent="0.4">
      <c r="D6608" s="3" t="s">
        <v>11026</v>
      </c>
      <c r="E6608" s="3" t="s">
        <v>1272</v>
      </c>
      <c r="F6608" s="3" t="s">
        <v>399</v>
      </c>
      <c r="I6608" s="3" t="s">
        <v>2369</v>
      </c>
    </row>
    <row r="6609" spans="2:9" hidden="1" x14ac:dyDescent="0.4">
      <c r="B6609" s="8" t="s">
        <v>529</v>
      </c>
      <c r="C6609" s="3" t="s">
        <v>10909</v>
      </c>
      <c r="D6609" s="3" t="s">
        <v>11027</v>
      </c>
      <c r="E6609" s="3" t="s">
        <v>1272</v>
      </c>
      <c r="F6609" s="3" t="s">
        <v>399</v>
      </c>
      <c r="I6609" s="3" t="s">
        <v>2369</v>
      </c>
    </row>
    <row r="6610" spans="2:9" hidden="1" x14ac:dyDescent="0.4">
      <c r="B6610" s="8" t="s">
        <v>529</v>
      </c>
      <c r="C6610" s="3" t="s">
        <v>10910</v>
      </c>
      <c r="D6610" s="3" t="s">
        <v>11028</v>
      </c>
      <c r="E6610" s="3" t="s">
        <v>1272</v>
      </c>
      <c r="F6610" s="3" t="s">
        <v>399</v>
      </c>
      <c r="I6610" s="3" t="s">
        <v>2369</v>
      </c>
    </row>
    <row r="6611" spans="2:9" hidden="1" x14ac:dyDescent="0.4">
      <c r="B6611" s="8" t="s">
        <v>517</v>
      </c>
      <c r="C6611" s="3" t="s">
        <v>2190</v>
      </c>
      <c r="D6611" s="3" t="s">
        <v>11029</v>
      </c>
      <c r="E6611" s="3" t="s">
        <v>1272</v>
      </c>
      <c r="F6611" s="3" t="s">
        <v>399</v>
      </c>
      <c r="I6611" s="3" t="s">
        <v>2369</v>
      </c>
    </row>
    <row r="6612" spans="2:9" hidden="1" x14ac:dyDescent="0.4">
      <c r="B6612" s="8" t="s">
        <v>517</v>
      </c>
      <c r="C6612" s="3" t="s">
        <v>10911</v>
      </c>
      <c r="D6612" s="3" t="s">
        <v>11030</v>
      </c>
      <c r="E6612" s="3" t="s">
        <v>1272</v>
      </c>
      <c r="F6612" s="3" t="s">
        <v>399</v>
      </c>
      <c r="I6612" s="3" t="s">
        <v>2369</v>
      </c>
    </row>
    <row r="6613" spans="2:9" hidden="1" x14ac:dyDescent="0.4">
      <c r="B6613" s="8" t="s">
        <v>517</v>
      </c>
      <c r="C6613" s="3" t="s">
        <v>10912</v>
      </c>
      <c r="D6613" s="3" t="s">
        <v>11031</v>
      </c>
      <c r="E6613" s="3" t="s">
        <v>1272</v>
      </c>
      <c r="F6613" s="3" t="s">
        <v>399</v>
      </c>
      <c r="I6613" s="3" t="s">
        <v>2369</v>
      </c>
    </row>
    <row r="6614" spans="2:9" hidden="1" x14ac:dyDescent="0.4">
      <c r="B6614" s="8" t="s">
        <v>517</v>
      </c>
      <c r="C6614" s="3" t="s">
        <v>10913</v>
      </c>
      <c r="D6614" s="3" t="s">
        <v>11032</v>
      </c>
      <c r="E6614" s="3" t="s">
        <v>1272</v>
      </c>
      <c r="F6614" s="3" t="s">
        <v>399</v>
      </c>
      <c r="I6614" s="3" t="s">
        <v>2369</v>
      </c>
    </row>
    <row r="6615" spans="2:9" hidden="1" x14ac:dyDescent="0.4">
      <c r="B6615" s="8" t="s">
        <v>517</v>
      </c>
      <c r="C6615" s="3" t="s">
        <v>10914</v>
      </c>
      <c r="D6615" s="3" t="s">
        <v>11032</v>
      </c>
      <c r="E6615" s="3" t="s">
        <v>1272</v>
      </c>
      <c r="F6615" s="3" t="s">
        <v>399</v>
      </c>
      <c r="I6615" s="3" t="s">
        <v>2369</v>
      </c>
    </row>
    <row r="6616" spans="2:9" hidden="1" x14ac:dyDescent="0.4">
      <c r="B6616" s="8" t="s">
        <v>1711</v>
      </c>
      <c r="C6616" s="3" t="s">
        <v>10915</v>
      </c>
      <c r="D6616" s="3" t="s">
        <v>11032</v>
      </c>
      <c r="E6616" s="3" t="s">
        <v>1272</v>
      </c>
      <c r="F6616" s="3" t="s">
        <v>399</v>
      </c>
      <c r="I6616" s="3" t="s">
        <v>2369</v>
      </c>
    </row>
    <row r="6617" spans="2:9" hidden="1" x14ac:dyDescent="0.4">
      <c r="B6617" s="8" t="s">
        <v>517</v>
      </c>
      <c r="C6617" s="3" t="s">
        <v>10916</v>
      </c>
      <c r="D6617" s="3" t="s">
        <v>11033</v>
      </c>
      <c r="E6617" s="3" t="s">
        <v>1272</v>
      </c>
      <c r="F6617" s="3" t="s">
        <v>399</v>
      </c>
      <c r="I6617" s="3" t="s">
        <v>2369</v>
      </c>
    </row>
    <row r="6618" spans="2:9" hidden="1" x14ac:dyDescent="0.4">
      <c r="B6618" s="8" t="s">
        <v>517</v>
      </c>
      <c r="C6618" s="3" t="s">
        <v>10917</v>
      </c>
      <c r="D6618" s="3" t="s">
        <v>11034</v>
      </c>
      <c r="E6618" s="3" t="s">
        <v>1272</v>
      </c>
      <c r="F6618" s="3" t="s">
        <v>399</v>
      </c>
      <c r="I6618" s="3" t="s">
        <v>2369</v>
      </c>
    </row>
    <row r="6619" spans="2:9" hidden="1" x14ac:dyDescent="0.4">
      <c r="B6619" s="8" t="s">
        <v>518</v>
      </c>
      <c r="C6619" s="3" t="s">
        <v>10918</v>
      </c>
      <c r="D6619" s="3" t="s">
        <v>11035</v>
      </c>
      <c r="E6619" s="3" t="s">
        <v>1272</v>
      </c>
      <c r="F6619" s="3" t="s">
        <v>399</v>
      </c>
      <c r="I6619" s="3" t="s">
        <v>2369</v>
      </c>
    </row>
    <row r="6620" spans="2:9" hidden="1" x14ac:dyDescent="0.4">
      <c r="B6620" s="8" t="s">
        <v>518</v>
      </c>
      <c r="C6620" s="3" t="s">
        <v>10919</v>
      </c>
      <c r="D6620" s="3" t="s">
        <v>11036</v>
      </c>
      <c r="E6620" s="3" t="s">
        <v>1272</v>
      </c>
      <c r="F6620" s="3" t="s">
        <v>399</v>
      </c>
      <c r="I6620" s="3" t="s">
        <v>2369</v>
      </c>
    </row>
    <row r="6621" spans="2:9" hidden="1" x14ac:dyDescent="0.4">
      <c r="B6621" s="8" t="s">
        <v>518</v>
      </c>
      <c r="C6621" s="3" t="s">
        <v>10920</v>
      </c>
      <c r="D6621" s="3" t="s">
        <v>11037</v>
      </c>
      <c r="E6621" s="3" t="s">
        <v>1272</v>
      </c>
      <c r="F6621" s="3" t="s">
        <v>399</v>
      </c>
      <c r="I6621" s="3" t="s">
        <v>2369</v>
      </c>
    </row>
    <row r="6622" spans="2:9" hidden="1" x14ac:dyDescent="0.4">
      <c r="B6622" s="8" t="s">
        <v>518</v>
      </c>
      <c r="C6622" s="3" t="s">
        <v>10921</v>
      </c>
      <c r="D6622" s="3" t="s">
        <v>11038</v>
      </c>
      <c r="E6622" s="3" t="s">
        <v>1272</v>
      </c>
      <c r="F6622" s="3" t="s">
        <v>399</v>
      </c>
      <c r="I6622" s="3" t="s">
        <v>2369</v>
      </c>
    </row>
    <row r="6623" spans="2:9" hidden="1" x14ac:dyDescent="0.4">
      <c r="B6623" s="8" t="s">
        <v>518</v>
      </c>
      <c r="C6623" s="3" t="s">
        <v>10922</v>
      </c>
      <c r="D6623" s="3" t="s">
        <v>11039</v>
      </c>
      <c r="E6623" s="3" t="s">
        <v>1272</v>
      </c>
      <c r="F6623" s="3" t="s">
        <v>399</v>
      </c>
      <c r="I6623" s="3" t="s">
        <v>2369</v>
      </c>
    </row>
    <row r="6624" spans="2:9" hidden="1" x14ac:dyDescent="0.4">
      <c r="B6624" s="8" t="s">
        <v>6731</v>
      </c>
      <c r="C6624" s="3" t="s">
        <v>10923</v>
      </c>
      <c r="D6624" s="3" t="s">
        <v>11040</v>
      </c>
      <c r="E6624" s="3" t="s">
        <v>1272</v>
      </c>
      <c r="F6624" s="3" t="s">
        <v>399</v>
      </c>
      <c r="I6624" s="3" t="s">
        <v>2369</v>
      </c>
    </row>
    <row r="6625" spans="2:9" hidden="1" x14ac:dyDescent="0.4">
      <c r="D6625" s="3" t="s">
        <v>11041</v>
      </c>
      <c r="E6625" s="3" t="s">
        <v>1272</v>
      </c>
      <c r="F6625" s="3" t="s">
        <v>399</v>
      </c>
      <c r="I6625" s="3" t="s">
        <v>2369</v>
      </c>
    </row>
    <row r="6626" spans="2:9" hidden="1" x14ac:dyDescent="0.4">
      <c r="B6626" s="8" t="s">
        <v>517</v>
      </c>
      <c r="C6626" s="3" t="s">
        <v>10924</v>
      </c>
      <c r="D6626" s="3" t="s">
        <v>11042</v>
      </c>
      <c r="E6626" s="3" t="s">
        <v>1272</v>
      </c>
      <c r="F6626" s="3" t="s">
        <v>399</v>
      </c>
      <c r="I6626" s="3" t="s">
        <v>2369</v>
      </c>
    </row>
    <row r="6627" spans="2:9" hidden="1" x14ac:dyDescent="0.4">
      <c r="B6627" s="8" t="s">
        <v>517</v>
      </c>
      <c r="C6627" s="3" t="s">
        <v>10925</v>
      </c>
      <c r="D6627" s="3" t="s">
        <v>11042</v>
      </c>
      <c r="E6627" s="3" t="s">
        <v>1272</v>
      </c>
      <c r="F6627" s="3" t="s">
        <v>399</v>
      </c>
      <c r="I6627" s="3" t="s">
        <v>2369</v>
      </c>
    </row>
    <row r="6628" spans="2:9" hidden="1" x14ac:dyDescent="0.4">
      <c r="B6628" s="8" t="s">
        <v>517</v>
      </c>
      <c r="C6628" s="3" t="s">
        <v>10926</v>
      </c>
      <c r="D6628" s="3" t="s">
        <v>11042</v>
      </c>
      <c r="E6628" s="3" t="s">
        <v>1272</v>
      </c>
      <c r="F6628" s="3" t="s">
        <v>399</v>
      </c>
      <c r="I6628" s="3" t="s">
        <v>2369</v>
      </c>
    </row>
    <row r="6629" spans="2:9" hidden="1" x14ac:dyDescent="0.4">
      <c r="B6629" s="8" t="s">
        <v>517</v>
      </c>
      <c r="C6629" s="3" t="s">
        <v>10927</v>
      </c>
      <c r="D6629" s="3" t="s">
        <v>11042</v>
      </c>
      <c r="E6629" s="3" t="s">
        <v>1272</v>
      </c>
      <c r="F6629" s="3" t="s">
        <v>399</v>
      </c>
      <c r="I6629" s="3" t="s">
        <v>2369</v>
      </c>
    </row>
    <row r="6630" spans="2:9" hidden="1" x14ac:dyDescent="0.4">
      <c r="D6630" s="3" t="s">
        <v>11043</v>
      </c>
      <c r="E6630" s="3" t="s">
        <v>1272</v>
      </c>
      <c r="F6630" s="3" t="s">
        <v>399</v>
      </c>
      <c r="I6630" s="3" t="s">
        <v>2369</v>
      </c>
    </row>
    <row r="6631" spans="2:9" hidden="1" x14ac:dyDescent="0.4">
      <c r="D6631" s="3" t="s">
        <v>11044</v>
      </c>
      <c r="E6631" s="3" t="s">
        <v>1272</v>
      </c>
      <c r="F6631" s="3" t="s">
        <v>399</v>
      </c>
      <c r="I6631" s="3" t="s">
        <v>2369</v>
      </c>
    </row>
    <row r="6632" spans="2:9" hidden="1" x14ac:dyDescent="0.4">
      <c r="B6632" s="8" t="s">
        <v>12192</v>
      </c>
      <c r="C6632" s="3" t="s">
        <v>10928</v>
      </c>
      <c r="D6632" s="3" t="s">
        <v>11045</v>
      </c>
      <c r="E6632" s="3" t="s">
        <v>1272</v>
      </c>
      <c r="F6632" s="3" t="s">
        <v>399</v>
      </c>
      <c r="I6632" s="3" t="s">
        <v>2369</v>
      </c>
    </row>
    <row r="6633" spans="2:9" hidden="1" x14ac:dyDescent="0.4">
      <c r="B6633" s="8" t="s">
        <v>529</v>
      </c>
      <c r="C6633" s="3" t="s">
        <v>10929</v>
      </c>
      <c r="D6633" s="3" t="s">
        <v>11045</v>
      </c>
      <c r="E6633" s="3" t="s">
        <v>1272</v>
      </c>
      <c r="F6633" s="3" t="s">
        <v>399</v>
      </c>
      <c r="I6633" s="3" t="s">
        <v>2369</v>
      </c>
    </row>
    <row r="6634" spans="2:9" hidden="1" x14ac:dyDescent="0.4">
      <c r="B6634" s="8" t="s">
        <v>517</v>
      </c>
      <c r="C6634" s="3" t="s">
        <v>10930</v>
      </c>
      <c r="D6634" s="3" t="s">
        <v>11046</v>
      </c>
      <c r="E6634" s="3" t="s">
        <v>1272</v>
      </c>
      <c r="F6634" s="3" t="s">
        <v>399</v>
      </c>
      <c r="I6634" s="3" t="s">
        <v>2369</v>
      </c>
    </row>
    <row r="6635" spans="2:9" hidden="1" x14ac:dyDescent="0.4">
      <c r="B6635" s="8" t="s">
        <v>517</v>
      </c>
      <c r="C6635" s="3" t="s">
        <v>10931</v>
      </c>
      <c r="D6635" s="3" t="s">
        <v>11046</v>
      </c>
      <c r="E6635" s="3" t="s">
        <v>1272</v>
      </c>
      <c r="F6635" s="3" t="s">
        <v>399</v>
      </c>
      <c r="I6635" s="3" t="s">
        <v>2369</v>
      </c>
    </row>
    <row r="6636" spans="2:9" hidden="1" x14ac:dyDescent="0.4">
      <c r="B6636" s="8" t="s">
        <v>516</v>
      </c>
      <c r="C6636" s="3" t="s">
        <v>10932</v>
      </c>
      <c r="D6636" s="3" t="s">
        <v>11047</v>
      </c>
      <c r="E6636" s="3" t="s">
        <v>1272</v>
      </c>
      <c r="F6636" s="3" t="s">
        <v>399</v>
      </c>
      <c r="I6636" s="3" t="s">
        <v>2369</v>
      </c>
    </row>
    <row r="6637" spans="2:9" hidden="1" x14ac:dyDescent="0.4">
      <c r="B6637" s="8" t="s">
        <v>518</v>
      </c>
      <c r="C6637" s="3" t="s">
        <v>10933</v>
      </c>
      <c r="D6637" s="3" t="s">
        <v>11047</v>
      </c>
      <c r="E6637" s="3" t="s">
        <v>1272</v>
      </c>
      <c r="F6637" s="3" t="s">
        <v>399</v>
      </c>
      <c r="I6637" s="3" t="s">
        <v>2369</v>
      </c>
    </row>
    <row r="6638" spans="2:9" hidden="1" x14ac:dyDescent="0.4">
      <c r="B6638" s="8" t="s">
        <v>518</v>
      </c>
      <c r="C6638" s="3" t="s">
        <v>10934</v>
      </c>
      <c r="D6638" s="3" t="s">
        <v>11047</v>
      </c>
      <c r="E6638" s="3" t="s">
        <v>1272</v>
      </c>
      <c r="F6638" s="3" t="s">
        <v>399</v>
      </c>
      <c r="I6638" s="3" t="s">
        <v>2369</v>
      </c>
    </row>
    <row r="6639" spans="2:9" hidden="1" x14ac:dyDescent="0.4">
      <c r="B6639" s="8" t="s">
        <v>518</v>
      </c>
      <c r="C6639" s="3" t="s">
        <v>10935</v>
      </c>
      <c r="D6639" s="3" t="s">
        <v>11048</v>
      </c>
      <c r="E6639" s="3" t="s">
        <v>1272</v>
      </c>
      <c r="F6639" s="3" t="s">
        <v>399</v>
      </c>
      <c r="I6639" s="3" t="s">
        <v>2369</v>
      </c>
    </row>
    <row r="6640" spans="2:9" hidden="1" x14ac:dyDescent="0.4">
      <c r="B6640" s="8" t="s">
        <v>518</v>
      </c>
      <c r="C6640" s="3" t="s">
        <v>10936</v>
      </c>
      <c r="D6640" s="3" t="s">
        <v>11048</v>
      </c>
      <c r="E6640" s="3" t="s">
        <v>1272</v>
      </c>
      <c r="F6640" s="3" t="s">
        <v>399</v>
      </c>
      <c r="I6640" s="3" t="s">
        <v>2369</v>
      </c>
    </row>
    <row r="6641" spans="2:9" hidden="1" x14ac:dyDescent="0.4">
      <c r="B6641" s="8" t="s">
        <v>517</v>
      </c>
      <c r="C6641" s="3" t="s">
        <v>10937</v>
      </c>
      <c r="D6641" s="3" t="s">
        <v>11049</v>
      </c>
      <c r="E6641" s="3" t="s">
        <v>1272</v>
      </c>
      <c r="F6641" s="3" t="s">
        <v>399</v>
      </c>
      <c r="I6641" s="3" t="s">
        <v>2369</v>
      </c>
    </row>
    <row r="6642" spans="2:9" hidden="1" x14ac:dyDescent="0.4">
      <c r="B6642" s="8" t="s">
        <v>518</v>
      </c>
      <c r="C6642" s="3" t="s">
        <v>10938</v>
      </c>
      <c r="D6642" s="3" t="s">
        <v>11050</v>
      </c>
      <c r="E6642" s="3" t="s">
        <v>1272</v>
      </c>
      <c r="F6642" s="3" t="s">
        <v>399</v>
      </c>
      <c r="I6642" s="3" t="s">
        <v>2369</v>
      </c>
    </row>
    <row r="6643" spans="2:9" hidden="1" x14ac:dyDescent="0.4">
      <c r="B6643" s="8" t="s">
        <v>518</v>
      </c>
      <c r="C6643" s="3" t="s">
        <v>10939</v>
      </c>
      <c r="D6643" s="3" t="s">
        <v>11050</v>
      </c>
      <c r="E6643" s="3" t="s">
        <v>1272</v>
      </c>
      <c r="F6643" s="3" t="s">
        <v>399</v>
      </c>
      <c r="I6643" s="3" t="s">
        <v>2369</v>
      </c>
    </row>
    <row r="6644" spans="2:9" hidden="1" x14ac:dyDescent="0.4">
      <c r="B6644" s="8" t="s">
        <v>517</v>
      </c>
      <c r="C6644" s="3" t="s">
        <v>10940</v>
      </c>
      <c r="D6644" s="3" t="s">
        <v>11051</v>
      </c>
      <c r="E6644" s="3" t="s">
        <v>1272</v>
      </c>
      <c r="F6644" s="3" t="s">
        <v>399</v>
      </c>
      <c r="I6644" s="3" t="s">
        <v>2369</v>
      </c>
    </row>
    <row r="6645" spans="2:9" hidden="1" x14ac:dyDescent="0.4">
      <c r="B6645" s="8" t="s">
        <v>518</v>
      </c>
      <c r="C6645" s="3" t="s">
        <v>10941</v>
      </c>
      <c r="D6645" s="3" t="s">
        <v>11052</v>
      </c>
      <c r="E6645" s="3" t="s">
        <v>1272</v>
      </c>
      <c r="F6645" s="3" t="s">
        <v>399</v>
      </c>
      <c r="I6645" s="3" t="s">
        <v>2369</v>
      </c>
    </row>
    <row r="6646" spans="2:9" hidden="1" x14ac:dyDescent="0.4">
      <c r="B6646" s="8" t="s">
        <v>518</v>
      </c>
      <c r="C6646" s="3" t="s">
        <v>10942</v>
      </c>
      <c r="D6646" s="3" t="s">
        <v>11052</v>
      </c>
      <c r="E6646" s="3" t="s">
        <v>1272</v>
      </c>
      <c r="F6646" s="3" t="s">
        <v>399</v>
      </c>
      <c r="I6646" s="3" t="s">
        <v>2369</v>
      </c>
    </row>
    <row r="6647" spans="2:9" hidden="1" x14ac:dyDescent="0.4">
      <c r="B6647" s="8" t="s">
        <v>517</v>
      </c>
      <c r="C6647" s="3" t="s">
        <v>10943</v>
      </c>
      <c r="D6647" s="3" t="s">
        <v>11053</v>
      </c>
      <c r="E6647" s="3" t="s">
        <v>1272</v>
      </c>
      <c r="F6647" s="3" t="s">
        <v>399</v>
      </c>
      <c r="I6647" s="3" t="s">
        <v>2369</v>
      </c>
    </row>
    <row r="6648" spans="2:9" hidden="1" x14ac:dyDescent="0.4">
      <c r="B6648" s="8" t="s">
        <v>4060</v>
      </c>
      <c r="C6648" s="3" t="s">
        <v>10944</v>
      </c>
      <c r="D6648" s="3" t="s">
        <v>11052</v>
      </c>
      <c r="E6648" s="3" t="s">
        <v>1272</v>
      </c>
      <c r="F6648" s="3" t="s">
        <v>399</v>
      </c>
      <c r="I6648" s="3" t="s">
        <v>2369</v>
      </c>
    </row>
    <row r="6649" spans="2:9" hidden="1" x14ac:dyDescent="0.4">
      <c r="B6649" s="8" t="s">
        <v>526</v>
      </c>
      <c r="C6649" s="3" t="s">
        <v>10945</v>
      </c>
      <c r="D6649" s="3" t="s">
        <v>11052</v>
      </c>
      <c r="E6649" s="3" t="s">
        <v>1272</v>
      </c>
      <c r="F6649" s="3" t="s">
        <v>399</v>
      </c>
      <c r="I6649" s="3" t="s">
        <v>2369</v>
      </c>
    </row>
    <row r="6650" spans="2:9" hidden="1" x14ac:dyDescent="0.4">
      <c r="B6650" s="8" t="s">
        <v>516</v>
      </c>
      <c r="C6650" s="3" t="s">
        <v>10946</v>
      </c>
      <c r="D6650" s="3" t="s">
        <v>11046</v>
      </c>
      <c r="E6650" s="3" t="s">
        <v>1272</v>
      </c>
      <c r="F6650" s="3" t="s">
        <v>399</v>
      </c>
      <c r="I6650" s="3" t="s">
        <v>2369</v>
      </c>
    </row>
    <row r="6651" spans="2:9" hidden="1" x14ac:dyDescent="0.4">
      <c r="B6651" s="8" t="s">
        <v>526</v>
      </c>
      <c r="C6651" s="3" t="s">
        <v>10947</v>
      </c>
      <c r="D6651" s="3" t="s">
        <v>11047</v>
      </c>
      <c r="E6651" s="3" t="s">
        <v>1272</v>
      </c>
      <c r="F6651" s="3" t="s">
        <v>399</v>
      </c>
      <c r="I6651" s="3" t="s">
        <v>2369</v>
      </c>
    </row>
    <row r="6652" spans="2:9" hidden="1" x14ac:dyDescent="0.4">
      <c r="B6652" s="8" t="s">
        <v>526</v>
      </c>
      <c r="C6652" s="3" t="s">
        <v>10948</v>
      </c>
      <c r="D6652" s="3" t="s">
        <v>11048</v>
      </c>
      <c r="E6652" s="3" t="s">
        <v>1272</v>
      </c>
      <c r="F6652" s="3" t="s">
        <v>399</v>
      </c>
      <c r="I6652" s="3" t="s">
        <v>2369</v>
      </c>
    </row>
    <row r="6653" spans="2:9" hidden="1" x14ac:dyDescent="0.4">
      <c r="B6653" s="8" t="s">
        <v>526</v>
      </c>
      <c r="C6653" s="3" t="s">
        <v>10949</v>
      </c>
      <c r="D6653" s="3" t="s">
        <v>11050</v>
      </c>
      <c r="E6653" s="3" t="s">
        <v>1272</v>
      </c>
      <c r="F6653" s="3" t="s">
        <v>399</v>
      </c>
      <c r="I6653" s="3" t="s">
        <v>2369</v>
      </c>
    </row>
    <row r="6654" spans="2:9" hidden="1" x14ac:dyDescent="0.4">
      <c r="B6654" s="8" t="s">
        <v>526</v>
      </c>
      <c r="C6654" s="3" t="s">
        <v>10950</v>
      </c>
      <c r="D6654" s="3" t="s">
        <v>11052</v>
      </c>
      <c r="E6654" s="3" t="s">
        <v>1272</v>
      </c>
      <c r="F6654" s="3" t="s">
        <v>399</v>
      </c>
      <c r="I6654" s="3" t="s">
        <v>2369</v>
      </c>
    </row>
    <row r="6655" spans="2:9" hidden="1" x14ac:dyDescent="0.4">
      <c r="B6655" s="8" t="s">
        <v>517</v>
      </c>
      <c r="C6655" s="3" t="s">
        <v>10951</v>
      </c>
      <c r="D6655" s="3" t="s">
        <v>11054</v>
      </c>
      <c r="E6655" s="3" t="s">
        <v>1272</v>
      </c>
      <c r="F6655" s="3" t="s">
        <v>399</v>
      </c>
      <c r="I6655" s="3" t="s">
        <v>2369</v>
      </c>
    </row>
    <row r="6656" spans="2:9" hidden="1" x14ac:dyDescent="0.4">
      <c r="B6656" s="8" t="s">
        <v>517</v>
      </c>
      <c r="C6656" s="3" t="s">
        <v>10952</v>
      </c>
      <c r="D6656" s="3" t="s">
        <v>11055</v>
      </c>
      <c r="E6656" s="3" t="s">
        <v>1272</v>
      </c>
      <c r="F6656" s="3" t="s">
        <v>399</v>
      </c>
      <c r="I6656" s="3" t="s">
        <v>2369</v>
      </c>
    </row>
    <row r="6657" spans="2:9" hidden="1" x14ac:dyDescent="0.4">
      <c r="B6657" s="8" t="s">
        <v>517</v>
      </c>
      <c r="C6657" s="3" t="s">
        <v>10953</v>
      </c>
      <c r="D6657" s="3" t="s">
        <v>11056</v>
      </c>
      <c r="E6657" s="3" t="s">
        <v>1272</v>
      </c>
      <c r="F6657" s="3" t="s">
        <v>399</v>
      </c>
      <c r="I6657" s="3" t="s">
        <v>2369</v>
      </c>
    </row>
    <row r="6658" spans="2:9" hidden="1" x14ac:dyDescent="0.4">
      <c r="B6658" s="8" t="s">
        <v>12193</v>
      </c>
      <c r="C6658" s="3" t="s">
        <v>10954</v>
      </c>
      <c r="D6658" s="3" t="s">
        <v>11057</v>
      </c>
      <c r="E6658" s="3" t="s">
        <v>1272</v>
      </c>
      <c r="F6658" s="3" t="s">
        <v>399</v>
      </c>
      <c r="I6658" s="3" t="s">
        <v>2369</v>
      </c>
    </row>
    <row r="6659" spans="2:9" hidden="1" x14ac:dyDescent="0.4">
      <c r="B6659" s="8" t="s">
        <v>517</v>
      </c>
      <c r="C6659" s="3" t="s">
        <v>10955</v>
      </c>
      <c r="D6659" s="3" t="s">
        <v>11058</v>
      </c>
      <c r="E6659" s="3" t="s">
        <v>1272</v>
      </c>
      <c r="F6659" s="3" t="s">
        <v>399</v>
      </c>
      <c r="I6659" s="3" t="s">
        <v>2369</v>
      </c>
    </row>
    <row r="6660" spans="2:9" hidden="1" x14ac:dyDescent="0.4">
      <c r="B6660" s="8" t="s">
        <v>516</v>
      </c>
      <c r="C6660" s="3" t="s">
        <v>10956</v>
      </c>
      <c r="D6660" s="3" t="s">
        <v>11059</v>
      </c>
      <c r="E6660" s="3" t="s">
        <v>1272</v>
      </c>
      <c r="F6660" s="3" t="s">
        <v>399</v>
      </c>
      <c r="I6660" s="3" t="s">
        <v>2369</v>
      </c>
    </row>
    <row r="6661" spans="2:9" hidden="1" x14ac:dyDescent="0.4">
      <c r="B6661" s="8" t="s">
        <v>1002</v>
      </c>
      <c r="C6661" s="3" t="s">
        <v>10957</v>
      </c>
      <c r="D6661" s="3" t="s">
        <v>11060</v>
      </c>
      <c r="E6661" s="3" t="s">
        <v>1272</v>
      </c>
      <c r="F6661" s="3" t="s">
        <v>399</v>
      </c>
      <c r="I6661" s="3" t="s">
        <v>2369</v>
      </c>
    </row>
    <row r="6662" spans="2:9" hidden="1" x14ac:dyDescent="0.4">
      <c r="B6662" s="8" t="s">
        <v>1002</v>
      </c>
      <c r="C6662" s="3" t="s">
        <v>10958</v>
      </c>
      <c r="D6662" s="3" t="s">
        <v>11061</v>
      </c>
      <c r="E6662" s="3" t="s">
        <v>1272</v>
      </c>
      <c r="F6662" s="3" t="s">
        <v>399</v>
      </c>
      <c r="I6662" s="3" t="s">
        <v>2369</v>
      </c>
    </row>
    <row r="6663" spans="2:9" hidden="1" x14ac:dyDescent="0.4">
      <c r="B6663" s="8" t="s">
        <v>529</v>
      </c>
      <c r="C6663" s="3" t="s">
        <v>10959</v>
      </c>
      <c r="D6663" s="3" t="s">
        <v>11062</v>
      </c>
      <c r="E6663" s="3" t="s">
        <v>1272</v>
      </c>
      <c r="F6663" s="3" t="s">
        <v>399</v>
      </c>
      <c r="I6663" s="3" t="s">
        <v>2369</v>
      </c>
    </row>
    <row r="6664" spans="2:9" hidden="1" x14ac:dyDescent="0.4">
      <c r="B6664" s="8" t="s">
        <v>1004</v>
      </c>
      <c r="C6664" s="3" t="s">
        <v>10960</v>
      </c>
      <c r="D6664" s="3" t="s">
        <v>11063</v>
      </c>
      <c r="E6664" s="3" t="s">
        <v>1272</v>
      </c>
      <c r="F6664" s="3" t="s">
        <v>399</v>
      </c>
      <c r="I6664" s="3" t="s">
        <v>2369</v>
      </c>
    </row>
    <row r="6665" spans="2:9" hidden="1" x14ac:dyDescent="0.4">
      <c r="B6665" s="8" t="s">
        <v>1004</v>
      </c>
      <c r="C6665" s="3" t="s">
        <v>10961</v>
      </c>
      <c r="D6665" s="3" t="s">
        <v>11064</v>
      </c>
      <c r="E6665" s="3" t="s">
        <v>1272</v>
      </c>
      <c r="F6665" s="3" t="s">
        <v>399</v>
      </c>
      <c r="I6665" s="3" t="s">
        <v>2369</v>
      </c>
    </row>
    <row r="6666" spans="2:9" hidden="1" x14ac:dyDescent="0.4">
      <c r="B6666" s="8" t="s">
        <v>12194</v>
      </c>
      <c r="C6666" s="3" t="s">
        <v>10962</v>
      </c>
      <c r="D6666" s="3" t="s">
        <v>11065</v>
      </c>
      <c r="E6666" s="3" t="s">
        <v>1272</v>
      </c>
      <c r="F6666" s="3" t="s">
        <v>399</v>
      </c>
      <c r="I6666" s="3" t="s">
        <v>2369</v>
      </c>
    </row>
    <row r="6667" spans="2:9" hidden="1" x14ac:dyDescent="0.4">
      <c r="B6667" s="8" t="s">
        <v>12195</v>
      </c>
      <c r="C6667" s="3" t="s">
        <v>10963</v>
      </c>
      <c r="D6667" s="3" t="s">
        <v>11066</v>
      </c>
      <c r="E6667" s="3" t="s">
        <v>1272</v>
      </c>
      <c r="F6667" s="3" t="s">
        <v>399</v>
      </c>
      <c r="I6667" s="3" t="s">
        <v>2369</v>
      </c>
    </row>
    <row r="6668" spans="2:9" hidden="1" x14ac:dyDescent="0.4">
      <c r="B6668" s="8" t="s">
        <v>529</v>
      </c>
      <c r="C6668" s="3" t="s">
        <v>10964</v>
      </c>
      <c r="D6668" s="3" t="s">
        <v>11067</v>
      </c>
      <c r="E6668" s="3" t="s">
        <v>1272</v>
      </c>
      <c r="F6668" s="3" t="s">
        <v>399</v>
      </c>
      <c r="I6668" s="3" t="s">
        <v>2369</v>
      </c>
    </row>
    <row r="6669" spans="2:9" hidden="1" x14ac:dyDescent="0.4">
      <c r="B6669" s="8" t="s">
        <v>12192</v>
      </c>
      <c r="C6669" s="3" t="s">
        <v>10965</v>
      </c>
      <c r="D6669" s="3" t="s">
        <v>11068</v>
      </c>
      <c r="E6669" s="3" t="s">
        <v>1272</v>
      </c>
      <c r="F6669" s="3" t="s">
        <v>399</v>
      </c>
      <c r="I6669" s="3" t="s">
        <v>2369</v>
      </c>
    </row>
    <row r="6670" spans="2:9" hidden="1" x14ac:dyDescent="0.4">
      <c r="B6670" s="8" t="s">
        <v>12196</v>
      </c>
      <c r="C6670" s="3" t="s">
        <v>10966</v>
      </c>
      <c r="D6670" s="3" t="s">
        <v>11069</v>
      </c>
      <c r="E6670" s="3" t="s">
        <v>1272</v>
      </c>
      <c r="F6670" s="3" t="s">
        <v>399</v>
      </c>
      <c r="I6670" s="3" t="s">
        <v>2369</v>
      </c>
    </row>
    <row r="6671" spans="2:9" hidden="1" x14ac:dyDescent="0.4">
      <c r="B6671" s="8" t="s">
        <v>529</v>
      </c>
      <c r="C6671" s="3" t="s">
        <v>10967</v>
      </c>
      <c r="D6671" s="3" t="s">
        <v>11069</v>
      </c>
      <c r="E6671" s="3" t="s">
        <v>1272</v>
      </c>
      <c r="F6671" s="3" t="s">
        <v>399</v>
      </c>
      <c r="I6671" s="3" t="s">
        <v>2369</v>
      </c>
    </row>
    <row r="6672" spans="2:9" hidden="1" x14ac:dyDescent="0.4">
      <c r="B6672" s="8" t="s">
        <v>517</v>
      </c>
      <c r="C6672" s="3" t="s">
        <v>10968</v>
      </c>
      <c r="D6672" s="3" t="s">
        <v>11070</v>
      </c>
      <c r="E6672" s="3" t="s">
        <v>1272</v>
      </c>
      <c r="F6672" s="3" t="s">
        <v>399</v>
      </c>
      <c r="I6672" s="3" t="s">
        <v>2369</v>
      </c>
    </row>
    <row r="6673" spans="2:9" hidden="1" x14ac:dyDescent="0.4">
      <c r="B6673" s="8" t="s">
        <v>517</v>
      </c>
      <c r="C6673" s="3" t="s">
        <v>10969</v>
      </c>
      <c r="D6673" s="3" t="s">
        <v>11071</v>
      </c>
      <c r="E6673" s="3" t="s">
        <v>1272</v>
      </c>
      <c r="F6673" s="3" t="s">
        <v>399</v>
      </c>
      <c r="I6673" s="3" t="s">
        <v>2369</v>
      </c>
    </row>
    <row r="6674" spans="2:9" hidden="1" x14ac:dyDescent="0.4">
      <c r="B6674" s="8" t="s">
        <v>12192</v>
      </c>
      <c r="C6674" s="3" t="s">
        <v>10970</v>
      </c>
      <c r="D6674" s="3" t="s">
        <v>11072</v>
      </c>
      <c r="E6674" s="3" t="s">
        <v>1272</v>
      </c>
      <c r="F6674" s="3" t="s">
        <v>399</v>
      </c>
      <c r="I6674" s="3" t="s">
        <v>2369</v>
      </c>
    </row>
    <row r="6675" spans="2:9" hidden="1" x14ac:dyDescent="0.4">
      <c r="B6675" s="8" t="s">
        <v>529</v>
      </c>
      <c r="C6675" s="3" t="s">
        <v>10971</v>
      </c>
      <c r="D6675" s="3" t="s">
        <v>11073</v>
      </c>
      <c r="E6675" s="3" t="s">
        <v>1272</v>
      </c>
      <c r="F6675" s="3" t="s">
        <v>399</v>
      </c>
      <c r="I6675" s="3" t="s">
        <v>2369</v>
      </c>
    </row>
    <row r="6676" spans="2:9" hidden="1" x14ac:dyDescent="0.4">
      <c r="B6676" s="8" t="s">
        <v>529</v>
      </c>
      <c r="C6676" s="3" t="s">
        <v>10972</v>
      </c>
      <c r="D6676" s="3" t="s">
        <v>11074</v>
      </c>
      <c r="E6676" s="3" t="s">
        <v>1272</v>
      </c>
      <c r="F6676" s="3" t="s">
        <v>399</v>
      </c>
      <c r="I6676" s="3" t="s">
        <v>2369</v>
      </c>
    </row>
    <row r="6677" spans="2:9" hidden="1" x14ac:dyDescent="0.4">
      <c r="B6677" s="8" t="s">
        <v>517</v>
      </c>
      <c r="C6677" s="3" t="s">
        <v>10973</v>
      </c>
      <c r="D6677" s="3" t="s">
        <v>11074</v>
      </c>
      <c r="E6677" s="3" t="s">
        <v>1272</v>
      </c>
      <c r="F6677" s="3" t="s">
        <v>399</v>
      </c>
      <c r="I6677" s="3" t="s">
        <v>2369</v>
      </c>
    </row>
    <row r="6678" spans="2:9" hidden="1" x14ac:dyDescent="0.4">
      <c r="B6678" s="8" t="s">
        <v>519</v>
      </c>
      <c r="C6678" s="3" t="s">
        <v>10974</v>
      </c>
      <c r="D6678" s="3" t="s">
        <v>11075</v>
      </c>
      <c r="E6678" s="3" t="s">
        <v>1272</v>
      </c>
      <c r="F6678" s="3" t="s">
        <v>399</v>
      </c>
      <c r="I6678" s="3" t="s">
        <v>2369</v>
      </c>
    </row>
    <row r="6679" spans="2:9" hidden="1" x14ac:dyDescent="0.4">
      <c r="B6679" s="8" t="s">
        <v>4055</v>
      </c>
      <c r="C6679" s="3" t="s">
        <v>10975</v>
      </c>
      <c r="D6679" s="3" t="s">
        <v>11075</v>
      </c>
      <c r="E6679" s="3" t="s">
        <v>1272</v>
      </c>
      <c r="F6679" s="3" t="s">
        <v>399</v>
      </c>
      <c r="I6679" s="3" t="s">
        <v>2369</v>
      </c>
    </row>
    <row r="6680" spans="2:9" hidden="1" x14ac:dyDescent="0.4">
      <c r="B6680" s="8" t="s">
        <v>526</v>
      </c>
      <c r="C6680" s="3" t="s">
        <v>10976</v>
      </c>
      <c r="D6680" s="3" t="s">
        <v>11076</v>
      </c>
      <c r="E6680" s="3" t="s">
        <v>1272</v>
      </c>
      <c r="F6680" s="3" t="s">
        <v>399</v>
      </c>
      <c r="I6680" s="3" t="s">
        <v>2369</v>
      </c>
    </row>
    <row r="6681" spans="2:9" hidden="1" x14ac:dyDescent="0.4">
      <c r="D6681" s="3" t="s">
        <v>11077</v>
      </c>
      <c r="E6681" s="3" t="s">
        <v>1272</v>
      </c>
      <c r="F6681" s="3" t="s">
        <v>399</v>
      </c>
      <c r="I6681" s="3" t="s">
        <v>2369</v>
      </c>
    </row>
    <row r="6682" spans="2:9" hidden="1" x14ac:dyDescent="0.4">
      <c r="D6682" s="3" t="s">
        <v>11078</v>
      </c>
      <c r="E6682" s="3" t="s">
        <v>1272</v>
      </c>
      <c r="F6682" s="3" t="s">
        <v>399</v>
      </c>
      <c r="I6682" s="3" t="s">
        <v>2369</v>
      </c>
    </row>
    <row r="6683" spans="2:9" hidden="1" x14ac:dyDescent="0.4">
      <c r="D6683" s="3" t="s">
        <v>11079</v>
      </c>
      <c r="E6683" s="3" t="s">
        <v>1272</v>
      </c>
      <c r="F6683" s="3" t="s">
        <v>399</v>
      </c>
      <c r="I6683" s="3" t="s">
        <v>2369</v>
      </c>
    </row>
    <row r="6684" spans="2:9" hidden="1" x14ac:dyDescent="0.4">
      <c r="B6684" s="8" t="s">
        <v>6734</v>
      </c>
      <c r="C6684" s="3" t="s">
        <v>10977</v>
      </c>
      <c r="D6684" s="3" t="s">
        <v>11080</v>
      </c>
      <c r="E6684" s="3" t="s">
        <v>1272</v>
      </c>
      <c r="F6684" s="3" t="s">
        <v>399</v>
      </c>
      <c r="I6684" s="3" t="s">
        <v>2369</v>
      </c>
    </row>
    <row r="6685" spans="2:9" hidden="1" x14ac:dyDescent="0.4">
      <c r="B6685" s="8" t="s">
        <v>6734</v>
      </c>
      <c r="C6685" s="3" t="s">
        <v>10978</v>
      </c>
      <c r="D6685" s="3" t="s">
        <v>11081</v>
      </c>
      <c r="E6685" s="3" t="s">
        <v>1272</v>
      </c>
      <c r="F6685" s="3" t="s">
        <v>399</v>
      </c>
      <c r="I6685" s="3" t="s">
        <v>2369</v>
      </c>
    </row>
    <row r="6686" spans="2:9" hidden="1" x14ac:dyDescent="0.4">
      <c r="B6686" s="8" t="s">
        <v>518</v>
      </c>
      <c r="C6686" s="3" t="s">
        <v>10979</v>
      </c>
      <c r="D6686" s="3" t="s">
        <v>11082</v>
      </c>
      <c r="E6686" s="3" t="s">
        <v>1272</v>
      </c>
      <c r="F6686" s="3" t="s">
        <v>399</v>
      </c>
      <c r="I6686" s="3" t="s">
        <v>2369</v>
      </c>
    </row>
    <row r="6687" spans="2:9" hidden="1" x14ac:dyDescent="0.4">
      <c r="B6687" s="8" t="s">
        <v>6736</v>
      </c>
      <c r="C6687" s="3" t="s">
        <v>10980</v>
      </c>
      <c r="D6687" s="3" t="s">
        <v>11083</v>
      </c>
      <c r="E6687" s="3" t="s">
        <v>1272</v>
      </c>
      <c r="F6687" s="3" t="s">
        <v>399</v>
      </c>
      <c r="I6687" s="3" t="s">
        <v>2369</v>
      </c>
    </row>
    <row r="6688" spans="2:9" hidden="1" x14ac:dyDescent="0.4">
      <c r="B6688" s="8" t="s">
        <v>517</v>
      </c>
      <c r="C6688" s="3" t="s">
        <v>10981</v>
      </c>
      <c r="D6688" s="3" t="s">
        <v>11084</v>
      </c>
      <c r="E6688" s="3" t="s">
        <v>1272</v>
      </c>
      <c r="F6688" s="3" t="s">
        <v>399</v>
      </c>
      <c r="I6688" s="3" t="s">
        <v>2369</v>
      </c>
    </row>
    <row r="6689" spans="2:9" hidden="1" x14ac:dyDescent="0.4">
      <c r="D6689" s="3" t="s">
        <v>11085</v>
      </c>
      <c r="E6689" s="3" t="s">
        <v>1272</v>
      </c>
      <c r="F6689" s="3" t="s">
        <v>399</v>
      </c>
      <c r="I6689" s="3" t="s">
        <v>2369</v>
      </c>
    </row>
    <row r="6690" spans="2:9" hidden="1" x14ac:dyDescent="0.4">
      <c r="D6690" s="3" t="s">
        <v>11086</v>
      </c>
      <c r="E6690" s="3" t="s">
        <v>1272</v>
      </c>
      <c r="F6690" s="3" t="s">
        <v>399</v>
      </c>
      <c r="I6690" s="3" t="s">
        <v>2369</v>
      </c>
    </row>
    <row r="6691" spans="2:9" hidden="1" x14ac:dyDescent="0.4">
      <c r="D6691" s="3" t="s">
        <v>11087</v>
      </c>
      <c r="E6691" s="3" t="s">
        <v>1272</v>
      </c>
      <c r="F6691" s="3" t="s">
        <v>399</v>
      </c>
      <c r="I6691" s="3" t="s">
        <v>2369</v>
      </c>
    </row>
    <row r="6692" spans="2:9" hidden="1" x14ac:dyDescent="0.4">
      <c r="B6692" s="8" t="s">
        <v>520</v>
      </c>
      <c r="C6692" s="3" t="s">
        <v>10982</v>
      </c>
      <c r="D6692" s="3" t="s">
        <v>11088</v>
      </c>
      <c r="E6692" s="3" t="s">
        <v>1272</v>
      </c>
      <c r="F6692" s="3" t="s">
        <v>399</v>
      </c>
      <c r="I6692" s="3" t="s">
        <v>2369</v>
      </c>
    </row>
    <row r="6693" spans="2:9" hidden="1" x14ac:dyDescent="0.4">
      <c r="B6693" s="8" t="s">
        <v>517</v>
      </c>
      <c r="C6693" s="3" t="s">
        <v>10983</v>
      </c>
      <c r="D6693" s="3" t="s">
        <v>11089</v>
      </c>
      <c r="E6693" s="3" t="s">
        <v>1272</v>
      </c>
      <c r="F6693" s="3" t="s">
        <v>399</v>
      </c>
      <c r="I6693" s="3" t="s">
        <v>2369</v>
      </c>
    </row>
    <row r="6694" spans="2:9" hidden="1" x14ac:dyDescent="0.4">
      <c r="B6694" s="8" t="s">
        <v>518</v>
      </c>
      <c r="C6694" s="3" t="s">
        <v>10984</v>
      </c>
      <c r="D6694" s="3" t="s">
        <v>11090</v>
      </c>
      <c r="E6694" s="3" t="s">
        <v>1272</v>
      </c>
      <c r="F6694" s="3" t="s">
        <v>399</v>
      </c>
      <c r="I6694" s="3" t="s">
        <v>2369</v>
      </c>
    </row>
    <row r="6695" spans="2:9" hidden="1" x14ac:dyDescent="0.4">
      <c r="B6695" s="8" t="s">
        <v>518</v>
      </c>
      <c r="C6695" s="3" t="s">
        <v>10985</v>
      </c>
      <c r="D6695" s="3" t="s">
        <v>11091</v>
      </c>
      <c r="E6695" s="3" t="s">
        <v>1272</v>
      </c>
      <c r="F6695" s="3" t="s">
        <v>399</v>
      </c>
      <c r="I6695" s="3" t="s">
        <v>2369</v>
      </c>
    </row>
    <row r="6696" spans="2:9" hidden="1" x14ac:dyDescent="0.4">
      <c r="D6696" s="3" t="s">
        <v>11092</v>
      </c>
      <c r="E6696" s="3" t="s">
        <v>1272</v>
      </c>
      <c r="F6696" s="3" t="s">
        <v>399</v>
      </c>
      <c r="I6696" s="3" t="s">
        <v>2369</v>
      </c>
    </row>
    <row r="6697" spans="2:9" hidden="1" x14ac:dyDescent="0.4">
      <c r="B6697" s="8" t="s">
        <v>526</v>
      </c>
      <c r="C6697" s="3" t="s">
        <v>10986</v>
      </c>
      <c r="D6697" s="3" t="s">
        <v>11093</v>
      </c>
      <c r="E6697" s="3" t="s">
        <v>1272</v>
      </c>
      <c r="F6697" s="3" t="s">
        <v>399</v>
      </c>
      <c r="I6697" s="3" t="s">
        <v>2369</v>
      </c>
    </row>
    <row r="6698" spans="2:9" hidden="1" x14ac:dyDescent="0.4">
      <c r="D6698" s="3" t="s">
        <v>11094</v>
      </c>
      <c r="E6698" s="3" t="s">
        <v>1272</v>
      </c>
      <c r="F6698" s="3" t="s">
        <v>399</v>
      </c>
      <c r="I6698" s="3" t="s">
        <v>2369</v>
      </c>
    </row>
    <row r="6699" spans="2:9" hidden="1" x14ac:dyDescent="0.4">
      <c r="B6699" s="8" t="s">
        <v>529</v>
      </c>
      <c r="C6699" s="3" t="s">
        <v>10987</v>
      </c>
      <c r="D6699" s="3" t="s">
        <v>11095</v>
      </c>
      <c r="E6699" s="3" t="s">
        <v>1272</v>
      </c>
      <c r="F6699" s="3" t="s">
        <v>399</v>
      </c>
      <c r="I6699" s="3" t="s">
        <v>2369</v>
      </c>
    </row>
    <row r="6700" spans="2:9" hidden="1" x14ac:dyDescent="0.4">
      <c r="B6700" s="8" t="s">
        <v>12197</v>
      </c>
      <c r="C6700" s="3" t="s">
        <v>10988</v>
      </c>
      <c r="D6700" s="3" t="s">
        <v>11096</v>
      </c>
      <c r="E6700" s="3" t="s">
        <v>1272</v>
      </c>
      <c r="F6700" s="3" t="s">
        <v>399</v>
      </c>
      <c r="I6700" s="3" t="s">
        <v>2369</v>
      </c>
    </row>
    <row r="6701" spans="2:9" hidden="1" x14ac:dyDescent="0.4">
      <c r="B6701" s="8" t="s">
        <v>515</v>
      </c>
      <c r="C6701" s="3" t="s">
        <v>10989</v>
      </c>
      <c r="D6701" s="3" t="s">
        <v>11096</v>
      </c>
      <c r="E6701" s="3" t="s">
        <v>1272</v>
      </c>
      <c r="F6701" s="3" t="s">
        <v>399</v>
      </c>
      <c r="I6701" s="3" t="s">
        <v>2369</v>
      </c>
    </row>
    <row r="6702" spans="2:9" hidden="1" x14ac:dyDescent="0.4">
      <c r="D6702" s="3" t="s">
        <v>11097</v>
      </c>
      <c r="E6702" s="3" t="s">
        <v>1272</v>
      </c>
      <c r="F6702" s="3" t="s">
        <v>399</v>
      </c>
      <c r="I6702" s="3" t="s">
        <v>2369</v>
      </c>
    </row>
    <row r="6703" spans="2:9" hidden="1" x14ac:dyDescent="0.4">
      <c r="B6703" s="8" t="s">
        <v>518</v>
      </c>
      <c r="C6703" s="3" t="s">
        <v>10990</v>
      </c>
      <c r="D6703" s="3" t="s">
        <v>11098</v>
      </c>
      <c r="E6703" s="3" t="s">
        <v>1272</v>
      </c>
      <c r="F6703" s="3" t="s">
        <v>399</v>
      </c>
      <c r="I6703" s="3" t="s">
        <v>2369</v>
      </c>
    </row>
    <row r="6704" spans="2:9" hidden="1" x14ac:dyDescent="0.4">
      <c r="B6704" s="8" t="s">
        <v>518</v>
      </c>
      <c r="C6704" s="3" t="s">
        <v>10991</v>
      </c>
      <c r="D6704" s="3" t="s">
        <v>11099</v>
      </c>
      <c r="E6704" s="3" t="s">
        <v>1272</v>
      </c>
      <c r="F6704" s="3" t="s">
        <v>399</v>
      </c>
      <c r="I6704" s="3" t="s">
        <v>2369</v>
      </c>
    </row>
    <row r="6705" spans="2:9" hidden="1" x14ac:dyDescent="0.4">
      <c r="D6705" s="3" t="s">
        <v>11100</v>
      </c>
      <c r="E6705" s="3" t="s">
        <v>1272</v>
      </c>
      <c r="F6705" s="3" t="s">
        <v>399</v>
      </c>
      <c r="I6705" s="3" t="s">
        <v>2369</v>
      </c>
    </row>
    <row r="6706" spans="2:9" hidden="1" x14ac:dyDescent="0.4">
      <c r="D6706" s="3" t="s">
        <v>11101</v>
      </c>
      <c r="E6706" s="3" t="s">
        <v>1272</v>
      </c>
      <c r="F6706" s="3" t="s">
        <v>399</v>
      </c>
      <c r="I6706" s="3" t="s">
        <v>2369</v>
      </c>
    </row>
    <row r="6707" spans="2:9" hidden="1" x14ac:dyDescent="0.4">
      <c r="B6707" s="8" t="s">
        <v>518</v>
      </c>
      <c r="C6707" s="3" t="s">
        <v>10992</v>
      </c>
      <c r="D6707" s="3" t="s">
        <v>11102</v>
      </c>
      <c r="E6707" s="3" t="s">
        <v>1272</v>
      </c>
      <c r="F6707" s="3" t="s">
        <v>399</v>
      </c>
      <c r="I6707" s="3" t="s">
        <v>2369</v>
      </c>
    </row>
    <row r="6708" spans="2:9" hidden="1" x14ac:dyDescent="0.4">
      <c r="B6708" s="8" t="s">
        <v>516</v>
      </c>
      <c r="C6708" s="3" t="s">
        <v>10993</v>
      </c>
      <c r="D6708" s="3" t="s">
        <v>11102</v>
      </c>
      <c r="E6708" s="3" t="s">
        <v>1272</v>
      </c>
      <c r="F6708" s="3" t="s">
        <v>399</v>
      </c>
      <c r="I6708" s="3" t="s">
        <v>2369</v>
      </c>
    </row>
    <row r="6709" spans="2:9" hidden="1" x14ac:dyDescent="0.4">
      <c r="D6709" s="3" t="s">
        <v>11103</v>
      </c>
      <c r="E6709" s="3" t="s">
        <v>1272</v>
      </c>
      <c r="F6709" s="3" t="s">
        <v>399</v>
      </c>
      <c r="I6709" s="3" t="s">
        <v>2369</v>
      </c>
    </row>
    <row r="6710" spans="2:9" hidden="1" x14ac:dyDescent="0.4">
      <c r="B6710" s="8" t="s">
        <v>518</v>
      </c>
      <c r="C6710" s="3" t="s">
        <v>10994</v>
      </c>
      <c r="D6710" s="3" t="s">
        <v>11104</v>
      </c>
      <c r="E6710" s="3" t="s">
        <v>1272</v>
      </c>
      <c r="F6710" s="3" t="s">
        <v>399</v>
      </c>
      <c r="I6710" s="3" t="s">
        <v>2369</v>
      </c>
    </row>
    <row r="6711" spans="2:9" hidden="1" x14ac:dyDescent="0.4">
      <c r="D6711" s="3" t="s">
        <v>11105</v>
      </c>
      <c r="E6711" s="3" t="s">
        <v>1272</v>
      </c>
      <c r="F6711" s="3" t="s">
        <v>399</v>
      </c>
      <c r="I6711" s="3" t="s">
        <v>2369</v>
      </c>
    </row>
    <row r="6712" spans="2:9" hidden="1" x14ac:dyDescent="0.4">
      <c r="D6712" s="3" t="s">
        <v>11106</v>
      </c>
      <c r="E6712" s="3" t="s">
        <v>1272</v>
      </c>
      <c r="F6712" s="3" t="s">
        <v>399</v>
      </c>
      <c r="I6712" s="3" t="s">
        <v>2369</v>
      </c>
    </row>
    <row r="6713" spans="2:9" hidden="1" x14ac:dyDescent="0.4">
      <c r="D6713" s="3" t="s">
        <v>11107</v>
      </c>
      <c r="E6713" s="3" t="s">
        <v>1272</v>
      </c>
      <c r="F6713" s="3" t="s">
        <v>399</v>
      </c>
      <c r="I6713" s="3" t="s">
        <v>2369</v>
      </c>
    </row>
    <row r="6714" spans="2:9" hidden="1" x14ac:dyDescent="0.4">
      <c r="D6714" s="3" t="s">
        <v>11108</v>
      </c>
      <c r="E6714" s="3" t="s">
        <v>1272</v>
      </c>
      <c r="F6714" s="3" t="s">
        <v>399</v>
      </c>
      <c r="I6714" s="3" t="s">
        <v>2369</v>
      </c>
    </row>
    <row r="6715" spans="2:9" hidden="1" x14ac:dyDescent="0.4">
      <c r="D6715" s="3" t="s">
        <v>11109</v>
      </c>
      <c r="E6715" s="3" t="s">
        <v>1272</v>
      </c>
      <c r="F6715" s="3" t="s">
        <v>399</v>
      </c>
      <c r="I6715" s="3" t="s">
        <v>2369</v>
      </c>
    </row>
    <row r="6716" spans="2:9" hidden="1" x14ac:dyDescent="0.4">
      <c r="D6716" s="3" t="s">
        <v>11110</v>
      </c>
      <c r="E6716" s="3" t="s">
        <v>1272</v>
      </c>
      <c r="F6716" s="3" t="s">
        <v>399</v>
      </c>
      <c r="I6716" s="3" t="s">
        <v>2369</v>
      </c>
    </row>
    <row r="6717" spans="2:9" hidden="1" x14ac:dyDescent="0.4">
      <c r="D6717" s="3" t="s">
        <v>11111</v>
      </c>
      <c r="E6717" s="3" t="s">
        <v>1272</v>
      </c>
      <c r="F6717" s="3" t="s">
        <v>399</v>
      </c>
      <c r="I6717" s="3" t="s">
        <v>2369</v>
      </c>
    </row>
    <row r="6718" spans="2:9" hidden="1" x14ac:dyDescent="0.4">
      <c r="B6718" s="8" t="s">
        <v>531</v>
      </c>
      <c r="C6718" s="3" t="s">
        <v>11141</v>
      </c>
      <c r="D6718" s="3" t="s">
        <v>11112</v>
      </c>
      <c r="E6718" s="3" t="s">
        <v>1272</v>
      </c>
      <c r="F6718" s="3" t="s">
        <v>399</v>
      </c>
      <c r="I6718" s="3" t="s">
        <v>2369</v>
      </c>
    </row>
    <row r="6719" spans="2:9" hidden="1" x14ac:dyDescent="0.4">
      <c r="D6719" s="3" t="s">
        <v>11113</v>
      </c>
      <c r="E6719" s="3" t="s">
        <v>1272</v>
      </c>
      <c r="F6719" s="3" t="s">
        <v>399</v>
      </c>
      <c r="I6719" s="3" t="s">
        <v>2369</v>
      </c>
    </row>
    <row r="6720" spans="2:9" hidden="1" x14ac:dyDescent="0.4">
      <c r="D6720" s="3" t="s">
        <v>11114</v>
      </c>
      <c r="E6720" s="3" t="s">
        <v>1272</v>
      </c>
      <c r="F6720" s="3" t="s">
        <v>399</v>
      </c>
      <c r="I6720" s="3" t="s">
        <v>2369</v>
      </c>
    </row>
    <row r="6721" spans="2:9" hidden="1" x14ac:dyDescent="0.4">
      <c r="D6721" s="3" t="s">
        <v>11115</v>
      </c>
      <c r="E6721" s="3" t="s">
        <v>1272</v>
      </c>
      <c r="F6721" s="3" t="s">
        <v>399</v>
      </c>
      <c r="I6721" s="3" t="s">
        <v>2369</v>
      </c>
    </row>
    <row r="6722" spans="2:9" hidden="1" x14ac:dyDescent="0.4">
      <c r="B6722" s="8" t="s">
        <v>6737</v>
      </c>
      <c r="C6722" s="3" t="s">
        <v>11143</v>
      </c>
      <c r="D6722" s="3" t="s">
        <v>11116</v>
      </c>
      <c r="E6722" s="3" t="s">
        <v>1272</v>
      </c>
      <c r="F6722" s="3" t="s">
        <v>399</v>
      </c>
      <c r="I6722" s="3" t="s">
        <v>2369</v>
      </c>
    </row>
    <row r="6723" spans="2:9" hidden="1" x14ac:dyDescent="0.4">
      <c r="B6723" s="8" t="s">
        <v>517</v>
      </c>
      <c r="C6723" s="3" t="s">
        <v>11142</v>
      </c>
      <c r="D6723" s="3" t="s">
        <v>11116</v>
      </c>
      <c r="E6723" s="3" t="s">
        <v>1272</v>
      </c>
      <c r="F6723" s="3" t="s">
        <v>399</v>
      </c>
      <c r="I6723" s="3" t="s">
        <v>2369</v>
      </c>
    </row>
    <row r="6724" spans="2:9" hidden="1" x14ac:dyDescent="0.4">
      <c r="B6724" s="8" t="s">
        <v>6737</v>
      </c>
      <c r="C6724" s="3" t="s">
        <v>11144</v>
      </c>
      <c r="D6724" s="3" t="s">
        <v>11117</v>
      </c>
      <c r="E6724" s="3" t="s">
        <v>1272</v>
      </c>
      <c r="F6724" s="3" t="s">
        <v>399</v>
      </c>
      <c r="I6724" s="3" t="s">
        <v>2369</v>
      </c>
    </row>
    <row r="6725" spans="2:9" hidden="1" x14ac:dyDescent="0.4">
      <c r="B6725" s="8" t="s">
        <v>6737</v>
      </c>
      <c r="C6725" s="3" t="s">
        <v>11145</v>
      </c>
      <c r="D6725" s="3" t="s">
        <v>11118</v>
      </c>
      <c r="E6725" s="3" t="s">
        <v>1272</v>
      </c>
      <c r="F6725" s="3" t="s">
        <v>399</v>
      </c>
      <c r="I6725" s="3" t="s">
        <v>2369</v>
      </c>
    </row>
    <row r="6726" spans="2:9" hidden="1" x14ac:dyDescent="0.4">
      <c r="B6726" s="8" t="s">
        <v>517</v>
      </c>
      <c r="C6726" s="3" t="s">
        <v>11146</v>
      </c>
      <c r="D6726" s="3" t="s">
        <v>11118</v>
      </c>
      <c r="E6726" s="3" t="s">
        <v>1272</v>
      </c>
      <c r="F6726" s="3" t="s">
        <v>399</v>
      </c>
      <c r="I6726" s="3" t="s">
        <v>2369</v>
      </c>
    </row>
    <row r="6727" spans="2:9" hidden="1" x14ac:dyDescent="0.4">
      <c r="B6727" s="8" t="s">
        <v>517</v>
      </c>
      <c r="C6727" s="3" t="s">
        <v>11147</v>
      </c>
      <c r="D6727" s="3" t="s">
        <v>11119</v>
      </c>
      <c r="E6727" s="3" t="s">
        <v>1272</v>
      </c>
      <c r="F6727" s="3" t="s">
        <v>399</v>
      </c>
      <c r="I6727" s="3" t="s">
        <v>2369</v>
      </c>
    </row>
    <row r="6728" spans="2:9" hidden="1" x14ac:dyDescent="0.4">
      <c r="B6728" s="8" t="s">
        <v>519</v>
      </c>
      <c r="C6728" s="3" t="s">
        <v>11148</v>
      </c>
      <c r="D6728" s="3" t="s">
        <v>11120</v>
      </c>
      <c r="E6728" s="3" t="s">
        <v>1272</v>
      </c>
      <c r="F6728" s="3" t="s">
        <v>399</v>
      </c>
      <c r="I6728" s="3" t="s">
        <v>2369</v>
      </c>
    </row>
    <row r="6729" spans="2:9" ht="29.25" hidden="1" x14ac:dyDescent="0.4">
      <c r="B6729" s="8" t="s">
        <v>516</v>
      </c>
      <c r="C6729" s="3" t="s">
        <v>11149</v>
      </c>
      <c r="D6729" s="3" t="s">
        <v>11121</v>
      </c>
      <c r="E6729" s="3" t="s">
        <v>1272</v>
      </c>
      <c r="F6729" s="3" t="s">
        <v>399</v>
      </c>
      <c r="I6729" s="3" t="s">
        <v>2369</v>
      </c>
    </row>
    <row r="6730" spans="2:9" hidden="1" x14ac:dyDescent="0.4">
      <c r="B6730" s="8" t="s">
        <v>529</v>
      </c>
      <c r="C6730" s="3" t="s">
        <v>11150</v>
      </c>
      <c r="D6730" s="3" t="s">
        <v>11122</v>
      </c>
      <c r="E6730" s="3" t="s">
        <v>1272</v>
      </c>
      <c r="F6730" s="3" t="s">
        <v>399</v>
      </c>
      <c r="I6730" s="3" t="s">
        <v>2369</v>
      </c>
    </row>
    <row r="6731" spans="2:9" ht="29.25" hidden="1" x14ac:dyDescent="0.4">
      <c r="B6731" s="8" t="s">
        <v>12198</v>
      </c>
      <c r="C6731" s="3" t="s">
        <v>11151</v>
      </c>
      <c r="D6731" s="3" t="s">
        <v>11123</v>
      </c>
      <c r="E6731" s="3" t="s">
        <v>1272</v>
      </c>
      <c r="F6731" s="3" t="s">
        <v>399</v>
      </c>
      <c r="I6731" s="3" t="s">
        <v>2369</v>
      </c>
    </row>
    <row r="6732" spans="2:9" hidden="1" x14ac:dyDescent="0.4">
      <c r="B6732" s="8" t="s">
        <v>518</v>
      </c>
      <c r="C6732" s="3" t="s">
        <v>11152</v>
      </c>
      <c r="D6732" s="3" t="s">
        <v>11124</v>
      </c>
      <c r="E6732" s="3" t="s">
        <v>1272</v>
      </c>
      <c r="F6732" s="3" t="s">
        <v>399</v>
      </c>
      <c r="I6732" s="3" t="s">
        <v>2369</v>
      </c>
    </row>
    <row r="6733" spans="2:9" hidden="1" x14ac:dyDescent="0.4">
      <c r="B6733" s="8" t="s">
        <v>520</v>
      </c>
      <c r="C6733" s="3" t="s">
        <v>11153</v>
      </c>
      <c r="D6733" s="3" t="s">
        <v>11125</v>
      </c>
      <c r="E6733" s="3" t="s">
        <v>1272</v>
      </c>
      <c r="F6733" s="3" t="s">
        <v>399</v>
      </c>
      <c r="I6733" s="3" t="s">
        <v>2369</v>
      </c>
    </row>
    <row r="6734" spans="2:9" hidden="1" x14ac:dyDescent="0.4">
      <c r="B6734" s="8" t="s">
        <v>517</v>
      </c>
      <c r="C6734" s="3" t="s">
        <v>11154</v>
      </c>
      <c r="D6734" s="3" t="s">
        <v>11126</v>
      </c>
      <c r="E6734" s="3" t="s">
        <v>1272</v>
      </c>
      <c r="F6734" s="3" t="s">
        <v>399</v>
      </c>
      <c r="I6734" s="3" t="s">
        <v>2369</v>
      </c>
    </row>
    <row r="6735" spans="2:9" hidden="1" x14ac:dyDescent="0.4">
      <c r="B6735" s="8" t="s">
        <v>517</v>
      </c>
      <c r="C6735" s="3" t="s">
        <v>11155</v>
      </c>
      <c r="D6735" s="3" t="s">
        <v>11127</v>
      </c>
      <c r="E6735" s="3" t="s">
        <v>1272</v>
      </c>
      <c r="F6735" s="3" t="s">
        <v>399</v>
      </c>
      <c r="I6735" s="3" t="s">
        <v>2369</v>
      </c>
    </row>
    <row r="6736" spans="2:9" hidden="1" x14ac:dyDescent="0.4">
      <c r="B6736" s="8" t="s">
        <v>6731</v>
      </c>
      <c r="C6736" s="3" t="s">
        <v>11156</v>
      </c>
      <c r="D6736" s="3" t="s">
        <v>11128</v>
      </c>
      <c r="E6736" s="3" t="s">
        <v>1272</v>
      </c>
      <c r="F6736" s="3" t="s">
        <v>399</v>
      </c>
      <c r="I6736" s="3" t="s">
        <v>2369</v>
      </c>
    </row>
    <row r="6737" spans="2:9" hidden="1" x14ac:dyDescent="0.4">
      <c r="B6737" s="8" t="s">
        <v>517</v>
      </c>
      <c r="C6737" s="3" t="s">
        <v>11157</v>
      </c>
      <c r="D6737" s="3" t="s">
        <v>11128</v>
      </c>
      <c r="E6737" s="3" t="s">
        <v>1272</v>
      </c>
      <c r="F6737" s="3" t="s">
        <v>399</v>
      </c>
      <c r="I6737" s="3" t="s">
        <v>2369</v>
      </c>
    </row>
    <row r="6738" spans="2:9" ht="29.25" hidden="1" x14ac:dyDescent="0.4">
      <c r="B6738" s="8" t="s">
        <v>12199</v>
      </c>
      <c r="C6738" s="3" t="s">
        <v>11158</v>
      </c>
      <c r="D6738" s="3" t="s">
        <v>11129</v>
      </c>
      <c r="E6738" s="3" t="s">
        <v>1272</v>
      </c>
      <c r="F6738" s="3" t="s">
        <v>399</v>
      </c>
      <c r="I6738" s="3" t="s">
        <v>2369</v>
      </c>
    </row>
    <row r="6739" spans="2:9" hidden="1" x14ac:dyDescent="0.4">
      <c r="B6739" s="8" t="s">
        <v>516</v>
      </c>
      <c r="C6739" s="3" t="s">
        <v>11159</v>
      </c>
      <c r="D6739" s="3" t="s">
        <v>11130</v>
      </c>
      <c r="E6739" s="3" t="s">
        <v>1272</v>
      </c>
      <c r="F6739" s="3" t="s">
        <v>399</v>
      </c>
      <c r="I6739" s="3" t="s">
        <v>2369</v>
      </c>
    </row>
    <row r="6740" spans="2:9" hidden="1" x14ac:dyDescent="0.4">
      <c r="B6740" s="8" t="s">
        <v>516</v>
      </c>
      <c r="C6740" s="3" t="s">
        <v>11160</v>
      </c>
      <c r="D6740" s="3" t="s">
        <v>11131</v>
      </c>
      <c r="E6740" s="3" t="s">
        <v>1272</v>
      </c>
      <c r="F6740" s="3" t="s">
        <v>399</v>
      </c>
      <c r="I6740" s="3" t="s">
        <v>2369</v>
      </c>
    </row>
    <row r="6741" spans="2:9" hidden="1" x14ac:dyDescent="0.4">
      <c r="B6741" s="8" t="s">
        <v>516</v>
      </c>
      <c r="C6741" s="3" t="s">
        <v>11161</v>
      </c>
      <c r="D6741" s="3" t="s">
        <v>11132</v>
      </c>
      <c r="E6741" s="3" t="s">
        <v>1272</v>
      </c>
      <c r="F6741" s="3" t="s">
        <v>399</v>
      </c>
      <c r="I6741" s="3" t="s">
        <v>2369</v>
      </c>
    </row>
    <row r="6742" spans="2:9" hidden="1" x14ac:dyDescent="0.4">
      <c r="B6742" s="8" t="s">
        <v>518</v>
      </c>
      <c r="C6742" s="3" t="s">
        <v>11162</v>
      </c>
      <c r="D6742" s="3" t="s">
        <v>11133</v>
      </c>
      <c r="E6742" s="3" t="s">
        <v>1272</v>
      </c>
      <c r="F6742" s="3" t="s">
        <v>399</v>
      </c>
      <c r="I6742" s="3" t="s">
        <v>2369</v>
      </c>
    </row>
    <row r="6743" spans="2:9" hidden="1" x14ac:dyDescent="0.4">
      <c r="D6743" s="3" t="s">
        <v>11134</v>
      </c>
      <c r="E6743" s="3" t="s">
        <v>1272</v>
      </c>
      <c r="F6743" s="3" t="s">
        <v>399</v>
      </c>
      <c r="I6743" s="3" t="s">
        <v>2369</v>
      </c>
    </row>
    <row r="6744" spans="2:9" hidden="1" x14ac:dyDescent="0.4">
      <c r="B6744" s="8" t="s">
        <v>517</v>
      </c>
      <c r="C6744" s="3" t="s">
        <v>11163</v>
      </c>
      <c r="D6744" s="3" t="s">
        <v>11135</v>
      </c>
      <c r="E6744" s="3" t="s">
        <v>1272</v>
      </c>
      <c r="F6744" s="3" t="s">
        <v>399</v>
      </c>
      <c r="I6744" s="3" t="s">
        <v>2369</v>
      </c>
    </row>
    <row r="6745" spans="2:9" hidden="1" x14ac:dyDescent="0.4">
      <c r="D6745" s="3" t="s">
        <v>11136</v>
      </c>
      <c r="E6745" s="3" t="s">
        <v>1272</v>
      </c>
      <c r="F6745" s="3" t="s">
        <v>399</v>
      </c>
      <c r="I6745" s="3" t="s">
        <v>2369</v>
      </c>
    </row>
    <row r="6746" spans="2:9" hidden="1" x14ac:dyDescent="0.4">
      <c r="B6746" s="8" t="s">
        <v>12193</v>
      </c>
      <c r="C6746" s="3" t="s">
        <v>11164</v>
      </c>
      <c r="D6746" s="3" t="s">
        <v>11137</v>
      </c>
      <c r="E6746" s="3" t="s">
        <v>1272</v>
      </c>
      <c r="F6746" s="3" t="s">
        <v>399</v>
      </c>
      <c r="I6746" s="3" t="s">
        <v>2369</v>
      </c>
    </row>
    <row r="6747" spans="2:9" hidden="1" x14ac:dyDescent="0.4">
      <c r="B6747" s="8" t="s">
        <v>4118</v>
      </c>
      <c r="C6747" s="3" t="s">
        <v>11165</v>
      </c>
      <c r="D6747" s="3" t="s">
        <v>11138</v>
      </c>
      <c r="E6747" s="3" t="s">
        <v>1272</v>
      </c>
      <c r="F6747" s="3" t="s">
        <v>399</v>
      </c>
      <c r="I6747" s="3" t="s">
        <v>2369</v>
      </c>
    </row>
    <row r="6748" spans="2:9" hidden="1" x14ac:dyDescent="0.4">
      <c r="B6748" s="8" t="s">
        <v>12200</v>
      </c>
      <c r="C6748" s="3" t="s">
        <v>11166</v>
      </c>
      <c r="D6748" s="3" t="s">
        <v>11139</v>
      </c>
      <c r="E6748" s="3" t="s">
        <v>1272</v>
      </c>
      <c r="F6748" s="3" t="s">
        <v>399</v>
      </c>
      <c r="I6748" s="3" t="s">
        <v>2369</v>
      </c>
    </row>
    <row r="6749" spans="2:9" hidden="1" x14ac:dyDescent="0.4">
      <c r="B6749" s="8" t="s">
        <v>517</v>
      </c>
      <c r="C6749" s="3" t="s">
        <v>11167</v>
      </c>
      <c r="D6749" s="3" t="s">
        <v>11140</v>
      </c>
      <c r="E6749" s="3" t="s">
        <v>1272</v>
      </c>
      <c r="F6749" s="3" t="s">
        <v>399</v>
      </c>
      <c r="I6749" s="3" t="s">
        <v>2369</v>
      </c>
    </row>
    <row r="6750" spans="2:9" hidden="1" x14ac:dyDescent="0.4">
      <c r="B6750" s="8" t="s">
        <v>516</v>
      </c>
      <c r="C6750" s="3" t="s">
        <v>11168</v>
      </c>
      <c r="D6750" s="3" t="s">
        <v>11303</v>
      </c>
      <c r="E6750" s="3" t="s">
        <v>1272</v>
      </c>
      <c r="F6750" s="3" t="s">
        <v>399</v>
      </c>
      <c r="I6750" s="3" t="s">
        <v>2369</v>
      </c>
    </row>
    <row r="6751" spans="2:9" hidden="1" x14ac:dyDescent="0.4">
      <c r="B6751" s="8" t="s">
        <v>517</v>
      </c>
      <c r="C6751" s="3" t="s">
        <v>11169</v>
      </c>
      <c r="D6751" s="3" t="s">
        <v>11304</v>
      </c>
      <c r="E6751" s="3" t="s">
        <v>1272</v>
      </c>
      <c r="F6751" s="3" t="s">
        <v>399</v>
      </c>
      <c r="I6751" s="3" t="s">
        <v>2369</v>
      </c>
    </row>
    <row r="6752" spans="2:9" ht="29.25" hidden="1" x14ac:dyDescent="0.4">
      <c r="B6752" s="8" t="s">
        <v>9738</v>
      </c>
      <c r="C6752" s="3" t="s">
        <v>11170</v>
      </c>
      <c r="D6752" s="3" t="s">
        <v>11305</v>
      </c>
      <c r="E6752" s="3" t="s">
        <v>1272</v>
      </c>
      <c r="F6752" s="3" t="s">
        <v>399</v>
      </c>
      <c r="I6752" s="3" t="s">
        <v>2369</v>
      </c>
    </row>
    <row r="6753" spans="2:9" ht="29.25" hidden="1" x14ac:dyDescent="0.4">
      <c r="B6753" s="8" t="s">
        <v>516</v>
      </c>
      <c r="C6753" s="3" t="s">
        <v>11171</v>
      </c>
      <c r="D6753" s="3" t="s">
        <v>11305</v>
      </c>
      <c r="E6753" s="3" t="s">
        <v>1272</v>
      </c>
      <c r="F6753" s="3" t="s">
        <v>399</v>
      </c>
      <c r="I6753" s="3" t="s">
        <v>2369</v>
      </c>
    </row>
    <row r="6754" spans="2:9" hidden="1" x14ac:dyDescent="0.4">
      <c r="B6754" s="8" t="s">
        <v>4055</v>
      </c>
      <c r="C6754" s="3" t="s">
        <v>11172</v>
      </c>
      <c r="D6754" s="3" t="s">
        <v>11306</v>
      </c>
      <c r="E6754" s="3" t="s">
        <v>1272</v>
      </c>
      <c r="F6754" s="3" t="s">
        <v>399</v>
      </c>
      <c r="I6754" s="3" t="s">
        <v>2369</v>
      </c>
    </row>
    <row r="6755" spans="2:9" hidden="1" x14ac:dyDescent="0.4">
      <c r="B6755" s="8" t="s">
        <v>517</v>
      </c>
      <c r="C6755" s="3" t="s">
        <v>11173</v>
      </c>
      <c r="D6755" s="3" t="s">
        <v>11306</v>
      </c>
      <c r="E6755" s="3" t="s">
        <v>1272</v>
      </c>
      <c r="F6755" s="3" t="s">
        <v>399</v>
      </c>
      <c r="I6755" s="3" t="s">
        <v>2369</v>
      </c>
    </row>
    <row r="6756" spans="2:9" ht="29.25" hidden="1" x14ac:dyDescent="0.4">
      <c r="B6756" s="8" t="s">
        <v>12201</v>
      </c>
      <c r="C6756" s="3" t="s">
        <v>11174</v>
      </c>
      <c r="D6756" s="3" t="s">
        <v>11318</v>
      </c>
      <c r="E6756" s="3" t="s">
        <v>1272</v>
      </c>
      <c r="F6756" s="3" t="s">
        <v>399</v>
      </c>
      <c r="I6756" s="3" t="s">
        <v>2369</v>
      </c>
    </row>
    <row r="6757" spans="2:9" ht="29.25" hidden="1" x14ac:dyDescent="0.4">
      <c r="B6757" s="8" t="s">
        <v>516</v>
      </c>
      <c r="C6757" s="3" t="s">
        <v>11175</v>
      </c>
      <c r="D6757" s="3" t="s">
        <v>11318</v>
      </c>
      <c r="E6757" s="3" t="s">
        <v>1272</v>
      </c>
      <c r="F6757" s="3" t="s">
        <v>399</v>
      </c>
      <c r="I6757" s="3" t="s">
        <v>2369</v>
      </c>
    </row>
    <row r="6758" spans="2:9" ht="29.25" hidden="1" x14ac:dyDescent="0.4">
      <c r="B6758" s="8" t="s">
        <v>517</v>
      </c>
      <c r="C6758" s="3" t="s">
        <v>11302</v>
      </c>
      <c r="D6758" s="3" t="s">
        <v>11307</v>
      </c>
      <c r="E6758" s="3" t="s">
        <v>1272</v>
      </c>
      <c r="F6758" s="3" t="s">
        <v>399</v>
      </c>
      <c r="I6758" s="3" t="s">
        <v>2369</v>
      </c>
    </row>
    <row r="6759" spans="2:9" hidden="1" x14ac:dyDescent="0.4">
      <c r="D6759" s="3" t="s">
        <v>11308</v>
      </c>
      <c r="E6759" s="3" t="s">
        <v>1272</v>
      </c>
      <c r="F6759" s="3" t="s">
        <v>399</v>
      </c>
      <c r="I6759" s="3" t="s">
        <v>2369</v>
      </c>
    </row>
    <row r="6760" spans="2:9" hidden="1" x14ac:dyDescent="0.4">
      <c r="B6760" s="8" t="s">
        <v>517</v>
      </c>
      <c r="C6760" s="3" t="s">
        <v>11176</v>
      </c>
      <c r="D6760" s="3" t="s">
        <v>11309</v>
      </c>
      <c r="E6760" s="3" t="s">
        <v>1272</v>
      </c>
      <c r="F6760" s="3" t="s">
        <v>399</v>
      </c>
      <c r="I6760" s="3" t="s">
        <v>2369</v>
      </c>
    </row>
    <row r="6761" spans="2:9" hidden="1" x14ac:dyDescent="0.4">
      <c r="B6761" s="8" t="s">
        <v>9736</v>
      </c>
      <c r="C6761" s="3" t="s">
        <v>12202</v>
      </c>
      <c r="D6761" s="3" t="s">
        <v>11309</v>
      </c>
      <c r="E6761" s="3" t="s">
        <v>1272</v>
      </c>
      <c r="F6761" s="3" t="s">
        <v>399</v>
      </c>
      <c r="I6761" s="3" t="s">
        <v>2369</v>
      </c>
    </row>
    <row r="6762" spans="2:9" hidden="1" x14ac:dyDescent="0.4">
      <c r="B6762" s="8" t="s">
        <v>517</v>
      </c>
      <c r="C6762" s="3" t="s">
        <v>12203</v>
      </c>
      <c r="D6762" s="3" t="s">
        <v>11310</v>
      </c>
      <c r="E6762" s="3" t="s">
        <v>1272</v>
      </c>
      <c r="F6762" s="3" t="s">
        <v>399</v>
      </c>
      <c r="I6762" s="3" t="s">
        <v>2369</v>
      </c>
    </row>
    <row r="6763" spans="2:9" hidden="1" x14ac:dyDescent="0.4">
      <c r="B6763" s="8" t="s">
        <v>9736</v>
      </c>
      <c r="C6763" s="3" t="s">
        <v>11177</v>
      </c>
      <c r="D6763" s="3" t="s">
        <v>11310</v>
      </c>
      <c r="E6763" s="3" t="s">
        <v>1272</v>
      </c>
      <c r="F6763" s="3" t="s">
        <v>399</v>
      </c>
      <c r="I6763" s="3" t="s">
        <v>2369</v>
      </c>
    </row>
    <row r="6764" spans="2:9" hidden="1" x14ac:dyDescent="0.4">
      <c r="B6764" s="8" t="s">
        <v>517</v>
      </c>
      <c r="C6764" s="3" t="s">
        <v>11178</v>
      </c>
      <c r="D6764" s="3" t="s">
        <v>11311</v>
      </c>
      <c r="E6764" s="3" t="s">
        <v>1272</v>
      </c>
      <c r="F6764" s="3" t="s">
        <v>399</v>
      </c>
      <c r="I6764" s="3" t="s">
        <v>2369</v>
      </c>
    </row>
    <row r="6765" spans="2:9" hidden="1" x14ac:dyDescent="0.4">
      <c r="B6765" s="8" t="s">
        <v>6734</v>
      </c>
      <c r="C6765" s="3" t="s">
        <v>11179</v>
      </c>
      <c r="D6765" s="3" t="s">
        <v>11312</v>
      </c>
      <c r="E6765" s="3" t="s">
        <v>1272</v>
      </c>
      <c r="F6765" s="3" t="s">
        <v>399</v>
      </c>
      <c r="I6765" s="3" t="s">
        <v>2369</v>
      </c>
    </row>
    <row r="6766" spans="2:9" ht="29.25" hidden="1" x14ac:dyDescent="0.4">
      <c r="B6766" s="8" t="s">
        <v>9738</v>
      </c>
      <c r="C6766" s="3" t="s">
        <v>11180</v>
      </c>
      <c r="D6766" s="3" t="s">
        <v>11313</v>
      </c>
      <c r="E6766" s="3" t="s">
        <v>1272</v>
      </c>
      <c r="F6766" s="3" t="s">
        <v>399</v>
      </c>
      <c r="I6766" s="3" t="s">
        <v>2369</v>
      </c>
    </row>
    <row r="6767" spans="2:9" hidden="1" x14ac:dyDescent="0.4">
      <c r="B6767" s="8" t="s">
        <v>9736</v>
      </c>
      <c r="C6767" s="3" t="s">
        <v>11181</v>
      </c>
      <c r="D6767" s="3" t="s">
        <v>11314</v>
      </c>
      <c r="E6767" s="3" t="s">
        <v>1272</v>
      </c>
      <c r="F6767" s="3" t="s">
        <v>399</v>
      </c>
      <c r="I6767" s="3" t="s">
        <v>2369</v>
      </c>
    </row>
    <row r="6768" spans="2:9" hidden="1" x14ac:dyDescent="0.4">
      <c r="B6768" s="8" t="s">
        <v>6734</v>
      </c>
      <c r="C6768" s="3" t="s">
        <v>11182</v>
      </c>
      <c r="D6768" s="3" t="s">
        <v>11315</v>
      </c>
      <c r="E6768" s="3" t="s">
        <v>1272</v>
      </c>
      <c r="F6768" s="3" t="s">
        <v>399</v>
      </c>
      <c r="I6768" s="3" t="s">
        <v>2369</v>
      </c>
    </row>
    <row r="6769" spans="2:9" hidden="1" x14ac:dyDescent="0.4">
      <c r="B6769" s="8" t="s">
        <v>517</v>
      </c>
      <c r="C6769" s="3" t="s">
        <v>11183</v>
      </c>
      <c r="D6769" s="3" t="s">
        <v>11316</v>
      </c>
      <c r="E6769" s="3" t="s">
        <v>1272</v>
      </c>
      <c r="F6769" s="3" t="s">
        <v>399</v>
      </c>
      <c r="I6769" s="3" t="s">
        <v>2369</v>
      </c>
    </row>
    <row r="6770" spans="2:9" hidden="1" x14ac:dyDescent="0.4">
      <c r="B6770" s="8" t="s">
        <v>517</v>
      </c>
      <c r="C6770" s="3" t="s">
        <v>11184</v>
      </c>
      <c r="D6770" s="3" t="s">
        <v>11317</v>
      </c>
      <c r="E6770" s="3" t="s">
        <v>1272</v>
      </c>
      <c r="F6770" s="3" t="s">
        <v>399</v>
      </c>
      <c r="I6770" s="3" t="s">
        <v>2369</v>
      </c>
    </row>
    <row r="6771" spans="2:9" hidden="1" x14ac:dyDescent="0.4">
      <c r="B6771" s="8" t="s">
        <v>517</v>
      </c>
      <c r="C6771" s="3" t="s">
        <v>11185</v>
      </c>
      <c r="D6771" s="3" t="s">
        <v>11317</v>
      </c>
      <c r="E6771" s="3" t="s">
        <v>1272</v>
      </c>
      <c r="F6771" s="3" t="s">
        <v>399</v>
      </c>
      <c r="I6771" s="3" t="s">
        <v>2369</v>
      </c>
    </row>
    <row r="6772" spans="2:9" hidden="1" x14ac:dyDescent="0.4">
      <c r="B6772" s="8" t="s">
        <v>517</v>
      </c>
      <c r="C6772" s="3" t="s">
        <v>11186</v>
      </c>
      <c r="D6772" s="3" t="s">
        <v>11319</v>
      </c>
      <c r="E6772" s="3" t="s">
        <v>1272</v>
      </c>
      <c r="F6772" s="3" t="s">
        <v>399</v>
      </c>
      <c r="I6772" s="3" t="s">
        <v>2369</v>
      </c>
    </row>
    <row r="6773" spans="2:9" hidden="1" x14ac:dyDescent="0.4">
      <c r="B6773" s="8" t="s">
        <v>517</v>
      </c>
      <c r="C6773" s="3" t="s">
        <v>11187</v>
      </c>
      <c r="D6773" s="3" t="s">
        <v>11320</v>
      </c>
      <c r="E6773" s="3" t="s">
        <v>1272</v>
      </c>
      <c r="F6773" s="3" t="s">
        <v>399</v>
      </c>
      <c r="I6773" s="3" t="s">
        <v>2369</v>
      </c>
    </row>
    <row r="6774" spans="2:9" hidden="1" x14ac:dyDescent="0.4">
      <c r="D6774" s="3" t="s">
        <v>11321</v>
      </c>
      <c r="E6774" s="3" t="s">
        <v>1272</v>
      </c>
      <c r="F6774" s="3" t="s">
        <v>399</v>
      </c>
      <c r="I6774" s="3" t="s">
        <v>2369</v>
      </c>
    </row>
    <row r="6775" spans="2:9" hidden="1" x14ac:dyDescent="0.4">
      <c r="D6775" s="3" t="s">
        <v>11322</v>
      </c>
      <c r="E6775" s="3" t="s">
        <v>1272</v>
      </c>
      <c r="F6775" s="3" t="s">
        <v>399</v>
      </c>
      <c r="I6775" s="3" t="s">
        <v>2369</v>
      </c>
    </row>
    <row r="6776" spans="2:9" hidden="1" x14ac:dyDescent="0.4">
      <c r="D6776" s="3" t="s">
        <v>11323</v>
      </c>
      <c r="E6776" s="3" t="s">
        <v>1272</v>
      </c>
      <c r="F6776" s="3" t="s">
        <v>399</v>
      </c>
      <c r="I6776" s="3" t="s">
        <v>2369</v>
      </c>
    </row>
    <row r="6777" spans="2:9" hidden="1" x14ac:dyDescent="0.4">
      <c r="B6777" s="8" t="s">
        <v>6734</v>
      </c>
      <c r="C6777" s="3" t="s">
        <v>11188</v>
      </c>
      <c r="D6777" s="3" t="s">
        <v>11324</v>
      </c>
      <c r="E6777" s="3" t="s">
        <v>1272</v>
      </c>
      <c r="F6777" s="3" t="s">
        <v>399</v>
      </c>
      <c r="I6777" s="3" t="s">
        <v>2369</v>
      </c>
    </row>
    <row r="6778" spans="2:9" hidden="1" x14ac:dyDescent="0.4">
      <c r="B6778" s="8" t="s">
        <v>517</v>
      </c>
      <c r="C6778" s="3" t="s">
        <v>11189</v>
      </c>
      <c r="D6778" s="3" t="s">
        <v>11325</v>
      </c>
      <c r="E6778" s="3" t="s">
        <v>1272</v>
      </c>
      <c r="F6778" s="3" t="s">
        <v>399</v>
      </c>
      <c r="I6778" s="3" t="s">
        <v>2369</v>
      </c>
    </row>
    <row r="6779" spans="2:9" hidden="1" x14ac:dyDescent="0.4">
      <c r="B6779" s="8" t="s">
        <v>517</v>
      </c>
      <c r="C6779" s="3" t="s">
        <v>11190</v>
      </c>
      <c r="D6779" s="3" t="s">
        <v>11326</v>
      </c>
      <c r="E6779" s="3" t="s">
        <v>1272</v>
      </c>
      <c r="F6779" s="3" t="s">
        <v>399</v>
      </c>
      <c r="I6779" s="3" t="s">
        <v>2369</v>
      </c>
    </row>
    <row r="6780" spans="2:9" hidden="1" x14ac:dyDescent="0.4">
      <c r="B6780" s="8" t="s">
        <v>517</v>
      </c>
      <c r="C6780" s="3" t="s">
        <v>11191</v>
      </c>
      <c r="D6780" s="3" t="s">
        <v>11327</v>
      </c>
      <c r="E6780" s="3" t="s">
        <v>1272</v>
      </c>
      <c r="F6780" s="3" t="s">
        <v>399</v>
      </c>
      <c r="I6780" s="3" t="s">
        <v>2369</v>
      </c>
    </row>
    <row r="6781" spans="2:9" hidden="1" x14ac:dyDescent="0.4">
      <c r="B6781" s="8" t="s">
        <v>517</v>
      </c>
      <c r="C6781" s="3" t="s">
        <v>11192</v>
      </c>
      <c r="D6781" s="3" t="s">
        <v>11328</v>
      </c>
      <c r="E6781" s="3" t="s">
        <v>1272</v>
      </c>
      <c r="F6781" s="3" t="s">
        <v>399</v>
      </c>
      <c r="I6781" s="3" t="s">
        <v>2369</v>
      </c>
    </row>
    <row r="6782" spans="2:9" hidden="1" x14ac:dyDescent="0.4">
      <c r="B6782" s="8" t="s">
        <v>517</v>
      </c>
      <c r="C6782" s="3" t="s">
        <v>11193</v>
      </c>
      <c r="D6782" s="3" t="s">
        <v>11329</v>
      </c>
      <c r="E6782" s="3" t="s">
        <v>1272</v>
      </c>
      <c r="F6782" s="3" t="s">
        <v>399</v>
      </c>
      <c r="I6782" s="3" t="s">
        <v>2369</v>
      </c>
    </row>
    <row r="6783" spans="2:9" hidden="1" x14ac:dyDescent="0.4">
      <c r="B6783" s="8" t="s">
        <v>517</v>
      </c>
      <c r="C6783" s="3" t="s">
        <v>11194</v>
      </c>
      <c r="D6783" s="3" t="s">
        <v>11330</v>
      </c>
      <c r="E6783" s="3" t="s">
        <v>1272</v>
      </c>
      <c r="F6783" s="3" t="s">
        <v>399</v>
      </c>
      <c r="I6783" s="3" t="s">
        <v>2369</v>
      </c>
    </row>
    <row r="6784" spans="2:9" hidden="1" x14ac:dyDescent="0.4">
      <c r="B6784" s="8" t="s">
        <v>517</v>
      </c>
      <c r="C6784" s="3" t="s">
        <v>11195</v>
      </c>
      <c r="D6784" s="3" t="s">
        <v>11330</v>
      </c>
      <c r="E6784" s="3" t="s">
        <v>1272</v>
      </c>
      <c r="F6784" s="3" t="s">
        <v>399</v>
      </c>
      <c r="I6784" s="3" t="s">
        <v>2369</v>
      </c>
    </row>
    <row r="6785" spans="2:9" hidden="1" x14ac:dyDescent="0.4">
      <c r="D6785" s="3" t="s">
        <v>11331</v>
      </c>
      <c r="E6785" s="3" t="s">
        <v>1272</v>
      </c>
      <c r="F6785" s="3" t="s">
        <v>399</v>
      </c>
      <c r="I6785" s="3" t="s">
        <v>2369</v>
      </c>
    </row>
    <row r="6786" spans="2:9" hidden="1" x14ac:dyDescent="0.4">
      <c r="D6786" s="3" t="s">
        <v>11332</v>
      </c>
      <c r="E6786" s="3" t="s">
        <v>1272</v>
      </c>
      <c r="F6786" s="3" t="s">
        <v>399</v>
      </c>
      <c r="I6786" s="3" t="s">
        <v>2369</v>
      </c>
    </row>
    <row r="6787" spans="2:9" hidden="1" x14ac:dyDescent="0.4">
      <c r="B6787" s="8" t="s">
        <v>517</v>
      </c>
      <c r="C6787" s="3" t="s">
        <v>11196</v>
      </c>
      <c r="D6787" s="3" t="s">
        <v>11333</v>
      </c>
      <c r="E6787" s="3" t="s">
        <v>1272</v>
      </c>
      <c r="F6787" s="3" t="s">
        <v>399</v>
      </c>
      <c r="I6787" s="3" t="s">
        <v>2369</v>
      </c>
    </row>
    <row r="6788" spans="2:9" hidden="1" x14ac:dyDescent="0.4">
      <c r="B6788" s="8" t="s">
        <v>9736</v>
      </c>
      <c r="C6788" s="3" t="s">
        <v>11197</v>
      </c>
      <c r="D6788" s="3" t="s">
        <v>11333</v>
      </c>
      <c r="E6788" s="3" t="s">
        <v>1272</v>
      </c>
      <c r="F6788" s="3" t="s">
        <v>399</v>
      </c>
      <c r="I6788" s="3" t="s">
        <v>2369</v>
      </c>
    </row>
    <row r="6789" spans="2:9" hidden="1" x14ac:dyDescent="0.4">
      <c r="B6789" s="8" t="s">
        <v>517</v>
      </c>
      <c r="C6789" s="3" t="s">
        <v>11198</v>
      </c>
      <c r="D6789" s="3" t="s">
        <v>11334</v>
      </c>
      <c r="E6789" s="3" t="s">
        <v>1272</v>
      </c>
      <c r="F6789" s="3" t="s">
        <v>399</v>
      </c>
      <c r="I6789" s="3" t="s">
        <v>2369</v>
      </c>
    </row>
    <row r="6790" spans="2:9" hidden="1" x14ac:dyDescent="0.4">
      <c r="B6790" s="8" t="s">
        <v>517</v>
      </c>
      <c r="C6790" s="3" t="s">
        <v>11199</v>
      </c>
      <c r="D6790" s="3" t="s">
        <v>11335</v>
      </c>
      <c r="E6790" s="3" t="s">
        <v>1272</v>
      </c>
      <c r="F6790" s="3" t="s">
        <v>399</v>
      </c>
      <c r="I6790" s="3" t="s">
        <v>2369</v>
      </c>
    </row>
    <row r="6791" spans="2:9" hidden="1" x14ac:dyDescent="0.4">
      <c r="B6791" s="8" t="s">
        <v>9736</v>
      </c>
      <c r="C6791" s="3" t="s">
        <v>11200</v>
      </c>
      <c r="D6791" s="3" t="s">
        <v>11335</v>
      </c>
      <c r="E6791" s="3" t="s">
        <v>1272</v>
      </c>
      <c r="F6791" s="3" t="s">
        <v>399</v>
      </c>
      <c r="I6791" s="3" t="s">
        <v>2369</v>
      </c>
    </row>
    <row r="6792" spans="2:9" hidden="1" x14ac:dyDescent="0.4">
      <c r="B6792" s="8" t="s">
        <v>517</v>
      </c>
      <c r="C6792" s="3" t="s">
        <v>11201</v>
      </c>
      <c r="D6792" s="3" t="s">
        <v>11336</v>
      </c>
      <c r="E6792" s="3" t="s">
        <v>1272</v>
      </c>
      <c r="F6792" s="3" t="s">
        <v>399</v>
      </c>
      <c r="I6792" s="3" t="s">
        <v>2369</v>
      </c>
    </row>
    <row r="6793" spans="2:9" hidden="1" x14ac:dyDescent="0.4">
      <c r="B6793" s="8" t="s">
        <v>518</v>
      </c>
      <c r="C6793" s="3" t="s">
        <v>11202</v>
      </c>
      <c r="D6793" s="3" t="s">
        <v>11337</v>
      </c>
      <c r="E6793" s="3" t="s">
        <v>1272</v>
      </c>
      <c r="F6793" s="3" t="s">
        <v>399</v>
      </c>
      <c r="I6793" s="3" t="s">
        <v>2369</v>
      </c>
    </row>
    <row r="6794" spans="2:9" hidden="1" x14ac:dyDescent="0.4">
      <c r="D6794" s="3" t="s">
        <v>11338</v>
      </c>
      <c r="E6794" s="3" t="s">
        <v>1272</v>
      </c>
      <c r="F6794" s="3" t="s">
        <v>399</v>
      </c>
      <c r="I6794" s="3" t="s">
        <v>2369</v>
      </c>
    </row>
    <row r="6795" spans="2:9" hidden="1" x14ac:dyDescent="0.4">
      <c r="D6795" s="3" t="s">
        <v>11339</v>
      </c>
      <c r="E6795" s="3" t="s">
        <v>1272</v>
      </c>
      <c r="F6795" s="3" t="s">
        <v>399</v>
      </c>
      <c r="I6795" s="3" t="s">
        <v>2369</v>
      </c>
    </row>
    <row r="6796" spans="2:9" hidden="1" x14ac:dyDescent="0.4">
      <c r="B6796" s="8" t="s">
        <v>517</v>
      </c>
      <c r="C6796" s="3" t="s">
        <v>11203</v>
      </c>
      <c r="D6796" s="3" t="s">
        <v>11340</v>
      </c>
      <c r="E6796" s="3" t="s">
        <v>1272</v>
      </c>
      <c r="F6796" s="3" t="s">
        <v>399</v>
      </c>
      <c r="I6796" s="3" t="s">
        <v>2369</v>
      </c>
    </row>
    <row r="6797" spans="2:9" hidden="1" x14ac:dyDescent="0.4">
      <c r="B6797" s="8" t="s">
        <v>517</v>
      </c>
      <c r="C6797" s="3" t="s">
        <v>11204</v>
      </c>
      <c r="D6797" s="3" t="s">
        <v>11340</v>
      </c>
      <c r="E6797" s="3" t="s">
        <v>1272</v>
      </c>
      <c r="F6797" s="3" t="s">
        <v>399</v>
      </c>
      <c r="I6797" s="3" t="s">
        <v>2369</v>
      </c>
    </row>
    <row r="6798" spans="2:9" hidden="1" x14ac:dyDescent="0.4">
      <c r="B6798" s="8" t="s">
        <v>6731</v>
      </c>
      <c r="C6798" s="3" t="s">
        <v>11205</v>
      </c>
      <c r="D6798" s="3" t="s">
        <v>11341</v>
      </c>
      <c r="E6798" s="3" t="s">
        <v>1272</v>
      </c>
      <c r="F6798" s="3" t="s">
        <v>399</v>
      </c>
      <c r="I6798" s="3" t="s">
        <v>2369</v>
      </c>
    </row>
    <row r="6799" spans="2:9" hidden="1" x14ac:dyDescent="0.4">
      <c r="B6799" s="8" t="s">
        <v>517</v>
      </c>
      <c r="C6799" s="3" t="s">
        <v>11206</v>
      </c>
      <c r="D6799" s="3" t="s">
        <v>11451</v>
      </c>
      <c r="E6799" s="3" t="s">
        <v>1272</v>
      </c>
      <c r="F6799" s="3" t="s">
        <v>399</v>
      </c>
      <c r="I6799" s="3" t="s">
        <v>2369</v>
      </c>
    </row>
    <row r="6800" spans="2:9" hidden="1" x14ac:dyDescent="0.4">
      <c r="D6800" s="3" t="s">
        <v>11452</v>
      </c>
      <c r="E6800" s="3" t="s">
        <v>1272</v>
      </c>
      <c r="F6800" s="3" t="s">
        <v>399</v>
      </c>
      <c r="I6800" s="3" t="s">
        <v>2369</v>
      </c>
    </row>
    <row r="6801" spans="2:9" hidden="1" x14ac:dyDescent="0.4">
      <c r="D6801" s="3" t="s">
        <v>11453</v>
      </c>
      <c r="E6801" s="3" t="s">
        <v>1272</v>
      </c>
      <c r="F6801" s="3" t="s">
        <v>399</v>
      </c>
      <c r="I6801" s="3" t="s">
        <v>2369</v>
      </c>
    </row>
    <row r="6802" spans="2:9" hidden="1" x14ac:dyDescent="0.4">
      <c r="D6802" s="3" t="s">
        <v>11454</v>
      </c>
      <c r="E6802" s="3" t="s">
        <v>1272</v>
      </c>
      <c r="F6802" s="3" t="s">
        <v>399</v>
      </c>
      <c r="I6802" s="3" t="s">
        <v>2369</v>
      </c>
    </row>
    <row r="6803" spans="2:9" hidden="1" x14ac:dyDescent="0.4">
      <c r="D6803" s="3" t="s">
        <v>11456</v>
      </c>
      <c r="E6803" s="3" t="s">
        <v>1272</v>
      </c>
      <c r="F6803" s="3" t="s">
        <v>399</v>
      </c>
      <c r="I6803" s="3" t="s">
        <v>2369</v>
      </c>
    </row>
    <row r="6804" spans="2:9" hidden="1" x14ac:dyDescent="0.4">
      <c r="B6804" s="8" t="s">
        <v>517</v>
      </c>
      <c r="C6804" s="3" t="s">
        <v>11207</v>
      </c>
      <c r="D6804" s="3" t="s">
        <v>11342</v>
      </c>
      <c r="E6804" s="3" t="s">
        <v>1272</v>
      </c>
      <c r="F6804" s="3" t="s">
        <v>399</v>
      </c>
      <c r="I6804" s="3" t="s">
        <v>2369</v>
      </c>
    </row>
    <row r="6805" spans="2:9" hidden="1" x14ac:dyDescent="0.4">
      <c r="B6805" s="8" t="s">
        <v>516</v>
      </c>
      <c r="C6805" s="3" t="s">
        <v>11208</v>
      </c>
      <c r="D6805" s="3" t="s">
        <v>11343</v>
      </c>
      <c r="E6805" s="3" t="s">
        <v>1272</v>
      </c>
      <c r="F6805" s="3" t="s">
        <v>399</v>
      </c>
      <c r="I6805" s="3" t="s">
        <v>2369</v>
      </c>
    </row>
    <row r="6806" spans="2:9" hidden="1" x14ac:dyDescent="0.4">
      <c r="B6806" s="8" t="s">
        <v>4061</v>
      </c>
      <c r="C6806" s="3" t="s">
        <v>11209</v>
      </c>
      <c r="D6806" s="3" t="s">
        <v>11343</v>
      </c>
      <c r="E6806" s="3" t="s">
        <v>1272</v>
      </c>
      <c r="F6806" s="3" t="s">
        <v>399</v>
      </c>
      <c r="I6806" s="3" t="s">
        <v>2369</v>
      </c>
    </row>
    <row r="6807" spans="2:9" hidden="1" x14ac:dyDescent="0.4">
      <c r="B6807" s="8" t="s">
        <v>6734</v>
      </c>
      <c r="C6807" s="3" t="s">
        <v>11210</v>
      </c>
      <c r="D6807" s="3" t="s">
        <v>11344</v>
      </c>
      <c r="E6807" s="3" t="s">
        <v>1272</v>
      </c>
      <c r="F6807" s="3" t="s">
        <v>399</v>
      </c>
      <c r="I6807" s="3" t="s">
        <v>2369</v>
      </c>
    </row>
    <row r="6808" spans="2:9" hidden="1" x14ac:dyDescent="0.4">
      <c r="D6808" s="3" t="s">
        <v>11345</v>
      </c>
      <c r="E6808" s="3" t="s">
        <v>1272</v>
      </c>
      <c r="F6808" s="3" t="s">
        <v>399</v>
      </c>
      <c r="I6808" s="3" t="s">
        <v>2369</v>
      </c>
    </row>
    <row r="6809" spans="2:9" hidden="1" x14ac:dyDescent="0.4">
      <c r="B6809" s="8" t="s">
        <v>512</v>
      </c>
      <c r="C6809" s="3" t="s">
        <v>11211</v>
      </c>
      <c r="D6809" s="3" t="s">
        <v>11346</v>
      </c>
      <c r="E6809" s="3" t="s">
        <v>1272</v>
      </c>
      <c r="F6809" s="3" t="s">
        <v>399</v>
      </c>
      <c r="I6809" s="3" t="s">
        <v>2369</v>
      </c>
    </row>
    <row r="6810" spans="2:9" hidden="1" x14ac:dyDescent="0.4">
      <c r="B6810" s="8" t="s">
        <v>6736</v>
      </c>
      <c r="C6810" s="3" t="s">
        <v>11212</v>
      </c>
      <c r="D6810" s="3" t="s">
        <v>11347</v>
      </c>
      <c r="E6810" s="3" t="s">
        <v>1272</v>
      </c>
      <c r="F6810" s="3" t="s">
        <v>399</v>
      </c>
      <c r="I6810" s="3" t="s">
        <v>2369</v>
      </c>
    </row>
    <row r="6811" spans="2:9" hidden="1" x14ac:dyDescent="0.4">
      <c r="D6811" s="3" t="s">
        <v>11348</v>
      </c>
      <c r="E6811" s="3" t="s">
        <v>1272</v>
      </c>
      <c r="F6811" s="3" t="s">
        <v>399</v>
      </c>
      <c r="I6811" s="3" t="s">
        <v>2369</v>
      </c>
    </row>
    <row r="6812" spans="2:9" hidden="1" x14ac:dyDescent="0.4">
      <c r="B6812" s="8" t="s">
        <v>517</v>
      </c>
      <c r="C6812" s="3" t="s">
        <v>11213</v>
      </c>
      <c r="D6812" s="3" t="s">
        <v>11349</v>
      </c>
      <c r="E6812" s="3" t="s">
        <v>1272</v>
      </c>
      <c r="F6812" s="3" t="s">
        <v>399</v>
      </c>
      <c r="I6812" s="3" t="s">
        <v>2369</v>
      </c>
    </row>
    <row r="6813" spans="2:9" hidden="1" x14ac:dyDescent="0.4">
      <c r="B6813" s="8" t="s">
        <v>517</v>
      </c>
      <c r="C6813" s="3" t="s">
        <v>11214</v>
      </c>
      <c r="D6813" s="3" t="s">
        <v>11350</v>
      </c>
      <c r="E6813" s="3" t="s">
        <v>1272</v>
      </c>
      <c r="F6813" s="3" t="s">
        <v>399</v>
      </c>
      <c r="I6813" s="3" t="s">
        <v>2369</v>
      </c>
    </row>
    <row r="6814" spans="2:9" hidden="1" x14ac:dyDescent="0.4">
      <c r="D6814" s="3" t="s">
        <v>11351</v>
      </c>
      <c r="E6814" s="3" t="s">
        <v>1272</v>
      </c>
      <c r="F6814" s="3" t="s">
        <v>399</v>
      </c>
      <c r="I6814" s="3" t="s">
        <v>2369</v>
      </c>
    </row>
    <row r="6815" spans="2:9" ht="29.25" hidden="1" x14ac:dyDescent="0.4">
      <c r="B6815" s="8" t="s">
        <v>12204</v>
      </c>
      <c r="C6815" s="3" t="s">
        <v>11216</v>
      </c>
      <c r="D6815" s="3" t="s">
        <v>11352</v>
      </c>
      <c r="E6815" s="3" t="s">
        <v>1272</v>
      </c>
      <c r="F6815" s="3" t="s">
        <v>399</v>
      </c>
      <c r="I6815" s="3" t="s">
        <v>2369</v>
      </c>
    </row>
    <row r="6816" spans="2:9" hidden="1" x14ac:dyDescent="0.4">
      <c r="B6816" s="8" t="s">
        <v>517</v>
      </c>
      <c r="C6816" s="3" t="s">
        <v>11217</v>
      </c>
      <c r="D6816" s="3" t="s">
        <v>11353</v>
      </c>
      <c r="E6816" s="3" t="s">
        <v>1272</v>
      </c>
      <c r="F6816" s="3" t="s">
        <v>399</v>
      </c>
      <c r="I6816" s="3" t="s">
        <v>2369</v>
      </c>
    </row>
    <row r="6817" spans="2:9" ht="29.25" hidden="1" x14ac:dyDescent="0.4">
      <c r="B6817" s="8" t="s">
        <v>12192</v>
      </c>
      <c r="C6817" s="3" t="s">
        <v>11218</v>
      </c>
      <c r="D6817" s="3" t="s">
        <v>11354</v>
      </c>
      <c r="E6817" s="3" t="s">
        <v>1272</v>
      </c>
      <c r="F6817" s="3" t="s">
        <v>399</v>
      </c>
      <c r="I6817" s="3" t="s">
        <v>2369</v>
      </c>
    </row>
    <row r="6818" spans="2:9" hidden="1" x14ac:dyDescent="0.4">
      <c r="D6818" s="3" t="s">
        <v>11355</v>
      </c>
      <c r="E6818" s="3" t="s">
        <v>1272</v>
      </c>
      <c r="F6818" s="3" t="s">
        <v>399</v>
      </c>
      <c r="I6818" s="3" t="s">
        <v>2369</v>
      </c>
    </row>
    <row r="6819" spans="2:9" hidden="1" x14ac:dyDescent="0.4">
      <c r="B6819" s="8" t="s">
        <v>7793</v>
      </c>
      <c r="C6819" s="3" t="s">
        <v>11219</v>
      </c>
      <c r="D6819" s="3" t="s">
        <v>11356</v>
      </c>
      <c r="E6819" s="3" t="s">
        <v>1272</v>
      </c>
      <c r="F6819" s="3" t="s">
        <v>399</v>
      </c>
      <c r="I6819" s="3" t="s">
        <v>2369</v>
      </c>
    </row>
    <row r="6820" spans="2:9" hidden="1" x14ac:dyDescent="0.4">
      <c r="B6820" s="8" t="s">
        <v>6739</v>
      </c>
      <c r="C6820" s="3" t="s">
        <v>11220</v>
      </c>
      <c r="D6820" s="3" t="s">
        <v>11357</v>
      </c>
      <c r="E6820" s="3" t="s">
        <v>1272</v>
      </c>
      <c r="F6820" s="3" t="s">
        <v>399</v>
      </c>
      <c r="I6820" s="3" t="s">
        <v>2369</v>
      </c>
    </row>
    <row r="6821" spans="2:9" hidden="1" x14ac:dyDescent="0.4">
      <c r="B6821" s="8" t="s">
        <v>529</v>
      </c>
      <c r="C6821" s="3" t="s">
        <v>11221</v>
      </c>
      <c r="D6821" s="3" t="s">
        <v>11358</v>
      </c>
      <c r="E6821" s="3" t="s">
        <v>1272</v>
      </c>
      <c r="F6821" s="3" t="s">
        <v>399</v>
      </c>
      <c r="I6821" s="3" t="s">
        <v>2369</v>
      </c>
    </row>
    <row r="6822" spans="2:9" hidden="1" x14ac:dyDescent="0.4">
      <c r="B6822" s="8" t="s">
        <v>529</v>
      </c>
      <c r="C6822" s="3" t="s">
        <v>11222</v>
      </c>
      <c r="D6822" s="3" t="s">
        <v>11359</v>
      </c>
      <c r="E6822" s="3" t="s">
        <v>1272</v>
      </c>
      <c r="F6822" s="3" t="s">
        <v>399</v>
      </c>
      <c r="I6822" s="3" t="s">
        <v>2369</v>
      </c>
    </row>
    <row r="6823" spans="2:9" hidden="1" x14ac:dyDescent="0.4">
      <c r="B6823" s="8" t="s">
        <v>517</v>
      </c>
      <c r="C6823" s="3" t="s">
        <v>11223</v>
      </c>
      <c r="D6823" s="3" t="s">
        <v>11360</v>
      </c>
      <c r="E6823" s="3" t="s">
        <v>1272</v>
      </c>
      <c r="F6823" s="3" t="s">
        <v>399</v>
      </c>
      <c r="I6823" s="3" t="s">
        <v>2369</v>
      </c>
    </row>
    <row r="6824" spans="2:9" hidden="1" x14ac:dyDescent="0.4">
      <c r="B6824" s="8" t="s">
        <v>517</v>
      </c>
      <c r="C6824" s="3" t="s">
        <v>11224</v>
      </c>
      <c r="D6824" s="3" t="s">
        <v>11361</v>
      </c>
      <c r="E6824" s="3" t="s">
        <v>1272</v>
      </c>
      <c r="F6824" s="3" t="s">
        <v>399</v>
      </c>
      <c r="I6824" s="3" t="s">
        <v>2369</v>
      </c>
    </row>
    <row r="6825" spans="2:9" hidden="1" x14ac:dyDescent="0.4">
      <c r="B6825" s="8" t="s">
        <v>517</v>
      </c>
      <c r="C6825" s="3" t="s">
        <v>11225</v>
      </c>
      <c r="D6825" s="3" t="s">
        <v>11362</v>
      </c>
      <c r="E6825" s="3" t="s">
        <v>1272</v>
      </c>
      <c r="F6825" s="3" t="s">
        <v>399</v>
      </c>
      <c r="I6825" s="3" t="s">
        <v>2369</v>
      </c>
    </row>
    <row r="6826" spans="2:9" hidden="1" x14ac:dyDescent="0.4">
      <c r="D6826" s="3" t="s">
        <v>11363</v>
      </c>
      <c r="E6826" s="3" t="s">
        <v>1272</v>
      </c>
      <c r="F6826" s="3" t="s">
        <v>399</v>
      </c>
      <c r="I6826" s="3" t="s">
        <v>2369</v>
      </c>
    </row>
    <row r="6827" spans="2:9" hidden="1" x14ac:dyDescent="0.4">
      <c r="D6827" s="3" t="s">
        <v>11364</v>
      </c>
      <c r="E6827" s="3" t="s">
        <v>1272</v>
      </c>
      <c r="F6827" s="3" t="s">
        <v>399</v>
      </c>
      <c r="I6827" s="3" t="s">
        <v>1317</v>
      </c>
    </row>
    <row r="6828" spans="2:9" hidden="1" x14ac:dyDescent="0.4">
      <c r="D6828" s="3" t="s">
        <v>11365</v>
      </c>
      <c r="E6828" s="3" t="s">
        <v>1272</v>
      </c>
      <c r="F6828" s="3" t="s">
        <v>399</v>
      </c>
      <c r="I6828" s="3" t="s">
        <v>1317</v>
      </c>
    </row>
    <row r="6829" spans="2:9" hidden="1" x14ac:dyDescent="0.4">
      <c r="D6829" s="3" t="s">
        <v>11366</v>
      </c>
      <c r="E6829" s="3" t="s">
        <v>1272</v>
      </c>
      <c r="F6829" s="3" t="s">
        <v>399</v>
      </c>
      <c r="I6829" s="3" t="s">
        <v>1317</v>
      </c>
    </row>
    <row r="6830" spans="2:9" hidden="1" x14ac:dyDescent="0.4">
      <c r="D6830" s="3" t="s">
        <v>11367</v>
      </c>
      <c r="E6830" s="3" t="s">
        <v>1272</v>
      </c>
      <c r="F6830" s="3" t="s">
        <v>399</v>
      </c>
      <c r="I6830" s="3" t="s">
        <v>1317</v>
      </c>
    </row>
    <row r="6831" spans="2:9" hidden="1" x14ac:dyDescent="0.4">
      <c r="B6831" s="8" t="s">
        <v>10879</v>
      </c>
      <c r="C6831" s="3" t="s">
        <v>11226</v>
      </c>
      <c r="D6831" s="3" t="s">
        <v>11368</v>
      </c>
      <c r="E6831" s="3" t="s">
        <v>1272</v>
      </c>
      <c r="F6831" s="3" t="s">
        <v>399</v>
      </c>
      <c r="I6831" s="3" t="s">
        <v>1317</v>
      </c>
    </row>
    <row r="6832" spans="2:9" hidden="1" x14ac:dyDescent="0.4">
      <c r="D6832" s="3" t="s">
        <v>11369</v>
      </c>
      <c r="E6832" s="3" t="s">
        <v>1272</v>
      </c>
      <c r="F6832" s="3" t="s">
        <v>399</v>
      </c>
      <c r="I6832" s="3" t="s">
        <v>2369</v>
      </c>
    </row>
    <row r="6833" spans="2:9" hidden="1" x14ac:dyDescent="0.4">
      <c r="D6833" s="3" t="s">
        <v>11370</v>
      </c>
      <c r="E6833" s="3" t="s">
        <v>1272</v>
      </c>
      <c r="F6833" s="3" t="s">
        <v>399</v>
      </c>
      <c r="I6833" s="3" t="s">
        <v>2369</v>
      </c>
    </row>
    <row r="6834" spans="2:9" hidden="1" x14ac:dyDescent="0.4">
      <c r="D6834" s="3" t="s">
        <v>11371</v>
      </c>
      <c r="E6834" s="3" t="s">
        <v>1272</v>
      </c>
      <c r="F6834" s="3" t="s">
        <v>399</v>
      </c>
      <c r="I6834" s="3" t="s">
        <v>2369</v>
      </c>
    </row>
    <row r="6835" spans="2:9" hidden="1" x14ac:dyDescent="0.4">
      <c r="D6835" s="3" t="s">
        <v>11372</v>
      </c>
      <c r="E6835" s="3" t="s">
        <v>1272</v>
      </c>
      <c r="F6835" s="3" t="s">
        <v>399</v>
      </c>
      <c r="I6835" s="3" t="s">
        <v>2369</v>
      </c>
    </row>
    <row r="6836" spans="2:9" hidden="1" x14ac:dyDescent="0.4">
      <c r="B6836" s="8" t="s">
        <v>516</v>
      </c>
      <c r="C6836" s="3" t="s">
        <v>11227</v>
      </c>
      <c r="D6836" s="3" t="s">
        <v>11373</v>
      </c>
      <c r="E6836" s="3" t="s">
        <v>1272</v>
      </c>
      <c r="F6836" s="3" t="s">
        <v>399</v>
      </c>
      <c r="I6836" s="3" t="s">
        <v>2369</v>
      </c>
    </row>
    <row r="6837" spans="2:9" hidden="1" x14ac:dyDescent="0.4">
      <c r="D6837" s="3" t="s">
        <v>11374</v>
      </c>
      <c r="E6837" s="3" t="s">
        <v>1272</v>
      </c>
      <c r="F6837" s="3" t="s">
        <v>399</v>
      </c>
      <c r="I6837" s="3" t="s">
        <v>2369</v>
      </c>
    </row>
    <row r="6838" spans="2:9" hidden="1" x14ac:dyDescent="0.4">
      <c r="D6838" s="3" t="s">
        <v>11375</v>
      </c>
      <c r="E6838" s="3" t="s">
        <v>1272</v>
      </c>
      <c r="F6838" s="3" t="s">
        <v>399</v>
      </c>
      <c r="I6838" s="3" t="s">
        <v>2369</v>
      </c>
    </row>
    <row r="6839" spans="2:9" hidden="1" x14ac:dyDescent="0.4">
      <c r="D6839" s="3" t="s">
        <v>11376</v>
      </c>
      <c r="E6839" s="3" t="s">
        <v>1272</v>
      </c>
      <c r="F6839" s="3" t="s">
        <v>399</v>
      </c>
      <c r="I6839" s="3" t="s">
        <v>2369</v>
      </c>
    </row>
    <row r="6840" spans="2:9" hidden="1" x14ac:dyDescent="0.4">
      <c r="B6840" s="8" t="s">
        <v>12205</v>
      </c>
      <c r="C6840" s="3" t="s">
        <v>11215</v>
      </c>
      <c r="D6840" s="3" t="s">
        <v>11377</v>
      </c>
      <c r="E6840" s="3" t="s">
        <v>1272</v>
      </c>
      <c r="F6840" s="3" t="s">
        <v>399</v>
      </c>
      <c r="I6840" s="3" t="s">
        <v>2369</v>
      </c>
    </row>
    <row r="6841" spans="2:9" hidden="1" x14ac:dyDescent="0.4">
      <c r="B6841" s="8" t="s">
        <v>6736</v>
      </c>
      <c r="C6841" s="3" t="s">
        <v>11228</v>
      </c>
      <c r="D6841" s="3" t="s">
        <v>11378</v>
      </c>
      <c r="E6841" s="3" t="s">
        <v>1272</v>
      </c>
      <c r="F6841" s="3" t="s">
        <v>399</v>
      </c>
      <c r="I6841" s="3" t="s">
        <v>2369</v>
      </c>
    </row>
    <row r="6842" spans="2:9" hidden="1" x14ac:dyDescent="0.4">
      <c r="B6842" s="8" t="s">
        <v>518</v>
      </c>
      <c r="C6842" s="3" t="s">
        <v>6795</v>
      </c>
      <c r="D6842" s="3" t="s">
        <v>11379</v>
      </c>
      <c r="E6842" s="3" t="s">
        <v>1272</v>
      </c>
      <c r="F6842" s="3" t="s">
        <v>399</v>
      </c>
      <c r="I6842" s="3" t="s">
        <v>2369</v>
      </c>
    </row>
    <row r="6843" spans="2:9" hidden="1" x14ac:dyDescent="0.4">
      <c r="D6843" s="3" t="s">
        <v>11380</v>
      </c>
      <c r="E6843" s="3" t="s">
        <v>1272</v>
      </c>
      <c r="F6843" s="3" t="s">
        <v>399</v>
      </c>
      <c r="I6843" s="3" t="s">
        <v>2369</v>
      </c>
    </row>
    <row r="6844" spans="2:9" hidden="1" x14ac:dyDescent="0.4">
      <c r="B6844" s="8" t="s">
        <v>6733</v>
      </c>
      <c r="C6844" s="3" t="s">
        <v>11229</v>
      </c>
      <c r="D6844" s="3" t="s">
        <v>11381</v>
      </c>
      <c r="E6844" s="3" t="s">
        <v>1272</v>
      </c>
      <c r="F6844" s="3" t="s">
        <v>399</v>
      </c>
      <c r="I6844" s="3" t="s">
        <v>2369</v>
      </c>
    </row>
    <row r="6845" spans="2:9" hidden="1" x14ac:dyDescent="0.4">
      <c r="B6845" s="8" t="s">
        <v>517</v>
      </c>
      <c r="C6845" s="3" t="s">
        <v>11230</v>
      </c>
      <c r="D6845" s="3" t="s">
        <v>11382</v>
      </c>
      <c r="E6845" s="3" t="s">
        <v>1272</v>
      </c>
      <c r="F6845" s="3" t="s">
        <v>399</v>
      </c>
      <c r="I6845" s="3" t="s">
        <v>2369</v>
      </c>
    </row>
    <row r="6846" spans="2:9" hidden="1" x14ac:dyDescent="0.4">
      <c r="B6846" s="8" t="s">
        <v>517</v>
      </c>
      <c r="C6846" s="3" t="s">
        <v>11231</v>
      </c>
      <c r="D6846" s="3" t="s">
        <v>11383</v>
      </c>
      <c r="E6846" s="3" t="s">
        <v>1272</v>
      </c>
      <c r="F6846" s="3" t="s">
        <v>399</v>
      </c>
      <c r="I6846" s="3" t="s">
        <v>2369</v>
      </c>
    </row>
    <row r="6847" spans="2:9" hidden="1" x14ac:dyDescent="0.4">
      <c r="D6847" s="3" t="s">
        <v>11384</v>
      </c>
      <c r="E6847" s="3" t="s">
        <v>1272</v>
      </c>
      <c r="F6847" s="3" t="s">
        <v>399</v>
      </c>
      <c r="I6847" s="3" t="s">
        <v>2369</v>
      </c>
    </row>
    <row r="6848" spans="2:9" hidden="1" x14ac:dyDescent="0.4">
      <c r="B6848" s="8" t="s">
        <v>520</v>
      </c>
      <c r="C6848" s="3" t="s">
        <v>11232</v>
      </c>
      <c r="D6848" s="3" t="s">
        <v>11385</v>
      </c>
      <c r="E6848" s="3" t="s">
        <v>1272</v>
      </c>
      <c r="F6848" s="3" t="s">
        <v>399</v>
      </c>
      <c r="I6848" s="3" t="s">
        <v>2369</v>
      </c>
    </row>
    <row r="6849" spans="2:9" hidden="1" x14ac:dyDescent="0.4">
      <c r="B6849" s="8" t="s">
        <v>518</v>
      </c>
      <c r="C6849" s="3" t="s">
        <v>11233</v>
      </c>
      <c r="D6849" s="3" t="s">
        <v>11386</v>
      </c>
      <c r="E6849" s="3" t="s">
        <v>1272</v>
      </c>
      <c r="F6849" s="3" t="s">
        <v>399</v>
      </c>
      <c r="I6849" s="3" t="s">
        <v>2369</v>
      </c>
    </row>
    <row r="6850" spans="2:9" hidden="1" x14ac:dyDescent="0.4">
      <c r="B6850" s="8" t="s">
        <v>517</v>
      </c>
      <c r="C6850" s="3" t="s">
        <v>11234</v>
      </c>
      <c r="D6850" s="3" t="s">
        <v>11387</v>
      </c>
      <c r="E6850" s="3" t="s">
        <v>1272</v>
      </c>
      <c r="F6850" s="3" t="s">
        <v>399</v>
      </c>
      <c r="I6850" s="3" t="s">
        <v>2369</v>
      </c>
    </row>
    <row r="6851" spans="2:9" hidden="1" x14ac:dyDescent="0.4">
      <c r="B6851" s="8" t="s">
        <v>517</v>
      </c>
      <c r="C6851" s="3" t="s">
        <v>11235</v>
      </c>
      <c r="D6851" s="3" t="s">
        <v>11388</v>
      </c>
      <c r="E6851" s="3" t="s">
        <v>1272</v>
      </c>
      <c r="F6851" s="3" t="s">
        <v>399</v>
      </c>
      <c r="I6851" s="3" t="s">
        <v>2369</v>
      </c>
    </row>
    <row r="6852" spans="2:9" hidden="1" x14ac:dyDescent="0.4">
      <c r="B6852" s="8" t="s">
        <v>6734</v>
      </c>
      <c r="C6852" s="3" t="s">
        <v>11236</v>
      </c>
      <c r="D6852" s="3" t="s">
        <v>11389</v>
      </c>
      <c r="E6852" s="3" t="s">
        <v>1272</v>
      </c>
      <c r="F6852" s="3" t="s">
        <v>399</v>
      </c>
      <c r="I6852" s="3" t="s">
        <v>2369</v>
      </c>
    </row>
    <row r="6853" spans="2:9" hidden="1" x14ac:dyDescent="0.4">
      <c r="D6853" s="3" t="s">
        <v>11390</v>
      </c>
      <c r="E6853" s="3" t="s">
        <v>1272</v>
      </c>
      <c r="F6853" s="3" t="s">
        <v>399</v>
      </c>
      <c r="I6853" s="3" t="s">
        <v>2369</v>
      </c>
    </row>
    <row r="6854" spans="2:9" hidden="1" x14ac:dyDescent="0.4">
      <c r="D6854" s="3" t="s">
        <v>11391</v>
      </c>
      <c r="E6854" s="3" t="s">
        <v>1272</v>
      </c>
      <c r="F6854" s="3" t="s">
        <v>399</v>
      </c>
      <c r="I6854" s="3" t="s">
        <v>2369</v>
      </c>
    </row>
    <row r="6855" spans="2:9" hidden="1" x14ac:dyDescent="0.4">
      <c r="B6855" s="8" t="s">
        <v>529</v>
      </c>
      <c r="C6855" s="3" t="s">
        <v>11237</v>
      </c>
      <c r="D6855" s="3" t="s">
        <v>11392</v>
      </c>
      <c r="E6855" s="3" t="s">
        <v>1272</v>
      </c>
      <c r="F6855" s="3" t="s">
        <v>399</v>
      </c>
      <c r="I6855" s="3" t="s">
        <v>2369</v>
      </c>
    </row>
    <row r="6856" spans="2:9" hidden="1" x14ac:dyDescent="0.4">
      <c r="B6856" s="8" t="s">
        <v>517</v>
      </c>
      <c r="C6856" s="3" t="s">
        <v>11238</v>
      </c>
      <c r="D6856" s="3" t="s">
        <v>11393</v>
      </c>
      <c r="E6856" s="3" t="s">
        <v>1272</v>
      </c>
      <c r="F6856" s="3" t="s">
        <v>399</v>
      </c>
      <c r="I6856" s="3" t="s">
        <v>2369</v>
      </c>
    </row>
    <row r="6857" spans="2:9" hidden="1" x14ac:dyDescent="0.4">
      <c r="B6857" s="8" t="s">
        <v>532</v>
      </c>
      <c r="C6857" s="3" t="s">
        <v>11239</v>
      </c>
      <c r="D6857" s="3" t="s">
        <v>11394</v>
      </c>
      <c r="E6857" s="3" t="s">
        <v>1272</v>
      </c>
      <c r="F6857" s="3" t="s">
        <v>399</v>
      </c>
      <c r="I6857" s="3" t="s">
        <v>2369</v>
      </c>
    </row>
    <row r="6858" spans="2:9" hidden="1" x14ac:dyDescent="0.4">
      <c r="B6858" s="8" t="s">
        <v>1658</v>
      </c>
      <c r="C6858" s="3" t="s">
        <v>11240</v>
      </c>
      <c r="D6858" s="3" t="s">
        <v>11395</v>
      </c>
      <c r="E6858" s="3" t="s">
        <v>1272</v>
      </c>
      <c r="F6858" s="3" t="s">
        <v>399</v>
      </c>
      <c r="I6858" s="3" t="s">
        <v>2369</v>
      </c>
    </row>
    <row r="6859" spans="2:9" hidden="1" x14ac:dyDescent="0.4">
      <c r="B6859" s="8" t="s">
        <v>515</v>
      </c>
      <c r="C6859" s="3" t="s">
        <v>11241</v>
      </c>
      <c r="D6859" s="3" t="s">
        <v>11396</v>
      </c>
      <c r="E6859" s="3" t="s">
        <v>1272</v>
      </c>
      <c r="F6859" s="3" t="s">
        <v>399</v>
      </c>
      <c r="I6859" s="3" t="s">
        <v>2369</v>
      </c>
    </row>
    <row r="6860" spans="2:9" hidden="1" x14ac:dyDescent="0.4">
      <c r="B6860" s="8" t="s">
        <v>517</v>
      </c>
      <c r="C6860" s="3" t="s">
        <v>11242</v>
      </c>
      <c r="D6860" s="3" t="s">
        <v>11397</v>
      </c>
      <c r="E6860" s="3" t="s">
        <v>1272</v>
      </c>
      <c r="F6860" s="3" t="s">
        <v>399</v>
      </c>
      <c r="I6860" s="3" t="s">
        <v>2369</v>
      </c>
    </row>
    <row r="6861" spans="2:9" hidden="1" x14ac:dyDescent="0.4">
      <c r="B6861" s="8" t="s">
        <v>517</v>
      </c>
      <c r="C6861" s="3" t="s">
        <v>11243</v>
      </c>
      <c r="D6861" s="3" t="s">
        <v>11398</v>
      </c>
      <c r="E6861" s="3" t="s">
        <v>1272</v>
      </c>
      <c r="F6861" s="3" t="s">
        <v>399</v>
      </c>
      <c r="I6861" s="3" t="s">
        <v>2369</v>
      </c>
    </row>
    <row r="6862" spans="2:9" hidden="1" x14ac:dyDescent="0.4">
      <c r="D6862" s="3" t="s">
        <v>11399</v>
      </c>
      <c r="E6862" s="3" t="s">
        <v>1272</v>
      </c>
      <c r="F6862" s="3" t="s">
        <v>399</v>
      </c>
      <c r="I6862" s="3" t="s">
        <v>2369</v>
      </c>
    </row>
    <row r="6863" spans="2:9" hidden="1" x14ac:dyDescent="0.4">
      <c r="B6863" s="8" t="s">
        <v>517</v>
      </c>
      <c r="C6863" s="3" t="s">
        <v>11244</v>
      </c>
      <c r="D6863" s="3" t="s">
        <v>11400</v>
      </c>
      <c r="E6863" s="3" t="s">
        <v>1272</v>
      </c>
      <c r="F6863" s="3" t="s">
        <v>399</v>
      </c>
      <c r="I6863" s="3" t="s">
        <v>2369</v>
      </c>
    </row>
    <row r="6864" spans="2:9" hidden="1" x14ac:dyDescent="0.4">
      <c r="B6864" s="8" t="s">
        <v>526</v>
      </c>
      <c r="C6864" s="3" t="s">
        <v>11245</v>
      </c>
      <c r="D6864" s="3" t="s">
        <v>11401</v>
      </c>
      <c r="E6864" s="3" t="s">
        <v>1272</v>
      </c>
      <c r="F6864" s="3" t="s">
        <v>399</v>
      </c>
      <c r="I6864" s="3" t="s">
        <v>2369</v>
      </c>
    </row>
    <row r="6865" spans="2:9" hidden="1" x14ac:dyDescent="0.4">
      <c r="D6865" s="3" t="s">
        <v>11402</v>
      </c>
      <c r="E6865" s="3" t="s">
        <v>1272</v>
      </c>
      <c r="F6865" s="3" t="s">
        <v>399</v>
      </c>
      <c r="I6865" s="3" t="s">
        <v>2369</v>
      </c>
    </row>
    <row r="6866" spans="2:9" hidden="1" x14ac:dyDescent="0.4">
      <c r="B6866" s="8" t="s">
        <v>520</v>
      </c>
      <c r="C6866" s="3" t="s">
        <v>11246</v>
      </c>
      <c r="D6866" s="3" t="s">
        <v>11403</v>
      </c>
      <c r="E6866" s="3" t="s">
        <v>1272</v>
      </c>
      <c r="F6866" s="3" t="s">
        <v>399</v>
      </c>
      <c r="I6866" s="3" t="s">
        <v>2369</v>
      </c>
    </row>
    <row r="6867" spans="2:9" hidden="1" x14ac:dyDescent="0.4">
      <c r="B6867" s="8" t="s">
        <v>517</v>
      </c>
      <c r="C6867" s="3" t="s">
        <v>11247</v>
      </c>
      <c r="D6867" s="3" t="s">
        <v>11404</v>
      </c>
      <c r="E6867" s="3" t="s">
        <v>1272</v>
      </c>
      <c r="F6867" s="3" t="s">
        <v>399</v>
      </c>
      <c r="I6867" s="3" t="s">
        <v>2369</v>
      </c>
    </row>
    <row r="6868" spans="2:9" hidden="1" x14ac:dyDescent="0.4">
      <c r="B6868" s="8" t="s">
        <v>518</v>
      </c>
      <c r="C6868" s="3" t="s">
        <v>2211</v>
      </c>
      <c r="D6868" s="3" t="s">
        <v>11405</v>
      </c>
      <c r="E6868" s="3" t="s">
        <v>1272</v>
      </c>
      <c r="F6868" s="3" t="s">
        <v>399</v>
      </c>
      <c r="I6868" s="3" t="s">
        <v>2369</v>
      </c>
    </row>
    <row r="6869" spans="2:9" hidden="1" x14ac:dyDescent="0.4">
      <c r="B6869" s="8" t="s">
        <v>517</v>
      </c>
      <c r="C6869" s="3" t="s">
        <v>7674</v>
      </c>
      <c r="D6869" s="3" t="s">
        <v>11406</v>
      </c>
      <c r="E6869" s="3" t="s">
        <v>1272</v>
      </c>
      <c r="F6869" s="3" t="s">
        <v>399</v>
      </c>
      <c r="I6869" s="3" t="s">
        <v>2369</v>
      </c>
    </row>
    <row r="6870" spans="2:9" hidden="1" x14ac:dyDescent="0.4">
      <c r="B6870" s="8" t="s">
        <v>517</v>
      </c>
      <c r="C6870" s="3" t="s">
        <v>11450</v>
      </c>
      <c r="D6870" s="3" t="s">
        <v>11406</v>
      </c>
      <c r="E6870" s="3" t="s">
        <v>1272</v>
      </c>
      <c r="F6870" s="3" t="s">
        <v>399</v>
      </c>
      <c r="I6870" s="3" t="s">
        <v>2369</v>
      </c>
    </row>
    <row r="6871" spans="2:9" hidden="1" x14ac:dyDescent="0.4">
      <c r="B6871" s="8" t="s">
        <v>517</v>
      </c>
      <c r="C6871" s="3" t="s">
        <v>11248</v>
      </c>
      <c r="D6871" s="3" t="s">
        <v>11406</v>
      </c>
      <c r="E6871" s="3" t="s">
        <v>1272</v>
      </c>
      <c r="F6871" s="3" t="s">
        <v>399</v>
      </c>
      <c r="I6871" s="3" t="s">
        <v>2369</v>
      </c>
    </row>
    <row r="6872" spans="2:9" hidden="1" x14ac:dyDescent="0.4">
      <c r="B6872" s="8" t="s">
        <v>517</v>
      </c>
      <c r="C6872" s="3" t="s">
        <v>11249</v>
      </c>
      <c r="D6872" s="3" t="s">
        <v>11406</v>
      </c>
      <c r="E6872" s="3" t="s">
        <v>1272</v>
      </c>
      <c r="F6872" s="3" t="s">
        <v>399</v>
      </c>
      <c r="I6872" s="3" t="s">
        <v>2369</v>
      </c>
    </row>
    <row r="6873" spans="2:9" hidden="1" x14ac:dyDescent="0.4">
      <c r="D6873" s="3" t="s">
        <v>11407</v>
      </c>
      <c r="E6873" s="3" t="s">
        <v>1272</v>
      </c>
      <c r="F6873" s="3" t="s">
        <v>399</v>
      </c>
      <c r="I6873" s="3" t="s">
        <v>2369</v>
      </c>
    </row>
    <row r="6874" spans="2:9" hidden="1" x14ac:dyDescent="0.4">
      <c r="D6874" s="3" t="s">
        <v>11408</v>
      </c>
      <c r="E6874" s="3" t="s">
        <v>1272</v>
      </c>
      <c r="F6874" s="3" t="s">
        <v>399</v>
      </c>
      <c r="I6874" s="3" t="s">
        <v>2369</v>
      </c>
    </row>
    <row r="6875" spans="2:9" hidden="1" x14ac:dyDescent="0.4">
      <c r="D6875" s="3" t="s">
        <v>11409</v>
      </c>
      <c r="E6875" s="3" t="s">
        <v>1272</v>
      </c>
      <c r="F6875" s="3" t="s">
        <v>399</v>
      </c>
      <c r="I6875" s="3" t="s">
        <v>2369</v>
      </c>
    </row>
    <row r="6876" spans="2:9" hidden="1" x14ac:dyDescent="0.4">
      <c r="D6876" s="3" t="s">
        <v>11410</v>
      </c>
      <c r="E6876" s="3" t="s">
        <v>1272</v>
      </c>
      <c r="F6876" s="3" t="s">
        <v>399</v>
      </c>
      <c r="I6876" s="3" t="s">
        <v>2369</v>
      </c>
    </row>
    <row r="6877" spans="2:9" hidden="1" x14ac:dyDescent="0.4">
      <c r="D6877" s="3" t="s">
        <v>11411</v>
      </c>
      <c r="E6877" s="3" t="s">
        <v>1272</v>
      </c>
      <c r="F6877" s="3" t="s">
        <v>399</v>
      </c>
      <c r="I6877" s="3" t="s">
        <v>2369</v>
      </c>
    </row>
    <row r="6878" spans="2:9" hidden="1" x14ac:dyDescent="0.4">
      <c r="D6878" s="3" t="s">
        <v>11412</v>
      </c>
      <c r="E6878" s="3" t="s">
        <v>1272</v>
      </c>
      <c r="F6878" s="3" t="s">
        <v>399</v>
      </c>
      <c r="I6878" s="3" t="s">
        <v>2369</v>
      </c>
    </row>
    <row r="6879" spans="2:9" hidden="1" x14ac:dyDescent="0.4">
      <c r="D6879" s="3" t="s">
        <v>11413</v>
      </c>
      <c r="E6879" s="3" t="s">
        <v>1272</v>
      </c>
      <c r="F6879" s="3" t="s">
        <v>399</v>
      </c>
      <c r="I6879" s="3" t="s">
        <v>2369</v>
      </c>
    </row>
    <row r="6880" spans="2:9" hidden="1" x14ac:dyDescent="0.4">
      <c r="B6880" s="8" t="s">
        <v>518</v>
      </c>
      <c r="C6880" s="3" t="s">
        <v>11250</v>
      </c>
      <c r="D6880" s="3" t="s">
        <v>11414</v>
      </c>
      <c r="E6880" s="3" t="s">
        <v>1272</v>
      </c>
      <c r="F6880" s="3" t="s">
        <v>399</v>
      </c>
      <c r="I6880" s="3" t="s">
        <v>2369</v>
      </c>
    </row>
    <row r="6881" spans="2:9" hidden="1" x14ac:dyDescent="0.4">
      <c r="B6881" s="8" t="s">
        <v>526</v>
      </c>
      <c r="C6881" s="3" t="s">
        <v>11251</v>
      </c>
      <c r="D6881" s="3" t="s">
        <v>11415</v>
      </c>
      <c r="E6881" s="3" t="s">
        <v>1272</v>
      </c>
      <c r="F6881" s="3" t="s">
        <v>399</v>
      </c>
      <c r="I6881" s="3" t="s">
        <v>2369</v>
      </c>
    </row>
    <row r="6882" spans="2:9" hidden="1" x14ac:dyDescent="0.4">
      <c r="D6882" s="3" t="s">
        <v>11416</v>
      </c>
      <c r="E6882" s="3" t="s">
        <v>1272</v>
      </c>
      <c r="F6882" s="3" t="s">
        <v>399</v>
      </c>
      <c r="I6882" s="3" t="s">
        <v>2369</v>
      </c>
    </row>
    <row r="6883" spans="2:9" hidden="1" x14ac:dyDescent="0.4">
      <c r="D6883" s="3" t="s">
        <v>11417</v>
      </c>
      <c r="E6883" s="3" t="s">
        <v>1272</v>
      </c>
      <c r="F6883" s="3" t="s">
        <v>399</v>
      </c>
      <c r="I6883" s="3" t="s">
        <v>2369</v>
      </c>
    </row>
    <row r="6884" spans="2:9" hidden="1" x14ac:dyDescent="0.4">
      <c r="D6884" s="3" t="s">
        <v>11418</v>
      </c>
      <c r="E6884" s="3" t="s">
        <v>1272</v>
      </c>
      <c r="F6884" s="3" t="s">
        <v>399</v>
      </c>
      <c r="I6884" s="3" t="s">
        <v>2369</v>
      </c>
    </row>
    <row r="6885" spans="2:9" hidden="1" x14ac:dyDescent="0.4">
      <c r="D6885" s="3" t="s">
        <v>11419</v>
      </c>
      <c r="E6885" s="3" t="s">
        <v>1272</v>
      </c>
      <c r="F6885" s="3" t="s">
        <v>399</v>
      </c>
      <c r="I6885" s="3" t="s">
        <v>2369</v>
      </c>
    </row>
    <row r="6886" spans="2:9" hidden="1" x14ac:dyDescent="0.4">
      <c r="D6886" s="3" t="s">
        <v>11420</v>
      </c>
      <c r="E6886" s="3" t="s">
        <v>1272</v>
      </c>
      <c r="F6886" s="3" t="s">
        <v>399</v>
      </c>
      <c r="I6886" s="3" t="s">
        <v>2369</v>
      </c>
    </row>
    <row r="6887" spans="2:9" hidden="1" x14ac:dyDescent="0.4">
      <c r="B6887" s="8" t="s">
        <v>517</v>
      </c>
      <c r="C6887" s="3" t="s">
        <v>7658</v>
      </c>
      <c r="D6887" s="3" t="s">
        <v>11421</v>
      </c>
      <c r="E6887" s="3" t="s">
        <v>1272</v>
      </c>
      <c r="F6887" s="3" t="s">
        <v>399</v>
      </c>
      <c r="I6887" s="3" t="s">
        <v>2369</v>
      </c>
    </row>
    <row r="6888" spans="2:9" hidden="1" x14ac:dyDescent="0.4">
      <c r="D6888" s="3" t="s">
        <v>11422</v>
      </c>
      <c r="E6888" s="3" t="s">
        <v>1272</v>
      </c>
      <c r="F6888" s="3" t="s">
        <v>399</v>
      </c>
      <c r="I6888" s="3" t="s">
        <v>2369</v>
      </c>
    </row>
    <row r="6889" spans="2:9" hidden="1" x14ac:dyDescent="0.4">
      <c r="D6889" s="3" t="s">
        <v>11423</v>
      </c>
      <c r="E6889" s="3" t="s">
        <v>1272</v>
      </c>
      <c r="F6889" s="3" t="s">
        <v>399</v>
      </c>
      <c r="I6889" s="3" t="s">
        <v>2369</v>
      </c>
    </row>
    <row r="6890" spans="2:9" hidden="1" x14ac:dyDescent="0.4">
      <c r="B6890" s="8" t="s">
        <v>517</v>
      </c>
      <c r="C6890" s="3" t="s">
        <v>7659</v>
      </c>
      <c r="D6890" s="3" t="s">
        <v>11424</v>
      </c>
      <c r="E6890" s="3" t="s">
        <v>1272</v>
      </c>
      <c r="F6890" s="3" t="s">
        <v>399</v>
      </c>
      <c r="I6890" s="3" t="s">
        <v>2369</v>
      </c>
    </row>
    <row r="6891" spans="2:9" hidden="1" x14ac:dyDescent="0.4">
      <c r="B6891" s="8" t="s">
        <v>517</v>
      </c>
      <c r="C6891" s="3" t="s">
        <v>11252</v>
      </c>
      <c r="D6891" s="3" t="s">
        <v>11425</v>
      </c>
      <c r="E6891" s="3" t="s">
        <v>1272</v>
      </c>
      <c r="F6891" s="3" t="s">
        <v>399</v>
      </c>
      <c r="I6891" s="3" t="s">
        <v>2369</v>
      </c>
    </row>
    <row r="6892" spans="2:9" hidden="1" x14ac:dyDescent="0.4">
      <c r="D6892" s="3" t="s">
        <v>11426</v>
      </c>
      <c r="E6892" s="3" t="s">
        <v>1272</v>
      </c>
      <c r="F6892" s="3" t="s">
        <v>399</v>
      </c>
      <c r="I6892" s="3" t="s">
        <v>2369</v>
      </c>
    </row>
    <row r="6893" spans="2:9" hidden="1" x14ac:dyDescent="0.4">
      <c r="D6893" s="3" t="s">
        <v>11427</v>
      </c>
      <c r="E6893" s="3" t="s">
        <v>1272</v>
      </c>
      <c r="F6893" s="3" t="s">
        <v>399</v>
      </c>
      <c r="I6893" s="3" t="s">
        <v>2369</v>
      </c>
    </row>
    <row r="6894" spans="2:9" hidden="1" x14ac:dyDescent="0.4">
      <c r="D6894" s="3" t="s">
        <v>11428</v>
      </c>
      <c r="E6894" s="3" t="s">
        <v>1272</v>
      </c>
      <c r="F6894" s="3" t="s">
        <v>399</v>
      </c>
      <c r="I6894" s="3" t="s">
        <v>2369</v>
      </c>
    </row>
    <row r="6895" spans="2:9" hidden="1" x14ac:dyDescent="0.4">
      <c r="D6895" s="3" t="s">
        <v>11429</v>
      </c>
      <c r="E6895" s="3" t="s">
        <v>1272</v>
      </c>
      <c r="F6895" s="3" t="s">
        <v>399</v>
      </c>
      <c r="I6895" s="3" t="s">
        <v>2369</v>
      </c>
    </row>
    <row r="6896" spans="2:9" hidden="1" x14ac:dyDescent="0.4">
      <c r="B6896" s="8" t="s">
        <v>532</v>
      </c>
      <c r="C6896" s="3" t="s">
        <v>11253</v>
      </c>
      <c r="D6896" s="3" t="s">
        <v>11430</v>
      </c>
      <c r="E6896" s="3" t="s">
        <v>1272</v>
      </c>
      <c r="F6896" s="3" t="s">
        <v>399</v>
      </c>
      <c r="I6896" s="3" t="s">
        <v>2369</v>
      </c>
    </row>
    <row r="6897" spans="2:9" hidden="1" x14ac:dyDescent="0.4">
      <c r="B6897" s="8" t="s">
        <v>532</v>
      </c>
      <c r="C6897" s="3" t="s">
        <v>11254</v>
      </c>
      <c r="D6897" s="3" t="s">
        <v>11430</v>
      </c>
      <c r="E6897" s="3" t="s">
        <v>1272</v>
      </c>
      <c r="F6897" s="3" t="s">
        <v>399</v>
      </c>
      <c r="I6897" s="3" t="s">
        <v>2369</v>
      </c>
    </row>
    <row r="6898" spans="2:9" hidden="1" x14ac:dyDescent="0.4">
      <c r="D6898" s="3" t="s">
        <v>11431</v>
      </c>
      <c r="E6898" s="3" t="s">
        <v>1272</v>
      </c>
      <c r="F6898" s="3" t="s">
        <v>399</v>
      </c>
      <c r="I6898" s="3" t="s">
        <v>2369</v>
      </c>
    </row>
    <row r="6899" spans="2:9" hidden="1" x14ac:dyDescent="0.4">
      <c r="D6899" s="3" t="s">
        <v>11432</v>
      </c>
      <c r="E6899" s="3" t="s">
        <v>1272</v>
      </c>
      <c r="F6899" s="3" t="s">
        <v>399</v>
      </c>
      <c r="I6899" s="3" t="s">
        <v>2369</v>
      </c>
    </row>
    <row r="6900" spans="2:9" hidden="1" x14ac:dyDescent="0.4">
      <c r="D6900" s="3" t="s">
        <v>11433</v>
      </c>
      <c r="E6900" s="3" t="s">
        <v>1272</v>
      </c>
      <c r="F6900" s="3" t="s">
        <v>399</v>
      </c>
      <c r="I6900" s="3" t="s">
        <v>2369</v>
      </c>
    </row>
    <row r="6901" spans="2:9" hidden="1" x14ac:dyDescent="0.4">
      <c r="D6901" s="3" t="s">
        <v>11434</v>
      </c>
      <c r="E6901" s="3" t="s">
        <v>1272</v>
      </c>
      <c r="F6901" s="3" t="s">
        <v>399</v>
      </c>
      <c r="I6901" s="3" t="s">
        <v>2369</v>
      </c>
    </row>
    <row r="6902" spans="2:9" hidden="1" x14ac:dyDescent="0.4">
      <c r="D6902" s="3" t="s">
        <v>11435</v>
      </c>
      <c r="E6902" s="3" t="s">
        <v>1272</v>
      </c>
      <c r="F6902" s="3" t="s">
        <v>399</v>
      </c>
      <c r="I6902" s="3" t="s">
        <v>2369</v>
      </c>
    </row>
    <row r="6903" spans="2:9" hidden="1" x14ac:dyDescent="0.4">
      <c r="D6903" s="3" t="s">
        <v>11436</v>
      </c>
      <c r="E6903" s="3" t="s">
        <v>1272</v>
      </c>
      <c r="F6903" s="3" t="s">
        <v>399</v>
      </c>
      <c r="I6903" s="3" t="s">
        <v>2369</v>
      </c>
    </row>
    <row r="6904" spans="2:9" hidden="1" x14ac:dyDescent="0.4">
      <c r="B6904" s="8" t="s">
        <v>517</v>
      </c>
      <c r="C6904" s="3" t="s">
        <v>11255</v>
      </c>
      <c r="D6904" s="3" t="s">
        <v>11437</v>
      </c>
      <c r="E6904" s="3" t="s">
        <v>1272</v>
      </c>
      <c r="F6904" s="3" t="s">
        <v>399</v>
      </c>
      <c r="I6904" s="3" t="s">
        <v>2369</v>
      </c>
    </row>
    <row r="6905" spans="2:9" hidden="1" x14ac:dyDescent="0.4">
      <c r="D6905" s="3" t="s">
        <v>11438</v>
      </c>
      <c r="E6905" s="3" t="s">
        <v>1272</v>
      </c>
      <c r="F6905" s="3" t="s">
        <v>399</v>
      </c>
      <c r="I6905" s="3" t="s">
        <v>2369</v>
      </c>
    </row>
    <row r="6906" spans="2:9" hidden="1" x14ac:dyDescent="0.4">
      <c r="D6906" s="3" t="s">
        <v>11439</v>
      </c>
      <c r="E6906" s="3" t="s">
        <v>1272</v>
      </c>
      <c r="F6906" s="3" t="s">
        <v>399</v>
      </c>
      <c r="I6906" s="3" t="s">
        <v>2369</v>
      </c>
    </row>
    <row r="6907" spans="2:9" hidden="1" x14ac:dyDescent="0.4">
      <c r="D6907" s="3" t="s">
        <v>11440</v>
      </c>
      <c r="E6907" s="3" t="s">
        <v>1272</v>
      </c>
      <c r="F6907" s="3" t="s">
        <v>399</v>
      </c>
      <c r="I6907" s="3" t="s">
        <v>2369</v>
      </c>
    </row>
    <row r="6908" spans="2:9" hidden="1" x14ac:dyDescent="0.4">
      <c r="B6908" s="8" t="s">
        <v>515</v>
      </c>
      <c r="C6908" s="3" t="s">
        <v>11256</v>
      </c>
      <c r="D6908" s="3" t="s">
        <v>11441</v>
      </c>
      <c r="E6908" s="3" t="s">
        <v>1272</v>
      </c>
      <c r="F6908" s="3" t="s">
        <v>399</v>
      </c>
      <c r="I6908" s="3" t="s">
        <v>2369</v>
      </c>
    </row>
    <row r="6909" spans="2:9" hidden="1" x14ac:dyDescent="0.4">
      <c r="B6909" s="8" t="s">
        <v>518</v>
      </c>
      <c r="C6909" s="3" t="s">
        <v>11257</v>
      </c>
      <c r="D6909" s="3" t="s">
        <v>11442</v>
      </c>
      <c r="E6909" s="3" t="s">
        <v>1272</v>
      </c>
      <c r="F6909" s="3" t="s">
        <v>399</v>
      </c>
      <c r="I6909" s="3" t="s">
        <v>2369</v>
      </c>
    </row>
    <row r="6910" spans="2:9" hidden="1" x14ac:dyDescent="0.4">
      <c r="B6910" s="8" t="s">
        <v>517</v>
      </c>
      <c r="C6910" s="3" t="s">
        <v>11258</v>
      </c>
      <c r="D6910" s="3" t="s">
        <v>11442</v>
      </c>
      <c r="E6910" s="3" t="s">
        <v>1272</v>
      </c>
      <c r="F6910" s="3" t="s">
        <v>399</v>
      </c>
      <c r="I6910" s="3" t="s">
        <v>2369</v>
      </c>
    </row>
    <row r="6911" spans="2:9" hidden="1" x14ac:dyDescent="0.4">
      <c r="B6911" s="8" t="s">
        <v>526</v>
      </c>
      <c r="C6911" s="3" t="s">
        <v>11259</v>
      </c>
      <c r="D6911" s="3" t="s">
        <v>11443</v>
      </c>
      <c r="E6911" s="3" t="s">
        <v>1272</v>
      </c>
      <c r="F6911" s="3" t="s">
        <v>399</v>
      </c>
      <c r="I6911" s="3" t="s">
        <v>2369</v>
      </c>
    </row>
    <row r="6912" spans="2:9" hidden="1" x14ac:dyDescent="0.4">
      <c r="B6912" s="8" t="s">
        <v>518</v>
      </c>
      <c r="C6912" s="3" t="s">
        <v>11260</v>
      </c>
      <c r="D6912" s="3" t="s">
        <v>11443</v>
      </c>
      <c r="E6912" s="3" t="s">
        <v>1272</v>
      </c>
      <c r="F6912" s="3" t="s">
        <v>399</v>
      </c>
      <c r="I6912" s="3" t="s">
        <v>2369</v>
      </c>
    </row>
    <row r="6913" spans="2:9" hidden="1" x14ac:dyDescent="0.4">
      <c r="B6913" s="8" t="s">
        <v>526</v>
      </c>
      <c r="C6913" s="3" t="s">
        <v>11261</v>
      </c>
      <c r="D6913" s="3" t="s">
        <v>11444</v>
      </c>
      <c r="E6913" s="3" t="s">
        <v>1272</v>
      </c>
      <c r="F6913" s="3" t="s">
        <v>399</v>
      </c>
      <c r="I6913" s="3" t="s">
        <v>2369</v>
      </c>
    </row>
    <row r="6914" spans="2:9" hidden="1" x14ac:dyDescent="0.4">
      <c r="D6914" s="3" t="s">
        <v>11445</v>
      </c>
      <c r="E6914" s="3" t="s">
        <v>1272</v>
      </c>
      <c r="F6914" s="3" t="s">
        <v>399</v>
      </c>
      <c r="I6914" s="3" t="s">
        <v>2369</v>
      </c>
    </row>
    <row r="6915" spans="2:9" hidden="1" x14ac:dyDescent="0.4">
      <c r="D6915" s="3" t="s">
        <v>11446</v>
      </c>
      <c r="E6915" s="3" t="s">
        <v>1272</v>
      </c>
      <c r="F6915" s="3" t="s">
        <v>399</v>
      </c>
      <c r="I6915" s="3" t="s">
        <v>2369</v>
      </c>
    </row>
    <row r="6916" spans="2:9" hidden="1" x14ac:dyDescent="0.4">
      <c r="D6916" s="3" t="s">
        <v>11447</v>
      </c>
      <c r="E6916" s="3" t="s">
        <v>1272</v>
      </c>
      <c r="F6916" s="3" t="s">
        <v>399</v>
      </c>
      <c r="I6916" s="3" t="s">
        <v>2369</v>
      </c>
    </row>
    <row r="6917" spans="2:9" hidden="1" x14ac:dyDescent="0.4">
      <c r="B6917" s="8" t="s">
        <v>517</v>
      </c>
      <c r="C6917" s="3" t="s">
        <v>11262</v>
      </c>
      <c r="D6917" s="3" t="s">
        <v>11448</v>
      </c>
      <c r="E6917" s="3" t="s">
        <v>1272</v>
      </c>
      <c r="F6917" s="3" t="s">
        <v>399</v>
      </c>
      <c r="I6917" s="3" t="s">
        <v>2369</v>
      </c>
    </row>
    <row r="6918" spans="2:9" hidden="1" x14ac:dyDescent="0.4">
      <c r="B6918" s="8" t="s">
        <v>518</v>
      </c>
      <c r="C6918" s="3" t="s">
        <v>11263</v>
      </c>
      <c r="D6918" s="3" t="s">
        <v>11449</v>
      </c>
      <c r="E6918" s="3" t="s">
        <v>1272</v>
      </c>
      <c r="F6918" s="3" t="s">
        <v>399</v>
      </c>
      <c r="I6918" s="3" t="s">
        <v>2369</v>
      </c>
    </row>
    <row r="6919" spans="2:9" hidden="1" x14ac:dyDescent="0.4">
      <c r="B6919" s="8" t="s">
        <v>517</v>
      </c>
      <c r="C6919" s="3" t="s">
        <v>11264</v>
      </c>
      <c r="D6919" s="3" t="s">
        <v>11457</v>
      </c>
      <c r="E6919" s="3" t="s">
        <v>1272</v>
      </c>
      <c r="F6919" s="3" t="s">
        <v>399</v>
      </c>
      <c r="I6919" s="3" t="s">
        <v>2369</v>
      </c>
    </row>
    <row r="6920" spans="2:9" hidden="1" x14ac:dyDescent="0.4">
      <c r="B6920" s="8" t="s">
        <v>518</v>
      </c>
      <c r="C6920" s="3" t="s">
        <v>11265</v>
      </c>
      <c r="D6920" s="3" t="s">
        <v>11458</v>
      </c>
      <c r="E6920" s="3" t="s">
        <v>1272</v>
      </c>
      <c r="F6920" s="3" t="s">
        <v>399</v>
      </c>
      <c r="I6920" s="3" t="s">
        <v>2369</v>
      </c>
    </row>
    <row r="6921" spans="2:9" hidden="1" x14ac:dyDescent="0.4">
      <c r="B6921" s="8" t="s">
        <v>520</v>
      </c>
      <c r="C6921" s="3" t="s">
        <v>11266</v>
      </c>
      <c r="D6921" s="3" t="s">
        <v>11459</v>
      </c>
      <c r="E6921" s="3" t="s">
        <v>1272</v>
      </c>
      <c r="F6921" s="3" t="s">
        <v>399</v>
      </c>
      <c r="I6921" s="3" t="s">
        <v>2369</v>
      </c>
    </row>
    <row r="6922" spans="2:9" hidden="1" x14ac:dyDescent="0.4">
      <c r="B6922" s="8" t="s">
        <v>6739</v>
      </c>
      <c r="C6922" s="3" t="s">
        <v>11267</v>
      </c>
      <c r="D6922" s="3" t="s">
        <v>11460</v>
      </c>
      <c r="E6922" s="3" t="s">
        <v>1272</v>
      </c>
      <c r="F6922" s="3" t="s">
        <v>399</v>
      </c>
      <c r="I6922" s="3" t="s">
        <v>2369</v>
      </c>
    </row>
    <row r="6923" spans="2:9" hidden="1" x14ac:dyDescent="0.4">
      <c r="D6923" s="3" t="s">
        <v>11461</v>
      </c>
      <c r="E6923" s="3" t="s">
        <v>1272</v>
      </c>
      <c r="F6923" s="3" t="s">
        <v>399</v>
      </c>
      <c r="I6923" s="3" t="s">
        <v>2369</v>
      </c>
    </row>
    <row r="6924" spans="2:9" hidden="1" x14ac:dyDescent="0.4">
      <c r="B6924" s="8" t="s">
        <v>517</v>
      </c>
      <c r="C6924" s="3" t="s">
        <v>11268</v>
      </c>
      <c r="D6924" s="3" t="s">
        <v>11462</v>
      </c>
      <c r="E6924" s="3" t="s">
        <v>1272</v>
      </c>
      <c r="F6924" s="3" t="s">
        <v>399</v>
      </c>
      <c r="I6924" s="3" t="s">
        <v>2369</v>
      </c>
    </row>
    <row r="6925" spans="2:9" hidden="1" x14ac:dyDescent="0.4">
      <c r="D6925" s="3" t="s">
        <v>11463</v>
      </c>
      <c r="E6925" s="3" t="s">
        <v>1272</v>
      </c>
      <c r="F6925" s="3" t="s">
        <v>399</v>
      </c>
      <c r="I6925" s="3" t="s">
        <v>2369</v>
      </c>
    </row>
    <row r="6926" spans="2:9" hidden="1" x14ac:dyDescent="0.4">
      <c r="D6926" s="3" t="s">
        <v>11464</v>
      </c>
      <c r="E6926" s="3" t="s">
        <v>1272</v>
      </c>
      <c r="F6926" s="3" t="s">
        <v>399</v>
      </c>
      <c r="I6926" s="3" t="s">
        <v>2369</v>
      </c>
    </row>
    <row r="6927" spans="2:9" hidden="1" x14ac:dyDescent="0.4">
      <c r="B6927" s="8" t="s">
        <v>6731</v>
      </c>
      <c r="C6927" s="3" t="s">
        <v>11269</v>
      </c>
      <c r="D6927" s="3" t="s">
        <v>11465</v>
      </c>
      <c r="E6927" s="3" t="s">
        <v>1272</v>
      </c>
      <c r="F6927" s="3" t="s">
        <v>399</v>
      </c>
      <c r="I6927" s="3" t="s">
        <v>2369</v>
      </c>
    </row>
    <row r="6928" spans="2:9" hidden="1" x14ac:dyDescent="0.4">
      <c r="B6928" s="8" t="s">
        <v>6737</v>
      </c>
      <c r="C6928" s="3" t="s">
        <v>11270</v>
      </c>
      <c r="D6928" s="3" t="s">
        <v>11623</v>
      </c>
      <c r="E6928" s="3" t="s">
        <v>1272</v>
      </c>
      <c r="F6928" s="3" t="s">
        <v>399</v>
      </c>
      <c r="I6928" s="3" t="s">
        <v>2369</v>
      </c>
    </row>
    <row r="6929" spans="2:9" hidden="1" x14ac:dyDescent="0.4">
      <c r="B6929" s="8" t="s">
        <v>529</v>
      </c>
      <c r="C6929" s="3" t="s">
        <v>11271</v>
      </c>
      <c r="D6929" s="3" t="s">
        <v>11466</v>
      </c>
      <c r="E6929" s="3" t="s">
        <v>1272</v>
      </c>
      <c r="F6929" s="3" t="s">
        <v>399</v>
      </c>
      <c r="I6929" s="3" t="s">
        <v>2369</v>
      </c>
    </row>
    <row r="6930" spans="2:9" hidden="1" x14ac:dyDescent="0.4">
      <c r="B6930" s="8" t="s">
        <v>529</v>
      </c>
      <c r="C6930" s="3" t="s">
        <v>11272</v>
      </c>
      <c r="D6930" s="3" t="s">
        <v>11467</v>
      </c>
      <c r="E6930" s="3" t="s">
        <v>1272</v>
      </c>
      <c r="F6930" s="3" t="s">
        <v>399</v>
      </c>
      <c r="I6930" s="3" t="s">
        <v>2369</v>
      </c>
    </row>
    <row r="6931" spans="2:9" hidden="1" x14ac:dyDescent="0.4">
      <c r="B6931" s="8" t="s">
        <v>517</v>
      </c>
      <c r="C6931" s="3" t="s">
        <v>11273</v>
      </c>
      <c r="D6931" s="3" t="s">
        <v>11468</v>
      </c>
      <c r="E6931" s="3" t="s">
        <v>1272</v>
      </c>
      <c r="F6931" s="3" t="s">
        <v>399</v>
      </c>
      <c r="I6931" s="3" t="s">
        <v>2369</v>
      </c>
    </row>
    <row r="6932" spans="2:9" hidden="1" x14ac:dyDescent="0.4">
      <c r="B6932" s="8" t="s">
        <v>529</v>
      </c>
      <c r="C6932" s="3" t="s">
        <v>11274</v>
      </c>
      <c r="D6932" s="3" t="s">
        <v>11469</v>
      </c>
      <c r="E6932" s="3" t="s">
        <v>1272</v>
      </c>
      <c r="F6932" s="3" t="s">
        <v>399</v>
      </c>
      <c r="I6932" s="3" t="s">
        <v>2369</v>
      </c>
    </row>
    <row r="6933" spans="2:9" hidden="1" x14ac:dyDescent="0.4">
      <c r="D6933" s="3" t="s">
        <v>11470</v>
      </c>
      <c r="E6933" s="3" t="s">
        <v>1272</v>
      </c>
      <c r="F6933" s="3" t="s">
        <v>399</v>
      </c>
      <c r="I6933" s="3" t="s">
        <v>2369</v>
      </c>
    </row>
    <row r="6934" spans="2:9" hidden="1" x14ac:dyDescent="0.4">
      <c r="B6934" s="8" t="s">
        <v>517</v>
      </c>
      <c r="C6934" s="3" t="s">
        <v>11275</v>
      </c>
      <c r="D6934" s="3" t="s">
        <v>11471</v>
      </c>
      <c r="E6934" s="3" t="s">
        <v>1272</v>
      </c>
      <c r="F6934" s="3" t="s">
        <v>399</v>
      </c>
      <c r="I6934" s="3" t="s">
        <v>2369</v>
      </c>
    </row>
    <row r="6935" spans="2:9" hidden="1" x14ac:dyDescent="0.4">
      <c r="B6935" s="8" t="s">
        <v>516</v>
      </c>
      <c r="C6935" s="3" t="s">
        <v>11276</v>
      </c>
      <c r="D6935" s="3" t="s">
        <v>11472</v>
      </c>
      <c r="E6935" s="3" t="s">
        <v>1272</v>
      </c>
      <c r="F6935" s="3" t="s">
        <v>399</v>
      </c>
      <c r="I6935" s="3" t="s">
        <v>2369</v>
      </c>
    </row>
    <row r="6936" spans="2:9" hidden="1" x14ac:dyDescent="0.4">
      <c r="B6936" s="8" t="s">
        <v>516</v>
      </c>
      <c r="C6936" s="3" t="s">
        <v>11277</v>
      </c>
      <c r="D6936" s="3" t="s">
        <v>11473</v>
      </c>
      <c r="E6936" s="3" t="s">
        <v>1272</v>
      </c>
      <c r="F6936" s="3" t="s">
        <v>399</v>
      </c>
      <c r="I6936" s="3" t="s">
        <v>2369</v>
      </c>
    </row>
    <row r="6937" spans="2:9" hidden="1" x14ac:dyDescent="0.4">
      <c r="B6937" s="8" t="s">
        <v>529</v>
      </c>
      <c r="C6937" s="3" t="s">
        <v>11278</v>
      </c>
      <c r="D6937" s="3" t="s">
        <v>11474</v>
      </c>
      <c r="E6937" s="3" t="s">
        <v>1272</v>
      </c>
      <c r="F6937" s="3" t="s">
        <v>399</v>
      </c>
      <c r="I6937" s="3" t="s">
        <v>2369</v>
      </c>
    </row>
    <row r="6938" spans="2:9" hidden="1" x14ac:dyDescent="0.4">
      <c r="B6938" s="8" t="s">
        <v>12206</v>
      </c>
      <c r="C6938" s="3" t="s">
        <v>11279</v>
      </c>
      <c r="D6938" s="3" t="s">
        <v>11474</v>
      </c>
      <c r="E6938" s="3" t="s">
        <v>1272</v>
      </c>
      <c r="F6938" s="3" t="s">
        <v>399</v>
      </c>
      <c r="I6938" s="3" t="s">
        <v>2369</v>
      </c>
    </row>
    <row r="6939" spans="2:9" hidden="1" x14ac:dyDescent="0.4">
      <c r="B6939" s="8" t="s">
        <v>519</v>
      </c>
      <c r="C6939" s="3" t="s">
        <v>11280</v>
      </c>
      <c r="D6939" s="3" t="s">
        <v>11068</v>
      </c>
      <c r="E6939" s="3" t="s">
        <v>1272</v>
      </c>
      <c r="F6939" s="3" t="s">
        <v>399</v>
      </c>
      <c r="I6939" s="3" t="s">
        <v>2369</v>
      </c>
    </row>
    <row r="6940" spans="2:9" hidden="1" x14ac:dyDescent="0.4">
      <c r="B6940" s="8" t="s">
        <v>517</v>
      </c>
      <c r="C6940" s="3" t="s">
        <v>11281</v>
      </c>
      <c r="D6940" s="3" t="s">
        <v>11475</v>
      </c>
      <c r="E6940" s="3" t="s">
        <v>1272</v>
      </c>
      <c r="F6940" s="3" t="s">
        <v>399</v>
      </c>
      <c r="I6940" s="3" t="s">
        <v>2369</v>
      </c>
    </row>
    <row r="6941" spans="2:9" hidden="1" x14ac:dyDescent="0.4">
      <c r="D6941" s="3" t="s">
        <v>11476</v>
      </c>
      <c r="E6941" s="3" t="s">
        <v>1272</v>
      </c>
      <c r="F6941" s="3" t="s">
        <v>399</v>
      </c>
      <c r="I6941" s="3" t="s">
        <v>2369</v>
      </c>
    </row>
    <row r="6942" spans="2:9" hidden="1" x14ac:dyDescent="0.4">
      <c r="B6942" s="8" t="s">
        <v>517</v>
      </c>
      <c r="C6942" s="3" t="s">
        <v>11282</v>
      </c>
      <c r="D6942" s="3" t="s">
        <v>11477</v>
      </c>
      <c r="E6942" s="3" t="s">
        <v>1272</v>
      </c>
      <c r="F6942" s="3" t="s">
        <v>399</v>
      </c>
      <c r="I6942" s="3" t="s">
        <v>2369</v>
      </c>
    </row>
    <row r="6943" spans="2:9" hidden="1" x14ac:dyDescent="0.4">
      <c r="D6943" s="3" t="s">
        <v>11478</v>
      </c>
      <c r="E6943" s="3" t="s">
        <v>1272</v>
      </c>
      <c r="F6943" s="3" t="s">
        <v>399</v>
      </c>
      <c r="I6943" s="3" t="s">
        <v>2369</v>
      </c>
    </row>
    <row r="6944" spans="2:9" hidden="1" x14ac:dyDescent="0.4">
      <c r="B6944" s="8" t="s">
        <v>6734</v>
      </c>
      <c r="C6944" s="3" t="s">
        <v>11283</v>
      </c>
      <c r="D6944" s="3" t="s">
        <v>11479</v>
      </c>
      <c r="E6944" s="3" t="s">
        <v>1272</v>
      </c>
      <c r="F6944" s="3" t="s">
        <v>399</v>
      </c>
      <c r="I6944" s="3" t="s">
        <v>2369</v>
      </c>
    </row>
    <row r="6945" spans="2:9" hidden="1" x14ac:dyDescent="0.4">
      <c r="B6945" s="8" t="s">
        <v>6734</v>
      </c>
      <c r="C6945" s="3" t="s">
        <v>11284</v>
      </c>
      <c r="D6945" s="3" t="s">
        <v>11480</v>
      </c>
      <c r="E6945" s="3" t="s">
        <v>1272</v>
      </c>
      <c r="F6945" s="3" t="s">
        <v>399</v>
      </c>
      <c r="I6945" s="3" t="s">
        <v>2369</v>
      </c>
    </row>
    <row r="6946" spans="2:9" hidden="1" x14ac:dyDescent="0.4">
      <c r="B6946" s="8" t="s">
        <v>6734</v>
      </c>
      <c r="C6946" s="3" t="s">
        <v>11285</v>
      </c>
      <c r="D6946" s="3" t="s">
        <v>11481</v>
      </c>
      <c r="E6946" s="3" t="s">
        <v>1272</v>
      </c>
      <c r="F6946" s="3" t="s">
        <v>399</v>
      </c>
      <c r="I6946" s="3" t="s">
        <v>2369</v>
      </c>
    </row>
    <row r="6947" spans="2:9" hidden="1" x14ac:dyDescent="0.4">
      <c r="B6947" s="8" t="s">
        <v>517</v>
      </c>
      <c r="C6947" s="3" t="s">
        <v>11286</v>
      </c>
      <c r="D6947" s="3" t="s">
        <v>11482</v>
      </c>
      <c r="E6947" s="3" t="s">
        <v>1272</v>
      </c>
      <c r="F6947" s="3" t="s">
        <v>399</v>
      </c>
      <c r="I6947" s="3" t="s">
        <v>2369</v>
      </c>
    </row>
    <row r="6948" spans="2:9" hidden="1" x14ac:dyDescent="0.4">
      <c r="B6948" s="8" t="s">
        <v>6731</v>
      </c>
      <c r="C6948" s="3" t="s">
        <v>11287</v>
      </c>
      <c r="D6948" s="3" t="s">
        <v>11483</v>
      </c>
      <c r="E6948" s="3" t="s">
        <v>1272</v>
      </c>
      <c r="F6948" s="3" t="s">
        <v>399</v>
      </c>
      <c r="I6948" s="3" t="s">
        <v>2369</v>
      </c>
    </row>
    <row r="6949" spans="2:9" hidden="1" x14ac:dyDescent="0.4">
      <c r="B6949" s="8" t="s">
        <v>518</v>
      </c>
      <c r="C6949" s="3" t="s">
        <v>11288</v>
      </c>
      <c r="D6949" s="3" t="s">
        <v>11484</v>
      </c>
      <c r="E6949" s="3" t="s">
        <v>1272</v>
      </c>
      <c r="F6949" s="3" t="s">
        <v>399</v>
      </c>
      <c r="I6949" s="3" t="s">
        <v>2369</v>
      </c>
    </row>
    <row r="6950" spans="2:9" hidden="1" x14ac:dyDescent="0.4">
      <c r="B6950" s="8" t="s">
        <v>517</v>
      </c>
      <c r="C6950" s="3" t="s">
        <v>11289</v>
      </c>
      <c r="D6950" s="3" t="s">
        <v>11485</v>
      </c>
      <c r="E6950" s="3" t="s">
        <v>1272</v>
      </c>
      <c r="F6950" s="3" t="s">
        <v>399</v>
      </c>
      <c r="I6950" s="3" t="s">
        <v>2369</v>
      </c>
    </row>
    <row r="6951" spans="2:9" hidden="1" x14ac:dyDescent="0.4">
      <c r="B6951" s="8" t="s">
        <v>517</v>
      </c>
      <c r="C6951" s="3" t="s">
        <v>11290</v>
      </c>
      <c r="D6951" s="3" t="s">
        <v>11486</v>
      </c>
      <c r="E6951" s="3" t="s">
        <v>1272</v>
      </c>
      <c r="F6951" s="3" t="s">
        <v>399</v>
      </c>
      <c r="I6951" s="3" t="s">
        <v>2369</v>
      </c>
    </row>
    <row r="6952" spans="2:9" hidden="1" x14ac:dyDescent="0.4">
      <c r="B6952" s="8" t="s">
        <v>531</v>
      </c>
      <c r="C6952" s="3" t="s">
        <v>11624</v>
      </c>
      <c r="D6952" s="3" t="s">
        <v>11487</v>
      </c>
      <c r="E6952" s="3" t="s">
        <v>1272</v>
      </c>
      <c r="F6952" s="3" t="s">
        <v>399</v>
      </c>
      <c r="I6952" s="3" t="s">
        <v>2369</v>
      </c>
    </row>
    <row r="6953" spans="2:9" hidden="1" x14ac:dyDescent="0.4">
      <c r="B6953" s="8" t="s">
        <v>6734</v>
      </c>
      <c r="C6953" s="3" t="s">
        <v>11291</v>
      </c>
      <c r="D6953" s="3" t="s">
        <v>11488</v>
      </c>
      <c r="E6953" s="3" t="s">
        <v>1272</v>
      </c>
      <c r="F6953" s="3" t="s">
        <v>399</v>
      </c>
      <c r="I6953" s="3" t="s">
        <v>2369</v>
      </c>
    </row>
    <row r="6954" spans="2:9" hidden="1" x14ac:dyDescent="0.4">
      <c r="B6954" s="8" t="s">
        <v>517</v>
      </c>
      <c r="C6954" s="3" t="s">
        <v>11292</v>
      </c>
      <c r="D6954" s="3" t="s">
        <v>11489</v>
      </c>
      <c r="E6954" s="3" t="s">
        <v>1272</v>
      </c>
      <c r="F6954" s="3" t="s">
        <v>399</v>
      </c>
      <c r="I6954" s="3" t="s">
        <v>2369</v>
      </c>
    </row>
    <row r="6955" spans="2:9" hidden="1" x14ac:dyDescent="0.4">
      <c r="B6955" s="8" t="s">
        <v>6731</v>
      </c>
      <c r="C6955" s="3" t="s">
        <v>11293</v>
      </c>
      <c r="D6955" s="3" t="s">
        <v>11490</v>
      </c>
      <c r="E6955" s="3" t="s">
        <v>1272</v>
      </c>
      <c r="F6955" s="3" t="s">
        <v>399</v>
      </c>
      <c r="I6955" s="3" t="s">
        <v>2369</v>
      </c>
    </row>
    <row r="6956" spans="2:9" hidden="1" x14ac:dyDescent="0.4">
      <c r="B6956" s="8" t="s">
        <v>6733</v>
      </c>
      <c r="C6956" s="3" t="s">
        <v>11294</v>
      </c>
      <c r="D6956" s="3" t="s">
        <v>11491</v>
      </c>
      <c r="E6956" s="3" t="s">
        <v>1272</v>
      </c>
      <c r="F6956" s="3" t="s">
        <v>399</v>
      </c>
      <c r="I6956" s="3" t="s">
        <v>2369</v>
      </c>
    </row>
    <row r="6957" spans="2:9" hidden="1" x14ac:dyDescent="0.4">
      <c r="B6957" s="8" t="s">
        <v>12196</v>
      </c>
      <c r="C6957" s="3" t="s">
        <v>11295</v>
      </c>
      <c r="D6957" s="3" t="s">
        <v>11492</v>
      </c>
      <c r="E6957" s="3" t="s">
        <v>1272</v>
      </c>
      <c r="F6957" s="3" t="s">
        <v>399</v>
      </c>
      <c r="I6957" s="3" t="s">
        <v>2369</v>
      </c>
    </row>
    <row r="6958" spans="2:9" hidden="1" x14ac:dyDescent="0.4">
      <c r="B6958" s="8" t="s">
        <v>529</v>
      </c>
      <c r="C6958" s="3" t="s">
        <v>11296</v>
      </c>
      <c r="D6958" s="3" t="s">
        <v>11493</v>
      </c>
      <c r="E6958" s="3" t="s">
        <v>1272</v>
      </c>
      <c r="F6958" s="3" t="s">
        <v>399</v>
      </c>
      <c r="I6958" s="3" t="s">
        <v>2369</v>
      </c>
    </row>
    <row r="6959" spans="2:9" hidden="1" x14ac:dyDescent="0.4">
      <c r="B6959" s="8" t="s">
        <v>9736</v>
      </c>
      <c r="C6959" s="3" t="s">
        <v>11297</v>
      </c>
      <c r="D6959" s="3" t="s">
        <v>11494</v>
      </c>
      <c r="E6959" s="3" t="s">
        <v>1272</v>
      </c>
      <c r="F6959" s="3" t="s">
        <v>399</v>
      </c>
      <c r="I6959" s="3" t="s">
        <v>2369</v>
      </c>
    </row>
    <row r="6960" spans="2:9" hidden="1" x14ac:dyDescent="0.4">
      <c r="B6960" s="8" t="s">
        <v>517</v>
      </c>
      <c r="C6960" s="3" t="s">
        <v>11298</v>
      </c>
      <c r="D6960" s="3" t="s">
        <v>11495</v>
      </c>
      <c r="E6960" s="3" t="s">
        <v>1272</v>
      </c>
      <c r="F6960" s="3" t="s">
        <v>399</v>
      </c>
      <c r="I6960" s="3" t="s">
        <v>2369</v>
      </c>
    </row>
    <row r="6961" spans="2:9" hidden="1" x14ac:dyDescent="0.4">
      <c r="B6961" s="8" t="s">
        <v>517</v>
      </c>
      <c r="C6961" s="3" t="s">
        <v>11299</v>
      </c>
      <c r="D6961" s="3" t="s">
        <v>11496</v>
      </c>
      <c r="E6961" s="3" t="s">
        <v>1272</v>
      </c>
      <c r="F6961" s="3" t="s">
        <v>399</v>
      </c>
      <c r="I6961" s="3" t="s">
        <v>2369</v>
      </c>
    </row>
    <row r="6962" spans="2:9" hidden="1" x14ac:dyDescent="0.4">
      <c r="B6962" s="8" t="s">
        <v>517</v>
      </c>
      <c r="C6962" s="3" t="s">
        <v>11300</v>
      </c>
      <c r="D6962" s="3" t="s">
        <v>11497</v>
      </c>
      <c r="E6962" s="3" t="s">
        <v>1272</v>
      </c>
      <c r="F6962" s="3" t="s">
        <v>399</v>
      </c>
      <c r="I6962" s="3" t="s">
        <v>2369</v>
      </c>
    </row>
    <row r="6963" spans="2:9" hidden="1" x14ac:dyDescent="0.4">
      <c r="B6963" s="8" t="s">
        <v>520</v>
      </c>
      <c r="C6963" s="3" t="s">
        <v>11301</v>
      </c>
      <c r="D6963" s="3" t="s">
        <v>11498</v>
      </c>
      <c r="E6963" s="3" t="s">
        <v>1272</v>
      </c>
      <c r="F6963" s="3" t="s">
        <v>399</v>
      </c>
      <c r="I6963" s="3" t="s">
        <v>2369</v>
      </c>
    </row>
    <row r="6964" spans="2:9" hidden="1" x14ac:dyDescent="0.4">
      <c r="B6964" s="8" t="s">
        <v>517</v>
      </c>
      <c r="C6964" s="3" t="s">
        <v>6977</v>
      </c>
      <c r="D6964" s="3" t="s">
        <v>11499</v>
      </c>
      <c r="E6964" s="3" t="s">
        <v>1272</v>
      </c>
      <c r="F6964" s="3" t="s">
        <v>399</v>
      </c>
      <c r="I6964" s="3" t="s">
        <v>2369</v>
      </c>
    </row>
    <row r="6965" spans="2:9" hidden="1" x14ac:dyDescent="0.4">
      <c r="D6965" s="3" t="s">
        <v>11500</v>
      </c>
      <c r="E6965" s="3" t="s">
        <v>1272</v>
      </c>
      <c r="F6965" s="3" t="s">
        <v>399</v>
      </c>
      <c r="I6965" s="3" t="s">
        <v>2369</v>
      </c>
    </row>
    <row r="6966" spans="2:9" hidden="1" x14ac:dyDescent="0.4">
      <c r="D6966" s="3" t="s">
        <v>11501</v>
      </c>
      <c r="E6966" s="3" t="s">
        <v>1272</v>
      </c>
      <c r="F6966" s="3" t="s">
        <v>399</v>
      </c>
      <c r="I6966" s="3" t="s">
        <v>2369</v>
      </c>
    </row>
    <row r="6967" spans="2:9" hidden="1" x14ac:dyDescent="0.4">
      <c r="D6967" s="3" t="s">
        <v>11502</v>
      </c>
      <c r="E6967" s="3" t="s">
        <v>1272</v>
      </c>
      <c r="F6967" s="3" t="s">
        <v>399</v>
      </c>
      <c r="I6967" s="3" t="s">
        <v>2369</v>
      </c>
    </row>
    <row r="6968" spans="2:9" hidden="1" x14ac:dyDescent="0.4">
      <c r="D6968" s="3" t="s">
        <v>11503</v>
      </c>
      <c r="E6968" s="3" t="s">
        <v>1272</v>
      </c>
      <c r="F6968" s="3" t="s">
        <v>399</v>
      </c>
      <c r="I6968" s="3" t="s">
        <v>2369</v>
      </c>
    </row>
    <row r="6969" spans="2:9" hidden="1" x14ac:dyDescent="0.4">
      <c r="D6969" s="3" t="s">
        <v>11504</v>
      </c>
      <c r="E6969" s="3" t="s">
        <v>1272</v>
      </c>
      <c r="F6969" s="3" t="s">
        <v>399</v>
      </c>
      <c r="I6969" s="3" t="s">
        <v>2369</v>
      </c>
    </row>
    <row r="6970" spans="2:9" hidden="1" x14ac:dyDescent="0.4">
      <c r="D6970" s="3" t="s">
        <v>11505</v>
      </c>
      <c r="E6970" s="3" t="s">
        <v>1272</v>
      </c>
      <c r="F6970" s="3" t="s">
        <v>399</v>
      </c>
      <c r="I6970" s="3" t="s">
        <v>2369</v>
      </c>
    </row>
    <row r="6971" spans="2:9" hidden="1" x14ac:dyDescent="0.4">
      <c r="D6971" s="3" t="s">
        <v>11506</v>
      </c>
      <c r="E6971" s="3" t="s">
        <v>1272</v>
      </c>
      <c r="F6971" s="3" t="s">
        <v>399</v>
      </c>
      <c r="I6971" s="3" t="s">
        <v>2369</v>
      </c>
    </row>
    <row r="6972" spans="2:9" hidden="1" x14ac:dyDescent="0.4">
      <c r="B6972" s="8" t="s">
        <v>517</v>
      </c>
      <c r="C6972" s="3" t="s">
        <v>11625</v>
      </c>
      <c r="D6972" s="3" t="s">
        <v>11507</v>
      </c>
      <c r="E6972" s="3" t="s">
        <v>1272</v>
      </c>
      <c r="F6972" s="3" t="s">
        <v>399</v>
      </c>
      <c r="I6972" s="3" t="s">
        <v>2369</v>
      </c>
    </row>
    <row r="6973" spans="2:9" hidden="1" x14ac:dyDescent="0.4">
      <c r="D6973" s="3" t="s">
        <v>11508</v>
      </c>
      <c r="E6973" s="3" t="s">
        <v>1272</v>
      </c>
      <c r="F6973" s="3" t="s">
        <v>399</v>
      </c>
      <c r="I6973" s="3" t="s">
        <v>2369</v>
      </c>
    </row>
    <row r="6974" spans="2:9" hidden="1" x14ac:dyDescent="0.4">
      <c r="D6974" s="3" t="s">
        <v>11509</v>
      </c>
      <c r="E6974" s="3" t="s">
        <v>1272</v>
      </c>
      <c r="F6974" s="3" t="s">
        <v>399</v>
      </c>
      <c r="I6974" s="3" t="s">
        <v>2369</v>
      </c>
    </row>
    <row r="6975" spans="2:9" hidden="1" x14ac:dyDescent="0.4">
      <c r="D6975" s="3" t="s">
        <v>11510</v>
      </c>
      <c r="E6975" s="3" t="s">
        <v>1272</v>
      </c>
      <c r="F6975" s="3" t="s">
        <v>399</v>
      </c>
      <c r="I6975" s="3" t="s">
        <v>2369</v>
      </c>
    </row>
    <row r="6976" spans="2:9" hidden="1" x14ac:dyDescent="0.4">
      <c r="D6976" s="3" t="s">
        <v>11511</v>
      </c>
      <c r="E6976" s="3" t="s">
        <v>1272</v>
      </c>
      <c r="F6976" s="3" t="s">
        <v>399</v>
      </c>
      <c r="I6976" s="3" t="s">
        <v>2369</v>
      </c>
    </row>
    <row r="6977" spans="2:9" hidden="1" x14ac:dyDescent="0.4">
      <c r="D6977" s="3" t="s">
        <v>11512</v>
      </c>
      <c r="E6977" s="3" t="s">
        <v>1272</v>
      </c>
      <c r="F6977" s="3" t="s">
        <v>399</v>
      </c>
      <c r="I6977" s="3" t="s">
        <v>2369</v>
      </c>
    </row>
    <row r="6978" spans="2:9" hidden="1" x14ac:dyDescent="0.4">
      <c r="D6978" s="3" t="s">
        <v>11513</v>
      </c>
      <c r="E6978" s="3" t="s">
        <v>1272</v>
      </c>
      <c r="F6978" s="3" t="s">
        <v>399</v>
      </c>
      <c r="I6978" s="3" t="s">
        <v>2369</v>
      </c>
    </row>
    <row r="6979" spans="2:9" hidden="1" x14ac:dyDescent="0.4">
      <c r="D6979" s="3" t="s">
        <v>11514</v>
      </c>
      <c r="E6979" s="3" t="s">
        <v>1272</v>
      </c>
      <c r="F6979" s="3" t="s">
        <v>399</v>
      </c>
      <c r="I6979" s="3" t="s">
        <v>2369</v>
      </c>
    </row>
    <row r="6980" spans="2:9" hidden="1" x14ac:dyDescent="0.4">
      <c r="D6980" s="3" t="s">
        <v>11515</v>
      </c>
      <c r="E6980" s="3" t="s">
        <v>1272</v>
      </c>
      <c r="F6980" s="3" t="s">
        <v>399</v>
      </c>
      <c r="I6980" s="3" t="s">
        <v>2369</v>
      </c>
    </row>
    <row r="6981" spans="2:9" hidden="1" x14ac:dyDescent="0.4">
      <c r="D6981" s="3" t="s">
        <v>11516</v>
      </c>
      <c r="E6981" s="3" t="s">
        <v>1272</v>
      </c>
      <c r="F6981" s="3" t="s">
        <v>399</v>
      </c>
      <c r="I6981" s="3" t="s">
        <v>2369</v>
      </c>
    </row>
    <row r="6982" spans="2:9" hidden="1" x14ac:dyDescent="0.4">
      <c r="D6982" s="3" t="s">
        <v>11517</v>
      </c>
      <c r="E6982" s="3" t="s">
        <v>1272</v>
      </c>
      <c r="F6982" s="3" t="s">
        <v>399</v>
      </c>
      <c r="I6982" s="3" t="s">
        <v>2369</v>
      </c>
    </row>
    <row r="6983" spans="2:9" hidden="1" x14ac:dyDescent="0.4">
      <c r="D6983" s="3" t="s">
        <v>11518</v>
      </c>
      <c r="E6983" s="3" t="s">
        <v>1272</v>
      </c>
      <c r="F6983" s="3" t="s">
        <v>399</v>
      </c>
      <c r="I6983" s="3" t="s">
        <v>2369</v>
      </c>
    </row>
    <row r="6984" spans="2:9" hidden="1" x14ac:dyDescent="0.4">
      <c r="D6984" s="3" t="s">
        <v>11519</v>
      </c>
      <c r="E6984" s="3" t="s">
        <v>1272</v>
      </c>
      <c r="F6984" s="3" t="s">
        <v>399</v>
      </c>
      <c r="I6984" s="3" t="s">
        <v>2369</v>
      </c>
    </row>
    <row r="6985" spans="2:9" hidden="1" x14ac:dyDescent="0.4">
      <c r="D6985" s="3" t="s">
        <v>11520</v>
      </c>
      <c r="E6985" s="3" t="s">
        <v>1272</v>
      </c>
      <c r="F6985" s="3" t="s">
        <v>399</v>
      </c>
      <c r="I6985" s="3" t="s">
        <v>2369</v>
      </c>
    </row>
    <row r="6986" spans="2:9" hidden="1" x14ac:dyDescent="0.4">
      <c r="D6986" s="3" t="s">
        <v>11521</v>
      </c>
      <c r="E6986" s="3" t="s">
        <v>1272</v>
      </c>
      <c r="F6986" s="3" t="s">
        <v>399</v>
      </c>
      <c r="I6986" s="3" t="s">
        <v>2369</v>
      </c>
    </row>
    <row r="6987" spans="2:9" hidden="1" x14ac:dyDescent="0.4">
      <c r="D6987" s="3" t="s">
        <v>11522</v>
      </c>
      <c r="E6987" s="3" t="s">
        <v>1272</v>
      </c>
      <c r="F6987" s="3" t="s">
        <v>399</v>
      </c>
      <c r="I6987" s="3" t="s">
        <v>2369</v>
      </c>
    </row>
    <row r="6988" spans="2:9" hidden="1" x14ac:dyDescent="0.4">
      <c r="D6988" s="3" t="s">
        <v>11523</v>
      </c>
      <c r="E6988" s="3" t="s">
        <v>1272</v>
      </c>
      <c r="F6988" s="3" t="s">
        <v>399</v>
      </c>
      <c r="I6988" s="3" t="s">
        <v>2369</v>
      </c>
    </row>
    <row r="6989" spans="2:9" ht="29.25" hidden="1" x14ac:dyDescent="0.4">
      <c r="B6989" s="8" t="s">
        <v>6731</v>
      </c>
      <c r="C6989" s="3" t="s">
        <v>11626</v>
      </c>
      <c r="D6989" s="3" t="s">
        <v>11524</v>
      </c>
      <c r="E6989" s="3" t="s">
        <v>1272</v>
      </c>
      <c r="F6989" s="3" t="s">
        <v>399</v>
      </c>
      <c r="I6989" s="3" t="s">
        <v>2369</v>
      </c>
    </row>
    <row r="6990" spans="2:9" hidden="1" x14ac:dyDescent="0.4">
      <c r="D6990" s="3" t="s">
        <v>11525</v>
      </c>
      <c r="E6990" s="3" t="s">
        <v>1272</v>
      </c>
      <c r="F6990" s="3" t="s">
        <v>399</v>
      </c>
      <c r="I6990" s="3" t="s">
        <v>2369</v>
      </c>
    </row>
    <row r="6991" spans="2:9" hidden="1" x14ac:dyDescent="0.4">
      <c r="D6991" s="3" t="s">
        <v>11526</v>
      </c>
      <c r="E6991" s="3" t="s">
        <v>1272</v>
      </c>
      <c r="F6991" s="3" t="s">
        <v>399</v>
      </c>
      <c r="I6991" s="3" t="s">
        <v>2369</v>
      </c>
    </row>
    <row r="6992" spans="2:9" hidden="1" x14ac:dyDescent="0.4">
      <c r="B6992" s="8" t="s">
        <v>6736</v>
      </c>
      <c r="C6992" s="3" t="s">
        <v>11627</v>
      </c>
      <c r="D6992" s="3" t="s">
        <v>11527</v>
      </c>
      <c r="E6992" s="3" t="s">
        <v>1272</v>
      </c>
      <c r="F6992" s="3" t="s">
        <v>399</v>
      </c>
      <c r="I6992" s="3" t="s">
        <v>2369</v>
      </c>
    </row>
    <row r="6993" spans="2:9" hidden="1" x14ac:dyDescent="0.4">
      <c r="D6993" s="3" t="s">
        <v>11528</v>
      </c>
      <c r="E6993" s="3" t="s">
        <v>1272</v>
      </c>
      <c r="F6993" s="3" t="s">
        <v>399</v>
      </c>
      <c r="I6993" s="3" t="s">
        <v>2369</v>
      </c>
    </row>
    <row r="6994" spans="2:9" hidden="1" x14ac:dyDescent="0.4">
      <c r="D6994" s="3" t="s">
        <v>11529</v>
      </c>
      <c r="E6994" s="3" t="s">
        <v>1272</v>
      </c>
      <c r="F6994" s="3" t="s">
        <v>399</v>
      </c>
      <c r="I6994" s="3" t="s">
        <v>2369</v>
      </c>
    </row>
    <row r="6995" spans="2:9" hidden="1" x14ac:dyDescent="0.4">
      <c r="D6995" s="3" t="s">
        <v>11530</v>
      </c>
      <c r="E6995" s="3" t="s">
        <v>1272</v>
      </c>
      <c r="F6995" s="3" t="s">
        <v>399</v>
      </c>
      <c r="I6995" s="3" t="s">
        <v>2369</v>
      </c>
    </row>
    <row r="6996" spans="2:9" hidden="1" x14ac:dyDescent="0.4">
      <c r="B6996" s="8" t="s">
        <v>517</v>
      </c>
      <c r="C6996" s="3" t="s">
        <v>11628</v>
      </c>
      <c r="D6996" s="3" t="s">
        <v>11531</v>
      </c>
      <c r="E6996" s="3" t="s">
        <v>1272</v>
      </c>
      <c r="F6996" s="3" t="s">
        <v>399</v>
      </c>
      <c r="I6996" s="3" t="s">
        <v>2369</v>
      </c>
    </row>
    <row r="6997" spans="2:9" hidden="1" x14ac:dyDescent="0.4">
      <c r="B6997" s="8" t="s">
        <v>1711</v>
      </c>
      <c r="C6997" s="3" t="s">
        <v>11629</v>
      </c>
      <c r="D6997" s="3" t="s">
        <v>11532</v>
      </c>
      <c r="E6997" s="3" t="s">
        <v>1272</v>
      </c>
      <c r="F6997" s="3" t="s">
        <v>399</v>
      </c>
      <c r="I6997" s="3" t="s">
        <v>2369</v>
      </c>
    </row>
    <row r="6998" spans="2:9" hidden="1" x14ac:dyDescent="0.4">
      <c r="B6998" s="8" t="s">
        <v>516</v>
      </c>
      <c r="C6998" s="3" t="s">
        <v>11631</v>
      </c>
      <c r="D6998" s="3" t="s">
        <v>11532</v>
      </c>
      <c r="E6998" s="3" t="s">
        <v>1272</v>
      </c>
      <c r="F6998" s="3" t="s">
        <v>399</v>
      </c>
      <c r="I6998" s="3" t="s">
        <v>2369</v>
      </c>
    </row>
    <row r="6999" spans="2:9" hidden="1" x14ac:dyDescent="0.4">
      <c r="D6999" s="3" t="s">
        <v>11630</v>
      </c>
      <c r="E6999" s="3" t="s">
        <v>1272</v>
      </c>
      <c r="F6999" s="3" t="s">
        <v>399</v>
      </c>
      <c r="I6999" s="3" t="s">
        <v>2369</v>
      </c>
    </row>
    <row r="7000" spans="2:9" hidden="1" x14ac:dyDescent="0.4">
      <c r="B7000" s="8" t="s">
        <v>517</v>
      </c>
      <c r="C7000" s="3" t="s">
        <v>8446</v>
      </c>
      <c r="D7000" s="3" t="s">
        <v>11533</v>
      </c>
      <c r="E7000" s="3" t="s">
        <v>1272</v>
      </c>
      <c r="F7000" s="3" t="s">
        <v>399</v>
      </c>
      <c r="I7000" s="3" t="s">
        <v>2369</v>
      </c>
    </row>
    <row r="7001" spans="2:9" hidden="1" x14ac:dyDescent="0.4">
      <c r="B7001" s="8" t="s">
        <v>517</v>
      </c>
      <c r="C7001" s="3" t="s">
        <v>11632</v>
      </c>
      <c r="D7001" s="3" t="s">
        <v>11533</v>
      </c>
      <c r="E7001" s="3" t="s">
        <v>1272</v>
      </c>
      <c r="F7001" s="3" t="s">
        <v>399</v>
      </c>
      <c r="I7001" s="3" t="s">
        <v>2369</v>
      </c>
    </row>
    <row r="7002" spans="2:9" hidden="1" x14ac:dyDescent="0.4">
      <c r="B7002" s="8" t="s">
        <v>517</v>
      </c>
      <c r="C7002" s="3" t="s">
        <v>11633</v>
      </c>
      <c r="D7002" s="3" t="s">
        <v>11533</v>
      </c>
      <c r="E7002" s="3" t="s">
        <v>1272</v>
      </c>
      <c r="F7002" s="3" t="s">
        <v>399</v>
      </c>
      <c r="I7002" s="3" t="s">
        <v>2369</v>
      </c>
    </row>
    <row r="7003" spans="2:9" hidden="1" x14ac:dyDescent="0.4">
      <c r="B7003" s="8" t="s">
        <v>12207</v>
      </c>
      <c r="C7003" s="3" t="s">
        <v>11634</v>
      </c>
      <c r="D7003" s="3" t="s">
        <v>11534</v>
      </c>
      <c r="E7003" s="3" t="s">
        <v>1272</v>
      </c>
      <c r="F7003" s="3" t="s">
        <v>399</v>
      </c>
      <c r="I7003" s="3" t="s">
        <v>2369</v>
      </c>
    </row>
    <row r="7004" spans="2:9" hidden="1" x14ac:dyDescent="0.4">
      <c r="B7004" s="8" t="s">
        <v>526</v>
      </c>
      <c r="C7004" s="3" t="s">
        <v>11635</v>
      </c>
      <c r="D7004" s="3" t="s">
        <v>11534</v>
      </c>
      <c r="E7004" s="3" t="s">
        <v>1272</v>
      </c>
      <c r="F7004" s="3" t="s">
        <v>399</v>
      </c>
      <c r="I7004" s="3" t="s">
        <v>2369</v>
      </c>
    </row>
    <row r="7005" spans="2:9" hidden="1" x14ac:dyDescent="0.4">
      <c r="D7005" s="3" t="s">
        <v>11535</v>
      </c>
      <c r="E7005" s="3" t="s">
        <v>1272</v>
      </c>
      <c r="F7005" s="3" t="s">
        <v>399</v>
      </c>
      <c r="I7005" s="3" t="s">
        <v>2369</v>
      </c>
    </row>
    <row r="7006" spans="2:9" hidden="1" x14ac:dyDescent="0.4">
      <c r="D7006" s="3" t="s">
        <v>11536</v>
      </c>
      <c r="E7006" s="3" t="s">
        <v>1272</v>
      </c>
      <c r="F7006" s="3" t="s">
        <v>399</v>
      </c>
      <c r="I7006" s="3" t="s">
        <v>2369</v>
      </c>
    </row>
    <row r="7007" spans="2:9" hidden="1" x14ac:dyDescent="0.4">
      <c r="D7007" s="3" t="s">
        <v>11537</v>
      </c>
      <c r="E7007" s="3" t="s">
        <v>1272</v>
      </c>
      <c r="F7007" s="3" t="s">
        <v>399</v>
      </c>
      <c r="I7007" s="3" t="s">
        <v>2369</v>
      </c>
    </row>
    <row r="7008" spans="2:9" hidden="1" x14ac:dyDescent="0.4">
      <c r="D7008" s="3" t="s">
        <v>11538</v>
      </c>
      <c r="E7008" s="3" t="s">
        <v>1272</v>
      </c>
      <c r="F7008" s="3" t="s">
        <v>399</v>
      </c>
      <c r="I7008" s="3" t="s">
        <v>2369</v>
      </c>
    </row>
    <row r="7009" spans="2:9" hidden="1" x14ac:dyDescent="0.4">
      <c r="D7009" s="3" t="s">
        <v>11539</v>
      </c>
      <c r="E7009" s="3" t="s">
        <v>1272</v>
      </c>
      <c r="F7009" s="3" t="s">
        <v>399</v>
      </c>
      <c r="I7009" s="3" t="s">
        <v>2369</v>
      </c>
    </row>
    <row r="7010" spans="2:9" hidden="1" x14ac:dyDescent="0.4">
      <c r="D7010" s="3" t="s">
        <v>11540</v>
      </c>
      <c r="E7010" s="3" t="s">
        <v>1272</v>
      </c>
      <c r="F7010" s="3" t="s">
        <v>399</v>
      </c>
      <c r="I7010" s="3" t="s">
        <v>2369</v>
      </c>
    </row>
    <row r="7011" spans="2:9" hidden="1" x14ac:dyDescent="0.4">
      <c r="D7011" s="3" t="s">
        <v>11541</v>
      </c>
      <c r="E7011" s="3" t="s">
        <v>1272</v>
      </c>
      <c r="F7011" s="3" t="s">
        <v>399</v>
      </c>
      <c r="I7011" s="3" t="s">
        <v>2369</v>
      </c>
    </row>
    <row r="7012" spans="2:9" hidden="1" x14ac:dyDescent="0.4">
      <c r="D7012" s="3" t="s">
        <v>11542</v>
      </c>
      <c r="E7012" s="3" t="s">
        <v>1272</v>
      </c>
      <c r="F7012" s="3" t="s">
        <v>399</v>
      </c>
      <c r="I7012" s="3" t="s">
        <v>2369</v>
      </c>
    </row>
    <row r="7013" spans="2:9" hidden="1" x14ac:dyDescent="0.4">
      <c r="D7013" s="3" t="s">
        <v>11543</v>
      </c>
      <c r="E7013" s="3" t="s">
        <v>1272</v>
      </c>
      <c r="F7013" s="3" t="s">
        <v>399</v>
      </c>
      <c r="I7013" s="3" t="s">
        <v>2369</v>
      </c>
    </row>
    <row r="7014" spans="2:9" hidden="1" x14ac:dyDescent="0.4">
      <c r="D7014" s="3" t="s">
        <v>11544</v>
      </c>
      <c r="E7014" s="3" t="s">
        <v>1272</v>
      </c>
      <c r="F7014" s="3" t="s">
        <v>399</v>
      </c>
      <c r="I7014" s="3" t="s">
        <v>2369</v>
      </c>
    </row>
    <row r="7015" spans="2:9" hidden="1" x14ac:dyDescent="0.4">
      <c r="B7015" s="8" t="s">
        <v>512</v>
      </c>
      <c r="C7015" s="3" t="s">
        <v>11636</v>
      </c>
      <c r="D7015" s="3" t="s">
        <v>11545</v>
      </c>
      <c r="E7015" s="3" t="s">
        <v>1272</v>
      </c>
      <c r="F7015" s="3" t="s">
        <v>399</v>
      </c>
      <c r="I7015" s="3" t="s">
        <v>2369</v>
      </c>
    </row>
    <row r="7016" spans="2:9" hidden="1" x14ac:dyDescent="0.4">
      <c r="B7016" s="8" t="s">
        <v>515</v>
      </c>
      <c r="C7016" s="3" t="s">
        <v>11637</v>
      </c>
      <c r="D7016" s="3" t="s">
        <v>11545</v>
      </c>
      <c r="E7016" s="3" t="s">
        <v>1272</v>
      </c>
      <c r="F7016" s="3" t="s">
        <v>399</v>
      </c>
      <c r="I7016" s="3" t="s">
        <v>2369</v>
      </c>
    </row>
    <row r="7017" spans="2:9" hidden="1" x14ac:dyDescent="0.4">
      <c r="D7017" s="3" t="s">
        <v>11546</v>
      </c>
      <c r="E7017" s="3" t="s">
        <v>1272</v>
      </c>
      <c r="F7017" s="3" t="s">
        <v>399</v>
      </c>
      <c r="I7017" s="3" t="s">
        <v>2369</v>
      </c>
    </row>
    <row r="7018" spans="2:9" hidden="1" x14ac:dyDescent="0.4">
      <c r="D7018" s="3" t="s">
        <v>11547</v>
      </c>
      <c r="E7018" s="3" t="s">
        <v>1272</v>
      </c>
      <c r="F7018" s="3" t="s">
        <v>399</v>
      </c>
      <c r="I7018" s="3" t="s">
        <v>2369</v>
      </c>
    </row>
    <row r="7019" spans="2:9" hidden="1" x14ac:dyDescent="0.4">
      <c r="D7019" s="3" t="s">
        <v>11548</v>
      </c>
      <c r="E7019" s="3" t="s">
        <v>1272</v>
      </c>
      <c r="F7019" s="3" t="s">
        <v>399</v>
      </c>
      <c r="I7019" s="3" t="s">
        <v>2369</v>
      </c>
    </row>
    <row r="7020" spans="2:9" hidden="1" x14ac:dyDescent="0.4">
      <c r="D7020" s="3" t="s">
        <v>11549</v>
      </c>
      <c r="E7020" s="3" t="s">
        <v>1272</v>
      </c>
      <c r="F7020" s="3" t="s">
        <v>399</v>
      </c>
      <c r="I7020" s="3" t="s">
        <v>2369</v>
      </c>
    </row>
    <row r="7021" spans="2:9" hidden="1" x14ac:dyDescent="0.4">
      <c r="D7021" s="3" t="s">
        <v>11550</v>
      </c>
      <c r="E7021" s="3" t="s">
        <v>1272</v>
      </c>
      <c r="F7021" s="3" t="s">
        <v>399</v>
      </c>
      <c r="I7021" s="3" t="s">
        <v>2369</v>
      </c>
    </row>
    <row r="7022" spans="2:9" hidden="1" x14ac:dyDescent="0.4">
      <c r="D7022" s="3" t="s">
        <v>11551</v>
      </c>
      <c r="E7022" s="3" t="s">
        <v>1272</v>
      </c>
      <c r="F7022" s="3" t="s">
        <v>399</v>
      </c>
      <c r="I7022" s="3" t="s">
        <v>2369</v>
      </c>
    </row>
    <row r="7023" spans="2:9" hidden="1" x14ac:dyDescent="0.4">
      <c r="D7023" s="3" t="s">
        <v>11552</v>
      </c>
      <c r="E7023" s="3" t="s">
        <v>1272</v>
      </c>
      <c r="F7023" s="3" t="s">
        <v>399</v>
      </c>
      <c r="I7023" s="3" t="s">
        <v>2369</v>
      </c>
    </row>
    <row r="7024" spans="2:9" hidden="1" x14ac:dyDescent="0.4">
      <c r="D7024" s="3" t="s">
        <v>11553</v>
      </c>
      <c r="E7024" s="3" t="s">
        <v>1272</v>
      </c>
      <c r="F7024" s="3" t="s">
        <v>399</v>
      </c>
      <c r="I7024" s="3" t="s">
        <v>2369</v>
      </c>
    </row>
    <row r="7025" spans="2:9" hidden="1" x14ac:dyDescent="0.4">
      <c r="D7025" s="3" t="s">
        <v>11554</v>
      </c>
      <c r="E7025" s="3" t="s">
        <v>1272</v>
      </c>
      <c r="F7025" s="3" t="s">
        <v>399</v>
      </c>
      <c r="I7025" s="3" t="s">
        <v>2369</v>
      </c>
    </row>
    <row r="7026" spans="2:9" ht="29.25" hidden="1" x14ac:dyDescent="0.4">
      <c r="B7026" s="8" t="s">
        <v>516</v>
      </c>
      <c r="C7026" s="3" t="s">
        <v>11638</v>
      </c>
      <c r="D7026" s="3" t="s">
        <v>11555</v>
      </c>
      <c r="E7026" s="3" t="s">
        <v>1272</v>
      </c>
      <c r="F7026" s="3" t="s">
        <v>399</v>
      </c>
      <c r="I7026" s="3" t="s">
        <v>2369</v>
      </c>
    </row>
    <row r="7027" spans="2:9" hidden="1" x14ac:dyDescent="0.4">
      <c r="D7027" s="3" t="s">
        <v>11556</v>
      </c>
      <c r="E7027" s="3" t="s">
        <v>1272</v>
      </c>
      <c r="F7027" s="3" t="s">
        <v>399</v>
      </c>
      <c r="I7027" s="3" t="s">
        <v>2369</v>
      </c>
    </row>
    <row r="7028" spans="2:9" hidden="1" x14ac:dyDescent="0.4">
      <c r="D7028" s="3" t="s">
        <v>11557</v>
      </c>
      <c r="E7028" s="3" t="s">
        <v>1272</v>
      </c>
      <c r="F7028" s="3" t="s">
        <v>399</v>
      </c>
      <c r="I7028" s="3" t="s">
        <v>2369</v>
      </c>
    </row>
    <row r="7029" spans="2:9" hidden="1" x14ac:dyDescent="0.4">
      <c r="D7029" s="3" t="s">
        <v>11558</v>
      </c>
      <c r="E7029" s="3" t="s">
        <v>1272</v>
      </c>
      <c r="F7029" s="3" t="s">
        <v>399</v>
      </c>
      <c r="I7029" s="3" t="s">
        <v>2369</v>
      </c>
    </row>
    <row r="7030" spans="2:9" hidden="1" x14ac:dyDescent="0.4">
      <c r="D7030" s="3" t="s">
        <v>11559</v>
      </c>
      <c r="E7030" s="3" t="s">
        <v>1272</v>
      </c>
      <c r="F7030" s="3" t="s">
        <v>399</v>
      </c>
      <c r="I7030" s="3" t="s">
        <v>2369</v>
      </c>
    </row>
    <row r="7031" spans="2:9" hidden="1" x14ac:dyDescent="0.4">
      <c r="D7031" s="3" t="s">
        <v>11560</v>
      </c>
      <c r="E7031" s="3" t="s">
        <v>1272</v>
      </c>
      <c r="F7031" s="3" t="s">
        <v>399</v>
      </c>
      <c r="I7031" s="3" t="s">
        <v>2369</v>
      </c>
    </row>
    <row r="7032" spans="2:9" hidden="1" x14ac:dyDescent="0.4">
      <c r="D7032" s="3" t="s">
        <v>11561</v>
      </c>
      <c r="E7032" s="3" t="s">
        <v>1272</v>
      </c>
      <c r="F7032" s="3" t="s">
        <v>399</v>
      </c>
      <c r="I7032" s="3" t="s">
        <v>2369</v>
      </c>
    </row>
    <row r="7033" spans="2:9" hidden="1" x14ac:dyDescent="0.4">
      <c r="D7033" s="3" t="s">
        <v>11562</v>
      </c>
      <c r="E7033" s="3" t="s">
        <v>1272</v>
      </c>
      <c r="F7033" s="3" t="s">
        <v>399</v>
      </c>
      <c r="I7033" s="3" t="s">
        <v>2369</v>
      </c>
    </row>
    <row r="7034" spans="2:9" hidden="1" x14ac:dyDescent="0.4">
      <c r="D7034" s="3" t="s">
        <v>11563</v>
      </c>
      <c r="E7034" s="3" t="s">
        <v>1272</v>
      </c>
      <c r="F7034" s="3" t="s">
        <v>399</v>
      </c>
      <c r="I7034" s="3" t="s">
        <v>2369</v>
      </c>
    </row>
    <row r="7035" spans="2:9" hidden="1" x14ac:dyDescent="0.4">
      <c r="D7035" s="3" t="s">
        <v>11564</v>
      </c>
      <c r="E7035" s="3" t="s">
        <v>1272</v>
      </c>
      <c r="F7035" s="3" t="s">
        <v>399</v>
      </c>
      <c r="I7035" s="3" t="s">
        <v>2369</v>
      </c>
    </row>
    <row r="7036" spans="2:9" hidden="1" x14ac:dyDescent="0.4">
      <c r="D7036" s="3" t="s">
        <v>11337</v>
      </c>
      <c r="E7036" s="3" t="s">
        <v>1272</v>
      </c>
      <c r="F7036" s="3" t="s">
        <v>399</v>
      </c>
      <c r="I7036" s="3" t="s">
        <v>2369</v>
      </c>
    </row>
    <row r="7037" spans="2:9" hidden="1" x14ac:dyDescent="0.4">
      <c r="D7037" s="3" t="s">
        <v>11565</v>
      </c>
      <c r="E7037" s="3" t="s">
        <v>1272</v>
      </c>
      <c r="F7037" s="3" t="s">
        <v>399</v>
      </c>
      <c r="I7037" s="3" t="s">
        <v>2369</v>
      </c>
    </row>
    <row r="7038" spans="2:9" hidden="1" x14ac:dyDescent="0.4">
      <c r="B7038" s="8" t="s">
        <v>6731</v>
      </c>
      <c r="C7038" s="3" t="s">
        <v>11639</v>
      </c>
      <c r="D7038" s="3" t="s">
        <v>11566</v>
      </c>
      <c r="E7038" s="3" t="s">
        <v>1272</v>
      </c>
      <c r="F7038" s="3" t="s">
        <v>399</v>
      </c>
      <c r="I7038" s="3" t="s">
        <v>2369</v>
      </c>
    </row>
    <row r="7039" spans="2:9" hidden="1" x14ac:dyDescent="0.4">
      <c r="B7039" s="8" t="s">
        <v>2060</v>
      </c>
      <c r="C7039" s="3" t="s">
        <v>11640</v>
      </c>
      <c r="D7039" s="3" t="s">
        <v>11567</v>
      </c>
      <c r="E7039" s="3" t="s">
        <v>1272</v>
      </c>
      <c r="F7039" s="3" t="s">
        <v>399</v>
      </c>
      <c r="I7039" s="3" t="s">
        <v>2369</v>
      </c>
    </row>
    <row r="7040" spans="2:9" hidden="1" x14ac:dyDescent="0.4">
      <c r="D7040" s="3" t="s">
        <v>11568</v>
      </c>
      <c r="E7040" s="3" t="s">
        <v>1272</v>
      </c>
      <c r="F7040" s="3" t="s">
        <v>399</v>
      </c>
      <c r="I7040" s="3" t="s">
        <v>2369</v>
      </c>
    </row>
    <row r="7041" spans="2:9" hidden="1" x14ac:dyDescent="0.4">
      <c r="B7041" s="8" t="s">
        <v>2060</v>
      </c>
      <c r="C7041" s="3" t="s">
        <v>11641</v>
      </c>
      <c r="D7041" s="3" t="s">
        <v>11569</v>
      </c>
      <c r="E7041" s="3" t="s">
        <v>1272</v>
      </c>
      <c r="F7041" s="3" t="s">
        <v>399</v>
      </c>
      <c r="I7041" s="3" t="s">
        <v>2369</v>
      </c>
    </row>
    <row r="7042" spans="2:9" hidden="1" x14ac:dyDescent="0.4">
      <c r="D7042" s="3" t="s">
        <v>11570</v>
      </c>
      <c r="E7042" s="3" t="s">
        <v>1272</v>
      </c>
      <c r="F7042" s="3" t="s">
        <v>399</v>
      </c>
      <c r="I7042" s="3" t="s">
        <v>2369</v>
      </c>
    </row>
    <row r="7043" spans="2:9" hidden="1" x14ac:dyDescent="0.4">
      <c r="B7043" s="8" t="s">
        <v>520</v>
      </c>
      <c r="C7043" s="3" t="s">
        <v>11642</v>
      </c>
      <c r="D7043" s="3" t="s">
        <v>11571</v>
      </c>
      <c r="E7043" s="3" t="s">
        <v>1272</v>
      </c>
      <c r="F7043" s="3" t="s">
        <v>399</v>
      </c>
      <c r="I7043" s="3" t="s">
        <v>2369</v>
      </c>
    </row>
    <row r="7044" spans="2:9" hidden="1" x14ac:dyDescent="0.4">
      <c r="B7044" s="8" t="s">
        <v>1990</v>
      </c>
      <c r="C7044" s="3" t="s">
        <v>11643</v>
      </c>
      <c r="D7044" s="3" t="s">
        <v>11572</v>
      </c>
      <c r="E7044" s="3" t="s">
        <v>1272</v>
      </c>
      <c r="F7044" s="3" t="s">
        <v>399</v>
      </c>
      <c r="I7044" s="3" t="s">
        <v>2369</v>
      </c>
    </row>
    <row r="7045" spans="2:9" hidden="1" x14ac:dyDescent="0.4">
      <c r="B7045" s="8" t="s">
        <v>12208</v>
      </c>
      <c r="C7045" s="3" t="s">
        <v>11644</v>
      </c>
      <c r="D7045" s="3" t="s">
        <v>11573</v>
      </c>
      <c r="E7045" s="3" t="s">
        <v>1272</v>
      </c>
      <c r="F7045" s="3" t="s">
        <v>399</v>
      </c>
      <c r="I7045" s="3" t="s">
        <v>2369</v>
      </c>
    </row>
    <row r="7046" spans="2:9" hidden="1" x14ac:dyDescent="0.4">
      <c r="D7046" s="3" t="s">
        <v>11574</v>
      </c>
      <c r="E7046" s="3" t="s">
        <v>1272</v>
      </c>
      <c r="F7046" s="3" t="s">
        <v>399</v>
      </c>
      <c r="I7046" s="3" t="s">
        <v>2369</v>
      </c>
    </row>
    <row r="7047" spans="2:9" hidden="1" x14ac:dyDescent="0.4">
      <c r="D7047" s="3" t="s">
        <v>11575</v>
      </c>
      <c r="E7047" s="3" t="s">
        <v>1272</v>
      </c>
      <c r="F7047" s="3" t="s">
        <v>399</v>
      </c>
      <c r="I7047" s="3" t="s">
        <v>2369</v>
      </c>
    </row>
    <row r="7048" spans="2:9" hidden="1" x14ac:dyDescent="0.4">
      <c r="D7048" s="3" t="s">
        <v>11576</v>
      </c>
      <c r="E7048" s="3" t="s">
        <v>1272</v>
      </c>
      <c r="F7048" s="3" t="s">
        <v>399</v>
      </c>
      <c r="I7048" s="3" t="s">
        <v>2369</v>
      </c>
    </row>
    <row r="7049" spans="2:9" hidden="1" x14ac:dyDescent="0.4">
      <c r="B7049" s="8" t="s">
        <v>529</v>
      </c>
      <c r="C7049" s="3" t="s">
        <v>11645</v>
      </c>
      <c r="D7049" s="3" t="s">
        <v>11577</v>
      </c>
      <c r="E7049" s="3" t="s">
        <v>1272</v>
      </c>
      <c r="F7049" s="3" t="s">
        <v>399</v>
      </c>
      <c r="I7049" s="3" t="s">
        <v>2369</v>
      </c>
    </row>
    <row r="7050" spans="2:9" hidden="1" x14ac:dyDescent="0.4">
      <c r="B7050" s="8" t="s">
        <v>517</v>
      </c>
      <c r="C7050" s="3" t="s">
        <v>11646</v>
      </c>
      <c r="D7050" s="3" t="s">
        <v>11578</v>
      </c>
      <c r="E7050" s="3" t="s">
        <v>1272</v>
      </c>
      <c r="F7050" s="3" t="s">
        <v>399</v>
      </c>
      <c r="I7050" s="3" t="s">
        <v>2369</v>
      </c>
    </row>
    <row r="7051" spans="2:9" hidden="1" x14ac:dyDescent="0.4">
      <c r="D7051" s="3" t="s">
        <v>11579</v>
      </c>
      <c r="E7051" s="3" t="s">
        <v>1272</v>
      </c>
      <c r="F7051" s="3" t="s">
        <v>399</v>
      </c>
      <c r="I7051" s="3" t="s">
        <v>2369</v>
      </c>
    </row>
    <row r="7052" spans="2:9" hidden="1" x14ac:dyDescent="0.4">
      <c r="B7052" s="8" t="s">
        <v>515</v>
      </c>
      <c r="C7052" s="3" t="s">
        <v>11647</v>
      </c>
      <c r="D7052" s="3" t="s">
        <v>11580</v>
      </c>
      <c r="E7052" s="3" t="s">
        <v>1272</v>
      </c>
      <c r="F7052" s="3" t="s">
        <v>399</v>
      </c>
      <c r="I7052" s="3" t="s">
        <v>2369</v>
      </c>
    </row>
    <row r="7053" spans="2:9" hidden="1" x14ac:dyDescent="0.4">
      <c r="D7053" s="3" t="s">
        <v>11581</v>
      </c>
      <c r="E7053" s="3" t="s">
        <v>1272</v>
      </c>
      <c r="F7053" s="3" t="s">
        <v>399</v>
      </c>
      <c r="I7053" s="3" t="s">
        <v>2369</v>
      </c>
    </row>
    <row r="7054" spans="2:9" hidden="1" x14ac:dyDescent="0.4">
      <c r="D7054" s="3" t="s">
        <v>11582</v>
      </c>
      <c r="E7054" s="3" t="s">
        <v>1272</v>
      </c>
      <c r="F7054" s="3" t="s">
        <v>399</v>
      </c>
      <c r="I7054" s="3" t="s">
        <v>2369</v>
      </c>
    </row>
    <row r="7055" spans="2:9" hidden="1" x14ac:dyDescent="0.4">
      <c r="B7055" s="8" t="s">
        <v>1006</v>
      </c>
      <c r="C7055" s="3" t="s">
        <v>11648</v>
      </c>
      <c r="D7055" s="3" t="s">
        <v>11583</v>
      </c>
      <c r="E7055" s="3" t="s">
        <v>1272</v>
      </c>
      <c r="F7055" s="3" t="s">
        <v>399</v>
      </c>
      <c r="I7055" s="3" t="s">
        <v>2369</v>
      </c>
    </row>
    <row r="7056" spans="2:9" hidden="1" x14ac:dyDescent="0.4">
      <c r="D7056" s="3" t="s">
        <v>11584</v>
      </c>
      <c r="E7056" s="3" t="s">
        <v>1272</v>
      </c>
      <c r="F7056" s="3" t="s">
        <v>399</v>
      </c>
      <c r="I7056" s="3" t="s">
        <v>2369</v>
      </c>
    </row>
    <row r="7057" spans="2:9" hidden="1" x14ac:dyDescent="0.4">
      <c r="D7057" s="3" t="s">
        <v>11585</v>
      </c>
      <c r="E7057" s="3" t="s">
        <v>1272</v>
      </c>
      <c r="F7057" s="3" t="s">
        <v>399</v>
      </c>
      <c r="I7057" s="3" t="s">
        <v>2369</v>
      </c>
    </row>
    <row r="7058" spans="2:9" hidden="1" x14ac:dyDescent="0.4">
      <c r="D7058" s="3" t="s">
        <v>11586</v>
      </c>
      <c r="E7058" s="3" t="s">
        <v>1272</v>
      </c>
      <c r="F7058" s="3" t="s">
        <v>399</v>
      </c>
      <c r="I7058" s="3" t="s">
        <v>2369</v>
      </c>
    </row>
    <row r="7059" spans="2:9" hidden="1" x14ac:dyDescent="0.4">
      <c r="D7059" s="3" t="s">
        <v>11587</v>
      </c>
      <c r="E7059" s="3" t="s">
        <v>1272</v>
      </c>
      <c r="F7059" s="3" t="s">
        <v>399</v>
      </c>
      <c r="I7059" s="3" t="s">
        <v>2369</v>
      </c>
    </row>
    <row r="7060" spans="2:9" hidden="1" x14ac:dyDescent="0.4">
      <c r="B7060" s="8" t="s">
        <v>12209</v>
      </c>
      <c r="C7060" s="3" t="s">
        <v>11649</v>
      </c>
      <c r="D7060" s="3" t="s">
        <v>11588</v>
      </c>
      <c r="E7060" s="3" t="s">
        <v>1272</v>
      </c>
      <c r="F7060" s="3" t="s">
        <v>399</v>
      </c>
      <c r="I7060" s="3" t="s">
        <v>2369</v>
      </c>
    </row>
    <row r="7061" spans="2:9" hidden="1" x14ac:dyDescent="0.4">
      <c r="D7061" s="3" t="s">
        <v>11589</v>
      </c>
      <c r="E7061" s="3" t="s">
        <v>1272</v>
      </c>
      <c r="F7061" s="3" t="s">
        <v>399</v>
      </c>
      <c r="I7061" s="3" t="s">
        <v>2369</v>
      </c>
    </row>
    <row r="7062" spans="2:9" hidden="1" x14ac:dyDescent="0.4">
      <c r="D7062" s="3" t="s">
        <v>11590</v>
      </c>
      <c r="E7062" s="3" t="s">
        <v>1272</v>
      </c>
      <c r="F7062" s="3" t="s">
        <v>399</v>
      </c>
      <c r="I7062" s="3" t="s">
        <v>2369</v>
      </c>
    </row>
    <row r="7063" spans="2:9" hidden="1" x14ac:dyDescent="0.4">
      <c r="D7063" s="3" t="s">
        <v>11591</v>
      </c>
      <c r="E7063" s="3" t="s">
        <v>1272</v>
      </c>
      <c r="F7063" s="3" t="s">
        <v>399</v>
      </c>
      <c r="I7063" s="3" t="s">
        <v>2369</v>
      </c>
    </row>
    <row r="7064" spans="2:9" hidden="1" x14ac:dyDescent="0.4">
      <c r="D7064" s="3" t="s">
        <v>11592</v>
      </c>
      <c r="E7064" s="3" t="s">
        <v>1272</v>
      </c>
      <c r="F7064" s="3" t="s">
        <v>399</v>
      </c>
      <c r="I7064" s="3" t="s">
        <v>2369</v>
      </c>
    </row>
    <row r="7065" spans="2:9" hidden="1" x14ac:dyDescent="0.4">
      <c r="D7065" s="3" t="s">
        <v>11593</v>
      </c>
      <c r="E7065" s="3" t="s">
        <v>1272</v>
      </c>
      <c r="F7065" s="3" t="s">
        <v>399</v>
      </c>
      <c r="I7065" s="3" t="s">
        <v>2369</v>
      </c>
    </row>
    <row r="7066" spans="2:9" hidden="1" x14ac:dyDescent="0.4">
      <c r="D7066" s="3" t="s">
        <v>11594</v>
      </c>
      <c r="E7066" s="3" t="s">
        <v>1272</v>
      </c>
      <c r="F7066" s="3" t="s">
        <v>399</v>
      </c>
      <c r="I7066" s="3" t="s">
        <v>2369</v>
      </c>
    </row>
    <row r="7067" spans="2:9" hidden="1" x14ac:dyDescent="0.4">
      <c r="D7067" s="3" t="s">
        <v>11595</v>
      </c>
      <c r="E7067" s="3" t="s">
        <v>1272</v>
      </c>
      <c r="F7067" s="3" t="s">
        <v>399</v>
      </c>
      <c r="I7067" s="3" t="s">
        <v>2369</v>
      </c>
    </row>
    <row r="7068" spans="2:9" hidden="1" x14ac:dyDescent="0.4">
      <c r="D7068" s="3" t="s">
        <v>11596</v>
      </c>
      <c r="E7068" s="3" t="s">
        <v>1272</v>
      </c>
      <c r="F7068" s="3" t="s">
        <v>399</v>
      </c>
      <c r="I7068" s="3" t="s">
        <v>2369</v>
      </c>
    </row>
    <row r="7069" spans="2:9" hidden="1" x14ac:dyDescent="0.4">
      <c r="D7069" s="3" t="s">
        <v>11597</v>
      </c>
      <c r="E7069" s="3" t="s">
        <v>1272</v>
      </c>
      <c r="F7069" s="3" t="s">
        <v>399</v>
      </c>
      <c r="I7069" s="3" t="s">
        <v>2369</v>
      </c>
    </row>
    <row r="7070" spans="2:9" hidden="1" x14ac:dyDescent="0.4">
      <c r="D7070" s="3" t="s">
        <v>11598</v>
      </c>
      <c r="E7070" s="3" t="s">
        <v>1272</v>
      </c>
      <c r="F7070" s="3" t="s">
        <v>399</v>
      </c>
      <c r="I7070" s="3" t="s">
        <v>2369</v>
      </c>
    </row>
    <row r="7071" spans="2:9" hidden="1" x14ac:dyDescent="0.4">
      <c r="D7071" s="3" t="s">
        <v>11599</v>
      </c>
      <c r="E7071" s="3" t="s">
        <v>1272</v>
      </c>
      <c r="F7071" s="3" t="s">
        <v>399</v>
      </c>
      <c r="I7071" s="3" t="s">
        <v>2369</v>
      </c>
    </row>
    <row r="7072" spans="2:9" hidden="1" x14ac:dyDescent="0.4">
      <c r="D7072" s="3" t="s">
        <v>11600</v>
      </c>
      <c r="E7072" s="3" t="s">
        <v>1272</v>
      </c>
      <c r="F7072" s="3" t="s">
        <v>399</v>
      </c>
      <c r="I7072" s="3" t="s">
        <v>2369</v>
      </c>
    </row>
    <row r="7073" spans="4:9" hidden="1" x14ac:dyDescent="0.4">
      <c r="D7073" s="3" t="s">
        <v>11601</v>
      </c>
      <c r="E7073" s="3" t="s">
        <v>1272</v>
      </c>
      <c r="F7073" s="3" t="s">
        <v>399</v>
      </c>
      <c r="I7073" s="3" t="s">
        <v>2369</v>
      </c>
    </row>
    <row r="7074" spans="4:9" hidden="1" x14ac:dyDescent="0.4">
      <c r="D7074" s="3" t="s">
        <v>11602</v>
      </c>
      <c r="E7074" s="3" t="s">
        <v>1272</v>
      </c>
      <c r="F7074" s="3" t="s">
        <v>399</v>
      </c>
      <c r="I7074" s="3" t="s">
        <v>2369</v>
      </c>
    </row>
    <row r="7075" spans="4:9" hidden="1" x14ac:dyDescent="0.4">
      <c r="D7075" s="3" t="s">
        <v>11603</v>
      </c>
      <c r="E7075" s="3" t="s">
        <v>1272</v>
      </c>
      <c r="F7075" s="3" t="s">
        <v>399</v>
      </c>
      <c r="I7075" s="3" t="s">
        <v>2369</v>
      </c>
    </row>
    <row r="7076" spans="4:9" hidden="1" x14ac:dyDescent="0.4">
      <c r="D7076" s="3" t="s">
        <v>11604</v>
      </c>
      <c r="E7076" s="3" t="s">
        <v>1272</v>
      </c>
      <c r="F7076" s="3" t="s">
        <v>399</v>
      </c>
      <c r="I7076" s="3" t="s">
        <v>2369</v>
      </c>
    </row>
    <row r="7077" spans="4:9" hidden="1" x14ac:dyDescent="0.4">
      <c r="D7077" s="3" t="s">
        <v>11605</v>
      </c>
      <c r="E7077" s="3" t="s">
        <v>1272</v>
      </c>
      <c r="F7077" s="3" t="s">
        <v>399</v>
      </c>
      <c r="I7077" s="3" t="s">
        <v>2369</v>
      </c>
    </row>
    <row r="7078" spans="4:9" hidden="1" x14ac:dyDescent="0.4">
      <c r="D7078" s="3" t="s">
        <v>11606</v>
      </c>
      <c r="E7078" s="3" t="s">
        <v>1272</v>
      </c>
      <c r="F7078" s="3" t="s">
        <v>399</v>
      </c>
      <c r="I7078" s="3" t="s">
        <v>2369</v>
      </c>
    </row>
    <row r="7079" spans="4:9" hidden="1" x14ac:dyDescent="0.4">
      <c r="D7079" s="3" t="s">
        <v>11607</v>
      </c>
      <c r="E7079" s="3" t="s">
        <v>1272</v>
      </c>
      <c r="F7079" s="3" t="s">
        <v>399</v>
      </c>
      <c r="I7079" s="3" t="s">
        <v>2369</v>
      </c>
    </row>
    <row r="7080" spans="4:9" hidden="1" x14ac:dyDescent="0.4">
      <c r="D7080" s="3" t="s">
        <v>11608</v>
      </c>
      <c r="E7080" s="3" t="s">
        <v>1272</v>
      </c>
      <c r="F7080" s="3" t="s">
        <v>399</v>
      </c>
      <c r="I7080" s="3" t="s">
        <v>2369</v>
      </c>
    </row>
    <row r="7081" spans="4:9" hidden="1" x14ac:dyDescent="0.4">
      <c r="D7081" s="3" t="s">
        <v>11609</v>
      </c>
      <c r="E7081" s="3" t="s">
        <v>1272</v>
      </c>
      <c r="F7081" s="3" t="s">
        <v>399</v>
      </c>
      <c r="I7081" s="3" t="s">
        <v>2369</v>
      </c>
    </row>
    <row r="7082" spans="4:9" hidden="1" x14ac:dyDescent="0.4">
      <c r="D7082" s="3" t="s">
        <v>11610</v>
      </c>
      <c r="E7082" s="3" t="s">
        <v>1272</v>
      </c>
      <c r="F7082" s="3" t="s">
        <v>399</v>
      </c>
      <c r="I7082" s="3" t="s">
        <v>2369</v>
      </c>
    </row>
    <row r="7083" spans="4:9" hidden="1" x14ac:dyDescent="0.4">
      <c r="D7083" s="3" t="s">
        <v>11611</v>
      </c>
      <c r="E7083" s="3" t="s">
        <v>1272</v>
      </c>
      <c r="F7083" s="3" t="s">
        <v>399</v>
      </c>
      <c r="I7083" s="3" t="s">
        <v>2369</v>
      </c>
    </row>
    <row r="7084" spans="4:9" hidden="1" x14ac:dyDescent="0.4">
      <c r="D7084" s="3" t="s">
        <v>11612</v>
      </c>
      <c r="E7084" s="3" t="s">
        <v>1272</v>
      </c>
      <c r="F7084" s="3" t="s">
        <v>399</v>
      </c>
      <c r="I7084" s="3" t="s">
        <v>2369</v>
      </c>
    </row>
    <row r="7085" spans="4:9" hidden="1" x14ac:dyDescent="0.4">
      <c r="D7085" s="3" t="s">
        <v>11613</v>
      </c>
      <c r="E7085" s="3" t="s">
        <v>1272</v>
      </c>
      <c r="F7085" s="3" t="s">
        <v>399</v>
      </c>
      <c r="I7085" s="3" t="s">
        <v>2369</v>
      </c>
    </row>
    <row r="7086" spans="4:9" hidden="1" x14ac:dyDescent="0.4">
      <c r="D7086" s="3" t="s">
        <v>11614</v>
      </c>
      <c r="E7086" s="3" t="s">
        <v>1272</v>
      </c>
      <c r="F7086" s="3" t="s">
        <v>399</v>
      </c>
      <c r="I7086" s="3" t="s">
        <v>2369</v>
      </c>
    </row>
    <row r="7087" spans="4:9" hidden="1" x14ac:dyDescent="0.4">
      <c r="D7087" s="3" t="s">
        <v>11615</v>
      </c>
      <c r="E7087" s="3" t="s">
        <v>1272</v>
      </c>
      <c r="F7087" s="3" t="s">
        <v>399</v>
      </c>
      <c r="I7087" s="3" t="s">
        <v>2369</v>
      </c>
    </row>
    <row r="7088" spans="4:9" hidden="1" x14ac:dyDescent="0.4">
      <c r="D7088" s="3" t="s">
        <v>11616</v>
      </c>
      <c r="E7088" s="3" t="s">
        <v>1272</v>
      </c>
      <c r="F7088" s="3" t="s">
        <v>399</v>
      </c>
      <c r="I7088" s="3" t="s">
        <v>2369</v>
      </c>
    </row>
    <row r="7089" spans="2:9" hidden="1" x14ac:dyDescent="0.4">
      <c r="D7089" s="3" t="s">
        <v>11617</v>
      </c>
      <c r="E7089" s="3" t="s">
        <v>1272</v>
      </c>
      <c r="F7089" s="3" t="s">
        <v>399</v>
      </c>
      <c r="I7089" s="3" t="s">
        <v>2369</v>
      </c>
    </row>
    <row r="7090" spans="2:9" hidden="1" x14ac:dyDescent="0.4">
      <c r="D7090" s="3" t="s">
        <v>11618</v>
      </c>
      <c r="E7090" s="3" t="s">
        <v>1272</v>
      </c>
      <c r="F7090" s="3" t="s">
        <v>399</v>
      </c>
      <c r="I7090" s="3" t="s">
        <v>2369</v>
      </c>
    </row>
    <row r="7091" spans="2:9" hidden="1" x14ac:dyDescent="0.4">
      <c r="D7091" s="3" t="s">
        <v>11619</v>
      </c>
      <c r="E7091" s="3" t="s">
        <v>1272</v>
      </c>
      <c r="F7091" s="3" t="s">
        <v>399</v>
      </c>
      <c r="I7091" s="3" t="s">
        <v>2369</v>
      </c>
    </row>
    <row r="7092" spans="2:9" hidden="1" x14ac:dyDescent="0.4">
      <c r="D7092" s="3" t="s">
        <v>11620</v>
      </c>
      <c r="E7092" s="3" t="s">
        <v>1272</v>
      </c>
      <c r="F7092" s="3" t="s">
        <v>399</v>
      </c>
      <c r="I7092" s="3" t="s">
        <v>2369</v>
      </c>
    </row>
    <row r="7093" spans="2:9" hidden="1" x14ac:dyDescent="0.4">
      <c r="B7093" s="8" t="s">
        <v>517</v>
      </c>
      <c r="C7093" s="3" t="s">
        <v>11650</v>
      </c>
      <c r="D7093" s="3" t="s">
        <v>11621</v>
      </c>
      <c r="E7093" s="3" t="s">
        <v>1272</v>
      </c>
      <c r="F7093" s="3" t="s">
        <v>399</v>
      </c>
      <c r="I7093" s="3" t="s">
        <v>2369</v>
      </c>
    </row>
    <row r="7094" spans="2:9" hidden="1" x14ac:dyDescent="0.4">
      <c r="D7094" s="3" t="s">
        <v>11622</v>
      </c>
      <c r="E7094" s="3" t="s">
        <v>1272</v>
      </c>
      <c r="F7094" s="3" t="s">
        <v>399</v>
      </c>
      <c r="I7094" s="3" t="s">
        <v>2369</v>
      </c>
    </row>
    <row r="7095" spans="2:9" hidden="1" x14ac:dyDescent="0.4">
      <c r="D7095" s="3" t="s">
        <v>11651</v>
      </c>
      <c r="E7095" s="3" t="s">
        <v>1272</v>
      </c>
      <c r="F7095" s="3" t="s">
        <v>399</v>
      </c>
      <c r="I7095" s="3" t="s">
        <v>2369</v>
      </c>
    </row>
    <row r="7096" spans="2:9" hidden="1" x14ac:dyDescent="0.4">
      <c r="D7096" s="3" t="s">
        <v>11652</v>
      </c>
      <c r="E7096" s="3" t="s">
        <v>1272</v>
      </c>
      <c r="F7096" s="3" t="s">
        <v>399</v>
      </c>
      <c r="I7096" s="3" t="s">
        <v>2369</v>
      </c>
    </row>
    <row r="7097" spans="2:9" hidden="1" x14ac:dyDescent="0.4">
      <c r="D7097" s="3" t="s">
        <v>11653</v>
      </c>
      <c r="E7097" s="3" t="s">
        <v>1272</v>
      </c>
      <c r="F7097" s="3" t="s">
        <v>399</v>
      </c>
      <c r="I7097" s="3" t="s">
        <v>2369</v>
      </c>
    </row>
    <row r="7098" spans="2:9" hidden="1" x14ac:dyDescent="0.4">
      <c r="D7098" s="3" t="s">
        <v>11654</v>
      </c>
      <c r="E7098" s="3" t="s">
        <v>1272</v>
      </c>
      <c r="F7098" s="3" t="s">
        <v>399</v>
      </c>
      <c r="I7098" s="3" t="s">
        <v>2369</v>
      </c>
    </row>
    <row r="7099" spans="2:9" hidden="1" x14ac:dyDescent="0.4">
      <c r="D7099" s="3" t="s">
        <v>11655</v>
      </c>
      <c r="E7099" s="3" t="s">
        <v>1272</v>
      </c>
      <c r="F7099" s="3" t="s">
        <v>399</v>
      </c>
      <c r="I7099" s="3" t="s">
        <v>2369</v>
      </c>
    </row>
    <row r="7100" spans="2:9" hidden="1" x14ac:dyDescent="0.4">
      <c r="D7100" s="3" t="s">
        <v>11656</v>
      </c>
      <c r="E7100" s="3" t="s">
        <v>1272</v>
      </c>
      <c r="F7100" s="3" t="s">
        <v>399</v>
      </c>
      <c r="I7100" s="3" t="s">
        <v>2369</v>
      </c>
    </row>
    <row r="7101" spans="2:9" hidden="1" x14ac:dyDescent="0.4">
      <c r="D7101" s="3" t="s">
        <v>11657</v>
      </c>
      <c r="E7101" s="3" t="s">
        <v>1272</v>
      </c>
      <c r="F7101" s="3" t="s">
        <v>399</v>
      </c>
      <c r="I7101" s="3" t="s">
        <v>2369</v>
      </c>
    </row>
    <row r="7102" spans="2:9" hidden="1" x14ac:dyDescent="0.4">
      <c r="D7102" s="3" t="s">
        <v>11658</v>
      </c>
      <c r="E7102" s="3" t="s">
        <v>1272</v>
      </c>
      <c r="F7102" s="3" t="s">
        <v>399</v>
      </c>
      <c r="I7102" s="3" t="s">
        <v>2369</v>
      </c>
    </row>
    <row r="7103" spans="2:9" hidden="1" x14ac:dyDescent="0.4">
      <c r="D7103" s="3" t="s">
        <v>11659</v>
      </c>
      <c r="E7103" s="3" t="s">
        <v>1272</v>
      </c>
      <c r="F7103" s="3" t="s">
        <v>399</v>
      </c>
      <c r="I7103" s="3" t="s">
        <v>2369</v>
      </c>
    </row>
    <row r="7104" spans="2:9" hidden="1" x14ac:dyDescent="0.4">
      <c r="D7104" s="3" t="s">
        <v>11660</v>
      </c>
      <c r="E7104" s="3" t="s">
        <v>1272</v>
      </c>
      <c r="F7104" s="3" t="s">
        <v>399</v>
      </c>
      <c r="I7104" s="3" t="s">
        <v>2369</v>
      </c>
    </row>
    <row r="7105" spans="2:9" hidden="1" x14ac:dyDescent="0.4">
      <c r="B7105" s="8" t="s">
        <v>526</v>
      </c>
      <c r="C7105" s="3" t="s">
        <v>12210</v>
      </c>
      <c r="D7105" s="3" t="s">
        <v>11661</v>
      </c>
      <c r="E7105" s="3" t="s">
        <v>1272</v>
      </c>
      <c r="F7105" s="3" t="s">
        <v>399</v>
      </c>
      <c r="I7105" s="3" t="s">
        <v>2369</v>
      </c>
    </row>
    <row r="7106" spans="2:9" hidden="1" x14ac:dyDescent="0.4">
      <c r="B7106" s="8" t="s">
        <v>516</v>
      </c>
      <c r="C7106" s="3" t="s">
        <v>12211</v>
      </c>
      <c r="D7106" s="3" t="s">
        <v>11662</v>
      </c>
      <c r="E7106" s="3" t="s">
        <v>1272</v>
      </c>
      <c r="F7106" s="3" t="s">
        <v>399</v>
      </c>
      <c r="I7106" s="3" t="s">
        <v>2369</v>
      </c>
    </row>
    <row r="7107" spans="2:9" hidden="1" x14ac:dyDescent="0.4">
      <c r="B7107" s="8" t="s">
        <v>526</v>
      </c>
      <c r="C7107" s="3" t="s">
        <v>12212</v>
      </c>
      <c r="D7107" s="3" t="s">
        <v>11663</v>
      </c>
      <c r="E7107" s="3" t="s">
        <v>1272</v>
      </c>
      <c r="F7107" s="3" t="s">
        <v>399</v>
      </c>
      <c r="I7107" s="3" t="s">
        <v>2369</v>
      </c>
    </row>
    <row r="7108" spans="2:9" hidden="1" x14ac:dyDescent="0.4">
      <c r="D7108" s="3" t="s">
        <v>11664</v>
      </c>
      <c r="E7108" s="3" t="s">
        <v>1272</v>
      </c>
      <c r="F7108" s="3" t="s">
        <v>399</v>
      </c>
      <c r="I7108" s="3" t="s">
        <v>2369</v>
      </c>
    </row>
    <row r="7109" spans="2:9" hidden="1" x14ac:dyDescent="0.4">
      <c r="D7109" s="3" t="s">
        <v>11665</v>
      </c>
      <c r="E7109" s="3" t="s">
        <v>1272</v>
      </c>
      <c r="F7109" s="3" t="s">
        <v>399</v>
      </c>
      <c r="I7109" s="3" t="s">
        <v>2369</v>
      </c>
    </row>
    <row r="7110" spans="2:9" hidden="1" x14ac:dyDescent="0.4">
      <c r="D7110" s="3" t="s">
        <v>11666</v>
      </c>
      <c r="E7110" s="3" t="s">
        <v>1272</v>
      </c>
      <c r="F7110" s="3" t="s">
        <v>399</v>
      </c>
      <c r="I7110" s="3" t="s">
        <v>2369</v>
      </c>
    </row>
    <row r="7111" spans="2:9" hidden="1" x14ac:dyDescent="0.4">
      <c r="D7111" s="3" t="s">
        <v>11667</v>
      </c>
      <c r="E7111" s="3" t="s">
        <v>1272</v>
      </c>
      <c r="F7111" s="3" t="s">
        <v>399</v>
      </c>
      <c r="I7111" s="3" t="s">
        <v>2369</v>
      </c>
    </row>
    <row r="7112" spans="2:9" hidden="1" x14ac:dyDescent="0.4">
      <c r="D7112" s="3" t="s">
        <v>11668</v>
      </c>
      <c r="E7112" s="3" t="s">
        <v>1272</v>
      </c>
      <c r="F7112" s="3" t="s">
        <v>399</v>
      </c>
      <c r="I7112" s="3" t="s">
        <v>2369</v>
      </c>
    </row>
    <row r="7113" spans="2:9" hidden="1" x14ac:dyDescent="0.4">
      <c r="D7113" s="3" t="s">
        <v>11669</v>
      </c>
      <c r="E7113" s="3" t="s">
        <v>1272</v>
      </c>
      <c r="F7113" s="3" t="s">
        <v>399</v>
      </c>
      <c r="I7113" s="3" t="s">
        <v>2369</v>
      </c>
    </row>
    <row r="7114" spans="2:9" hidden="1" x14ac:dyDescent="0.4">
      <c r="D7114" s="3" t="s">
        <v>11670</v>
      </c>
      <c r="E7114" s="3" t="s">
        <v>1272</v>
      </c>
      <c r="F7114" s="3" t="s">
        <v>399</v>
      </c>
      <c r="I7114" s="3" t="s">
        <v>2369</v>
      </c>
    </row>
    <row r="7115" spans="2:9" hidden="1" x14ac:dyDescent="0.4">
      <c r="D7115" s="3" t="s">
        <v>11671</v>
      </c>
      <c r="E7115" s="3" t="s">
        <v>1272</v>
      </c>
      <c r="F7115" s="3" t="s">
        <v>399</v>
      </c>
      <c r="I7115" s="3" t="s">
        <v>2369</v>
      </c>
    </row>
    <row r="7116" spans="2:9" hidden="1" x14ac:dyDescent="0.4">
      <c r="D7116" s="3" t="s">
        <v>11672</v>
      </c>
      <c r="E7116" s="3" t="s">
        <v>1272</v>
      </c>
      <c r="F7116" s="3" t="s">
        <v>399</v>
      </c>
      <c r="I7116" s="3" t="s">
        <v>2369</v>
      </c>
    </row>
    <row r="7117" spans="2:9" hidden="1" x14ac:dyDescent="0.4">
      <c r="D7117" s="3" t="s">
        <v>11673</v>
      </c>
      <c r="E7117" s="3" t="s">
        <v>1272</v>
      </c>
      <c r="F7117" s="3" t="s">
        <v>399</v>
      </c>
      <c r="I7117" s="3" t="s">
        <v>2369</v>
      </c>
    </row>
    <row r="7118" spans="2:9" hidden="1" x14ac:dyDescent="0.4">
      <c r="D7118" s="3" t="s">
        <v>11674</v>
      </c>
      <c r="E7118" s="3" t="s">
        <v>1272</v>
      </c>
      <c r="F7118" s="3" t="s">
        <v>399</v>
      </c>
      <c r="I7118" s="3" t="s">
        <v>2369</v>
      </c>
    </row>
    <row r="7119" spans="2:9" hidden="1" x14ac:dyDescent="0.4">
      <c r="D7119" s="3" t="s">
        <v>11675</v>
      </c>
      <c r="E7119" s="3" t="s">
        <v>1272</v>
      </c>
      <c r="F7119" s="3" t="s">
        <v>399</v>
      </c>
      <c r="I7119" s="3" t="s">
        <v>2369</v>
      </c>
    </row>
    <row r="7120" spans="2:9" hidden="1" x14ac:dyDescent="0.4">
      <c r="D7120" s="3" t="s">
        <v>11676</v>
      </c>
      <c r="E7120" s="3" t="s">
        <v>1272</v>
      </c>
      <c r="F7120" s="3" t="s">
        <v>399</v>
      </c>
      <c r="I7120" s="3" t="s">
        <v>2369</v>
      </c>
    </row>
    <row r="7121" spans="2:9" hidden="1" x14ac:dyDescent="0.4">
      <c r="D7121" s="3" t="s">
        <v>11677</v>
      </c>
      <c r="E7121" s="3" t="s">
        <v>1272</v>
      </c>
      <c r="F7121" s="3" t="s">
        <v>399</v>
      </c>
      <c r="I7121" s="3" t="s">
        <v>2369</v>
      </c>
    </row>
    <row r="7122" spans="2:9" hidden="1" x14ac:dyDescent="0.4">
      <c r="D7122" s="3" t="s">
        <v>11678</v>
      </c>
      <c r="E7122" s="3" t="s">
        <v>1272</v>
      </c>
      <c r="F7122" s="3" t="s">
        <v>399</v>
      </c>
      <c r="I7122" s="3" t="s">
        <v>2369</v>
      </c>
    </row>
    <row r="7123" spans="2:9" hidden="1" x14ac:dyDescent="0.4">
      <c r="D7123" s="3" t="s">
        <v>11679</v>
      </c>
      <c r="E7123" s="3" t="s">
        <v>1272</v>
      </c>
      <c r="F7123" s="3" t="s">
        <v>399</v>
      </c>
      <c r="I7123" s="3" t="s">
        <v>2369</v>
      </c>
    </row>
    <row r="7124" spans="2:9" hidden="1" x14ac:dyDescent="0.4">
      <c r="D7124" s="3" t="s">
        <v>11680</v>
      </c>
      <c r="E7124" s="3" t="s">
        <v>1272</v>
      </c>
      <c r="F7124" s="3" t="s">
        <v>399</v>
      </c>
      <c r="I7124" s="3" t="s">
        <v>2369</v>
      </c>
    </row>
    <row r="7125" spans="2:9" hidden="1" x14ac:dyDescent="0.4">
      <c r="B7125" s="8" t="s">
        <v>517</v>
      </c>
      <c r="C7125" s="3" t="s">
        <v>12213</v>
      </c>
      <c r="D7125" s="3" t="s">
        <v>11681</v>
      </c>
      <c r="E7125" s="3" t="s">
        <v>1272</v>
      </c>
      <c r="F7125" s="3" t="s">
        <v>399</v>
      </c>
      <c r="I7125" s="3" t="s">
        <v>2369</v>
      </c>
    </row>
    <row r="7126" spans="2:9" hidden="1" x14ac:dyDescent="0.4">
      <c r="B7126" s="8" t="s">
        <v>529</v>
      </c>
      <c r="C7126" s="3" t="s">
        <v>12214</v>
      </c>
      <c r="D7126" s="3" t="s">
        <v>11682</v>
      </c>
      <c r="E7126" s="3" t="s">
        <v>1272</v>
      </c>
      <c r="F7126" s="3" t="s">
        <v>399</v>
      </c>
      <c r="I7126" s="3" t="s">
        <v>2369</v>
      </c>
    </row>
    <row r="7127" spans="2:9" hidden="1" x14ac:dyDescent="0.4">
      <c r="D7127" s="3" t="s">
        <v>11683</v>
      </c>
      <c r="E7127" s="3" t="s">
        <v>1272</v>
      </c>
      <c r="F7127" s="3" t="s">
        <v>399</v>
      </c>
      <c r="I7127" s="3" t="s">
        <v>2369</v>
      </c>
    </row>
    <row r="7128" spans="2:9" hidden="1" x14ac:dyDescent="0.4">
      <c r="D7128" s="3" t="s">
        <v>11684</v>
      </c>
      <c r="E7128" s="3" t="s">
        <v>1272</v>
      </c>
      <c r="F7128" s="3" t="s">
        <v>399</v>
      </c>
      <c r="I7128" s="3" t="s">
        <v>2369</v>
      </c>
    </row>
    <row r="7129" spans="2:9" hidden="1" x14ac:dyDescent="0.4">
      <c r="D7129" s="3" t="s">
        <v>11685</v>
      </c>
      <c r="E7129" s="3" t="s">
        <v>1272</v>
      </c>
      <c r="F7129" s="3" t="s">
        <v>399</v>
      </c>
      <c r="I7129" s="3" t="s">
        <v>2369</v>
      </c>
    </row>
    <row r="7130" spans="2:9" hidden="1" x14ac:dyDescent="0.4">
      <c r="D7130" s="3" t="s">
        <v>11686</v>
      </c>
      <c r="E7130" s="3" t="s">
        <v>1272</v>
      </c>
      <c r="F7130" s="3" t="s">
        <v>399</v>
      </c>
      <c r="I7130" s="3" t="s">
        <v>2369</v>
      </c>
    </row>
    <row r="7131" spans="2:9" hidden="1" x14ac:dyDescent="0.4">
      <c r="D7131" s="3" t="s">
        <v>11687</v>
      </c>
      <c r="E7131" s="3" t="s">
        <v>1272</v>
      </c>
      <c r="F7131" s="3" t="s">
        <v>399</v>
      </c>
      <c r="I7131" s="3" t="s">
        <v>2369</v>
      </c>
    </row>
    <row r="7132" spans="2:9" hidden="1" x14ac:dyDescent="0.4">
      <c r="D7132" s="3" t="s">
        <v>11688</v>
      </c>
      <c r="E7132" s="3" t="s">
        <v>1272</v>
      </c>
      <c r="F7132" s="3" t="s">
        <v>399</v>
      </c>
      <c r="I7132" s="3" t="s">
        <v>2369</v>
      </c>
    </row>
    <row r="7133" spans="2:9" hidden="1" x14ac:dyDescent="0.4">
      <c r="D7133" s="3" t="s">
        <v>11689</v>
      </c>
      <c r="E7133" s="3" t="s">
        <v>1272</v>
      </c>
      <c r="F7133" s="3" t="s">
        <v>399</v>
      </c>
      <c r="I7133" s="3" t="s">
        <v>2369</v>
      </c>
    </row>
    <row r="7134" spans="2:9" hidden="1" x14ac:dyDescent="0.4">
      <c r="D7134" s="3" t="s">
        <v>11690</v>
      </c>
      <c r="E7134" s="3" t="s">
        <v>1272</v>
      </c>
      <c r="F7134" s="3" t="s">
        <v>399</v>
      </c>
      <c r="I7134" s="3" t="s">
        <v>2369</v>
      </c>
    </row>
    <row r="7135" spans="2:9" hidden="1" x14ac:dyDescent="0.4">
      <c r="D7135" s="3" t="s">
        <v>11691</v>
      </c>
      <c r="E7135" s="3" t="s">
        <v>1272</v>
      </c>
      <c r="F7135" s="3" t="s">
        <v>399</v>
      </c>
      <c r="I7135" s="3" t="s">
        <v>2369</v>
      </c>
    </row>
    <row r="7136" spans="2:9" hidden="1" x14ac:dyDescent="0.4">
      <c r="D7136" s="3" t="s">
        <v>11692</v>
      </c>
      <c r="E7136" s="3" t="s">
        <v>1272</v>
      </c>
      <c r="F7136" s="3" t="s">
        <v>399</v>
      </c>
      <c r="I7136" s="3" t="s">
        <v>2369</v>
      </c>
    </row>
    <row r="7137" spans="2:9" hidden="1" x14ac:dyDescent="0.4">
      <c r="D7137" s="3" t="s">
        <v>11693</v>
      </c>
      <c r="E7137" s="3" t="s">
        <v>1272</v>
      </c>
      <c r="F7137" s="3" t="s">
        <v>399</v>
      </c>
      <c r="I7137" s="3" t="s">
        <v>2369</v>
      </c>
    </row>
    <row r="7138" spans="2:9" hidden="1" x14ac:dyDescent="0.4">
      <c r="D7138" s="3" t="s">
        <v>11694</v>
      </c>
      <c r="E7138" s="3" t="s">
        <v>1272</v>
      </c>
      <c r="F7138" s="3" t="s">
        <v>399</v>
      </c>
      <c r="I7138" s="3" t="s">
        <v>2369</v>
      </c>
    </row>
    <row r="7139" spans="2:9" hidden="1" x14ac:dyDescent="0.4">
      <c r="D7139" s="3" t="s">
        <v>11695</v>
      </c>
      <c r="E7139" s="3" t="s">
        <v>1272</v>
      </c>
      <c r="F7139" s="3" t="s">
        <v>399</v>
      </c>
      <c r="I7139" s="3" t="s">
        <v>2369</v>
      </c>
    </row>
    <row r="7140" spans="2:9" hidden="1" x14ac:dyDescent="0.4">
      <c r="D7140" s="3" t="s">
        <v>11696</v>
      </c>
      <c r="E7140" s="3" t="s">
        <v>1272</v>
      </c>
      <c r="F7140" s="3" t="s">
        <v>399</v>
      </c>
      <c r="I7140" s="3" t="s">
        <v>2369</v>
      </c>
    </row>
    <row r="7141" spans="2:9" hidden="1" x14ac:dyDescent="0.4">
      <c r="D7141" s="3" t="s">
        <v>11697</v>
      </c>
      <c r="E7141" s="3" t="s">
        <v>1272</v>
      </c>
      <c r="F7141" s="3" t="s">
        <v>399</v>
      </c>
      <c r="I7141" s="3" t="s">
        <v>2369</v>
      </c>
    </row>
    <row r="7142" spans="2:9" hidden="1" x14ac:dyDescent="0.4">
      <c r="D7142" s="3" t="s">
        <v>11698</v>
      </c>
      <c r="E7142" s="3" t="s">
        <v>1272</v>
      </c>
      <c r="F7142" s="3" t="s">
        <v>399</v>
      </c>
      <c r="I7142" s="3" t="s">
        <v>2369</v>
      </c>
    </row>
    <row r="7143" spans="2:9" hidden="1" x14ac:dyDescent="0.4">
      <c r="D7143" s="3" t="s">
        <v>11699</v>
      </c>
      <c r="E7143" s="3" t="s">
        <v>1272</v>
      </c>
      <c r="F7143" s="3" t="s">
        <v>399</v>
      </c>
      <c r="I7143" s="3" t="s">
        <v>2369</v>
      </c>
    </row>
    <row r="7144" spans="2:9" hidden="1" x14ac:dyDescent="0.4">
      <c r="D7144" s="3" t="s">
        <v>11700</v>
      </c>
      <c r="E7144" s="3" t="s">
        <v>1272</v>
      </c>
      <c r="F7144" s="3" t="s">
        <v>399</v>
      </c>
      <c r="I7144" s="3" t="s">
        <v>2369</v>
      </c>
    </row>
    <row r="7145" spans="2:9" hidden="1" x14ac:dyDescent="0.4">
      <c r="D7145" s="3" t="s">
        <v>11701</v>
      </c>
      <c r="E7145" s="3" t="s">
        <v>1272</v>
      </c>
      <c r="F7145" s="3" t="s">
        <v>399</v>
      </c>
      <c r="I7145" s="3" t="s">
        <v>2369</v>
      </c>
    </row>
    <row r="7146" spans="2:9" hidden="1" x14ac:dyDescent="0.4">
      <c r="D7146" s="3" t="s">
        <v>11702</v>
      </c>
      <c r="E7146" s="3" t="s">
        <v>1272</v>
      </c>
      <c r="F7146" s="3" t="s">
        <v>399</v>
      </c>
      <c r="I7146" s="3" t="s">
        <v>2369</v>
      </c>
    </row>
    <row r="7147" spans="2:9" hidden="1" x14ac:dyDescent="0.4">
      <c r="B7147" s="8" t="s">
        <v>517</v>
      </c>
      <c r="C7147" s="3" t="s">
        <v>12215</v>
      </c>
      <c r="D7147" s="3" t="s">
        <v>11703</v>
      </c>
      <c r="E7147" s="3" t="s">
        <v>1272</v>
      </c>
      <c r="F7147" s="3" t="s">
        <v>399</v>
      </c>
      <c r="I7147" s="3" t="s">
        <v>2369</v>
      </c>
    </row>
    <row r="7148" spans="2:9" hidden="1" x14ac:dyDescent="0.4">
      <c r="B7148" s="8" t="s">
        <v>1711</v>
      </c>
      <c r="C7148" s="3" t="s">
        <v>12216</v>
      </c>
      <c r="D7148" s="3" t="s">
        <v>11703</v>
      </c>
      <c r="E7148" s="3" t="s">
        <v>1272</v>
      </c>
      <c r="F7148" s="3" t="s">
        <v>399</v>
      </c>
      <c r="I7148" s="3" t="s">
        <v>2369</v>
      </c>
    </row>
    <row r="7149" spans="2:9" hidden="1" x14ac:dyDescent="0.4">
      <c r="B7149" s="8" t="s">
        <v>517</v>
      </c>
      <c r="C7149" s="3" t="s">
        <v>12217</v>
      </c>
      <c r="D7149" s="3" t="s">
        <v>11704</v>
      </c>
      <c r="E7149" s="3" t="s">
        <v>1272</v>
      </c>
      <c r="F7149" s="3" t="s">
        <v>399</v>
      </c>
      <c r="I7149" s="3" t="s">
        <v>2369</v>
      </c>
    </row>
    <row r="7150" spans="2:9" hidden="1" x14ac:dyDescent="0.4">
      <c r="D7150" s="3" t="s">
        <v>11705</v>
      </c>
      <c r="E7150" s="3" t="s">
        <v>1272</v>
      </c>
      <c r="F7150" s="3" t="s">
        <v>399</v>
      </c>
      <c r="I7150" s="3" t="s">
        <v>2369</v>
      </c>
    </row>
    <row r="7151" spans="2:9" hidden="1" x14ac:dyDescent="0.4">
      <c r="D7151" s="3" t="s">
        <v>11706</v>
      </c>
      <c r="E7151" s="3" t="s">
        <v>1272</v>
      </c>
      <c r="F7151" s="3" t="s">
        <v>399</v>
      </c>
      <c r="I7151" s="3" t="s">
        <v>2369</v>
      </c>
    </row>
    <row r="7152" spans="2:9" hidden="1" x14ac:dyDescent="0.4">
      <c r="B7152" s="8" t="s">
        <v>2042</v>
      </c>
      <c r="C7152" s="3" t="s">
        <v>12218</v>
      </c>
      <c r="D7152" s="3" t="s">
        <v>11592</v>
      </c>
      <c r="E7152" s="3" t="s">
        <v>1272</v>
      </c>
      <c r="F7152" s="3" t="s">
        <v>399</v>
      </c>
      <c r="I7152" s="3" t="s">
        <v>2369</v>
      </c>
    </row>
    <row r="7153" spans="2:9" hidden="1" x14ac:dyDescent="0.4">
      <c r="B7153" s="8" t="s">
        <v>512</v>
      </c>
      <c r="C7153" s="3" t="s">
        <v>12219</v>
      </c>
      <c r="D7153" s="3" t="s">
        <v>11592</v>
      </c>
      <c r="E7153" s="3" t="s">
        <v>1272</v>
      </c>
      <c r="F7153" s="3" t="s">
        <v>399</v>
      </c>
      <c r="I7153" s="3" t="s">
        <v>2369</v>
      </c>
    </row>
    <row r="7154" spans="2:9" ht="29.25" hidden="1" x14ac:dyDescent="0.4">
      <c r="B7154" s="8" t="s">
        <v>12221</v>
      </c>
      <c r="C7154" s="3" t="s">
        <v>12220</v>
      </c>
      <c r="D7154" s="3" t="s">
        <v>11592</v>
      </c>
      <c r="E7154" s="3" t="s">
        <v>1272</v>
      </c>
      <c r="F7154" s="3" t="s">
        <v>399</v>
      </c>
      <c r="I7154" s="3" t="s">
        <v>2369</v>
      </c>
    </row>
    <row r="7155" spans="2:9" hidden="1" x14ac:dyDescent="0.4">
      <c r="B7155" s="8" t="s">
        <v>516</v>
      </c>
      <c r="C7155" s="3" t="s">
        <v>12222</v>
      </c>
      <c r="D7155" s="3" t="s">
        <v>11707</v>
      </c>
      <c r="E7155" s="3" t="s">
        <v>1272</v>
      </c>
      <c r="F7155" s="3" t="s">
        <v>399</v>
      </c>
      <c r="I7155" s="3" t="s">
        <v>2369</v>
      </c>
    </row>
    <row r="7156" spans="2:9" hidden="1" x14ac:dyDescent="0.4">
      <c r="D7156" s="3" t="s">
        <v>11708</v>
      </c>
      <c r="E7156" s="3" t="s">
        <v>1272</v>
      </c>
      <c r="F7156" s="3" t="s">
        <v>399</v>
      </c>
      <c r="I7156" s="3" t="s">
        <v>2369</v>
      </c>
    </row>
    <row r="7157" spans="2:9" hidden="1" x14ac:dyDescent="0.4">
      <c r="D7157" s="3" t="s">
        <v>11709</v>
      </c>
      <c r="E7157" s="3" t="s">
        <v>1272</v>
      </c>
      <c r="F7157" s="3" t="s">
        <v>399</v>
      </c>
      <c r="I7157" s="3" t="s">
        <v>2369</v>
      </c>
    </row>
    <row r="7158" spans="2:9" hidden="1" x14ac:dyDescent="0.4">
      <c r="B7158" s="8" t="s">
        <v>516</v>
      </c>
      <c r="C7158" s="3" t="s">
        <v>12223</v>
      </c>
      <c r="D7158" s="3" t="s">
        <v>11710</v>
      </c>
      <c r="E7158" s="3" t="s">
        <v>1272</v>
      </c>
      <c r="F7158" s="3" t="s">
        <v>399</v>
      </c>
      <c r="I7158" s="3" t="s">
        <v>2369</v>
      </c>
    </row>
    <row r="7159" spans="2:9" hidden="1" x14ac:dyDescent="0.4">
      <c r="B7159" s="8" t="s">
        <v>526</v>
      </c>
      <c r="C7159" s="3" t="s">
        <v>12224</v>
      </c>
      <c r="D7159" s="3" t="s">
        <v>11711</v>
      </c>
      <c r="E7159" s="3" t="s">
        <v>1272</v>
      </c>
      <c r="F7159" s="3" t="s">
        <v>399</v>
      </c>
      <c r="I7159" s="3" t="s">
        <v>2369</v>
      </c>
    </row>
    <row r="7160" spans="2:9" hidden="1" x14ac:dyDescent="0.4">
      <c r="D7160" s="3" t="s">
        <v>11712</v>
      </c>
      <c r="E7160" s="3" t="s">
        <v>1272</v>
      </c>
      <c r="F7160" s="3" t="s">
        <v>399</v>
      </c>
      <c r="I7160" s="3" t="s">
        <v>2369</v>
      </c>
    </row>
    <row r="7161" spans="2:9" hidden="1" x14ac:dyDescent="0.4">
      <c r="B7161" s="8" t="s">
        <v>518</v>
      </c>
      <c r="C7161" s="3" t="s">
        <v>12225</v>
      </c>
      <c r="D7161" s="3" t="s">
        <v>11713</v>
      </c>
      <c r="E7161" s="3" t="s">
        <v>1272</v>
      </c>
      <c r="F7161" s="3" t="s">
        <v>399</v>
      </c>
      <c r="I7161" s="3" t="s">
        <v>2369</v>
      </c>
    </row>
    <row r="7162" spans="2:9" hidden="1" x14ac:dyDescent="0.4">
      <c r="B7162" s="8" t="s">
        <v>12226</v>
      </c>
      <c r="C7162" s="3" t="s">
        <v>12227</v>
      </c>
      <c r="D7162" s="3" t="s">
        <v>11714</v>
      </c>
      <c r="E7162" s="3" t="s">
        <v>1272</v>
      </c>
      <c r="F7162" s="3" t="s">
        <v>399</v>
      </c>
      <c r="I7162" s="3" t="s">
        <v>2369</v>
      </c>
    </row>
    <row r="7163" spans="2:9" hidden="1" x14ac:dyDescent="0.4">
      <c r="B7163" s="8" t="s">
        <v>1004</v>
      </c>
      <c r="C7163" s="3" t="s">
        <v>12228</v>
      </c>
      <c r="D7163" s="3" t="s">
        <v>11715</v>
      </c>
      <c r="E7163" s="3" t="s">
        <v>1272</v>
      </c>
      <c r="F7163" s="3" t="s">
        <v>399</v>
      </c>
      <c r="I7163" s="3" t="s">
        <v>2369</v>
      </c>
    </row>
    <row r="7164" spans="2:9" hidden="1" x14ac:dyDescent="0.4">
      <c r="D7164" s="3" t="s">
        <v>11716</v>
      </c>
      <c r="E7164" s="3" t="s">
        <v>1272</v>
      </c>
      <c r="F7164" s="3" t="s">
        <v>399</v>
      </c>
      <c r="I7164" s="3" t="s">
        <v>2369</v>
      </c>
    </row>
    <row r="7165" spans="2:9" hidden="1" x14ac:dyDescent="0.4">
      <c r="D7165" s="3" t="s">
        <v>11717</v>
      </c>
      <c r="E7165" s="3" t="s">
        <v>1272</v>
      </c>
      <c r="F7165" s="3" t="s">
        <v>399</v>
      </c>
      <c r="I7165" s="3" t="s">
        <v>2369</v>
      </c>
    </row>
    <row r="7166" spans="2:9" hidden="1" x14ac:dyDescent="0.4">
      <c r="D7166" s="3" t="s">
        <v>11718</v>
      </c>
      <c r="E7166" s="3" t="s">
        <v>1272</v>
      </c>
      <c r="F7166" s="3" t="s">
        <v>399</v>
      </c>
      <c r="I7166" s="3" t="s">
        <v>2369</v>
      </c>
    </row>
    <row r="7167" spans="2:9" hidden="1" x14ac:dyDescent="0.4">
      <c r="D7167" s="3" t="s">
        <v>11719</v>
      </c>
      <c r="E7167" s="3" t="s">
        <v>1272</v>
      </c>
      <c r="F7167" s="3" t="s">
        <v>399</v>
      </c>
      <c r="I7167" s="3" t="s">
        <v>2369</v>
      </c>
    </row>
    <row r="7168" spans="2:9" hidden="1" x14ac:dyDescent="0.4">
      <c r="B7168" s="8" t="s">
        <v>6734</v>
      </c>
      <c r="C7168" s="3" t="s">
        <v>12229</v>
      </c>
      <c r="D7168" s="3" t="s">
        <v>11720</v>
      </c>
      <c r="E7168" s="3" t="s">
        <v>1272</v>
      </c>
      <c r="F7168" s="3" t="s">
        <v>399</v>
      </c>
      <c r="I7168" s="3" t="s">
        <v>2369</v>
      </c>
    </row>
    <row r="7169" spans="2:9" hidden="1" x14ac:dyDescent="0.4">
      <c r="D7169" s="3" t="s">
        <v>11721</v>
      </c>
      <c r="E7169" s="3" t="s">
        <v>1272</v>
      </c>
      <c r="F7169" s="3" t="s">
        <v>399</v>
      </c>
      <c r="I7169" s="3" t="s">
        <v>2369</v>
      </c>
    </row>
    <row r="7170" spans="2:9" hidden="1" x14ac:dyDescent="0.4">
      <c r="D7170" s="3" t="s">
        <v>11722</v>
      </c>
      <c r="E7170" s="3" t="s">
        <v>1272</v>
      </c>
      <c r="F7170" s="3" t="s">
        <v>399</v>
      </c>
      <c r="I7170" s="3" t="s">
        <v>2369</v>
      </c>
    </row>
    <row r="7171" spans="2:9" hidden="1" x14ac:dyDescent="0.4">
      <c r="D7171" s="3" t="s">
        <v>11723</v>
      </c>
      <c r="E7171" s="3" t="s">
        <v>1272</v>
      </c>
      <c r="F7171" s="3" t="s">
        <v>399</v>
      </c>
      <c r="I7171" s="3" t="s">
        <v>2369</v>
      </c>
    </row>
    <row r="7172" spans="2:9" hidden="1" x14ac:dyDescent="0.4">
      <c r="B7172" s="8" t="s">
        <v>518</v>
      </c>
      <c r="C7172" s="3" t="s">
        <v>12230</v>
      </c>
      <c r="D7172" s="3" t="s">
        <v>11724</v>
      </c>
      <c r="E7172" s="3" t="s">
        <v>1272</v>
      </c>
      <c r="F7172" s="3" t="s">
        <v>399</v>
      </c>
      <c r="I7172" s="3" t="s">
        <v>2369</v>
      </c>
    </row>
    <row r="7173" spans="2:9" hidden="1" x14ac:dyDescent="0.4">
      <c r="B7173" s="8" t="s">
        <v>518</v>
      </c>
      <c r="C7173" s="3" t="s">
        <v>12231</v>
      </c>
      <c r="D7173" s="3" t="s">
        <v>11724</v>
      </c>
      <c r="E7173" s="3" t="s">
        <v>1272</v>
      </c>
      <c r="F7173" s="3" t="s">
        <v>399</v>
      </c>
      <c r="I7173" s="3" t="s">
        <v>2369</v>
      </c>
    </row>
    <row r="7174" spans="2:9" hidden="1" x14ac:dyDescent="0.4">
      <c r="D7174" s="3" t="s">
        <v>11725</v>
      </c>
      <c r="E7174" s="3" t="s">
        <v>1272</v>
      </c>
      <c r="F7174" s="3" t="s">
        <v>399</v>
      </c>
      <c r="I7174" s="3" t="s">
        <v>2369</v>
      </c>
    </row>
    <row r="7175" spans="2:9" hidden="1" x14ac:dyDescent="0.4">
      <c r="D7175" s="3" t="s">
        <v>11726</v>
      </c>
      <c r="E7175" s="3" t="s">
        <v>1272</v>
      </c>
      <c r="F7175" s="3" t="s">
        <v>399</v>
      </c>
      <c r="I7175" s="3" t="s">
        <v>2369</v>
      </c>
    </row>
    <row r="7176" spans="2:9" hidden="1" x14ac:dyDescent="0.4">
      <c r="B7176" s="8" t="s">
        <v>6734</v>
      </c>
      <c r="C7176" s="3" t="s">
        <v>12232</v>
      </c>
      <c r="D7176" s="3" t="s">
        <v>11727</v>
      </c>
      <c r="E7176" s="3" t="s">
        <v>1272</v>
      </c>
      <c r="F7176" s="3" t="s">
        <v>399</v>
      </c>
      <c r="I7176" s="3" t="s">
        <v>2369</v>
      </c>
    </row>
    <row r="7177" spans="2:9" hidden="1" x14ac:dyDescent="0.4">
      <c r="D7177" s="3" t="s">
        <v>11728</v>
      </c>
      <c r="E7177" s="3" t="s">
        <v>1272</v>
      </c>
      <c r="F7177" s="3" t="s">
        <v>399</v>
      </c>
      <c r="I7177" s="3" t="s">
        <v>2369</v>
      </c>
    </row>
    <row r="7178" spans="2:9" hidden="1" x14ac:dyDescent="0.4">
      <c r="D7178" s="3" t="s">
        <v>11729</v>
      </c>
      <c r="E7178" s="3" t="s">
        <v>1272</v>
      </c>
      <c r="F7178" s="3" t="s">
        <v>399</v>
      </c>
      <c r="I7178" s="3" t="s">
        <v>2369</v>
      </c>
    </row>
    <row r="7179" spans="2:9" hidden="1" x14ac:dyDescent="0.4">
      <c r="D7179" s="3" t="s">
        <v>11730</v>
      </c>
      <c r="E7179" s="3" t="s">
        <v>1272</v>
      </c>
      <c r="F7179" s="3" t="s">
        <v>399</v>
      </c>
      <c r="I7179" s="3" t="s">
        <v>2369</v>
      </c>
    </row>
    <row r="7180" spans="2:9" hidden="1" x14ac:dyDescent="0.4">
      <c r="D7180" s="3" t="s">
        <v>11731</v>
      </c>
      <c r="E7180" s="3" t="s">
        <v>1272</v>
      </c>
      <c r="F7180" s="3" t="s">
        <v>399</v>
      </c>
      <c r="I7180" s="3" t="s">
        <v>2369</v>
      </c>
    </row>
    <row r="7181" spans="2:9" hidden="1" x14ac:dyDescent="0.4">
      <c r="D7181" s="3" t="s">
        <v>11732</v>
      </c>
      <c r="E7181" s="3" t="s">
        <v>1272</v>
      </c>
      <c r="F7181" s="3" t="s">
        <v>399</v>
      </c>
      <c r="I7181" s="3" t="s">
        <v>2369</v>
      </c>
    </row>
    <row r="7182" spans="2:9" hidden="1" x14ac:dyDescent="0.4">
      <c r="D7182" s="3" t="s">
        <v>11733</v>
      </c>
      <c r="E7182" s="3" t="s">
        <v>1272</v>
      </c>
      <c r="F7182" s="3" t="s">
        <v>399</v>
      </c>
      <c r="I7182" s="3" t="s">
        <v>2369</v>
      </c>
    </row>
    <row r="7183" spans="2:9" hidden="1" x14ac:dyDescent="0.4">
      <c r="B7183" s="8" t="s">
        <v>6737</v>
      </c>
      <c r="C7183" s="3" t="s">
        <v>12233</v>
      </c>
      <c r="D7183" s="3" t="s">
        <v>11734</v>
      </c>
      <c r="E7183" s="3" t="s">
        <v>1272</v>
      </c>
      <c r="F7183" s="3" t="s">
        <v>399</v>
      </c>
      <c r="I7183" s="3" t="s">
        <v>2369</v>
      </c>
    </row>
    <row r="7184" spans="2:9" hidden="1" x14ac:dyDescent="0.4">
      <c r="D7184" s="3" t="s">
        <v>11735</v>
      </c>
      <c r="E7184" s="3" t="s">
        <v>1272</v>
      </c>
      <c r="F7184" s="3" t="s">
        <v>399</v>
      </c>
      <c r="I7184" s="3" t="s">
        <v>2369</v>
      </c>
    </row>
    <row r="7185" spans="2:9" hidden="1" x14ac:dyDescent="0.4">
      <c r="D7185" s="3" t="s">
        <v>11736</v>
      </c>
      <c r="E7185" s="3" t="s">
        <v>1272</v>
      </c>
      <c r="F7185" s="3" t="s">
        <v>399</v>
      </c>
      <c r="I7185" s="3" t="s">
        <v>2369</v>
      </c>
    </row>
    <row r="7186" spans="2:9" hidden="1" x14ac:dyDescent="0.4">
      <c r="D7186" s="3" t="s">
        <v>11737</v>
      </c>
      <c r="E7186" s="3" t="s">
        <v>1272</v>
      </c>
      <c r="F7186" s="3" t="s">
        <v>399</v>
      </c>
      <c r="I7186" s="3" t="s">
        <v>2369</v>
      </c>
    </row>
    <row r="7187" spans="2:9" hidden="1" x14ac:dyDescent="0.4">
      <c r="D7187" s="3" t="s">
        <v>11738</v>
      </c>
      <c r="E7187" s="3" t="s">
        <v>1272</v>
      </c>
      <c r="F7187" s="3" t="s">
        <v>399</v>
      </c>
      <c r="I7187" s="3" t="s">
        <v>2369</v>
      </c>
    </row>
    <row r="7188" spans="2:9" hidden="1" x14ac:dyDescent="0.4">
      <c r="D7188" s="3" t="s">
        <v>11739</v>
      </c>
      <c r="E7188" s="3" t="s">
        <v>1272</v>
      </c>
      <c r="F7188" s="3" t="s">
        <v>399</v>
      </c>
      <c r="I7188" s="3" t="s">
        <v>2369</v>
      </c>
    </row>
    <row r="7189" spans="2:9" hidden="1" x14ac:dyDescent="0.4">
      <c r="D7189" s="3" t="s">
        <v>11740</v>
      </c>
      <c r="E7189" s="3" t="s">
        <v>1272</v>
      </c>
      <c r="F7189" s="3" t="s">
        <v>399</v>
      </c>
      <c r="I7189" s="3" t="s">
        <v>2369</v>
      </c>
    </row>
    <row r="7190" spans="2:9" hidden="1" x14ac:dyDescent="0.4">
      <c r="D7190" s="3" t="s">
        <v>11741</v>
      </c>
      <c r="E7190" s="3" t="s">
        <v>1272</v>
      </c>
      <c r="F7190" s="3" t="s">
        <v>399</v>
      </c>
      <c r="I7190" s="3" t="s">
        <v>2369</v>
      </c>
    </row>
    <row r="7191" spans="2:9" hidden="1" x14ac:dyDescent="0.4">
      <c r="D7191" s="3" t="s">
        <v>11742</v>
      </c>
      <c r="E7191" s="3" t="s">
        <v>1272</v>
      </c>
      <c r="F7191" s="3" t="s">
        <v>399</v>
      </c>
      <c r="I7191" s="3" t="s">
        <v>2369</v>
      </c>
    </row>
    <row r="7192" spans="2:9" hidden="1" x14ac:dyDescent="0.4">
      <c r="D7192" s="3" t="s">
        <v>11743</v>
      </c>
      <c r="E7192" s="3" t="s">
        <v>1272</v>
      </c>
      <c r="F7192" s="3" t="s">
        <v>399</v>
      </c>
      <c r="I7192" s="3" t="s">
        <v>2369</v>
      </c>
    </row>
    <row r="7193" spans="2:9" hidden="1" x14ac:dyDescent="0.4">
      <c r="D7193" s="3" t="s">
        <v>11744</v>
      </c>
      <c r="E7193" s="3" t="s">
        <v>1272</v>
      </c>
      <c r="F7193" s="3" t="s">
        <v>399</v>
      </c>
      <c r="I7193" s="3" t="s">
        <v>2369</v>
      </c>
    </row>
    <row r="7194" spans="2:9" hidden="1" x14ac:dyDescent="0.4">
      <c r="D7194" s="3" t="s">
        <v>11745</v>
      </c>
      <c r="E7194" s="3" t="s">
        <v>1272</v>
      </c>
      <c r="F7194" s="3" t="s">
        <v>399</v>
      </c>
      <c r="I7194" s="3" t="s">
        <v>2369</v>
      </c>
    </row>
    <row r="7195" spans="2:9" hidden="1" x14ac:dyDescent="0.4">
      <c r="D7195" s="3" t="s">
        <v>11746</v>
      </c>
      <c r="E7195" s="3" t="s">
        <v>1272</v>
      </c>
      <c r="F7195" s="3" t="s">
        <v>399</v>
      </c>
      <c r="I7195" s="3" t="s">
        <v>2369</v>
      </c>
    </row>
    <row r="7196" spans="2:9" hidden="1" x14ac:dyDescent="0.4">
      <c r="D7196" s="3" t="s">
        <v>11747</v>
      </c>
      <c r="E7196" s="3" t="s">
        <v>1272</v>
      </c>
      <c r="F7196" s="3" t="s">
        <v>399</v>
      </c>
      <c r="I7196" s="3" t="s">
        <v>2369</v>
      </c>
    </row>
    <row r="7197" spans="2:9" hidden="1" x14ac:dyDescent="0.4">
      <c r="D7197" s="3" t="s">
        <v>11748</v>
      </c>
      <c r="E7197" s="3" t="s">
        <v>1272</v>
      </c>
      <c r="F7197" s="3" t="s">
        <v>399</v>
      </c>
      <c r="I7197" s="3" t="s">
        <v>2369</v>
      </c>
    </row>
    <row r="7198" spans="2:9" hidden="1" x14ac:dyDescent="0.4">
      <c r="D7198" s="3" t="s">
        <v>11749</v>
      </c>
      <c r="E7198" s="3" t="s">
        <v>1272</v>
      </c>
      <c r="F7198" s="3" t="s">
        <v>399</v>
      </c>
      <c r="I7198" s="3" t="s">
        <v>2369</v>
      </c>
    </row>
    <row r="7199" spans="2:9" hidden="1" x14ac:dyDescent="0.4">
      <c r="D7199" s="3" t="s">
        <v>11750</v>
      </c>
      <c r="E7199" s="3" t="s">
        <v>1272</v>
      </c>
      <c r="F7199" s="3" t="s">
        <v>399</v>
      </c>
      <c r="I7199" s="3" t="s">
        <v>2369</v>
      </c>
    </row>
    <row r="7200" spans="2:9" hidden="1" x14ac:dyDescent="0.4">
      <c r="B7200" s="8" t="s">
        <v>12235</v>
      </c>
      <c r="C7200" s="3" t="s">
        <v>12234</v>
      </c>
      <c r="D7200" s="3" t="s">
        <v>11751</v>
      </c>
      <c r="E7200" s="3" t="s">
        <v>1272</v>
      </c>
      <c r="F7200" s="3" t="s">
        <v>399</v>
      </c>
      <c r="I7200" s="3" t="s">
        <v>2369</v>
      </c>
    </row>
    <row r="7201" spans="2:9" hidden="1" x14ac:dyDescent="0.4">
      <c r="D7201" s="3" t="s">
        <v>11752</v>
      </c>
      <c r="E7201" s="3" t="s">
        <v>1272</v>
      </c>
      <c r="F7201" s="3" t="s">
        <v>399</v>
      </c>
      <c r="I7201" s="3" t="s">
        <v>2369</v>
      </c>
    </row>
    <row r="7202" spans="2:9" hidden="1" x14ac:dyDescent="0.4">
      <c r="D7202" s="3" t="s">
        <v>11753</v>
      </c>
      <c r="E7202" s="3" t="s">
        <v>1272</v>
      </c>
      <c r="F7202" s="3" t="s">
        <v>399</v>
      </c>
      <c r="I7202" s="3" t="s">
        <v>2369</v>
      </c>
    </row>
    <row r="7203" spans="2:9" hidden="1" x14ac:dyDescent="0.4">
      <c r="D7203" s="3" t="s">
        <v>11754</v>
      </c>
      <c r="E7203" s="3" t="s">
        <v>1272</v>
      </c>
      <c r="F7203" s="3" t="s">
        <v>399</v>
      </c>
      <c r="I7203" s="3" t="s">
        <v>2369</v>
      </c>
    </row>
    <row r="7204" spans="2:9" hidden="1" x14ac:dyDescent="0.4">
      <c r="D7204" s="3" t="s">
        <v>11755</v>
      </c>
      <c r="E7204" s="3" t="s">
        <v>1272</v>
      </c>
      <c r="F7204" s="3" t="s">
        <v>399</v>
      </c>
      <c r="I7204" s="3" t="s">
        <v>2369</v>
      </c>
    </row>
    <row r="7205" spans="2:9" hidden="1" x14ac:dyDescent="0.4">
      <c r="B7205" s="8" t="s">
        <v>4056</v>
      </c>
      <c r="C7205" s="3" t="s">
        <v>12236</v>
      </c>
      <c r="D7205" s="3" t="s">
        <v>11756</v>
      </c>
      <c r="E7205" s="3" t="s">
        <v>1272</v>
      </c>
      <c r="F7205" s="3" t="s">
        <v>399</v>
      </c>
      <c r="I7205" s="3" t="s">
        <v>2369</v>
      </c>
    </row>
    <row r="7206" spans="2:9" ht="29.25" hidden="1" x14ac:dyDescent="0.4">
      <c r="B7206" s="8" t="s">
        <v>12238</v>
      </c>
      <c r="C7206" s="3" t="s">
        <v>12237</v>
      </c>
      <c r="D7206" s="3" t="s">
        <v>11757</v>
      </c>
      <c r="E7206" s="3" t="s">
        <v>1272</v>
      </c>
      <c r="F7206" s="3" t="s">
        <v>399</v>
      </c>
      <c r="I7206" s="3" t="s">
        <v>2369</v>
      </c>
    </row>
    <row r="7207" spans="2:9" hidden="1" x14ac:dyDescent="0.4">
      <c r="D7207" s="3" t="s">
        <v>11758</v>
      </c>
      <c r="E7207" s="3" t="s">
        <v>1272</v>
      </c>
      <c r="F7207" s="3" t="s">
        <v>399</v>
      </c>
      <c r="I7207" s="3" t="s">
        <v>2369</v>
      </c>
    </row>
    <row r="7208" spans="2:9" hidden="1" x14ac:dyDescent="0.4">
      <c r="D7208" s="3" t="s">
        <v>11455</v>
      </c>
      <c r="E7208" s="3" t="s">
        <v>1272</v>
      </c>
      <c r="F7208" s="3" t="s">
        <v>399</v>
      </c>
      <c r="I7208" s="3" t="s">
        <v>2369</v>
      </c>
    </row>
    <row r="7209" spans="2:9" hidden="1" x14ac:dyDescent="0.4">
      <c r="B7209" s="8" t="s">
        <v>518</v>
      </c>
      <c r="C7209" s="3" t="s">
        <v>12239</v>
      </c>
      <c r="D7209" s="3" t="s">
        <v>11759</v>
      </c>
      <c r="E7209" s="3" t="s">
        <v>1272</v>
      </c>
      <c r="F7209" s="3" t="s">
        <v>399</v>
      </c>
      <c r="I7209" s="3" t="s">
        <v>2369</v>
      </c>
    </row>
    <row r="7210" spans="2:9" hidden="1" x14ac:dyDescent="0.4">
      <c r="D7210" s="3" t="s">
        <v>11760</v>
      </c>
      <c r="E7210" s="3" t="s">
        <v>1272</v>
      </c>
      <c r="F7210" s="3" t="s">
        <v>399</v>
      </c>
      <c r="I7210" s="3" t="s">
        <v>2369</v>
      </c>
    </row>
    <row r="7211" spans="2:9" hidden="1" x14ac:dyDescent="0.4">
      <c r="B7211" s="8" t="s">
        <v>517</v>
      </c>
      <c r="C7211" s="3" t="s">
        <v>12240</v>
      </c>
      <c r="D7211" s="3" t="s">
        <v>11761</v>
      </c>
      <c r="E7211" s="3" t="s">
        <v>1272</v>
      </c>
      <c r="F7211" s="3" t="s">
        <v>399</v>
      </c>
      <c r="I7211" s="3" t="s">
        <v>2369</v>
      </c>
    </row>
    <row r="7212" spans="2:9" hidden="1" x14ac:dyDescent="0.4">
      <c r="D7212" s="3" t="s">
        <v>11762</v>
      </c>
      <c r="E7212" s="3" t="s">
        <v>1272</v>
      </c>
      <c r="F7212" s="3" t="s">
        <v>399</v>
      </c>
      <c r="I7212" s="3" t="s">
        <v>2369</v>
      </c>
    </row>
    <row r="7213" spans="2:9" hidden="1" x14ac:dyDescent="0.4">
      <c r="B7213" s="8" t="s">
        <v>516</v>
      </c>
      <c r="C7213" s="3" t="s">
        <v>12241</v>
      </c>
      <c r="D7213" s="3" t="s">
        <v>11763</v>
      </c>
      <c r="E7213" s="3" t="s">
        <v>1272</v>
      </c>
      <c r="F7213" s="3" t="s">
        <v>399</v>
      </c>
      <c r="I7213" s="3" t="s">
        <v>2369</v>
      </c>
    </row>
    <row r="7214" spans="2:9" hidden="1" x14ac:dyDescent="0.4">
      <c r="D7214" s="3" t="s">
        <v>11764</v>
      </c>
      <c r="E7214" s="3" t="s">
        <v>1272</v>
      </c>
      <c r="F7214" s="3" t="s">
        <v>399</v>
      </c>
      <c r="I7214" s="3" t="s">
        <v>2369</v>
      </c>
    </row>
    <row r="7215" spans="2:9" hidden="1" x14ac:dyDescent="0.4">
      <c r="D7215" s="3" t="s">
        <v>11765</v>
      </c>
      <c r="E7215" s="3" t="s">
        <v>1272</v>
      </c>
      <c r="F7215" s="3" t="s">
        <v>399</v>
      </c>
      <c r="I7215" s="3" t="s">
        <v>2369</v>
      </c>
    </row>
    <row r="7216" spans="2:9" hidden="1" x14ac:dyDescent="0.4">
      <c r="D7216" s="3" t="s">
        <v>11526</v>
      </c>
      <c r="E7216" s="3" t="s">
        <v>1272</v>
      </c>
      <c r="F7216" s="3" t="s">
        <v>399</v>
      </c>
      <c r="I7216" s="3" t="s">
        <v>2369</v>
      </c>
    </row>
    <row r="7217" spans="2:9" hidden="1" x14ac:dyDescent="0.4">
      <c r="D7217" s="3" t="s">
        <v>11766</v>
      </c>
      <c r="E7217" s="3" t="s">
        <v>1272</v>
      </c>
      <c r="F7217" s="3" t="s">
        <v>399</v>
      </c>
      <c r="I7217" s="3" t="s">
        <v>2369</v>
      </c>
    </row>
    <row r="7218" spans="2:9" hidden="1" x14ac:dyDescent="0.4">
      <c r="D7218" s="3" t="s">
        <v>11767</v>
      </c>
      <c r="E7218" s="3" t="s">
        <v>1272</v>
      </c>
      <c r="F7218" s="3" t="s">
        <v>399</v>
      </c>
      <c r="I7218" s="3" t="s">
        <v>2369</v>
      </c>
    </row>
    <row r="7219" spans="2:9" hidden="1" x14ac:dyDescent="0.4">
      <c r="D7219" s="3" t="s">
        <v>11768</v>
      </c>
      <c r="E7219" s="3" t="s">
        <v>1272</v>
      </c>
      <c r="F7219" s="3" t="s">
        <v>399</v>
      </c>
      <c r="I7219" s="3" t="s">
        <v>2369</v>
      </c>
    </row>
    <row r="7220" spans="2:9" hidden="1" x14ac:dyDescent="0.4">
      <c r="D7220" s="3" t="s">
        <v>11769</v>
      </c>
      <c r="E7220" s="3" t="s">
        <v>1272</v>
      </c>
      <c r="F7220" s="3" t="s">
        <v>399</v>
      </c>
      <c r="I7220" s="3" t="s">
        <v>2369</v>
      </c>
    </row>
    <row r="7221" spans="2:9" hidden="1" x14ac:dyDescent="0.4">
      <c r="B7221" s="8" t="s">
        <v>10874</v>
      </c>
      <c r="C7221" s="3" t="s">
        <v>12242</v>
      </c>
      <c r="D7221" s="3" t="s">
        <v>11756</v>
      </c>
      <c r="E7221" s="3" t="s">
        <v>1272</v>
      </c>
      <c r="F7221" s="3" t="s">
        <v>399</v>
      </c>
      <c r="I7221" s="3" t="s">
        <v>2369</v>
      </c>
    </row>
    <row r="7222" spans="2:9" hidden="1" x14ac:dyDescent="0.4">
      <c r="D7222" s="3" t="s">
        <v>11770</v>
      </c>
      <c r="E7222" s="3" t="s">
        <v>1272</v>
      </c>
      <c r="F7222" s="3" t="s">
        <v>399</v>
      </c>
      <c r="I7222" s="3" t="s">
        <v>2369</v>
      </c>
    </row>
    <row r="7223" spans="2:9" hidden="1" x14ac:dyDescent="0.4">
      <c r="D7223" s="3" t="s">
        <v>11771</v>
      </c>
      <c r="E7223" s="3" t="s">
        <v>1272</v>
      </c>
      <c r="F7223" s="3" t="s">
        <v>399</v>
      </c>
      <c r="I7223" s="3" t="s">
        <v>2369</v>
      </c>
    </row>
    <row r="7224" spans="2:9" hidden="1" x14ac:dyDescent="0.4">
      <c r="D7224" s="3" t="s">
        <v>11772</v>
      </c>
      <c r="E7224" s="3" t="s">
        <v>1272</v>
      </c>
      <c r="F7224" s="3" t="s">
        <v>399</v>
      </c>
      <c r="I7224" s="3" t="s">
        <v>2369</v>
      </c>
    </row>
    <row r="7225" spans="2:9" hidden="1" x14ac:dyDescent="0.4">
      <c r="D7225" s="3" t="s">
        <v>11773</v>
      </c>
      <c r="E7225" s="3" t="s">
        <v>1272</v>
      </c>
      <c r="F7225" s="3" t="s">
        <v>399</v>
      </c>
      <c r="I7225" s="3" t="s">
        <v>2369</v>
      </c>
    </row>
    <row r="7226" spans="2:9" hidden="1" x14ac:dyDescent="0.4">
      <c r="D7226" s="3" t="s">
        <v>11774</v>
      </c>
      <c r="E7226" s="3" t="s">
        <v>1272</v>
      </c>
      <c r="F7226" s="3" t="s">
        <v>399</v>
      </c>
      <c r="I7226" s="3" t="s">
        <v>2369</v>
      </c>
    </row>
    <row r="7227" spans="2:9" hidden="1" x14ac:dyDescent="0.4">
      <c r="D7227" s="3" t="s">
        <v>11775</v>
      </c>
      <c r="E7227" s="3" t="s">
        <v>1272</v>
      </c>
      <c r="F7227" s="3" t="s">
        <v>399</v>
      </c>
      <c r="I7227" s="3" t="s">
        <v>2369</v>
      </c>
    </row>
    <row r="7228" spans="2:9" hidden="1" x14ac:dyDescent="0.4">
      <c r="D7228" s="3" t="s">
        <v>11776</v>
      </c>
      <c r="E7228" s="3" t="s">
        <v>1272</v>
      </c>
      <c r="F7228" s="3" t="s">
        <v>399</v>
      </c>
      <c r="I7228" s="3" t="s">
        <v>2369</v>
      </c>
    </row>
    <row r="7229" spans="2:9" hidden="1" x14ac:dyDescent="0.4">
      <c r="D7229" s="3" t="s">
        <v>11777</v>
      </c>
      <c r="E7229" s="3" t="s">
        <v>1272</v>
      </c>
      <c r="F7229" s="3" t="s">
        <v>399</v>
      </c>
      <c r="I7229" s="3" t="s">
        <v>2369</v>
      </c>
    </row>
    <row r="7230" spans="2:9" hidden="1" x14ac:dyDescent="0.4">
      <c r="D7230" s="3" t="s">
        <v>11778</v>
      </c>
      <c r="E7230" s="3" t="s">
        <v>1272</v>
      </c>
      <c r="F7230" s="3" t="s">
        <v>399</v>
      </c>
      <c r="I7230" s="3" t="s">
        <v>2369</v>
      </c>
    </row>
    <row r="7231" spans="2:9" hidden="1" x14ac:dyDescent="0.4">
      <c r="D7231" s="3" t="s">
        <v>11779</v>
      </c>
      <c r="E7231" s="3" t="s">
        <v>1272</v>
      </c>
      <c r="F7231" s="3" t="s">
        <v>399</v>
      </c>
      <c r="I7231" s="3" t="s">
        <v>2369</v>
      </c>
    </row>
    <row r="7232" spans="2:9" hidden="1" x14ac:dyDescent="0.4">
      <c r="D7232" s="3" t="s">
        <v>11780</v>
      </c>
      <c r="E7232" s="3" t="s">
        <v>1272</v>
      </c>
      <c r="F7232" s="3" t="s">
        <v>399</v>
      </c>
      <c r="I7232" s="3" t="s">
        <v>2369</v>
      </c>
    </row>
    <row r="7233" spans="2:9" hidden="1" x14ac:dyDescent="0.4">
      <c r="D7233" s="3" t="s">
        <v>11781</v>
      </c>
      <c r="E7233" s="3" t="s">
        <v>1272</v>
      </c>
      <c r="F7233" s="3" t="s">
        <v>399</v>
      </c>
      <c r="I7233" s="3" t="s">
        <v>2369</v>
      </c>
    </row>
    <row r="7234" spans="2:9" hidden="1" x14ac:dyDescent="0.4">
      <c r="D7234" s="3" t="s">
        <v>11782</v>
      </c>
      <c r="E7234" s="3" t="s">
        <v>1272</v>
      </c>
      <c r="F7234" s="3" t="s">
        <v>399</v>
      </c>
      <c r="I7234" s="3" t="s">
        <v>2369</v>
      </c>
    </row>
    <row r="7235" spans="2:9" hidden="1" x14ac:dyDescent="0.4">
      <c r="D7235" s="3" t="s">
        <v>11783</v>
      </c>
      <c r="E7235" s="3" t="s">
        <v>1272</v>
      </c>
      <c r="F7235" s="3" t="s">
        <v>399</v>
      </c>
      <c r="I7235" s="3" t="s">
        <v>2369</v>
      </c>
    </row>
    <row r="7236" spans="2:9" hidden="1" x14ac:dyDescent="0.4">
      <c r="D7236" s="3" t="s">
        <v>11784</v>
      </c>
      <c r="E7236" s="3" t="s">
        <v>1272</v>
      </c>
      <c r="F7236" s="3" t="s">
        <v>399</v>
      </c>
      <c r="I7236" s="3" t="s">
        <v>2369</v>
      </c>
    </row>
    <row r="7237" spans="2:9" hidden="1" x14ac:dyDescent="0.4">
      <c r="D7237" s="3" t="s">
        <v>11785</v>
      </c>
      <c r="E7237" s="3" t="s">
        <v>1272</v>
      </c>
      <c r="F7237" s="3" t="s">
        <v>399</v>
      </c>
      <c r="I7237" s="3" t="s">
        <v>2369</v>
      </c>
    </row>
    <row r="7238" spans="2:9" hidden="1" x14ac:dyDescent="0.4">
      <c r="D7238" s="3" t="s">
        <v>11786</v>
      </c>
      <c r="E7238" s="3" t="s">
        <v>1272</v>
      </c>
      <c r="F7238" s="3" t="s">
        <v>399</v>
      </c>
      <c r="I7238" s="3" t="s">
        <v>2369</v>
      </c>
    </row>
    <row r="7239" spans="2:9" hidden="1" x14ac:dyDescent="0.4">
      <c r="D7239" s="3" t="s">
        <v>11787</v>
      </c>
      <c r="E7239" s="3" t="s">
        <v>1272</v>
      </c>
      <c r="F7239" s="3" t="s">
        <v>399</v>
      </c>
      <c r="I7239" s="3" t="s">
        <v>2369</v>
      </c>
    </row>
    <row r="7240" spans="2:9" hidden="1" x14ac:dyDescent="0.4">
      <c r="D7240" s="3" t="s">
        <v>11788</v>
      </c>
      <c r="E7240" s="3" t="s">
        <v>1272</v>
      </c>
      <c r="F7240" s="3" t="s">
        <v>399</v>
      </c>
      <c r="I7240" s="3" t="s">
        <v>2369</v>
      </c>
    </row>
    <row r="7241" spans="2:9" hidden="1" x14ac:dyDescent="0.4">
      <c r="D7241" s="3" t="s">
        <v>11789</v>
      </c>
      <c r="E7241" s="3" t="s">
        <v>1272</v>
      </c>
      <c r="F7241" s="3" t="s">
        <v>399</v>
      </c>
      <c r="I7241" s="3" t="s">
        <v>2369</v>
      </c>
    </row>
    <row r="7242" spans="2:9" hidden="1" x14ac:dyDescent="0.4">
      <c r="D7242" s="3" t="s">
        <v>11790</v>
      </c>
      <c r="E7242" s="3" t="s">
        <v>1272</v>
      </c>
      <c r="F7242" s="3" t="s">
        <v>399</v>
      </c>
      <c r="I7242" s="3" t="s">
        <v>2369</v>
      </c>
    </row>
    <row r="7243" spans="2:9" hidden="1" x14ac:dyDescent="0.4">
      <c r="D7243" s="3" t="s">
        <v>11791</v>
      </c>
      <c r="E7243" s="3" t="s">
        <v>1272</v>
      </c>
      <c r="F7243" s="3" t="s">
        <v>399</v>
      </c>
      <c r="I7243" s="3" t="s">
        <v>2369</v>
      </c>
    </row>
    <row r="7244" spans="2:9" hidden="1" x14ac:dyDescent="0.4">
      <c r="D7244" s="3" t="s">
        <v>11792</v>
      </c>
      <c r="E7244" s="3" t="s">
        <v>1272</v>
      </c>
      <c r="F7244" s="3" t="s">
        <v>399</v>
      </c>
      <c r="I7244" s="3" t="s">
        <v>2369</v>
      </c>
    </row>
    <row r="7245" spans="2:9" hidden="1" x14ac:dyDescent="0.4">
      <c r="D7245" s="3" t="s">
        <v>11793</v>
      </c>
      <c r="E7245" s="3" t="s">
        <v>1272</v>
      </c>
      <c r="F7245" s="3" t="s">
        <v>399</v>
      </c>
      <c r="I7245" s="3" t="s">
        <v>2369</v>
      </c>
    </row>
    <row r="7246" spans="2:9" hidden="1" x14ac:dyDescent="0.4">
      <c r="D7246" s="3" t="s">
        <v>11794</v>
      </c>
      <c r="E7246" s="3" t="s">
        <v>1272</v>
      </c>
      <c r="F7246" s="3" t="s">
        <v>399</v>
      </c>
      <c r="I7246" s="3" t="s">
        <v>2369</v>
      </c>
    </row>
    <row r="7247" spans="2:9" hidden="1" x14ac:dyDescent="0.4">
      <c r="D7247" s="3" t="s">
        <v>11795</v>
      </c>
      <c r="E7247" s="3" t="s">
        <v>1272</v>
      </c>
      <c r="F7247" s="3" t="s">
        <v>399</v>
      </c>
      <c r="I7247" s="3" t="s">
        <v>2369</v>
      </c>
    </row>
    <row r="7248" spans="2:9" hidden="1" x14ac:dyDescent="0.4">
      <c r="B7248" s="8" t="s">
        <v>516</v>
      </c>
      <c r="C7248" s="3" t="s">
        <v>12243</v>
      </c>
      <c r="D7248" s="3" t="s">
        <v>11796</v>
      </c>
      <c r="E7248" s="3" t="s">
        <v>1272</v>
      </c>
      <c r="F7248" s="3" t="s">
        <v>399</v>
      </c>
      <c r="I7248" s="3" t="s">
        <v>2369</v>
      </c>
    </row>
    <row r="7249" spans="2:9" hidden="1" x14ac:dyDescent="0.4">
      <c r="B7249" s="8" t="s">
        <v>515</v>
      </c>
      <c r="C7249" s="3" t="s">
        <v>12244</v>
      </c>
      <c r="D7249" s="3" t="s">
        <v>11797</v>
      </c>
      <c r="E7249" s="3" t="s">
        <v>1272</v>
      </c>
      <c r="F7249" s="3" t="s">
        <v>399</v>
      </c>
      <c r="I7249" s="3" t="s">
        <v>2369</v>
      </c>
    </row>
    <row r="7250" spans="2:9" ht="29.25" hidden="1" x14ac:dyDescent="0.4">
      <c r="B7250" s="8" t="s">
        <v>12246</v>
      </c>
      <c r="C7250" s="3" t="s">
        <v>12245</v>
      </c>
      <c r="D7250" s="3" t="s">
        <v>11798</v>
      </c>
      <c r="E7250" s="3" t="s">
        <v>1272</v>
      </c>
      <c r="F7250" s="3" t="s">
        <v>399</v>
      </c>
      <c r="I7250" s="3" t="s">
        <v>2369</v>
      </c>
    </row>
    <row r="7251" spans="2:9" hidden="1" x14ac:dyDescent="0.4">
      <c r="D7251" s="3" t="s">
        <v>11799</v>
      </c>
      <c r="E7251" s="3" t="s">
        <v>1272</v>
      </c>
      <c r="F7251" s="3" t="s">
        <v>399</v>
      </c>
      <c r="I7251" s="3" t="s">
        <v>2369</v>
      </c>
    </row>
    <row r="7252" spans="2:9" hidden="1" x14ac:dyDescent="0.4">
      <c r="B7252" s="8" t="s">
        <v>6734</v>
      </c>
      <c r="C7252" s="3" t="s">
        <v>12247</v>
      </c>
      <c r="D7252" s="3" t="s">
        <v>11800</v>
      </c>
      <c r="E7252" s="3" t="s">
        <v>1272</v>
      </c>
      <c r="F7252" s="3" t="s">
        <v>399</v>
      </c>
      <c r="I7252" s="3" t="s">
        <v>2369</v>
      </c>
    </row>
    <row r="7253" spans="2:9" hidden="1" x14ac:dyDescent="0.4">
      <c r="D7253" s="3" t="s">
        <v>11801</v>
      </c>
      <c r="E7253" s="3" t="s">
        <v>1272</v>
      </c>
      <c r="F7253" s="3" t="s">
        <v>399</v>
      </c>
      <c r="I7253" s="3" t="s">
        <v>2369</v>
      </c>
    </row>
    <row r="7254" spans="2:9" hidden="1" x14ac:dyDescent="0.4">
      <c r="D7254" s="3" t="s">
        <v>11802</v>
      </c>
      <c r="E7254" s="3" t="s">
        <v>1272</v>
      </c>
      <c r="F7254" s="3" t="s">
        <v>399</v>
      </c>
      <c r="I7254" s="3" t="s">
        <v>2369</v>
      </c>
    </row>
    <row r="7255" spans="2:9" hidden="1" x14ac:dyDescent="0.4">
      <c r="D7255" s="3" t="s">
        <v>11803</v>
      </c>
      <c r="E7255" s="3" t="s">
        <v>1272</v>
      </c>
      <c r="F7255" s="3" t="s">
        <v>399</v>
      </c>
      <c r="I7255" s="3" t="s">
        <v>2369</v>
      </c>
    </row>
    <row r="7256" spans="2:9" hidden="1" x14ac:dyDescent="0.4">
      <c r="D7256" s="3" t="s">
        <v>11095</v>
      </c>
      <c r="E7256" s="3" t="s">
        <v>1272</v>
      </c>
      <c r="F7256" s="3" t="s">
        <v>399</v>
      </c>
      <c r="I7256" s="3" t="s">
        <v>2369</v>
      </c>
    </row>
    <row r="7257" spans="2:9" hidden="1" x14ac:dyDescent="0.4">
      <c r="D7257" s="3" t="s">
        <v>11804</v>
      </c>
      <c r="E7257" s="3" t="s">
        <v>1272</v>
      </c>
      <c r="F7257" s="3" t="s">
        <v>399</v>
      </c>
      <c r="I7257" s="3" t="s">
        <v>2369</v>
      </c>
    </row>
    <row r="7258" spans="2:9" hidden="1" x14ac:dyDescent="0.4">
      <c r="D7258" s="3" t="s">
        <v>11805</v>
      </c>
      <c r="E7258" s="3" t="s">
        <v>1272</v>
      </c>
      <c r="F7258" s="3" t="s">
        <v>399</v>
      </c>
      <c r="I7258" s="3" t="s">
        <v>2369</v>
      </c>
    </row>
    <row r="7259" spans="2:9" hidden="1" x14ac:dyDescent="0.4">
      <c r="D7259" s="3" t="s">
        <v>11806</v>
      </c>
      <c r="E7259" s="3" t="s">
        <v>1272</v>
      </c>
      <c r="F7259" s="3" t="s">
        <v>399</v>
      </c>
      <c r="I7259" s="3" t="s">
        <v>2369</v>
      </c>
    </row>
    <row r="7260" spans="2:9" hidden="1" x14ac:dyDescent="0.4">
      <c r="B7260" s="8" t="s">
        <v>517</v>
      </c>
      <c r="C7260" s="3" t="s">
        <v>12248</v>
      </c>
      <c r="D7260" s="3" t="s">
        <v>11807</v>
      </c>
      <c r="E7260" s="3" t="s">
        <v>1272</v>
      </c>
      <c r="F7260" s="3" t="s">
        <v>399</v>
      </c>
      <c r="I7260" s="3" t="s">
        <v>2369</v>
      </c>
    </row>
    <row r="7261" spans="2:9" hidden="1" x14ac:dyDescent="0.4">
      <c r="D7261" s="3" t="s">
        <v>11808</v>
      </c>
      <c r="E7261" s="3" t="s">
        <v>1272</v>
      </c>
      <c r="F7261" s="3" t="s">
        <v>399</v>
      </c>
      <c r="I7261" s="3" t="s">
        <v>2369</v>
      </c>
    </row>
    <row r="7262" spans="2:9" hidden="1" x14ac:dyDescent="0.4">
      <c r="D7262" s="3" t="s">
        <v>11809</v>
      </c>
      <c r="E7262" s="3" t="s">
        <v>1272</v>
      </c>
      <c r="F7262" s="3" t="s">
        <v>399</v>
      </c>
      <c r="I7262" s="3" t="s">
        <v>2369</v>
      </c>
    </row>
    <row r="7263" spans="2:9" hidden="1" x14ac:dyDescent="0.4">
      <c r="D7263" s="3" t="s">
        <v>11810</v>
      </c>
      <c r="E7263" s="3" t="s">
        <v>1272</v>
      </c>
      <c r="F7263" s="3" t="s">
        <v>399</v>
      </c>
      <c r="I7263" s="3" t="s">
        <v>2369</v>
      </c>
    </row>
    <row r="7264" spans="2:9" hidden="1" x14ac:dyDescent="0.4">
      <c r="D7264" s="3" t="s">
        <v>11811</v>
      </c>
      <c r="E7264" s="3" t="s">
        <v>1272</v>
      </c>
      <c r="F7264" s="3" t="s">
        <v>399</v>
      </c>
      <c r="I7264" s="3" t="s">
        <v>2369</v>
      </c>
    </row>
    <row r="7265" spans="2:9" hidden="1" x14ac:dyDescent="0.4">
      <c r="D7265" s="3" t="s">
        <v>11812</v>
      </c>
      <c r="E7265" s="3" t="s">
        <v>1272</v>
      </c>
      <c r="F7265" s="3" t="s">
        <v>399</v>
      </c>
      <c r="I7265" s="3" t="s">
        <v>2369</v>
      </c>
    </row>
    <row r="7266" spans="2:9" hidden="1" x14ac:dyDescent="0.4">
      <c r="B7266" s="8" t="s">
        <v>518</v>
      </c>
      <c r="C7266" s="3" t="s">
        <v>12249</v>
      </c>
      <c r="D7266" s="3" t="s">
        <v>11813</v>
      </c>
      <c r="E7266" s="3" t="s">
        <v>1272</v>
      </c>
      <c r="F7266" s="3" t="s">
        <v>399</v>
      </c>
      <c r="I7266" s="3" t="s">
        <v>2369</v>
      </c>
    </row>
    <row r="7267" spans="2:9" hidden="1" x14ac:dyDescent="0.4">
      <c r="D7267" s="3" t="s">
        <v>11814</v>
      </c>
      <c r="E7267" s="3" t="s">
        <v>1272</v>
      </c>
      <c r="F7267" s="3" t="s">
        <v>399</v>
      </c>
      <c r="I7267" s="3" t="s">
        <v>2369</v>
      </c>
    </row>
    <row r="7268" spans="2:9" hidden="1" x14ac:dyDescent="0.4">
      <c r="D7268" s="3" t="s">
        <v>11815</v>
      </c>
      <c r="E7268" s="3" t="s">
        <v>1272</v>
      </c>
      <c r="F7268" s="3" t="s">
        <v>399</v>
      </c>
      <c r="I7268" s="3" t="s">
        <v>2369</v>
      </c>
    </row>
    <row r="7269" spans="2:9" hidden="1" x14ac:dyDescent="0.4">
      <c r="B7269" s="8" t="s">
        <v>529</v>
      </c>
      <c r="C7269" s="3" t="s">
        <v>12250</v>
      </c>
      <c r="D7269" s="3" t="s">
        <v>11816</v>
      </c>
      <c r="E7269" s="3" t="s">
        <v>1272</v>
      </c>
      <c r="F7269" s="3" t="s">
        <v>399</v>
      </c>
      <c r="I7269" s="3" t="s">
        <v>2369</v>
      </c>
    </row>
    <row r="7270" spans="2:9" hidden="1" x14ac:dyDescent="0.4">
      <c r="D7270" s="3" t="s">
        <v>11817</v>
      </c>
      <c r="E7270" s="3" t="s">
        <v>1272</v>
      </c>
      <c r="F7270" s="3" t="s">
        <v>399</v>
      </c>
      <c r="I7270" s="3" t="s">
        <v>2369</v>
      </c>
    </row>
    <row r="7271" spans="2:9" hidden="1" x14ac:dyDescent="0.4">
      <c r="D7271" s="3" t="s">
        <v>11818</v>
      </c>
      <c r="E7271" s="3" t="s">
        <v>1272</v>
      </c>
      <c r="F7271" s="3" t="s">
        <v>399</v>
      </c>
      <c r="I7271" s="3" t="s">
        <v>2369</v>
      </c>
    </row>
    <row r="7272" spans="2:9" hidden="1" x14ac:dyDescent="0.4">
      <c r="D7272" s="3" t="s">
        <v>11819</v>
      </c>
      <c r="E7272" s="3" t="s">
        <v>1272</v>
      </c>
      <c r="F7272" s="3" t="s">
        <v>399</v>
      </c>
      <c r="I7272" s="3" t="s">
        <v>2369</v>
      </c>
    </row>
    <row r="7273" spans="2:9" hidden="1" x14ac:dyDescent="0.4">
      <c r="D7273" s="3" t="s">
        <v>11820</v>
      </c>
      <c r="E7273" s="3" t="s">
        <v>1272</v>
      </c>
      <c r="F7273" s="3" t="s">
        <v>399</v>
      </c>
      <c r="I7273" s="3" t="s">
        <v>2369</v>
      </c>
    </row>
    <row r="7274" spans="2:9" hidden="1" x14ac:dyDescent="0.4">
      <c r="D7274" s="3" t="s">
        <v>11821</v>
      </c>
      <c r="E7274" s="3" t="s">
        <v>1272</v>
      </c>
      <c r="F7274" s="3" t="s">
        <v>399</v>
      </c>
      <c r="I7274" s="3" t="s">
        <v>2369</v>
      </c>
    </row>
    <row r="7275" spans="2:9" hidden="1" x14ac:dyDescent="0.4">
      <c r="D7275" s="3" t="s">
        <v>11822</v>
      </c>
      <c r="E7275" s="3" t="s">
        <v>1272</v>
      </c>
      <c r="F7275" s="3" t="s">
        <v>399</v>
      </c>
      <c r="I7275" s="3" t="s">
        <v>2369</v>
      </c>
    </row>
    <row r="7276" spans="2:9" hidden="1" x14ac:dyDescent="0.4">
      <c r="B7276" s="8" t="s">
        <v>6734</v>
      </c>
      <c r="C7276" s="3" t="s">
        <v>12251</v>
      </c>
      <c r="D7276" s="3" t="s">
        <v>11823</v>
      </c>
      <c r="E7276" s="3" t="s">
        <v>1272</v>
      </c>
      <c r="F7276" s="3" t="s">
        <v>399</v>
      </c>
      <c r="I7276" s="3" t="s">
        <v>2369</v>
      </c>
    </row>
    <row r="7277" spans="2:9" hidden="1" x14ac:dyDescent="0.4">
      <c r="D7277" s="3" t="s">
        <v>11824</v>
      </c>
      <c r="E7277" s="3" t="s">
        <v>1272</v>
      </c>
      <c r="F7277" s="3" t="s">
        <v>399</v>
      </c>
      <c r="I7277" s="3" t="s">
        <v>2369</v>
      </c>
    </row>
    <row r="7278" spans="2:9" hidden="1" x14ac:dyDescent="0.4">
      <c r="B7278" s="8" t="s">
        <v>1004</v>
      </c>
      <c r="C7278" s="3" t="s">
        <v>12252</v>
      </c>
      <c r="D7278" s="3" t="s">
        <v>11825</v>
      </c>
      <c r="E7278" s="3" t="s">
        <v>1272</v>
      </c>
      <c r="F7278" s="3" t="s">
        <v>399</v>
      </c>
      <c r="I7278" s="3" t="s">
        <v>2369</v>
      </c>
    </row>
    <row r="7279" spans="2:9" hidden="1" x14ac:dyDescent="0.4">
      <c r="D7279" s="3" t="s">
        <v>11826</v>
      </c>
      <c r="E7279" s="3" t="s">
        <v>1272</v>
      </c>
      <c r="F7279" s="3" t="s">
        <v>399</v>
      </c>
      <c r="I7279" s="3" t="s">
        <v>2369</v>
      </c>
    </row>
    <row r="7280" spans="2:9" hidden="1" x14ac:dyDescent="0.4">
      <c r="D7280" s="3" t="s">
        <v>11827</v>
      </c>
      <c r="E7280" s="3" t="s">
        <v>1272</v>
      </c>
      <c r="F7280" s="3" t="s">
        <v>399</v>
      </c>
      <c r="I7280" s="3" t="s">
        <v>2369</v>
      </c>
    </row>
    <row r="7281" spans="2:9" hidden="1" x14ac:dyDescent="0.4">
      <c r="D7281" s="3" t="s">
        <v>11828</v>
      </c>
      <c r="E7281" s="3" t="s">
        <v>1272</v>
      </c>
      <c r="F7281" s="3" t="s">
        <v>399</v>
      </c>
      <c r="I7281" s="3" t="s">
        <v>2369</v>
      </c>
    </row>
    <row r="7282" spans="2:9" hidden="1" x14ac:dyDescent="0.4">
      <c r="D7282" s="3" t="s">
        <v>11829</v>
      </c>
      <c r="E7282" s="3" t="s">
        <v>1272</v>
      </c>
      <c r="F7282" s="3" t="s">
        <v>399</v>
      </c>
      <c r="I7282" s="3" t="s">
        <v>2369</v>
      </c>
    </row>
    <row r="7283" spans="2:9" hidden="1" x14ac:dyDescent="0.4">
      <c r="D7283" s="3" t="s">
        <v>11830</v>
      </c>
      <c r="E7283" s="3" t="s">
        <v>1272</v>
      </c>
      <c r="F7283" s="3" t="s">
        <v>399</v>
      </c>
      <c r="I7283" s="3" t="s">
        <v>2369</v>
      </c>
    </row>
    <row r="7284" spans="2:9" hidden="1" x14ac:dyDescent="0.4">
      <c r="D7284" s="3" t="s">
        <v>11831</v>
      </c>
      <c r="E7284" s="3" t="s">
        <v>1272</v>
      </c>
      <c r="F7284" s="3" t="s">
        <v>399</v>
      </c>
      <c r="I7284" s="3" t="s">
        <v>2369</v>
      </c>
    </row>
    <row r="7285" spans="2:9" hidden="1" x14ac:dyDescent="0.4">
      <c r="D7285" s="3" t="s">
        <v>11832</v>
      </c>
      <c r="E7285" s="3" t="s">
        <v>1272</v>
      </c>
      <c r="F7285" s="3" t="s">
        <v>399</v>
      </c>
      <c r="I7285" s="3" t="s">
        <v>2369</v>
      </c>
    </row>
    <row r="7286" spans="2:9" hidden="1" x14ac:dyDescent="0.4">
      <c r="D7286" s="3" t="s">
        <v>11833</v>
      </c>
      <c r="E7286" s="3" t="s">
        <v>1272</v>
      </c>
      <c r="F7286" s="3" t="s">
        <v>399</v>
      </c>
      <c r="I7286" s="3" t="s">
        <v>2369</v>
      </c>
    </row>
    <row r="7287" spans="2:9" hidden="1" x14ac:dyDescent="0.4">
      <c r="D7287" s="3" t="s">
        <v>11834</v>
      </c>
      <c r="E7287" s="3" t="s">
        <v>1272</v>
      </c>
      <c r="F7287" s="3" t="s">
        <v>399</v>
      </c>
      <c r="I7287" s="3" t="s">
        <v>2369</v>
      </c>
    </row>
    <row r="7288" spans="2:9" hidden="1" x14ac:dyDescent="0.4">
      <c r="D7288" s="3" t="s">
        <v>11835</v>
      </c>
      <c r="E7288" s="3" t="s">
        <v>1272</v>
      </c>
      <c r="F7288" s="3" t="s">
        <v>399</v>
      </c>
      <c r="I7288" s="3" t="s">
        <v>2369</v>
      </c>
    </row>
    <row r="7289" spans="2:9" hidden="1" x14ac:dyDescent="0.4">
      <c r="B7289" s="8" t="s">
        <v>6731</v>
      </c>
      <c r="C7289" s="3" t="s">
        <v>12253</v>
      </c>
      <c r="D7289" s="3" t="s">
        <v>11836</v>
      </c>
      <c r="E7289" s="3" t="s">
        <v>1272</v>
      </c>
      <c r="F7289" s="3" t="s">
        <v>399</v>
      </c>
      <c r="I7289" s="3" t="s">
        <v>2369</v>
      </c>
    </row>
    <row r="7290" spans="2:9" hidden="1" x14ac:dyDescent="0.4">
      <c r="D7290" s="3" t="s">
        <v>11430</v>
      </c>
      <c r="E7290" s="3" t="s">
        <v>1272</v>
      </c>
      <c r="F7290" s="3" t="s">
        <v>399</v>
      </c>
      <c r="I7290" s="3" t="s">
        <v>2369</v>
      </c>
    </row>
    <row r="7291" spans="2:9" hidden="1" x14ac:dyDescent="0.4">
      <c r="D7291" s="3" t="s">
        <v>11837</v>
      </c>
      <c r="E7291" s="3" t="s">
        <v>1272</v>
      </c>
      <c r="F7291" s="3" t="s">
        <v>399</v>
      </c>
      <c r="I7291" s="3" t="s">
        <v>2369</v>
      </c>
    </row>
    <row r="7292" spans="2:9" hidden="1" x14ac:dyDescent="0.4">
      <c r="D7292" s="3" t="s">
        <v>11838</v>
      </c>
      <c r="E7292" s="3" t="s">
        <v>1272</v>
      </c>
      <c r="F7292" s="3" t="s">
        <v>399</v>
      </c>
      <c r="I7292" s="3" t="s">
        <v>2369</v>
      </c>
    </row>
    <row r="7293" spans="2:9" hidden="1" x14ac:dyDescent="0.4">
      <c r="D7293" s="3" t="s">
        <v>11839</v>
      </c>
      <c r="E7293" s="3" t="s">
        <v>1272</v>
      </c>
      <c r="F7293" s="3" t="s">
        <v>399</v>
      </c>
      <c r="I7293" s="3" t="s">
        <v>2369</v>
      </c>
    </row>
    <row r="7294" spans="2:9" hidden="1" x14ac:dyDescent="0.4">
      <c r="D7294" s="3" t="s">
        <v>11840</v>
      </c>
      <c r="E7294" s="3" t="s">
        <v>1272</v>
      </c>
      <c r="F7294" s="3" t="s">
        <v>399</v>
      </c>
      <c r="I7294" s="3" t="s">
        <v>2369</v>
      </c>
    </row>
    <row r="7295" spans="2:9" hidden="1" x14ac:dyDescent="0.4">
      <c r="D7295" s="3" t="s">
        <v>11414</v>
      </c>
      <c r="E7295" s="3" t="s">
        <v>1272</v>
      </c>
      <c r="F7295" s="3" t="s">
        <v>399</v>
      </c>
      <c r="I7295" s="3" t="s">
        <v>2369</v>
      </c>
    </row>
    <row r="7296" spans="2:9" hidden="1" x14ac:dyDescent="0.4">
      <c r="B7296" s="8" t="s">
        <v>1004</v>
      </c>
      <c r="C7296" s="3" t="s">
        <v>12254</v>
      </c>
      <c r="D7296" s="3" t="s">
        <v>11841</v>
      </c>
      <c r="E7296" s="3" t="s">
        <v>1272</v>
      </c>
      <c r="F7296" s="3" t="s">
        <v>399</v>
      </c>
      <c r="I7296" s="3" t="s">
        <v>2369</v>
      </c>
    </row>
    <row r="7297" spans="2:9" hidden="1" x14ac:dyDescent="0.4">
      <c r="B7297" s="8" t="s">
        <v>1004</v>
      </c>
      <c r="C7297" s="3" t="s">
        <v>12255</v>
      </c>
      <c r="D7297" s="3" t="s">
        <v>11842</v>
      </c>
      <c r="E7297" s="3" t="s">
        <v>1272</v>
      </c>
      <c r="F7297" s="3" t="s">
        <v>399</v>
      </c>
      <c r="I7297" s="3" t="s">
        <v>2369</v>
      </c>
    </row>
    <row r="7298" spans="2:9" hidden="1" x14ac:dyDescent="0.4">
      <c r="D7298" s="3" t="s">
        <v>11843</v>
      </c>
      <c r="E7298" s="3" t="s">
        <v>1272</v>
      </c>
      <c r="F7298" s="3" t="s">
        <v>399</v>
      </c>
      <c r="I7298" s="3" t="s">
        <v>2369</v>
      </c>
    </row>
    <row r="7299" spans="2:9" hidden="1" x14ac:dyDescent="0.4">
      <c r="B7299" s="8" t="s">
        <v>517</v>
      </c>
      <c r="C7299" s="3" t="s">
        <v>12256</v>
      </c>
      <c r="D7299" s="3" t="s">
        <v>11844</v>
      </c>
      <c r="E7299" s="3" t="s">
        <v>1272</v>
      </c>
      <c r="F7299" s="3" t="s">
        <v>399</v>
      </c>
      <c r="I7299" s="3" t="s">
        <v>2369</v>
      </c>
    </row>
    <row r="7300" spans="2:9" hidden="1" x14ac:dyDescent="0.4">
      <c r="B7300" s="8" t="s">
        <v>526</v>
      </c>
      <c r="C7300" s="3" t="s">
        <v>12257</v>
      </c>
      <c r="D7300" s="3" t="s">
        <v>11777</v>
      </c>
      <c r="E7300" s="3" t="s">
        <v>1272</v>
      </c>
      <c r="F7300" s="3" t="s">
        <v>399</v>
      </c>
      <c r="I7300" s="3" t="s">
        <v>2369</v>
      </c>
    </row>
    <row r="7301" spans="2:9" hidden="1" x14ac:dyDescent="0.4">
      <c r="B7301" s="8" t="s">
        <v>518</v>
      </c>
      <c r="C7301" s="3" t="s">
        <v>12258</v>
      </c>
      <c r="D7301" s="3" t="s">
        <v>11845</v>
      </c>
      <c r="E7301" s="3" t="s">
        <v>1272</v>
      </c>
      <c r="F7301" s="3" t="s">
        <v>399</v>
      </c>
      <c r="I7301" s="3" t="s">
        <v>2369</v>
      </c>
    </row>
    <row r="7302" spans="2:9" hidden="1" x14ac:dyDescent="0.4">
      <c r="D7302" s="3" t="s">
        <v>11846</v>
      </c>
      <c r="E7302" s="3" t="s">
        <v>1272</v>
      </c>
      <c r="F7302" s="3" t="s">
        <v>399</v>
      </c>
      <c r="I7302" s="3" t="s">
        <v>2369</v>
      </c>
    </row>
    <row r="7303" spans="2:9" hidden="1" x14ac:dyDescent="0.4">
      <c r="B7303" s="8" t="s">
        <v>518</v>
      </c>
      <c r="C7303" s="3" t="s">
        <v>12259</v>
      </c>
      <c r="D7303" s="3" t="s">
        <v>11847</v>
      </c>
      <c r="E7303" s="3" t="s">
        <v>1272</v>
      </c>
      <c r="F7303" s="3" t="s">
        <v>399</v>
      </c>
      <c r="I7303" s="3" t="s">
        <v>2369</v>
      </c>
    </row>
    <row r="7304" spans="2:9" hidden="1" x14ac:dyDescent="0.4">
      <c r="D7304" s="3" t="s">
        <v>11848</v>
      </c>
      <c r="E7304" s="3" t="s">
        <v>1272</v>
      </c>
      <c r="F7304" s="3" t="s">
        <v>399</v>
      </c>
      <c r="I7304" s="3" t="s">
        <v>2369</v>
      </c>
    </row>
    <row r="7305" spans="2:9" hidden="1" x14ac:dyDescent="0.4">
      <c r="D7305" s="3" t="s">
        <v>11849</v>
      </c>
      <c r="E7305" s="3" t="s">
        <v>1272</v>
      </c>
      <c r="F7305" s="3" t="s">
        <v>399</v>
      </c>
      <c r="I7305" s="3" t="s">
        <v>2369</v>
      </c>
    </row>
    <row r="7306" spans="2:9" hidden="1" x14ac:dyDescent="0.4">
      <c r="B7306" s="8" t="s">
        <v>516</v>
      </c>
      <c r="C7306" s="3" t="s">
        <v>12260</v>
      </c>
      <c r="D7306" s="3" t="s">
        <v>11850</v>
      </c>
      <c r="E7306" s="3" t="s">
        <v>1272</v>
      </c>
      <c r="F7306" s="3" t="s">
        <v>399</v>
      </c>
      <c r="I7306" s="3" t="s">
        <v>2369</v>
      </c>
    </row>
    <row r="7307" spans="2:9" hidden="1" x14ac:dyDescent="0.4">
      <c r="D7307" s="3" t="s">
        <v>11851</v>
      </c>
      <c r="E7307" s="3" t="s">
        <v>1272</v>
      </c>
      <c r="F7307" s="3" t="s">
        <v>399</v>
      </c>
      <c r="I7307" s="3" t="s">
        <v>2369</v>
      </c>
    </row>
    <row r="7308" spans="2:9" hidden="1" x14ac:dyDescent="0.4">
      <c r="D7308" s="3" t="s">
        <v>11852</v>
      </c>
      <c r="E7308" s="3" t="s">
        <v>1272</v>
      </c>
      <c r="F7308" s="3" t="s">
        <v>399</v>
      </c>
      <c r="I7308" s="3" t="s">
        <v>2369</v>
      </c>
    </row>
    <row r="7309" spans="2:9" hidden="1" x14ac:dyDescent="0.4">
      <c r="D7309" s="3" t="s">
        <v>11853</v>
      </c>
      <c r="E7309" s="3" t="s">
        <v>1272</v>
      </c>
      <c r="F7309" s="3" t="s">
        <v>399</v>
      </c>
      <c r="I7309" s="3" t="s">
        <v>2369</v>
      </c>
    </row>
    <row r="7310" spans="2:9" hidden="1" x14ac:dyDescent="0.4">
      <c r="D7310" s="3" t="s">
        <v>11854</v>
      </c>
      <c r="E7310" s="3" t="s">
        <v>1272</v>
      </c>
      <c r="F7310" s="3" t="s">
        <v>399</v>
      </c>
      <c r="I7310" s="3" t="s">
        <v>2369</v>
      </c>
    </row>
    <row r="7311" spans="2:9" hidden="1" x14ac:dyDescent="0.4">
      <c r="D7311" s="3" t="s">
        <v>11855</v>
      </c>
      <c r="E7311" s="3" t="s">
        <v>1272</v>
      </c>
      <c r="F7311" s="3" t="s">
        <v>399</v>
      </c>
      <c r="I7311" s="3" t="s">
        <v>2369</v>
      </c>
    </row>
    <row r="7312" spans="2:9" hidden="1" x14ac:dyDescent="0.4">
      <c r="D7312" s="3" t="s">
        <v>11856</v>
      </c>
      <c r="E7312" s="3" t="s">
        <v>1272</v>
      </c>
      <c r="F7312" s="3" t="s">
        <v>399</v>
      </c>
      <c r="I7312" s="3" t="s">
        <v>2369</v>
      </c>
    </row>
    <row r="7313" spans="2:9" hidden="1" x14ac:dyDescent="0.4">
      <c r="B7313" s="8" t="s">
        <v>4118</v>
      </c>
      <c r="C7313" s="3" t="s">
        <v>12261</v>
      </c>
      <c r="D7313" s="3" t="s">
        <v>11857</v>
      </c>
      <c r="E7313" s="3" t="s">
        <v>1272</v>
      </c>
      <c r="F7313" s="3" t="s">
        <v>399</v>
      </c>
      <c r="I7313" s="3" t="s">
        <v>2369</v>
      </c>
    </row>
    <row r="7314" spans="2:9" hidden="1" x14ac:dyDescent="0.4">
      <c r="D7314" s="3" t="s">
        <v>11858</v>
      </c>
      <c r="E7314" s="3" t="s">
        <v>1272</v>
      </c>
      <c r="F7314" s="3" t="s">
        <v>399</v>
      </c>
      <c r="I7314" s="3" t="s">
        <v>2369</v>
      </c>
    </row>
    <row r="7315" spans="2:9" hidden="1" x14ac:dyDescent="0.4">
      <c r="B7315" s="8" t="s">
        <v>4118</v>
      </c>
      <c r="C7315" s="3" t="s">
        <v>12262</v>
      </c>
      <c r="D7315" s="3" t="s">
        <v>11859</v>
      </c>
      <c r="E7315" s="3" t="s">
        <v>1272</v>
      </c>
      <c r="F7315" s="3" t="s">
        <v>399</v>
      </c>
      <c r="I7315" s="3" t="s">
        <v>2369</v>
      </c>
    </row>
    <row r="7316" spans="2:9" hidden="1" x14ac:dyDescent="0.4">
      <c r="B7316" s="8" t="s">
        <v>4055</v>
      </c>
      <c r="C7316" s="3" t="s">
        <v>12263</v>
      </c>
      <c r="D7316" s="3" t="s">
        <v>11860</v>
      </c>
      <c r="E7316" s="3" t="s">
        <v>1272</v>
      </c>
      <c r="F7316" s="3" t="s">
        <v>399</v>
      </c>
      <c r="I7316" s="3" t="s">
        <v>2369</v>
      </c>
    </row>
    <row r="7317" spans="2:9" hidden="1" x14ac:dyDescent="0.4">
      <c r="B7317" s="8" t="s">
        <v>517</v>
      </c>
      <c r="C7317" s="3" t="s">
        <v>12264</v>
      </c>
      <c r="D7317" s="3" t="s">
        <v>11861</v>
      </c>
      <c r="E7317" s="3" t="s">
        <v>1272</v>
      </c>
      <c r="F7317" s="3" t="s">
        <v>399</v>
      </c>
      <c r="I7317" s="3" t="s">
        <v>2369</v>
      </c>
    </row>
    <row r="7318" spans="2:9" hidden="1" x14ac:dyDescent="0.4">
      <c r="B7318" s="8" t="s">
        <v>517</v>
      </c>
      <c r="C7318" s="3" t="s">
        <v>12265</v>
      </c>
      <c r="D7318" s="3" t="s">
        <v>11861</v>
      </c>
      <c r="E7318" s="3" t="s">
        <v>1272</v>
      </c>
      <c r="F7318" s="3" t="s">
        <v>399</v>
      </c>
      <c r="I7318" s="3" t="s">
        <v>2369</v>
      </c>
    </row>
    <row r="7319" spans="2:9" hidden="1" x14ac:dyDescent="0.4">
      <c r="D7319" s="3" t="s">
        <v>11862</v>
      </c>
      <c r="E7319" s="3" t="s">
        <v>1272</v>
      </c>
      <c r="F7319" s="3" t="s">
        <v>399</v>
      </c>
      <c r="I7319" s="3" t="s">
        <v>2369</v>
      </c>
    </row>
    <row r="7320" spans="2:9" hidden="1" x14ac:dyDescent="0.4">
      <c r="D7320" s="3" t="s">
        <v>11863</v>
      </c>
      <c r="E7320" s="3" t="s">
        <v>1272</v>
      </c>
      <c r="F7320" s="3" t="s">
        <v>399</v>
      </c>
      <c r="I7320" s="3" t="s">
        <v>2369</v>
      </c>
    </row>
    <row r="7321" spans="2:9" hidden="1" x14ac:dyDescent="0.4">
      <c r="D7321" s="3" t="s">
        <v>11864</v>
      </c>
      <c r="E7321" s="3" t="s">
        <v>1272</v>
      </c>
      <c r="F7321" s="3" t="s">
        <v>399</v>
      </c>
      <c r="I7321" s="3" t="s">
        <v>2369</v>
      </c>
    </row>
    <row r="7322" spans="2:9" hidden="1" x14ac:dyDescent="0.4">
      <c r="D7322" s="3" t="s">
        <v>11865</v>
      </c>
      <c r="E7322" s="3" t="s">
        <v>1272</v>
      </c>
      <c r="F7322" s="3" t="s">
        <v>399</v>
      </c>
      <c r="I7322" s="3" t="s">
        <v>2369</v>
      </c>
    </row>
    <row r="7323" spans="2:9" hidden="1" x14ac:dyDescent="0.4">
      <c r="D7323" s="3" t="s">
        <v>11866</v>
      </c>
      <c r="E7323" s="3" t="s">
        <v>1272</v>
      </c>
      <c r="F7323" s="3" t="s">
        <v>399</v>
      </c>
      <c r="I7323" s="3" t="s">
        <v>2369</v>
      </c>
    </row>
    <row r="7324" spans="2:9" hidden="1" x14ac:dyDescent="0.4">
      <c r="D7324" s="3" t="s">
        <v>11867</v>
      </c>
      <c r="E7324" s="3" t="s">
        <v>1272</v>
      </c>
      <c r="F7324" s="3" t="s">
        <v>399</v>
      </c>
      <c r="I7324" s="3" t="s">
        <v>2369</v>
      </c>
    </row>
    <row r="7325" spans="2:9" hidden="1" x14ac:dyDescent="0.4">
      <c r="D7325" s="3" t="s">
        <v>11868</v>
      </c>
      <c r="E7325" s="3" t="s">
        <v>1272</v>
      </c>
      <c r="F7325" s="3" t="s">
        <v>399</v>
      </c>
      <c r="I7325" s="3" t="s">
        <v>2369</v>
      </c>
    </row>
    <row r="7326" spans="2:9" hidden="1" x14ac:dyDescent="0.4">
      <c r="D7326" s="3" t="s">
        <v>11869</v>
      </c>
      <c r="E7326" s="3" t="s">
        <v>1272</v>
      </c>
      <c r="F7326" s="3" t="s">
        <v>399</v>
      </c>
      <c r="I7326" s="3" t="s">
        <v>2369</v>
      </c>
    </row>
    <row r="7327" spans="2:9" hidden="1" x14ac:dyDescent="0.4">
      <c r="B7327" s="8" t="s">
        <v>516</v>
      </c>
      <c r="C7327" s="3" t="s">
        <v>12266</v>
      </c>
      <c r="D7327" s="3" t="s">
        <v>11870</v>
      </c>
      <c r="E7327" s="3" t="s">
        <v>1272</v>
      </c>
      <c r="F7327" s="3" t="s">
        <v>399</v>
      </c>
      <c r="I7327" s="3" t="s">
        <v>2369</v>
      </c>
    </row>
    <row r="7328" spans="2:9" hidden="1" x14ac:dyDescent="0.4">
      <c r="D7328" s="3" t="s">
        <v>11871</v>
      </c>
      <c r="E7328" s="3" t="s">
        <v>1272</v>
      </c>
      <c r="F7328" s="3" t="s">
        <v>399</v>
      </c>
      <c r="I7328" s="3" t="s">
        <v>2369</v>
      </c>
    </row>
    <row r="7329" spans="2:9" hidden="1" x14ac:dyDescent="0.4">
      <c r="B7329" s="8" t="s">
        <v>517</v>
      </c>
      <c r="C7329" s="3" t="s">
        <v>12267</v>
      </c>
      <c r="D7329" s="3" t="s">
        <v>11872</v>
      </c>
      <c r="E7329" s="3" t="s">
        <v>1272</v>
      </c>
      <c r="F7329" s="3" t="s">
        <v>399</v>
      </c>
      <c r="I7329" s="3" t="s">
        <v>2369</v>
      </c>
    </row>
    <row r="7330" spans="2:9" hidden="1" x14ac:dyDescent="0.4">
      <c r="B7330" s="8" t="s">
        <v>529</v>
      </c>
      <c r="C7330" s="3" t="s">
        <v>10987</v>
      </c>
      <c r="D7330" s="3" t="s">
        <v>12268</v>
      </c>
      <c r="E7330" s="3" t="s">
        <v>1272</v>
      </c>
      <c r="F7330" s="3" t="s">
        <v>399</v>
      </c>
      <c r="I7330" s="3" t="s">
        <v>2369</v>
      </c>
    </row>
    <row r="7331" spans="2:9" hidden="1" x14ac:dyDescent="0.4">
      <c r="D7331" s="3" t="s">
        <v>11873</v>
      </c>
      <c r="E7331" s="3" t="s">
        <v>1272</v>
      </c>
      <c r="F7331" s="3" t="s">
        <v>399</v>
      </c>
      <c r="I7331" s="3" t="s">
        <v>2369</v>
      </c>
    </row>
    <row r="7332" spans="2:9" hidden="1" x14ac:dyDescent="0.4">
      <c r="D7332" s="3" t="s">
        <v>11874</v>
      </c>
      <c r="E7332" s="3" t="s">
        <v>1272</v>
      </c>
      <c r="F7332" s="3" t="s">
        <v>399</v>
      </c>
      <c r="I7332" s="3" t="s">
        <v>2369</v>
      </c>
    </row>
    <row r="7333" spans="2:9" hidden="1" x14ac:dyDescent="0.4">
      <c r="D7333" s="3" t="s">
        <v>11875</v>
      </c>
      <c r="E7333" s="3" t="s">
        <v>1272</v>
      </c>
      <c r="F7333" s="3" t="s">
        <v>399</v>
      </c>
      <c r="I7333" s="3" t="s">
        <v>2369</v>
      </c>
    </row>
    <row r="7334" spans="2:9" hidden="1" x14ac:dyDescent="0.4">
      <c r="D7334" s="3" t="s">
        <v>11876</v>
      </c>
      <c r="E7334" s="3" t="s">
        <v>1272</v>
      </c>
      <c r="F7334" s="3" t="s">
        <v>399</v>
      </c>
      <c r="I7334" s="3" t="s">
        <v>2369</v>
      </c>
    </row>
    <row r="7335" spans="2:9" hidden="1" x14ac:dyDescent="0.4">
      <c r="D7335" s="3" t="s">
        <v>11877</v>
      </c>
      <c r="E7335" s="3" t="s">
        <v>1272</v>
      </c>
      <c r="F7335" s="3" t="s">
        <v>399</v>
      </c>
      <c r="I7335" s="3" t="s">
        <v>2369</v>
      </c>
    </row>
    <row r="7336" spans="2:9" hidden="1" x14ac:dyDescent="0.4">
      <c r="D7336" s="3" t="s">
        <v>11878</v>
      </c>
      <c r="E7336" s="3" t="s">
        <v>1272</v>
      </c>
      <c r="F7336" s="3" t="s">
        <v>399</v>
      </c>
      <c r="I7336" s="3" t="s">
        <v>2369</v>
      </c>
    </row>
    <row r="7337" spans="2:9" hidden="1" x14ac:dyDescent="0.4">
      <c r="D7337" s="3" t="s">
        <v>11606</v>
      </c>
      <c r="E7337" s="3" t="s">
        <v>1272</v>
      </c>
      <c r="F7337" s="3" t="s">
        <v>399</v>
      </c>
      <c r="I7337" s="3" t="s">
        <v>2369</v>
      </c>
    </row>
    <row r="7338" spans="2:9" hidden="1" x14ac:dyDescent="0.4">
      <c r="D7338" s="3" t="s">
        <v>11879</v>
      </c>
      <c r="E7338" s="3" t="s">
        <v>1272</v>
      </c>
      <c r="F7338" s="3" t="s">
        <v>399</v>
      </c>
      <c r="I7338" s="3" t="s">
        <v>2369</v>
      </c>
    </row>
    <row r="7339" spans="2:9" hidden="1" x14ac:dyDescent="0.4">
      <c r="D7339" s="3" t="s">
        <v>11880</v>
      </c>
      <c r="E7339" s="3" t="s">
        <v>1272</v>
      </c>
      <c r="F7339" s="3" t="s">
        <v>399</v>
      </c>
      <c r="I7339" s="3" t="s">
        <v>2369</v>
      </c>
    </row>
    <row r="7340" spans="2:9" hidden="1" x14ac:dyDescent="0.4">
      <c r="D7340" s="3" t="s">
        <v>11881</v>
      </c>
      <c r="E7340" s="3" t="s">
        <v>1272</v>
      </c>
      <c r="F7340" s="3" t="s">
        <v>399</v>
      </c>
      <c r="I7340" s="3" t="s">
        <v>2369</v>
      </c>
    </row>
    <row r="7341" spans="2:9" hidden="1" x14ac:dyDescent="0.4">
      <c r="D7341" s="3" t="s">
        <v>11583</v>
      </c>
      <c r="E7341" s="3" t="s">
        <v>1272</v>
      </c>
      <c r="F7341" s="3" t="s">
        <v>399</v>
      </c>
      <c r="I7341" s="3" t="s">
        <v>2369</v>
      </c>
    </row>
    <row r="7342" spans="2:9" hidden="1" x14ac:dyDescent="0.4">
      <c r="B7342" s="8" t="s">
        <v>1981</v>
      </c>
      <c r="C7342" s="3" t="s">
        <v>12269</v>
      </c>
      <c r="D7342" s="3" t="s">
        <v>11882</v>
      </c>
      <c r="E7342" s="3" t="s">
        <v>1272</v>
      </c>
      <c r="F7342" s="3" t="s">
        <v>399</v>
      </c>
      <c r="I7342" s="3" t="s">
        <v>2369</v>
      </c>
    </row>
    <row r="7343" spans="2:9" hidden="1" x14ac:dyDescent="0.4">
      <c r="B7343" s="8" t="s">
        <v>517</v>
      </c>
      <c r="C7343" s="3" t="s">
        <v>12270</v>
      </c>
      <c r="D7343" s="3" t="s">
        <v>11883</v>
      </c>
      <c r="E7343" s="3" t="s">
        <v>1272</v>
      </c>
      <c r="F7343" s="3" t="s">
        <v>399</v>
      </c>
      <c r="I7343" s="3" t="s">
        <v>2369</v>
      </c>
    </row>
    <row r="7344" spans="2:9" hidden="1" x14ac:dyDescent="0.4">
      <c r="D7344" s="3" t="s">
        <v>11884</v>
      </c>
      <c r="E7344" s="3" t="s">
        <v>1272</v>
      </c>
      <c r="F7344" s="3" t="s">
        <v>399</v>
      </c>
      <c r="I7344" s="3" t="s">
        <v>2369</v>
      </c>
    </row>
    <row r="7345" spans="4:9" hidden="1" x14ac:dyDescent="0.4">
      <c r="D7345" s="3" t="s">
        <v>11785</v>
      </c>
      <c r="E7345" s="3" t="s">
        <v>1272</v>
      </c>
      <c r="F7345" s="3" t="s">
        <v>399</v>
      </c>
      <c r="I7345" s="3" t="s">
        <v>2369</v>
      </c>
    </row>
    <row r="7346" spans="4:9" hidden="1" x14ac:dyDescent="0.4">
      <c r="D7346" s="3" t="s">
        <v>11885</v>
      </c>
      <c r="E7346" s="3" t="s">
        <v>1272</v>
      </c>
      <c r="F7346" s="3" t="s">
        <v>399</v>
      </c>
      <c r="I7346" s="3" t="s">
        <v>2369</v>
      </c>
    </row>
    <row r="7347" spans="4:9" hidden="1" x14ac:dyDescent="0.4">
      <c r="D7347" s="3" t="s">
        <v>11886</v>
      </c>
      <c r="E7347" s="3" t="s">
        <v>1272</v>
      </c>
      <c r="F7347" s="3" t="s">
        <v>399</v>
      </c>
      <c r="I7347" s="3" t="s">
        <v>2369</v>
      </c>
    </row>
    <row r="7348" spans="4:9" hidden="1" x14ac:dyDescent="0.4">
      <c r="D7348" s="3" t="s">
        <v>11887</v>
      </c>
      <c r="E7348" s="3" t="s">
        <v>1272</v>
      </c>
      <c r="F7348" s="3" t="s">
        <v>399</v>
      </c>
      <c r="I7348" s="3" t="s">
        <v>2369</v>
      </c>
    </row>
    <row r="7349" spans="4:9" hidden="1" x14ac:dyDescent="0.4">
      <c r="D7349" s="3" t="s">
        <v>11888</v>
      </c>
      <c r="E7349" s="3" t="s">
        <v>1272</v>
      </c>
      <c r="F7349" s="3" t="s">
        <v>399</v>
      </c>
      <c r="I7349" s="3" t="s">
        <v>2369</v>
      </c>
    </row>
    <row r="7350" spans="4:9" hidden="1" x14ac:dyDescent="0.4">
      <c r="D7350" s="3" t="s">
        <v>11889</v>
      </c>
      <c r="E7350" s="3" t="s">
        <v>1272</v>
      </c>
      <c r="F7350" s="3" t="s">
        <v>399</v>
      </c>
      <c r="I7350" s="3" t="s">
        <v>2369</v>
      </c>
    </row>
    <row r="7351" spans="4:9" hidden="1" x14ac:dyDescent="0.4">
      <c r="D7351" s="3" t="s">
        <v>11890</v>
      </c>
      <c r="E7351" s="3" t="s">
        <v>1272</v>
      </c>
      <c r="F7351" s="3" t="s">
        <v>399</v>
      </c>
      <c r="I7351" s="3" t="s">
        <v>2369</v>
      </c>
    </row>
    <row r="7352" spans="4:9" hidden="1" x14ac:dyDescent="0.4">
      <c r="D7352" s="3" t="s">
        <v>11891</v>
      </c>
      <c r="E7352" s="3" t="s">
        <v>1272</v>
      </c>
      <c r="F7352" s="3" t="s">
        <v>399</v>
      </c>
      <c r="I7352" s="3" t="s">
        <v>2369</v>
      </c>
    </row>
    <row r="7353" spans="4:9" hidden="1" x14ac:dyDescent="0.4">
      <c r="D7353" s="3" t="s">
        <v>11892</v>
      </c>
      <c r="E7353" s="3" t="s">
        <v>1272</v>
      </c>
      <c r="F7353" s="3" t="s">
        <v>399</v>
      </c>
      <c r="I7353" s="3" t="s">
        <v>2369</v>
      </c>
    </row>
    <row r="7354" spans="4:9" hidden="1" x14ac:dyDescent="0.4">
      <c r="D7354" s="3" t="s">
        <v>11893</v>
      </c>
      <c r="E7354" s="3" t="s">
        <v>1272</v>
      </c>
      <c r="F7354" s="3" t="s">
        <v>399</v>
      </c>
      <c r="I7354" s="3" t="s">
        <v>2369</v>
      </c>
    </row>
    <row r="7355" spans="4:9" hidden="1" x14ac:dyDescent="0.4">
      <c r="D7355" s="3" t="s">
        <v>11894</v>
      </c>
      <c r="E7355" s="3" t="s">
        <v>1272</v>
      </c>
      <c r="F7355" s="3" t="s">
        <v>399</v>
      </c>
      <c r="I7355" s="3" t="s">
        <v>2369</v>
      </c>
    </row>
    <row r="7356" spans="4:9" hidden="1" x14ac:dyDescent="0.4">
      <c r="D7356" s="3" t="s">
        <v>11895</v>
      </c>
      <c r="E7356" s="3" t="s">
        <v>1272</v>
      </c>
      <c r="F7356" s="3" t="s">
        <v>399</v>
      </c>
      <c r="I7356" s="3" t="s">
        <v>2369</v>
      </c>
    </row>
    <row r="7357" spans="4:9" hidden="1" x14ac:dyDescent="0.4">
      <c r="D7357" s="3" t="s">
        <v>11896</v>
      </c>
      <c r="E7357" s="3" t="s">
        <v>1272</v>
      </c>
      <c r="F7357" s="3" t="s">
        <v>399</v>
      </c>
      <c r="I7357" s="3" t="s">
        <v>2369</v>
      </c>
    </row>
    <row r="7358" spans="4:9" hidden="1" x14ac:dyDescent="0.4">
      <c r="D7358" s="3" t="s">
        <v>11897</v>
      </c>
      <c r="E7358" s="3" t="s">
        <v>1272</v>
      </c>
      <c r="F7358" s="3" t="s">
        <v>399</v>
      </c>
      <c r="I7358" s="3" t="s">
        <v>2369</v>
      </c>
    </row>
    <row r="7359" spans="4:9" hidden="1" x14ac:dyDescent="0.4">
      <c r="D7359" s="3" t="s">
        <v>11898</v>
      </c>
      <c r="E7359" s="3" t="s">
        <v>1272</v>
      </c>
      <c r="F7359" s="3" t="s">
        <v>399</v>
      </c>
      <c r="I7359" s="3" t="s">
        <v>2369</v>
      </c>
    </row>
    <row r="7360" spans="4:9" hidden="1" x14ac:dyDescent="0.4">
      <c r="D7360" s="3" t="s">
        <v>11899</v>
      </c>
      <c r="E7360" s="3" t="s">
        <v>1272</v>
      </c>
      <c r="F7360" s="3" t="s">
        <v>399</v>
      </c>
      <c r="I7360" s="3" t="s">
        <v>2369</v>
      </c>
    </row>
    <row r="7361" spans="2:9" hidden="1" x14ac:dyDescent="0.4">
      <c r="D7361" s="3" t="s">
        <v>11900</v>
      </c>
      <c r="E7361" s="3" t="s">
        <v>1272</v>
      </c>
      <c r="F7361" s="3" t="s">
        <v>399</v>
      </c>
      <c r="I7361" s="3" t="s">
        <v>2369</v>
      </c>
    </row>
    <row r="7362" spans="2:9" hidden="1" x14ac:dyDescent="0.4">
      <c r="D7362" s="3" t="s">
        <v>11901</v>
      </c>
      <c r="E7362" s="3" t="s">
        <v>1272</v>
      </c>
      <c r="F7362" s="3" t="s">
        <v>399</v>
      </c>
      <c r="I7362" s="3" t="s">
        <v>2369</v>
      </c>
    </row>
    <row r="7363" spans="2:9" hidden="1" x14ac:dyDescent="0.4">
      <c r="D7363" s="3" t="s">
        <v>11902</v>
      </c>
      <c r="E7363" s="3" t="s">
        <v>1272</v>
      </c>
      <c r="F7363" s="3" t="s">
        <v>399</v>
      </c>
      <c r="I7363" s="3" t="s">
        <v>2369</v>
      </c>
    </row>
    <row r="7364" spans="2:9" hidden="1" x14ac:dyDescent="0.4">
      <c r="D7364" s="3" t="s">
        <v>11903</v>
      </c>
      <c r="E7364" s="3" t="s">
        <v>1272</v>
      </c>
      <c r="F7364" s="3" t="s">
        <v>399</v>
      </c>
      <c r="I7364" s="3" t="s">
        <v>2369</v>
      </c>
    </row>
    <row r="7365" spans="2:9" hidden="1" x14ac:dyDescent="0.4">
      <c r="D7365" s="3" t="s">
        <v>11904</v>
      </c>
      <c r="E7365" s="3" t="s">
        <v>1272</v>
      </c>
      <c r="F7365" s="3" t="s">
        <v>399</v>
      </c>
      <c r="I7365" s="3" t="s">
        <v>2369</v>
      </c>
    </row>
    <row r="7366" spans="2:9" hidden="1" x14ac:dyDescent="0.4">
      <c r="D7366" s="3" t="s">
        <v>11905</v>
      </c>
      <c r="E7366" s="3" t="s">
        <v>1272</v>
      </c>
      <c r="F7366" s="3" t="s">
        <v>399</v>
      </c>
      <c r="I7366" s="3" t="s">
        <v>2369</v>
      </c>
    </row>
    <row r="7367" spans="2:9" hidden="1" x14ac:dyDescent="0.4">
      <c r="D7367" s="3" t="s">
        <v>11906</v>
      </c>
      <c r="E7367" s="3" t="s">
        <v>1272</v>
      </c>
      <c r="F7367" s="3" t="s">
        <v>399</v>
      </c>
      <c r="I7367" s="3" t="s">
        <v>2369</v>
      </c>
    </row>
    <row r="7368" spans="2:9" hidden="1" x14ac:dyDescent="0.4">
      <c r="D7368" s="3" t="s">
        <v>11907</v>
      </c>
      <c r="E7368" s="3" t="s">
        <v>1272</v>
      </c>
      <c r="F7368" s="3" t="s">
        <v>399</v>
      </c>
      <c r="I7368" s="3" t="s">
        <v>2369</v>
      </c>
    </row>
    <row r="7369" spans="2:9" hidden="1" x14ac:dyDescent="0.4">
      <c r="B7369" s="8" t="s">
        <v>1711</v>
      </c>
      <c r="C7369" s="3" t="s">
        <v>12271</v>
      </c>
      <c r="D7369" s="3" t="s">
        <v>11908</v>
      </c>
      <c r="E7369" s="3" t="s">
        <v>1272</v>
      </c>
      <c r="F7369" s="3" t="s">
        <v>399</v>
      </c>
      <c r="I7369" s="3" t="s">
        <v>2369</v>
      </c>
    </row>
    <row r="7370" spans="2:9" hidden="1" x14ac:dyDescent="0.4">
      <c r="D7370" s="3" t="s">
        <v>11909</v>
      </c>
      <c r="E7370" s="3" t="s">
        <v>1272</v>
      </c>
      <c r="F7370" s="3" t="s">
        <v>399</v>
      </c>
      <c r="I7370" s="3" t="s">
        <v>2369</v>
      </c>
    </row>
    <row r="7371" spans="2:9" hidden="1" x14ac:dyDescent="0.4">
      <c r="D7371" s="3" t="s">
        <v>11910</v>
      </c>
      <c r="E7371" s="3" t="s">
        <v>1272</v>
      </c>
      <c r="F7371" s="3" t="s">
        <v>399</v>
      </c>
      <c r="I7371" s="3" t="s">
        <v>2369</v>
      </c>
    </row>
    <row r="7372" spans="2:9" hidden="1" x14ac:dyDescent="0.4">
      <c r="B7372" s="8" t="s">
        <v>12273</v>
      </c>
      <c r="C7372" s="3" t="s">
        <v>12272</v>
      </c>
      <c r="D7372" s="3" t="s">
        <v>11911</v>
      </c>
      <c r="E7372" s="3" t="s">
        <v>1272</v>
      </c>
      <c r="F7372" s="3" t="s">
        <v>399</v>
      </c>
      <c r="I7372" s="3" t="s">
        <v>2369</v>
      </c>
    </row>
    <row r="7373" spans="2:9" hidden="1" x14ac:dyDescent="0.4">
      <c r="D7373" s="3" t="s">
        <v>11095</v>
      </c>
      <c r="E7373" s="3" t="s">
        <v>1272</v>
      </c>
      <c r="F7373" s="3" t="s">
        <v>399</v>
      </c>
      <c r="I7373" s="3" t="s">
        <v>2369</v>
      </c>
    </row>
    <row r="7374" spans="2:9" hidden="1" x14ac:dyDescent="0.4">
      <c r="D7374" s="3" t="s">
        <v>11912</v>
      </c>
      <c r="E7374" s="3" t="s">
        <v>1272</v>
      </c>
      <c r="F7374" s="3" t="s">
        <v>399</v>
      </c>
      <c r="I7374" s="3" t="s">
        <v>2369</v>
      </c>
    </row>
    <row r="7375" spans="2:9" hidden="1" x14ac:dyDescent="0.4">
      <c r="D7375" s="3" t="s">
        <v>11913</v>
      </c>
      <c r="E7375" s="3" t="s">
        <v>1272</v>
      </c>
      <c r="F7375" s="3" t="s">
        <v>399</v>
      </c>
      <c r="I7375" s="3" t="s">
        <v>2369</v>
      </c>
    </row>
    <row r="7376" spans="2:9" hidden="1" x14ac:dyDescent="0.4">
      <c r="D7376" s="3" t="s">
        <v>11914</v>
      </c>
      <c r="E7376" s="3" t="s">
        <v>1272</v>
      </c>
      <c r="F7376" s="3" t="s">
        <v>399</v>
      </c>
      <c r="I7376" s="3" t="s">
        <v>2369</v>
      </c>
    </row>
    <row r="7377" spans="2:9" hidden="1" x14ac:dyDescent="0.4">
      <c r="D7377" s="3" t="s">
        <v>11915</v>
      </c>
      <c r="E7377" s="3" t="s">
        <v>1272</v>
      </c>
      <c r="F7377" s="3" t="s">
        <v>399</v>
      </c>
      <c r="I7377" s="3" t="s">
        <v>2369</v>
      </c>
    </row>
    <row r="7378" spans="2:9" hidden="1" x14ac:dyDescent="0.4">
      <c r="D7378" s="3" t="s">
        <v>11916</v>
      </c>
      <c r="E7378" s="3" t="s">
        <v>1272</v>
      </c>
      <c r="F7378" s="3" t="s">
        <v>399</v>
      </c>
      <c r="I7378" s="3" t="s">
        <v>2369</v>
      </c>
    </row>
    <row r="7379" spans="2:9" hidden="1" x14ac:dyDescent="0.4">
      <c r="D7379" s="3" t="s">
        <v>11917</v>
      </c>
      <c r="E7379" s="3" t="s">
        <v>1272</v>
      </c>
      <c r="F7379" s="3" t="s">
        <v>399</v>
      </c>
      <c r="I7379" s="3" t="s">
        <v>2369</v>
      </c>
    </row>
    <row r="7380" spans="2:9" hidden="1" x14ac:dyDescent="0.4">
      <c r="B7380" s="8" t="s">
        <v>517</v>
      </c>
      <c r="C7380" s="3" t="s">
        <v>12274</v>
      </c>
      <c r="D7380" s="3" t="s">
        <v>11918</v>
      </c>
      <c r="E7380" s="3" t="s">
        <v>1272</v>
      </c>
      <c r="F7380" s="3" t="s">
        <v>399</v>
      </c>
      <c r="I7380" s="3" t="s">
        <v>2369</v>
      </c>
    </row>
    <row r="7381" spans="2:9" hidden="1" x14ac:dyDescent="0.4">
      <c r="B7381" s="8" t="s">
        <v>518</v>
      </c>
      <c r="C7381" s="3" t="s">
        <v>12275</v>
      </c>
      <c r="D7381" s="3" t="s">
        <v>11919</v>
      </c>
      <c r="E7381" s="3" t="s">
        <v>1272</v>
      </c>
      <c r="F7381" s="3" t="s">
        <v>399</v>
      </c>
      <c r="I7381" s="3" t="s">
        <v>2369</v>
      </c>
    </row>
    <row r="7382" spans="2:9" hidden="1" x14ac:dyDescent="0.4">
      <c r="B7382" s="8" t="s">
        <v>1488</v>
      </c>
      <c r="C7382" s="3" t="s">
        <v>12276</v>
      </c>
      <c r="D7382" s="3" t="s">
        <v>11920</v>
      </c>
      <c r="E7382" s="3" t="s">
        <v>1272</v>
      </c>
      <c r="F7382" s="3" t="s">
        <v>399</v>
      </c>
      <c r="I7382" s="3" t="s">
        <v>2369</v>
      </c>
    </row>
    <row r="7383" spans="2:9" hidden="1" x14ac:dyDescent="0.4">
      <c r="D7383" s="3" t="s">
        <v>11543</v>
      </c>
      <c r="E7383" s="3" t="s">
        <v>1272</v>
      </c>
      <c r="F7383" s="3" t="s">
        <v>399</v>
      </c>
      <c r="I7383" s="3" t="s">
        <v>2369</v>
      </c>
    </row>
    <row r="7384" spans="2:9" hidden="1" x14ac:dyDescent="0.4">
      <c r="B7384" s="8" t="s">
        <v>518</v>
      </c>
      <c r="C7384" s="3" t="s">
        <v>12277</v>
      </c>
      <c r="D7384" s="3" t="s">
        <v>11921</v>
      </c>
      <c r="E7384" s="3" t="s">
        <v>1272</v>
      </c>
      <c r="F7384" s="3" t="s">
        <v>399</v>
      </c>
      <c r="I7384" s="3" t="s">
        <v>2369</v>
      </c>
    </row>
    <row r="7385" spans="2:9" hidden="1" x14ac:dyDescent="0.4">
      <c r="D7385" s="3" t="s">
        <v>11922</v>
      </c>
      <c r="E7385" s="3" t="s">
        <v>1272</v>
      </c>
      <c r="F7385" s="3" t="s">
        <v>399</v>
      </c>
      <c r="I7385" s="3" t="s">
        <v>2369</v>
      </c>
    </row>
    <row r="7386" spans="2:9" hidden="1" x14ac:dyDescent="0.4">
      <c r="D7386" s="3" t="s">
        <v>11923</v>
      </c>
      <c r="E7386" s="3" t="s">
        <v>1272</v>
      </c>
      <c r="F7386" s="3" t="s">
        <v>399</v>
      </c>
      <c r="I7386" s="3" t="s">
        <v>2369</v>
      </c>
    </row>
    <row r="7387" spans="2:9" hidden="1" x14ac:dyDescent="0.4">
      <c r="D7387" s="3" t="s">
        <v>11924</v>
      </c>
      <c r="E7387" s="3" t="s">
        <v>1272</v>
      </c>
      <c r="F7387" s="3" t="s">
        <v>399</v>
      </c>
      <c r="I7387" s="3" t="s">
        <v>2369</v>
      </c>
    </row>
    <row r="7388" spans="2:9" hidden="1" x14ac:dyDescent="0.4">
      <c r="D7388" s="3" t="s">
        <v>11925</v>
      </c>
      <c r="E7388" s="3" t="s">
        <v>1272</v>
      </c>
      <c r="F7388" s="3" t="s">
        <v>399</v>
      </c>
      <c r="I7388" s="3" t="s">
        <v>2369</v>
      </c>
    </row>
    <row r="7389" spans="2:9" hidden="1" x14ac:dyDescent="0.4">
      <c r="D7389" s="3" t="s">
        <v>11926</v>
      </c>
      <c r="E7389" s="3" t="s">
        <v>1272</v>
      </c>
      <c r="F7389" s="3" t="s">
        <v>399</v>
      </c>
      <c r="I7389" s="3" t="s">
        <v>2369</v>
      </c>
    </row>
    <row r="7390" spans="2:9" hidden="1" x14ac:dyDescent="0.4">
      <c r="D7390" s="3" t="s">
        <v>11927</v>
      </c>
      <c r="E7390" s="3" t="s">
        <v>1272</v>
      </c>
      <c r="F7390" s="3" t="s">
        <v>399</v>
      </c>
      <c r="I7390" s="3" t="s">
        <v>2369</v>
      </c>
    </row>
    <row r="7391" spans="2:9" hidden="1" x14ac:dyDescent="0.4">
      <c r="D7391" s="3" t="s">
        <v>11928</v>
      </c>
      <c r="E7391" s="3" t="s">
        <v>1272</v>
      </c>
      <c r="F7391" s="3" t="s">
        <v>399</v>
      </c>
      <c r="I7391" s="3" t="s">
        <v>2369</v>
      </c>
    </row>
    <row r="7392" spans="2:9" hidden="1" x14ac:dyDescent="0.4">
      <c r="D7392" s="3" t="s">
        <v>11929</v>
      </c>
      <c r="E7392" s="3" t="s">
        <v>1272</v>
      </c>
      <c r="F7392" s="3" t="s">
        <v>399</v>
      </c>
      <c r="I7392" s="3" t="s">
        <v>2369</v>
      </c>
    </row>
    <row r="7393" spans="2:9" hidden="1" x14ac:dyDescent="0.4">
      <c r="D7393" s="3" t="s">
        <v>11930</v>
      </c>
      <c r="E7393" s="3" t="s">
        <v>1272</v>
      </c>
      <c r="F7393" s="3" t="s">
        <v>399</v>
      </c>
      <c r="I7393" s="3" t="s">
        <v>2369</v>
      </c>
    </row>
    <row r="7394" spans="2:9" hidden="1" x14ac:dyDescent="0.4">
      <c r="D7394" s="3" t="s">
        <v>11931</v>
      </c>
      <c r="E7394" s="3" t="s">
        <v>1272</v>
      </c>
      <c r="F7394" s="3" t="s">
        <v>399</v>
      </c>
      <c r="I7394" s="3" t="s">
        <v>2369</v>
      </c>
    </row>
    <row r="7395" spans="2:9" hidden="1" x14ac:dyDescent="0.4">
      <c r="D7395" s="3" t="s">
        <v>11932</v>
      </c>
      <c r="E7395" s="3" t="s">
        <v>1272</v>
      </c>
      <c r="F7395" s="3" t="s">
        <v>399</v>
      </c>
      <c r="I7395" s="3" t="s">
        <v>2369</v>
      </c>
    </row>
    <row r="7396" spans="2:9" hidden="1" x14ac:dyDescent="0.4">
      <c r="D7396" s="3" t="s">
        <v>11933</v>
      </c>
      <c r="E7396" s="3" t="s">
        <v>1272</v>
      </c>
      <c r="F7396" s="3" t="s">
        <v>399</v>
      </c>
      <c r="I7396" s="3" t="s">
        <v>2369</v>
      </c>
    </row>
    <row r="7397" spans="2:9" hidden="1" x14ac:dyDescent="0.4">
      <c r="D7397" s="3" t="s">
        <v>11934</v>
      </c>
      <c r="E7397" s="3" t="s">
        <v>1272</v>
      </c>
      <c r="F7397" s="3" t="s">
        <v>399</v>
      </c>
      <c r="I7397" s="3" t="s">
        <v>2369</v>
      </c>
    </row>
    <row r="7398" spans="2:9" hidden="1" x14ac:dyDescent="0.4">
      <c r="B7398" s="8" t="s">
        <v>12279</v>
      </c>
      <c r="C7398" s="3" t="s">
        <v>12278</v>
      </c>
      <c r="D7398" s="3" t="s">
        <v>11935</v>
      </c>
      <c r="E7398" s="3" t="s">
        <v>1272</v>
      </c>
      <c r="F7398" s="3" t="s">
        <v>399</v>
      </c>
      <c r="I7398" s="3" t="s">
        <v>2369</v>
      </c>
    </row>
    <row r="7399" spans="2:9" hidden="1" x14ac:dyDescent="0.4">
      <c r="B7399" s="8" t="s">
        <v>518</v>
      </c>
      <c r="C7399" s="3" t="s">
        <v>12280</v>
      </c>
      <c r="D7399" s="3" t="s">
        <v>11936</v>
      </c>
      <c r="E7399" s="3" t="s">
        <v>1272</v>
      </c>
      <c r="F7399" s="3" t="s">
        <v>1279</v>
      </c>
      <c r="I7399" s="3" t="s">
        <v>2369</v>
      </c>
    </row>
    <row r="7400" spans="2:9" hidden="1" x14ac:dyDescent="0.4">
      <c r="B7400" s="8" t="s">
        <v>518</v>
      </c>
      <c r="C7400" s="3" t="s">
        <v>12281</v>
      </c>
      <c r="D7400" s="3" t="s">
        <v>11936</v>
      </c>
      <c r="E7400" s="3" t="s">
        <v>1272</v>
      </c>
      <c r="F7400" s="3" t="s">
        <v>399</v>
      </c>
      <c r="I7400" s="3" t="s">
        <v>2369</v>
      </c>
    </row>
    <row r="7401" spans="2:9" hidden="1" x14ac:dyDescent="0.4">
      <c r="D7401" s="3" t="s">
        <v>11937</v>
      </c>
      <c r="E7401" s="3" t="s">
        <v>1272</v>
      </c>
      <c r="F7401" s="3" t="s">
        <v>399</v>
      </c>
      <c r="I7401" s="3" t="s">
        <v>2369</v>
      </c>
    </row>
    <row r="7402" spans="2:9" hidden="1" x14ac:dyDescent="0.4">
      <c r="D7402" s="3" t="s">
        <v>11938</v>
      </c>
      <c r="E7402" s="3" t="s">
        <v>1272</v>
      </c>
      <c r="F7402" s="3" t="s">
        <v>399</v>
      </c>
      <c r="I7402" s="3" t="s">
        <v>2369</v>
      </c>
    </row>
    <row r="7403" spans="2:9" hidden="1" x14ac:dyDescent="0.4">
      <c r="D7403" s="3" t="s">
        <v>11939</v>
      </c>
      <c r="E7403" s="3" t="s">
        <v>1272</v>
      </c>
      <c r="F7403" s="3" t="s">
        <v>399</v>
      </c>
      <c r="I7403" s="3" t="s">
        <v>2369</v>
      </c>
    </row>
    <row r="7404" spans="2:9" hidden="1" x14ac:dyDescent="0.4">
      <c r="D7404" s="3" t="s">
        <v>11940</v>
      </c>
      <c r="E7404" s="3" t="s">
        <v>1272</v>
      </c>
      <c r="F7404" s="3" t="s">
        <v>399</v>
      </c>
      <c r="I7404" s="3" t="s">
        <v>2369</v>
      </c>
    </row>
    <row r="7405" spans="2:9" hidden="1" x14ac:dyDescent="0.4">
      <c r="B7405" s="8" t="s">
        <v>517</v>
      </c>
      <c r="C7405" s="3" t="s">
        <v>12282</v>
      </c>
      <c r="D7405" s="3" t="s">
        <v>11941</v>
      </c>
      <c r="E7405" s="3" t="s">
        <v>1272</v>
      </c>
      <c r="F7405" s="3" t="s">
        <v>399</v>
      </c>
      <c r="I7405" s="3" t="s">
        <v>2369</v>
      </c>
    </row>
    <row r="7406" spans="2:9" hidden="1" x14ac:dyDescent="0.4">
      <c r="B7406" s="8" t="s">
        <v>4061</v>
      </c>
      <c r="C7406" s="3" t="s">
        <v>12283</v>
      </c>
      <c r="D7406" s="3" t="s">
        <v>11941</v>
      </c>
      <c r="E7406" s="3" t="s">
        <v>1272</v>
      </c>
      <c r="F7406" s="3" t="s">
        <v>399</v>
      </c>
      <c r="I7406" s="3" t="s">
        <v>2369</v>
      </c>
    </row>
    <row r="7407" spans="2:9" hidden="1" x14ac:dyDescent="0.4">
      <c r="D7407" s="3" t="s">
        <v>11942</v>
      </c>
      <c r="E7407" s="3" t="s">
        <v>1272</v>
      </c>
      <c r="F7407" s="3" t="s">
        <v>399</v>
      </c>
      <c r="I7407" s="3" t="s">
        <v>2369</v>
      </c>
    </row>
    <row r="7408" spans="2:9" hidden="1" x14ac:dyDescent="0.4">
      <c r="D7408" s="3" t="s">
        <v>11943</v>
      </c>
      <c r="E7408" s="3" t="s">
        <v>1272</v>
      </c>
      <c r="F7408" s="3" t="s">
        <v>399</v>
      </c>
      <c r="I7408" s="3" t="s">
        <v>2369</v>
      </c>
    </row>
    <row r="7409" spans="2:9" hidden="1" x14ac:dyDescent="0.4">
      <c r="D7409" s="3" t="s">
        <v>11944</v>
      </c>
      <c r="E7409" s="3" t="s">
        <v>1272</v>
      </c>
      <c r="F7409" s="3" t="s">
        <v>399</v>
      </c>
      <c r="I7409" s="3" t="s">
        <v>2369</v>
      </c>
    </row>
    <row r="7410" spans="2:9" hidden="1" x14ac:dyDescent="0.4">
      <c r="D7410" s="3" t="s">
        <v>11945</v>
      </c>
      <c r="E7410" s="3" t="s">
        <v>1272</v>
      </c>
      <c r="F7410" s="3" t="s">
        <v>399</v>
      </c>
      <c r="I7410" s="3" t="s">
        <v>2369</v>
      </c>
    </row>
    <row r="7411" spans="2:9" hidden="1" x14ac:dyDescent="0.4">
      <c r="D7411" s="3" t="s">
        <v>11946</v>
      </c>
      <c r="E7411" s="3" t="s">
        <v>1272</v>
      </c>
      <c r="F7411" s="3" t="s">
        <v>399</v>
      </c>
      <c r="I7411" s="3" t="s">
        <v>2369</v>
      </c>
    </row>
    <row r="7412" spans="2:9" hidden="1" x14ac:dyDescent="0.4">
      <c r="D7412" s="3" t="s">
        <v>11947</v>
      </c>
      <c r="E7412" s="3" t="s">
        <v>1272</v>
      </c>
      <c r="F7412" s="3" t="s">
        <v>399</v>
      </c>
      <c r="I7412" s="3" t="s">
        <v>2369</v>
      </c>
    </row>
    <row r="7413" spans="2:9" hidden="1" x14ac:dyDescent="0.4">
      <c r="D7413" s="3" t="s">
        <v>11948</v>
      </c>
      <c r="E7413" s="3" t="s">
        <v>1272</v>
      </c>
      <c r="F7413" s="3" t="s">
        <v>399</v>
      </c>
      <c r="I7413" s="3" t="s">
        <v>2369</v>
      </c>
    </row>
    <row r="7414" spans="2:9" hidden="1" x14ac:dyDescent="0.4">
      <c r="D7414" s="3" t="s">
        <v>11949</v>
      </c>
      <c r="E7414" s="3" t="s">
        <v>1272</v>
      </c>
      <c r="F7414" s="3" t="s">
        <v>399</v>
      </c>
      <c r="I7414" s="3" t="s">
        <v>2369</v>
      </c>
    </row>
    <row r="7415" spans="2:9" hidden="1" x14ac:dyDescent="0.4">
      <c r="D7415" s="3" t="s">
        <v>11950</v>
      </c>
      <c r="E7415" s="3" t="s">
        <v>1272</v>
      </c>
      <c r="F7415" s="3" t="s">
        <v>399</v>
      </c>
      <c r="I7415" s="3" t="s">
        <v>2369</v>
      </c>
    </row>
    <row r="7416" spans="2:9" ht="29.25" hidden="1" x14ac:dyDescent="0.4">
      <c r="B7416" s="8" t="s">
        <v>12238</v>
      </c>
      <c r="C7416" s="3" t="s">
        <v>12284</v>
      </c>
      <c r="D7416" s="3" t="s">
        <v>11951</v>
      </c>
      <c r="E7416" s="3" t="s">
        <v>1272</v>
      </c>
      <c r="F7416" s="3" t="s">
        <v>399</v>
      </c>
      <c r="I7416" s="3" t="s">
        <v>2369</v>
      </c>
    </row>
    <row r="7417" spans="2:9" hidden="1" x14ac:dyDescent="0.4">
      <c r="D7417" s="3" t="s">
        <v>11952</v>
      </c>
      <c r="E7417" s="3" t="s">
        <v>1272</v>
      </c>
      <c r="F7417" s="3" t="s">
        <v>399</v>
      </c>
      <c r="I7417" s="3" t="s">
        <v>2369</v>
      </c>
    </row>
    <row r="7418" spans="2:9" hidden="1" x14ac:dyDescent="0.4">
      <c r="D7418" s="3" t="s">
        <v>11953</v>
      </c>
      <c r="E7418" s="3" t="s">
        <v>1272</v>
      </c>
      <c r="F7418" s="3" t="s">
        <v>399</v>
      </c>
      <c r="I7418" s="3" t="s">
        <v>2369</v>
      </c>
    </row>
    <row r="7419" spans="2:9" hidden="1" x14ac:dyDescent="0.4">
      <c r="D7419" s="3" t="s">
        <v>11954</v>
      </c>
      <c r="E7419" s="3" t="s">
        <v>1272</v>
      </c>
      <c r="F7419" s="3" t="s">
        <v>399</v>
      </c>
      <c r="I7419" s="3" t="s">
        <v>2369</v>
      </c>
    </row>
    <row r="7420" spans="2:9" hidden="1" x14ac:dyDescent="0.4">
      <c r="D7420" s="3" t="s">
        <v>11955</v>
      </c>
      <c r="E7420" s="3" t="s">
        <v>1272</v>
      </c>
      <c r="F7420" s="3" t="s">
        <v>399</v>
      </c>
      <c r="I7420" s="3" t="s">
        <v>2369</v>
      </c>
    </row>
    <row r="7421" spans="2:9" hidden="1" x14ac:dyDescent="0.4">
      <c r="D7421" s="3" t="s">
        <v>11956</v>
      </c>
      <c r="E7421" s="3" t="s">
        <v>1272</v>
      </c>
      <c r="F7421" s="3" t="s">
        <v>399</v>
      </c>
      <c r="I7421" s="3" t="s">
        <v>2369</v>
      </c>
    </row>
    <row r="7422" spans="2:9" hidden="1" x14ac:dyDescent="0.4">
      <c r="D7422" s="3" t="s">
        <v>11957</v>
      </c>
      <c r="E7422" s="3" t="s">
        <v>1272</v>
      </c>
      <c r="F7422" s="3" t="s">
        <v>399</v>
      </c>
      <c r="I7422" s="3" t="s">
        <v>2369</v>
      </c>
    </row>
    <row r="7423" spans="2:9" hidden="1" x14ac:dyDescent="0.4">
      <c r="D7423" s="3" t="s">
        <v>11958</v>
      </c>
      <c r="E7423" s="3" t="s">
        <v>1272</v>
      </c>
      <c r="F7423" s="3" t="s">
        <v>399</v>
      </c>
      <c r="I7423" s="3" t="s">
        <v>2369</v>
      </c>
    </row>
    <row r="7424" spans="2:9" hidden="1" x14ac:dyDescent="0.4">
      <c r="D7424" s="3" t="s">
        <v>11959</v>
      </c>
      <c r="E7424" s="3" t="s">
        <v>1272</v>
      </c>
      <c r="F7424" s="3" t="s">
        <v>399</v>
      </c>
      <c r="I7424" s="3" t="s">
        <v>2369</v>
      </c>
    </row>
    <row r="7425" spans="2:9" hidden="1" x14ac:dyDescent="0.4">
      <c r="D7425" s="3" t="s">
        <v>11960</v>
      </c>
      <c r="E7425" s="3" t="s">
        <v>1272</v>
      </c>
      <c r="F7425" s="3" t="s">
        <v>399</v>
      </c>
      <c r="I7425" s="3" t="s">
        <v>2369</v>
      </c>
    </row>
    <row r="7426" spans="2:9" hidden="1" x14ac:dyDescent="0.4">
      <c r="D7426" s="3" t="s">
        <v>11961</v>
      </c>
      <c r="E7426" s="3" t="s">
        <v>1272</v>
      </c>
      <c r="F7426" s="3" t="s">
        <v>399</v>
      </c>
      <c r="I7426" s="3" t="s">
        <v>2369</v>
      </c>
    </row>
    <row r="7427" spans="2:9" hidden="1" x14ac:dyDescent="0.4">
      <c r="D7427" s="3" t="s">
        <v>11962</v>
      </c>
      <c r="E7427" s="3" t="s">
        <v>1272</v>
      </c>
      <c r="F7427" s="3" t="s">
        <v>399</v>
      </c>
      <c r="I7427" s="3" t="s">
        <v>2369</v>
      </c>
    </row>
    <row r="7428" spans="2:9" hidden="1" x14ac:dyDescent="0.4">
      <c r="D7428" s="3" t="s">
        <v>11963</v>
      </c>
      <c r="E7428" s="3" t="s">
        <v>1272</v>
      </c>
      <c r="F7428" s="3" t="s">
        <v>399</v>
      </c>
      <c r="I7428" s="3" t="s">
        <v>2369</v>
      </c>
    </row>
    <row r="7429" spans="2:9" hidden="1" x14ac:dyDescent="0.4">
      <c r="B7429" s="8" t="s">
        <v>518</v>
      </c>
      <c r="C7429" s="3" t="s">
        <v>12286</v>
      </c>
      <c r="D7429" s="3" t="s">
        <v>12285</v>
      </c>
      <c r="E7429" s="3" t="s">
        <v>1272</v>
      </c>
      <c r="F7429" s="3" t="s">
        <v>399</v>
      </c>
      <c r="I7429" s="3" t="s">
        <v>2369</v>
      </c>
    </row>
    <row r="7430" spans="2:9" hidden="1" x14ac:dyDescent="0.4">
      <c r="D7430" s="3" t="s">
        <v>11964</v>
      </c>
      <c r="E7430" s="3" t="s">
        <v>1272</v>
      </c>
      <c r="F7430" s="3" t="s">
        <v>399</v>
      </c>
      <c r="I7430" s="3" t="s">
        <v>2369</v>
      </c>
    </row>
    <row r="7431" spans="2:9" hidden="1" x14ac:dyDescent="0.4">
      <c r="D7431" s="3" t="s">
        <v>11965</v>
      </c>
      <c r="E7431" s="3" t="s">
        <v>1272</v>
      </c>
      <c r="F7431" s="3" t="s">
        <v>399</v>
      </c>
      <c r="I7431" s="3" t="s">
        <v>2369</v>
      </c>
    </row>
    <row r="7432" spans="2:9" hidden="1" x14ac:dyDescent="0.4">
      <c r="D7432" s="3" t="s">
        <v>11966</v>
      </c>
      <c r="E7432" s="3" t="s">
        <v>1272</v>
      </c>
      <c r="F7432" s="3" t="s">
        <v>399</v>
      </c>
      <c r="I7432" s="3" t="s">
        <v>2369</v>
      </c>
    </row>
    <row r="7433" spans="2:9" hidden="1" x14ac:dyDescent="0.4">
      <c r="B7433" s="8" t="s">
        <v>529</v>
      </c>
      <c r="C7433" s="3" t="s">
        <v>12287</v>
      </c>
      <c r="D7433" s="3" t="s">
        <v>11967</v>
      </c>
      <c r="E7433" s="3" t="s">
        <v>1272</v>
      </c>
      <c r="F7433" s="3" t="s">
        <v>399</v>
      </c>
      <c r="I7433" s="3" t="s">
        <v>2369</v>
      </c>
    </row>
    <row r="7434" spans="2:9" hidden="1" x14ac:dyDescent="0.4">
      <c r="D7434" s="3" t="s">
        <v>11968</v>
      </c>
      <c r="E7434" s="3" t="s">
        <v>1272</v>
      </c>
      <c r="F7434" s="3" t="s">
        <v>399</v>
      </c>
      <c r="I7434" s="3" t="s">
        <v>2369</v>
      </c>
    </row>
    <row r="7435" spans="2:9" hidden="1" x14ac:dyDescent="0.4">
      <c r="D7435" s="3" t="s">
        <v>11969</v>
      </c>
      <c r="E7435" s="3" t="s">
        <v>1272</v>
      </c>
      <c r="F7435" s="3" t="s">
        <v>399</v>
      </c>
      <c r="I7435" s="3" t="s">
        <v>2369</v>
      </c>
    </row>
    <row r="7436" spans="2:9" hidden="1" x14ac:dyDescent="0.4">
      <c r="D7436" s="3" t="s">
        <v>11970</v>
      </c>
      <c r="E7436" s="3" t="s">
        <v>1272</v>
      </c>
      <c r="F7436" s="3" t="s">
        <v>399</v>
      </c>
      <c r="I7436" s="3" t="s">
        <v>2369</v>
      </c>
    </row>
    <row r="7437" spans="2:9" hidden="1" x14ac:dyDescent="0.4">
      <c r="D7437" s="3" t="s">
        <v>11971</v>
      </c>
      <c r="E7437" s="3" t="s">
        <v>1272</v>
      </c>
      <c r="F7437" s="3" t="s">
        <v>399</v>
      </c>
      <c r="I7437" s="3" t="s">
        <v>2369</v>
      </c>
    </row>
    <row r="7438" spans="2:9" hidden="1" x14ac:dyDescent="0.4">
      <c r="B7438" s="8" t="s">
        <v>6734</v>
      </c>
      <c r="C7438" s="3" t="s">
        <v>12288</v>
      </c>
      <c r="D7438" s="3" t="s">
        <v>11972</v>
      </c>
      <c r="E7438" s="3" t="s">
        <v>1272</v>
      </c>
      <c r="F7438" s="3" t="s">
        <v>399</v>
      </c>
      <c r="I7438" s="3" t="s">
        <v>2369</v>
      </c>
    </row>
    <row r="7439" spans="2:9" hidden="1" x14ac:dyDescent="0.4">
      <c r="D7439" s="3" t="s">
        <v>11973</v>
      </c>
      <c r="E7439" s="3" t="s">
        <v>1272</v>
      </c>
      <c r="F7439" s="3" t="s">
        <v>399</v>
      </c>
      <c r="I7439" s="3" t="s">
        <v>2369</v>
      </c>
    </row>
    <row r="7440" spans="2:9" hidden="1" x14ac:dyDescent="0.4">
      <c r="D7440" s="3" t="s">
        <v>11974</v>
      </c>
      <c r="E7440" s="3" t="s">
        <v>1272</v>
      </c>
      <c r="F7440" s="3" t="s">
        <v>399</v>
      </c>
      <c r="I7440" s="3" t="s">
        <v>2369</v>
      </c>
    </row>
    <row r="7441" spans="4:9" hidden="1" x14ac:dyDescent="0.4">
      <c r="D7441" s="3" t="s">
        <v>11975</v>
      </c>
      <c r="E7441" s="3" t="s">
        <v>1272</v>
      </c>
      <c r="F7441" s="3" t="s">
        <v>399</v>
      </c>
      <c r="I7441" s="3" t="s">
        <v>2369</v>
      </c>
    </row>
    <row r="7442" spans="4:9" hidden="1" x14ac:dyDescent="0.4">
      <c r="D7442" s="3" t="s">
        <v>11976</v>
      </c>
      <c r="E7442" s="3" t="s">
        <v>1272</v>
      </c>
      <c r="F7442" s="3" t="s">
        <v>399</v>
      </c>
      <c r="I7442" s="3" t="s">
        <v>2369</v>
      </c>
    </row>
    <row r="7443" spans="4:9" hidden="1" x14ac:dyDescent="0.4">
      <c r="D7443" s="3" t="s">
        <v>11977</v>
      </c>
      <c r="E7443" s="3" t="s">
        <v>1272</v>
      </c>
      <c r="F7443" s="3" t="s">
        <v>399</v>
      </c>
      <c r="I7443" s="3" t="s">
        <v>2369</v>
      </c>
    </row>
    <row r="7444" spans="4:9" hidden="1" x14ac:dyDescent="0.4">
      <c r="D7444" s="3" t="s">
        <v>11978</v>
      </c>
      <c r="E7444" s="3" t="s">
        <v>1272</v>
      </c>
      <c r="F7444" s="3" t="s">
        <v>399</v>
      </c>
      <c r="I7444" s="3" t="s">
        <v>2369</v>
      </c>
    </row>
    <row r="7445" spans="4:9" hidden="1" x14ac:dyDescent="0.4">
      <c r="D7445" s="3" t="s">
        <v>11979</v>
      </c>
      <c r="E7445" s="3" t="s">
        <v>1272</v>
      </c>
      <c r="F7445" s="3" t="s">
        <v>399</v>
      </c>
      <c r="I7445" s="3" t="s">
        <v>2369</v>
      </c>
    </row>
    <row r="7446" spans="4:9" hidden="1" x14ac:dyDescent="0.4">
      <c r="D7446" s="3" t="s">
        <v>11980</v>
      </c>
      <c r="E7446" s="3" t="s">
        <v>1272</v>
      </c>
      <c r="F7446" s="3" t="s">
        <v>399</v>
      </c>
      <c r="I7446" s="3" t="s">
        <v>2369</v>
      </c>
    </row>
    <row r="7447" spans="4:9" hidden="1" x14ac:dyDescent="0.4">
      <c r="D7447" s="3" t="s">
        <v>11981</v>
      </c>
      <c r="E7447" s="3" t="s">
        <v>1272</v>
      </c>
      <c r="F7447" s="3" t="s">
        <v>399</v>
      </c>
      <c r="I7447" s="3" t="s">
        <v>2369</v>
      </c>
    </row>
    <row r="7448" spans="4:9" hidden="1" x14ac:dyDescent="0.4">
      <c r="D7448" s="3" t="s">
        <v>11982</v>
      </c>
      <c r="E7448" s="3" t="s">
        <v>1272</v>
      </c>
      <c r="F7448" s="3" t="s">
        <v>399</v>
      </c>
      <c r="I7448" s="3" t="s">
        <v>2369</v>
      </c>
    </row>
    <row r="7449" spans="4:9" hidden="1" x14ac:dyDescent="0.4">
      <c r="D7449" s="3" t="s">
        <v>11983</v>
      </c>
      <c r="E7449" s="3" t="s">
        <v>1272</v>
      </c>
      <c r="F7449" s="3" t="s">
        <v>399</v>
      </c>
      <c r="I7449" s="3" t="s">
        <v>2369</v>
      </c>
    </row>
    <row r="7450" spans="4:9" hidden="1" x14ac:dyDescent="0.4">
      <c r="D7450" s="3" t="s">
        <v>11984</v>
      </c>
      <c r="E7450" s="3" t="s">
        <v>1272</v>
      </c>
      <c r="F7450" s="3" t="s">
        <v>399</v>
      </c>
      <c r="I7450" s="3" t="s">
        <v>2369</v>
      </c>
    </row>
    <row r="7451" spans="4:9" hidden="1" x14ac:dyDescent="0.4">
      <c r="D7451" s="3" t="s">
        <v>11985</v>
      </c>
      <c r="E7451" s="3" t="s">
        <v>1272</v>
      </c>
      <c r="F7451" s="3" t="s">
        <v>399</v>
      </c>
      <c r="I7451" s="3" t="s">
        <v>2369</v>
      </c>
    </row>
    <row r="7452" spans="4:9" hidden="1" x14ac:dyDescent="0.4">
      <c r="D7452" s="3" t="s">
        <v>11986</v>
      </c>
      <c r="E7452" s="3" t="s">
        <v>1272</v>
      </c>
      <c r="F7452" s="3" t="s">
        <v>399</v>
      </c>
      <c r="I7452" s="3" t="s">
        <v>2369</v>
      </c>
    </row>
    <row r="7453" spans="4:9" hidden="1" x14ac:dyDescent="0.4">
      <c r="D7453" s="3" t="s">
        <v>11987</v>
      </c>
      <c r="E7453" s="3" t="s">
        <v>1272</v>
      </c>
      <c r="F7453" s="3" t="s">
        <v>399</v>
      </c>
      <c r="I7453" s="3" t="s">
        <v>2369</v>
      </c>
    </row>
    <row r="7454" spans="4:9" hidden="1" x14ac:dyDescent="0.4">
      <c r="D7454" s="3" t="s">
        <v>11988</v>
      </c>
      <c r="E7454" s="3" t="s">
        <v>1272</v>
      </c>
      <c r="F7454" s="3" t="s">
        <v>399</v>
      </c>
      <c r="I7454" s="3" t="s">
        <v>2369</v>
      </c>
    </row>
    <row r="7455" spans="4:9" hidden="1" x14ac:dyDescent="0.4">
      <c r="D7455" s="3" t="s">
        <v>11989</v>
      </c>
      <c r="E7455" s="3" t="s">
        <v>1272</v>
      </c>
      <c r="F7455" s="3" t="s">
        <v>399</v>
      </c>
      <c r="I7455" s="3" t="s">
        <v>2369</v>
      </c>
    </row>
    <row r="7456" spans="4:9" hidden="1" x14ac:dyDescent="0.4">
      <c r="D7456" s="3" t="s">
        <v>11990</v>
      </c>
      <c r="E7456" s="3" t="s">
        <v>1272</v>
      </c>
      <c r="F7456" s="3" t="s">
        <v>399</v>
      </c>
      <c r="I7456" s="3" t="s">
        <v>2369</v>
      </c>
    </row>
    <row r="7457" spans="2:9" hidden="1" x14ac:dyDescent="0.4">
      <c r="D7457" s="3" t="s">
        <v>11991</v>
      </c>
      <c r="E7457" s="3" t="s">
        <v>1272</v>
      </c>
      <c r="F7457" s="3" t="s">
        <v>399</v>
      </c>
      <c r="I7457" s="3" t="s">
        <v>2369</v>
      </c>
    </row>
    <row r="7458" spans="2:9" hidden="1" x14ac:dyDescent="0.4">
      <c r="D7458" s="3" t="s">
        <v>11992</v>
      </c>
      <c r="E7458" s="3" t="s">
        <v>1272</v>
      </c>
      <c r="F7458" s="3" t="s">
        <v>399</v>
      </c>
      <c r="I7458" s="3" t="s">
        <v>2369</v>
      </c>
    </row>
    <row r="7459" spans="2:9" hidden="1" x14ac:dyDescent="0.4">
      <c r="D7459" s="3" t="s">
        <v>11993</v>
      </c>
      <c r="E7459" s="3" t="s">
        <v>1272</v>
      </c>
      <c r="F7459" s="3" t="s">
        <v>399</v>
      </c>
      <c r="I7459" s="3" t="s">
        <v>2369</v>
      </c>
    </row>
    <row r="7460" spans="2:9" hidden="1" x14ac:dyDescent="0.4">
      <c r="D7460" s="3" t="s">
        <v>11994</v>
      </c>
      <c r="E7460" s="3" t="s">
        <v>1272</v>
      </c>
      <c r="F7460" s="3" t="s">
        <v>399</v>
      </c>
      <c r="I7460" s="3" t="s">
        <v>2369</v>
      </c>
    </row>
    <row r="7461" spans="2:9" hidden="1" x14ac:dyDescent="0.4">
      <c r="D7461" s="3" t="s">
        <v>11995</v>
      </c>
      <c r="E7461" s="3" t="s">
        <v>1272</v>
      </c>
      <c r="F7461" s="3" t="s">
        <v>399</v>
      </c>
      <c r="I7461" s="3" t="s">
        <v>2369</v>
      </c>
    </row>
    <row r="7462" spans="2:9" hidden="1" x14ac:dyDescent="0.4">
      <c r="D7462" s="3" t="s">
        <v>11996</v>
      </c>
      <c r="E7462" s="3" t="s">
        <v>1272</v>
      </c>
      <c r="F7462" s="3" t="s">
        <v>399</v>
      </c>
      <c r="I7462" s="3" t="s">
        <v>2369</v>
      </c>
    </row>
    <row r="7463" spans="2:9" hidden="1" x14ac:dyDescent="0.4">
      <c r="D7463" s="3" t="s">
        <v>11997</v>
      </c>
      <c r="E7463" s="3" t="s">
        <v>1272</v>
      </c>
      <c r="F7463" s="3" t="s">
        <v>399</v>
      </c>
      <c r="I7463" s="3" t="s">
        <v>2369</v>
      </c>
    </row>
    <row r="7464" spans="2:9" hidden="1" x14ac:dyDescent="0.4">
      <c r="D7464" s="3" t="s">
        <v>11998</v>
      </c>
      <c r="E7464" s="3" t="s">
        <v>1272</v>
      </c>
      <c r="F7464" s="3" t="s">
        <v>399</v>
      </c>
      <c r="I7464" s="3" t="s">
        <v>2369</v>
      </c>
    </row>
    <row r="7465" spans="2:9" hidden="1" x14ac:dyDescent="0.4">
      <c r="D7465" s="3" t="s">
        <v>11906</v>
      </c>
      <c r="E7465" s="3" t="s">
        <v>1272</v>
      </c>
      <c r="F7465" s="3" t="s">
        <v>399</v>
      </c>
      <c r="I7465" s="3" t="s">
        <v>2369</v>
      </c>
    </row>
    <row r="7466" spans="2:9" hidden="1" x14ac:dyDescent="0.4">
      <c r="D7466" s="3" t="s">
        <v>11999</v>
      </c>
      <c r="E7466" s="3" t="s">
        <v>1272</v>
      </c>
      <c r="F7466" s="3" t="s">
        <v>399</v>
      </c>
      <c r="I7466" s="3" t="s">
        <v>2369</v>
      </c>
    </row>
    <row r="7467" spans="2:9" hidden="1" x14ac:dyDescent="0.4">
      <c r="D7467" s="3" t="s">
        <v>11902</v>
      </c>
      <c r="E7467" s="3" t="s">
        <v>1272</v>
      </c>
      <c r="F7467" s="3" t="s">
        <v>399</v>
      </c>
      <c r="I7467" s="3" t="s">
        <v>2369</v>
      </c>
    </row>
    <row r="7468" spans="2:9" hidden="1" x14ac:dyDescent="0.4">
      <c r="D7468" s="3" t="s">
        <v>12000</v>
      </c>
      <c r="E7468" s="3" t="s">
        <v>1272</v>
      </c>
      <c r="F7468" s="3" t="s">
        <v>399</v>
      </c>
      <c r="I7468" s="3" t="s">
        <v>2369</v>
      </c>
    </row>
    <row r="7469" spans="2:9" hidden="1" x14ac:dyDescent="0.4">
      <c r="D7469" s="3" t="s">
        <v>12001</v>
      </c>
      <c r="E7469" s="3" t="s">
        <v>1272</v>
      </c>
      <c r="F7469" s="3" t="s">
        <v>399</v>
      </c>
      <c r="I7469" s="3" t="s">
        <v>2369</v>
      </c>
    </row>
    <row r="7470" spans="2:9" hidden="1" x14ac:dyDescent="0.4">
      <c r="B7470" s="8" t="s">
        <v>517</v>
      </c>
      <c r="C7470" s="3" t="s">
        <v>12289</v>
      </c>
      <c r="D7470" s="3" t="s">
        <v>12002</v>
      </c>
      <c r="E7470" s="3" t="s">
        <v>1272</v>
      </c>
      <c r="F7470" s="3" t="s">
        <v>399</v>
      </c>
      <c r="I7470" s="3" t="s">
        <v>2369</v>
      </c>
    </row>
    <row r="7471" spans="2:9" hidden="1" x14ac:dyDescent="0.4">
      <c r="D7471" s="3" t="s">
        <v>12003</v>
      </c>
      <c r="E7471" s="3" t="s">
        <v>1272</v>
      </c>
      <c r="F7471" s="3" t="s">
        <v>399</v>
      </c>
      <c r="I7471" s="3" t="s">
        <v>2369</v>
      </c>
    </row>
    <row r="7472" spans="2:9" hidden="1" x14ac:dyDescent="0.4">
      <c r="D7472" s="3" t="s">
        <v>12004</v>
      </c>
      <c r="E7472" s="3" t="s">
        <v>1272</v>
      </c>
      <c r="F7472" s="3" t="s">
        <v>399</v>
      </c>
      <c r="I7472" s="3" t="s">
        <v>2369</v>
      </c>
    </row>
    <row r="7473" spans="2:9" hidden="1" x14ac:dyDescent="0.4">
      <c r="D7473" s="3" t="s">
        <v>12005</v>
      </c>
      <c r="E7473" s="3" t="s">
        <v>1272</v>
      </c>
      <c r="F7473" s="3" t="s">
        <v>399</v>
      </c>
      <c r="I7473" s="3" t="s">
        <v>2369</v>
      </c>
    </row>
    <row r="7474" spans="2:9" hidden="1" x14ac:dyDescent="0.4">
      <c r="D7474" s="3" t="s">
        <v>12006</v>
      </c>
      <c r="E7474" s="3" t="s">
        <v>1272</v>
      </c>
      <c r="F7474" s="3" t="s">
        <v>399</v>
      </c>
      <c r="I7474" s="3" t="s">
        <v>2369</v>
      </c>
    </row>
    <row r="7475" spans="2:9" hidden="1" x14ac:dyDescent="0.4">
      <c r="D7475" s="3" t="s">
        <v>12007</v>
      </c>
      <c r="E7475" s="3" t="s">
        <v>1272</v>
      </c>
      <c r="F7475" s="3" t="s">
        <v>399</v>
      </c>
      <c r="I7475" s="3" t="s">
        <v>2369</v>
      </c>
    </row>
    <row r="7476" spans="2:9" hidden="1" x14ac:dyDescent="0.4">
      <c r="B7476" s="8" t="s">
        <v>516</v>
      </c>
      <c r="C7476" s="3" t="s">
        <v>12290</v>
      </c>
      <c r="D7476" s="3" t="s">
        <v>12008</v>
      </c>
      <c r="E7476" s="3" t="s">
        <v>1272</v>
      </c>
      <c r="F7476" s="3" t="s">
        <v>399</v>
      </c>
      <c r="I7476" s="3" t="s">
        <v>2369</v>
      </c>
    </row>
    <row r="7477" spans="2:9" hidden="1" x14ac:dyDescent="0.4">
      <c r="D7477" s="3" t="s">
        <v>12009</v>
      </c>
      <c r="E7477" s="3" t="s">
        <v>1272</v>
      </c>
      <c r="F7477" s="3" t="s">
        <v>399</v>
      </c>
      <c r="I7477" s="3" t="s">
        <v>2369</v>
      </c>
    </row>
    <row r="7478" spans="2:9" hidden="1" x14ac:dyDescent="0.4">
      <c r="D7478" s="3" t="s">
        <v>12001</v>
      </c>
      <c r="E7478" s="3" t="s">
        <v>1272</v>
      </c>
      <c r="F7478" s="3" t="s">
        <v>399</v>
      </c>
      <c r="I7478" s="3" t="s">
        <v>2369</v>
      </c>
    </row>
    <row r="7479" spans="2:9" hidden="1" x14ac:dyDescent="0.4">
      <c r="D7479" s="3" t="s">
        <v>12010</v>
      </c>
      <c r="E7479" s="3" t="s">
        <v>1272</v>
      </c>
      <c r="F7479" s="3" t="s">
        <v>399</v>
      </c>
      <c r="I7479" s="3" t="s">
        <v>2369</v>
      </c>
    </row>
    <row r="7480" spans="2:9" hidden="1" x14ac:dyDescent="0.4">
      <c r="D7480" s="3" t="s">
        <v>12011</v>
      </c>
      <c r="E7480" s="3" t="s">
        <v>1272</v>
      </c>
      <c r="F7480" s="3" t="s">
        <v>399</v>
      </c>
      <c r="I7480" s="3" t="s">
        <v>2369</v>
      </c>
    </row>
    <row r="7481" spans="2:9" hidden="1" x14ac:dyDescent="0.4">
      <c r="D7481" s="3" t="s">
        <v>12012</v>
      </c>
      <c r="E7481" s="3" t="s">
        <v>1272</v>
      </c>
      <c r="F7481" s="3" t="s">
        <v>399</v>
      </c>
      <c r="I7481" s="3" t="s">
        <v>2369</v>
      </c>
    </row>
    <row r="7482" spans="2:9" hidden="1" x14ac:dyDescent="0.4">
      <c r="D7482" s="3" t="s">
        <v>12013</v>
      </c>
      <c r="E7482" s="3" t="s">
        <v>1272</v>
      </c>
      <c r="F7482" s="3" t="s">
        <v>399</v>
      </c>
      <c r="I7482" s="3" t="s">
        <v>2369</v>
      </c>
    </row>
    <row r="7483" spans="2:9" hidden="1" x14ac:dyDescent="0.4">
      <c r="D7483" s="3" t="s">
        <v>12014</v>
      </c>
      <c r="E7483" s="3" t="s">
        <v>1272</v>
      </c>
      <c r="F7483" s="3" t="s">
        <v>399</v>
      </c>
      <c r="I7483" s="3" t="s">
        <v>2369</v>
      </c>
    </row>
    <row r="7484" spans="2:9" hidden="1" x14ac:dyDescent="0.4">
      <c r="D7484" s="3" t="s">
        <v>12015</v>
      </c>
      <c r="E7484" s="3" t="s">
        <v>1272</v>
      </c>
      <c r="F7484" s="3" t="s">
        <v>399</v>
      </c>
      <c r="I7484" s="3" t="s">
        <v>2369</v>
      </c>
    </row>
    <row r="7485" spans="2:9" hidden="1" x14ac:dyDescent="0.4">
      <c r="D7485" s="3" t="s">
        <v>12016</v>
      </c>
      <c r="E7485" s="3" t="s">
        <v>1272</v>
      </c>
      <c r="F7485" s="3" t="s">
        <v>399</v>
      </c>
      <c r="I7485" s="3" t="s">
        <v>2369</v>
      </c>
    </row>
    <row r="7486" spans="2:9" hidden="1" x14ac:dyDescent="0.4">
      <c r="B7486" s="8" t="s">
        <v>517</v>
      </c>
      <c r="C7486" s="3" t="s">
        <v>12291</v>
      </c>
      <c r="D7486" s="3" t="s">
        <v>12017</v>
      </c>
      <c r="E7486" s="3" t="s">
        <v>1272</v>
      </c>
      <c r="F7486" s="3" t="s">
        <v>399</v>
      </c>
      <c r="I7486" s="3" t="s">
        <v>2369</v>
      </c>
    </row>
    <row r="7487" spans="2:9" hidden="1" x14ac:dyDescent="0.4">
      <c r="B7487" s="8" t="s">
        <v>6734</v>
      </c>
      <c r="C7487" s="3" t="s">
        <v>12292</v>
      </c>
      <c r="D7487" s="3" t="s">
        <v>12018</v>
      </c>
      <c r="E7487" s="3" t="s">
        <v>1272</v>
      </c>
      <c r="F7487" s="3" t="s">
        <v>399</v>
      </c>
      <c r="I7487" s="3" t="s">
        <v>2369</v>
      </c>
    </row>
    <row r="7488" spans="2:9" hidden="1" x14ac:dyDescent="0.4">
      <c r="B7488" s="8" t="s">
        <v>12235</v>
      </c>
      <c r="C7488" s="3" t="s">
        <v>12293</v>
      </c>
      <c r="D7488" s="3" t="s">
        <v>12019</v>
      </c>
      <c r="E7488" s="3" t="s">
        <v>1272</v>
      </c>
      <c r="F7488" s="3" t="s">
        <v>399</v>
      </c>
      <c r="I7488" s="3" t="s">
        <v>2369</v>
      </c>
    </row>
    <row r="7489" spans="4:9" hidden="1" x14ac:dyDescent="0.4">
      <c r="D7489" s="3" t="s">
        <v>12020</v>
      </c>
      <c r="E7489" s="3" t="s">
        <v>1272</v>
      </c>
      <c r="F7489" s="3" t="s">
        <v>399</v>
      </c>
      <c r="I7489" s="3" t="s">
        <v>2369</v>
      </c>
    </row>
    <row r="7490" spans="4:9" hidden="1" x14ac:dyDescent="0.4">
      <c r="D7490" s="3" t="s">
        <v>12021</v>
      </c>
      <c r="E7490" s="3" t="s">
        <v>1272</v>
      </c>
      <c r="F7490" s="3" t="s">
        <v>399</v>
      </c>
      <c r="I7490" s="3" t="s">
        <v>2369</v>
      </c>
    </row>
    <row r="7491" spans="4:9" hidden="1" x14ac:dyDescent="0.4">
      <c r="D7491" s="3" t="s">
        <v>12022</v>
      </c>
      <c r="E7491" s="3" t="s">
        <v>1272</v>
      </c>
      <c r="F7491" s="3" t="s">
        <v>399</v>
      </c>
      <c r="I7491" s="3" t="s">
        <v>2369</v>
      </c>
    </row>
    <row r="7492" spans="4:9" hidden="1" x14ac:dyDescent="0.4">
      <c r="D7492" s="3" t="s">
        <v>12023</v>
      </c>
      <c r="E7492" s="3" t="s">
        <v>1272</v>
      </c>
      <c r="F7492" s="3" t="s">
        <v>399</v>
      </c>
      <c r="I7492" s="3" t="s">
        <v>2369</v>
      </c>
    </row>
    <row r="7493" spans="4:9" hidden="1" x14ac:dyDescent="0.4">
      <c r="D7493" s="3" t="s">
        <v>12024</v>
      </c>
      <c r="E7493" s="3" t="s">
        <v>1272</v>
      </c>
      <c r="F7493" s="3" t="s">
        <v>399</v>
      </c>
      <c r="I7493" s="3" t="s">
        <v>2369</v>
      </c>
    </row>
    <row r="7494" spans="4:9" hidden="1" x14ac:dyDescent="0.4">
      <c r="D7494" s="3" t="s">
        <v>12025</v>
      </c>
      <c r="E7494" s="3" t="s">
        <v>1272</v>
      </c>
      <c r="F7494" s="3" t="s">
        <v>399</v>
      </c>
      <c r="I7494" s="3" t="s">
        <v>2369</v>
      </c>
    </row>
    <row r="7495" spans="4:9" hidden="1" x14ac:dyDescent="0.4">
      <c r="D7495" s="3" t="s">
        <v>12026</v>
      </c>
      <c r="E7495" s="3" t="s">
        <v>1272</v>
      </c>
      <c r="F7495" s="3" t="s">
        <v>399</v>
      </c>
      <c r="I7495" s="3" t="s">
        <v>2369</v>
      </c>
    </row>
    <row r="7496" spans="4:9" hidden="1" x14ac:dyDescent="0.4">
      <c r="D7496" s="3" t="s">
        <v>12027</v>
      </c>
      <c r="E7496" s="3" t="s">
        <v>1272</v>
      </c>
      <c r="F7496" s="3" t="s">
        <v>399</v>
      </c>
      <c r="I7496" s="3" t="s">
        <v>2369</v>
      </c>
    </row>
    <row r="7497" spans="4:9" hidden="1" x14ac:dyDescent="0.4">
      <c r="D7497" s="3" t="s">
        <v>12028</v>
      </c>
      <c r="E7497" s="3" t="s">
        <v>1272</v>
      </c>
      <c r="F7497" s="3" t="s">
        <v>399</v>
      </c>
      <c r="I7497" s="3" t="s">
        <v>2369</v>
      </c>
    </row>
    <row r="7498" spans="4:9" hidden="1" x14ac:dyDescent="0.4">
      <c r="D7498" s="3" t="s">
        <v>10816</v>
      </c>
      <c r="E7498" s="3" t="s">
        <v>1272</v>
      </c>
      <c r="F7498" s="3" t="s">
        <v>399</v>
      </c>
      <c r="I7498" s="3" t="s">
        <v>2369</v>
      </c>
    </row>
    <row r="7499" spans="4:9" hidden="1" x14ac:dyDescent="0.4">
      <c r="D7499" s="3" t="s">
        <v>12029</v>
      </c>
      <c r="E7499" s="3" t="s">
        <v>1272</v>
      </c>
      <c r="F7499" s="3" t="s">
        <v>399</v>
      </c>
      <c r="I7499" s="3" t="s">
        <v>2369</v>
      </c>
    </row>
    <row r="7500" spans="4:9" hidden="1" x14ac:dyDescent="0.4">
      <c r="D7500" s="3" t="s">
        <v>12030</v>
      </c>
      <c r="E7500" s="3" t="s">
        <v>1272</v>
      </c>
      <c r="F7500" s="3" t="s">
        <v>399</v>
      </c>
      <c r="I7500" s="3" t="s">
        <v>2369</v>
      </c>
    </row>
    <row r="7501" spans="4:9" hidden="1" x14ac:dyDescent="0.4">
      <c r="D7501" s="3" t="s">
        <v>12031</v>
      </c>
      <c r="E7501" s="3" t="s">
        <v>1272</v>
      </c>
      <c r="F7501" s="3" t="s">
        <v>399</v>
      </c>
      <c r="I7501" s="3" t="s">
        <v>2369</v>
      </c>
    </row>
    <row r="7502" spans="4:9" hidden="1" x14ac:dyDescent="0.4">
      <c r="D7502" s="3" t="s">
        <v>12032</v>
      </c>
      <c r="E7502" s="3" t="s">
        <v>1272</v>
      </c>
      <c r="F7502" s="3" t="s">
        <v>399</v>
      </c>
      <c r="I7502" s="3" t="s">
        <v>2369</v>
      </c>
    </row>
    <row r="7503" spans="4:9" hidden="1" x14ac:dyDescent="0.4">
      <c r="D7503" s="3" t="s">
        <v>12033</v>
      </c>
      <c r="E7503" s="3" t="s">
        <v>1272</v>
      </c>
      <c r="F7503" s="3" t="s">
        <v>399</v>
      </c>
      <c r="I7503" s="3" t="s">
        <v>2369</v>
      </c>
    </row>
    <row r="7504" spans="4:9" hidden="1" x14ac:dyDescent="0.4">
      <c r="D7504" s="3" t="s">
        <v>12034</v>
      </c>
      <c r="E7504" s="3" t="s">
        <v>1272</v>
      </c>
      <c r="F7504" s="3" t="s">
        <v>399</v>
      </c>
      <c r="I7504" s="3" t="s">
        <v>2369</v>
      </c>
    </row>
    <row r="7505" spans="4:9" hidden="1" x14ac:dyDescent="0.4">
      <c r="D7505" s="3" t="s">
        <v>12035</v>
      </c>
      <c r="E7505" s="3" t="s">
        <v>1272</v>
      </c>
      <c r="F7505" s="3" t="s">
        <v>399</v>
      </c>
      <c r="I7505" s="3" t="s">
        <v>2369</v>
      </c>
    </row>
    <row r="7506" spans="4:9" hidden="1" x14ac:dyDescent="0.4">
      <c r="D7506" s="3" t="s">
        <v>12036</v>
      </c>
      <c r="E7506" s="3" t="s">
        <v>1272</v>
      </c>
      <c r="F7506" s="3" t="s">
        <v>399</v>
      </c>
      <c r="I7506" s="3" t="s">
        <v>2369</v>
      </c>
    </row>
    <row r="7507" spans="4:9" hidden="1" x14ac:dyDescent="0.4">
      <c r="D7507" s="3" t="s">
        <v>12037</v>
      </c>
      <c r="E7507" s="3" t="s">
        <v>1272</v>
      </c>
      <c r="F7507" s="3" t="s">
        <v>399</v>
      </c>
      <c r="I7507" s="3" t="s">
        <v>2369</v>
      </c>
    </row>
    <row r="7508" spans="4:9" hidden="1" x14ac:dyDescent="0.4">
      <c r="D7508" s="3" t="s">
        <v>12038</v>
      </c>
      <c r="E7508" s="3" t="s">
        <v>1272</v>
      </c>
      <c r="F7508" s="3" t="s">
        <v>399</v>
      </c>
      <c r="I7508" s="3" t="s">
        <v>2369</v>
      </c>
    </row>
    <row r="7509" spans="4:9" hidden="1" x14ac:dyDescent="0.4">
      <c r="D7509" s="3" t="s">
        <v>12039</v>
      </c>
      <c r="E7509" s="3" t="s">
        <v>1272</v>
      </c>
      <c r="F7509" s="3" t="s">
        <v>399</v>
      </c>
      <c r="I7509" s="3" t="s">
        <v>2369</v>
      </c>
    </row>
    <row r="7510" spans="4:9" hidden="1" x14ac:dyDescent="0.4">
      <c r="D7510" s="3" t="s">
        <v>12040</v>
      </c>
      <c r="E7510" s="3" t="s">
        <v>1272</v>
      </c>
      <c r="F7510" s="3" t="s">
        <v>399</v>
      </c>
      <c r="I7510" s="3" t="s">
        <v>2369</v>
      </c>
    </row>
    <row r="7511" spans="4:9" hidden="1" x14ac:dyDescent="0.4">
      <c r="D7511" s="3" t="s">
        <v>12041</v>
      </c>
      <c r="E7511" s="3" t="s">
        <v>1272</v>
      </c>
      <c r="F7511" s="3" t="s">
        <v>399</v>
      </c>
      <c r="I7511" s="3" t="s">
        <v>2369</v>
      </c>
    </row>
    <row r="7512" spans="4:9" hidden="1" x14ac:dyDescent="0.4">
      <c r="D7512" s="3" t="s">
        <v>12042</v>
      </c>
      <c r="E7512" s="3" t="s">
        <v>1272</v>
      </c>
      <c r="F7512" s="3" t="s">
        <v>399</v>
      </c>
      <c r="I7512" s="3" t="s">
        <v>2369</v>
      </c>
    </row>
    <row r="7513" spans="4:9" hidden="1" x14ac:dyDescent="0.4">
      <c r="D7513" s="3" t="s">
        <v>12043</v>
      </c>
      <c r="E7513" s="3" t="s">
        <v>1272</v>
      </c>
      <c r="F7513" s="3" t="s">
        <v>399</v>
      </c>
      <c r="I7513" s="3" t="s">
        <v>2369</v>
      </c>
    </row>
    <row r="7514" spans="4:9" hidden="1" x14ac:dyDescent="0.4">
      <c r="D7514" s="3" t="s">
        <v>12044</v>
      </c>
      <c r="E7514" s="3" t="s">
        <v>1272</v>
      </c>
      <c r="F7514" s="3" t="s">
        <v>399</v>
      </c>
      <c r="I7514" s="3" t="s">
        <v>2369</v>
      </c>
    </row>
    <row r="7515" spans="4:9" hidden="1" x14ac:dyDescent="0.4">
      <c r="D7515" s="3" t="s">
        <v>12045</v>
      </c>
      <c r="E7515" s="3" t="s">
        <v>1272</v>
      </c>
      <c r="F7515" s="3" t="s">
        <v>399</v>
      </c>
      <c r="I7515" s="3" t="s">
        <v>2369</v>
      </c>
    </row>
    <row r="7516" spans="4:9" hidden="1" x14ac:dyDescent="0.4">
      <c r="D7516" s="3" t="s">
        <v>12046</v>
      </c>
      <c r="E7516" s="3" t="s">
        <v>1272</v>
      </c>
      <c r="F7516" s="3" t="s">
        <v>399</v>
      </c>
      <c r="I7516" s="3" t="s">
        <v>2369</v>
      </c>
    </row>
    <row r="7517" spans="4:9" hidden="1" x14ac:dyDescent="0.4">
      <c r="D7517" s="3" t="s">
        <v>12047</v>
      </c>
      <c r="E7517" s="3" t="s">
        <v>1272</v>
      </c>
      <c r="F7517" s="3" t="s">
        <v>399</v>
      </c>
      <c r="I7517" s="3" t="s">
        <v>2369</v>
      </c>
    </row>
    <row r="7518" spans="4:9" hidden="1" x14ac:dyDescent="0.4">
      <c r="D7518" s="3" t="s">
        <v>12048</v>
      </c>
      <c r="E7518" s="3" t="s">
        <v>1272</v>
      </c>
      <c r="F7518" s="3" t="s">
        <v>399</v>
      </c>
      <c r="I7518" s="3" t="s">
        <v>2369</v>
      </c>
    </row>
    <row r="7519" spans="4:9" hidden="1" x14ac:dyDescent="0.4">
      <c r="D7519" s="3" t="s">
        <v>12049</v>
      </c>
      <c r="E7519" s="3" t="s">
        <v>1272</v>
      </c>
      <c r="F7519" s="3" t="s">
        <v>399</v>
      </c>
      <c r="I7519" s="3" t="s">
        <v>2369</v>
      </c>
    </row>
    <row r="7520" spans="4:9" hidden="1" x14ac:dyDescent="0.4">
      <c r="D7520" s="3" t="s">
        <v>12050</v>
      </c>
      <c r="E7520" s="3" t="s">
        <v>1272</v>
      </c>
      <c r="F7520" s="3" t="s">
        <v>399</v>
      </c>
      <c r="I7520" s="3" t="s">
        <v>2369</v>
      </c>
    </row>
    <row r="7521" spans="2:9" hidden="1" x14ac:dyDescent="0.4">
      <c r="D7521" s="3" t="s">
        <v>12051</v>
      </c>
      <c r="E7521" s="3" t="s">
        <v>1272</v>
      </c>
      <c r="F7521" s="3" t="s">
        <v>399</v>
      </c>
      <c r="I7521" s="3" t="s">
        <v>2369</v>
      </c>
    </row>
    <row r="7522" spans="2:9" hidden="1" x14ac:dyDescent="0.4">
      <c r="D7522" s="3" t="s">
        <v>12052</v>
      </c>
      <c r="E7522" s="3" t="s">
        <v>1272</v>
      </c>
      <c r="F7522" s="3" t="s">
        <v>399</v>
      </c>
      <c r="I7522" s="3" t="s">
        <v>2369</v>
      </c>
    </row>
    <row r="7523" spans="2:9" hidden="1" x14ac:dyDescent="0.4">
      <c r="B7523" s="8" t="s">
        <v>6734</v>
      </c>
      <c r="C7523" s="3" t="s">
        <v>12294</v>
      </c>
      <c r="D7523" s="3" t="s">
        <v>12053</v>
      </c>
      <c r="E7523" s="3" t="s">
        <v>1272</v>
      </c>
      <c r="F7523" s="3" t="s">
        <v>399</v>
      </c>
      <c r="I7523" s="3" t="s">
        <v>2369</v>
      </c>
    </row>
    <row r="7524" spans="2:9" hidden="1" x14ac:dyDescent="0.4">
      <c r="B7524" s="8" t="s">
        <v>517</v>
      </c>
      <c r="C7524" s="3" t="s">
        <v>12295</v>
      </c>
      <c r="D7524" s="3" t="s">
        <v>12053</v>
      </c>
      <c r="E7524" s="3" t="s">
        <v>1272</v>
      </c>
      <c r="F7524" s="3" t="s">
        <v>399</v>
      </c>
      <c r="I7524" s="3" t="s">
        <v>2369</v>
      </c>
    </row>
    <row r="7525" spans="2:9" hidden="1" x14ac:dyDescent="0.4">
      <c r="D7525" s="3" t="s">
        <v>12054</v>
      </c>
      <c r="E7525" s="3" t="s">
        <v>1272</v>
      </c>
      <c r="F7525" s="3" t="s">
        <v>399</v>
      </c>
      <c r="I7525" s="3" t="s">
        <v>2369</v>
      </c>
    </row>
    <row r="7526" spans="2:9" ht="29.25" hidden="1" x14ac:dyDescent="0.4">
      <c r="B7526" s="8" t="s">
        <v>12297</v>
      </c>
      <c r="C7526" s="3" t="s">
        <v>12296</v>
      </c>
      <c r="D7526" s="3" t="s">
        <v>12055</v>
      </c>
      <c r="E7526" s="3" t="s">
        <v>1272</v>
      </c>
      <c r="F7526" s="3" t="s">
        <v>399</v>
      </c>
      <c r="I7526" s="3" t="s">
        <v>2369</v>
      </c>
    </row>
    <row r="7527" spans="2:9" hidden="1" x14ac:dyDescent="0.4">
      <c r="D7527" s="3" t="s">
        <v>12056</v>
      </c>
      <c r="E7527" s="3" t="s">
        <v>1272</v>
      </c>
      <c r="F7527" s="3" t="s">
        <v>399</v>
      </c>
      <c r="I7527" s="3" t="s">
        <v>2369</v>
      </c>
    </row>
    <row r="7528" spans="2:9" hidden="1" x14ac:dyDescent="0.4">
      <c r="D7528" s="3" t="s">
        <v>12057</v>
      </c>
      <c r="E7528" s="3" t="s">
        <v>1272</v>
      </c>
      <c r="F7528" s="3" t="s">
        <v>399</v>
      </c>
      <c r="I7528" s="3" t="s">
        <v>2369</v>
      </c>
    </row>
    <row r="7529" spans="2:9" hidden="1" x14ac:dyDescent="0.4">
      <c r="D7529" s="3" t="s">
        <v>12058</v>
      </c>
      <c r="E7529" s="3" t="s">
        <v>1272</v>
      </c>
      <c r="F7529" s="3" t="s">
        <v>399</v>
      </c>
      <c r="I7529" s="3" t="s">
        <v>2369</v>
      </c>
    </row>
    <row r="7530" spans="2:9" hidden="1" x14ac:dyDescent="0.4">
      <c r="D7530" s="3" t="s">
        <v>12059</v>
      </c>
      <c r="E7530" s="3" t="s">
        <v>1272</v>
      </c>
      <c r="F7530" s="3" t="s">
        <v>399</v>
      </c>
      <c r="I7530" s="3" t="s">
        <v>2369</v>
      </c>
    </row>
    <row r="7531" spans="2:9" hidden="1" x14ac:dyDescent="0.4">
      <c r="D7531" s="3" t="s">
        <v>12060</v>
      </c>
      <c r="E7531" s="3" t="s">
        <v>1272</v>
      </c>
      <c r="F7531" s="3" t="s">
        <v>399</v>
      </c>
      <c r="I7531" s="3" t="s">
        <v>2369</v>
      </c>
    </row>
    <row r="7532" spans="2:9" hidden="1" x14ac:dyDescent="0.4">
      <c r="D7532" s="3" t="s">
        <v>12061</v>
      </c>
      <c r="E7532" s="3" t="s">
        <v>1272</v>
      </c>
      <c r="F7532" s="3" t="s">
        <v>399</v>
      </c>
      <c r="I7532" s="3" t="s">
        <v>2369</v>
      </c>
    </row>
    <row r="7533" spans="2:9" hidden="1" x14ac:dyDescent="0.4">
      <c r="D7533" s="3" t="s">
        <v>12062</v>
      </c>
      <c r="E7533" s="3" t="s">
        <v>1272</v>
      </c>
      <c r="F7533" s="3" t="s">
        <v>399</v>
      </c>
      <c r="I7533" s="3" t="s">
        <v>2369</v>
      </c>
    </row>
    <row r="7534" spans="2:9" hidden="1" x14ac:dyDescent="0.4">
      <c r="D7534" s="3" t="s">
        <v>12063</v>
      </c>
      <c r="E7534" s="3" t="s">
        <v>1272</v>
      </c>
      <c r="F7534" s="3" t="s">
        <v>399</v>
      </c>
      <c r="I7534" s="3" t="s">
        <v>2369</v>
      </c>
    </row>
    <row r="7535" spans="2:9" hidden="1" x14ac:dyDescent="0.4">
      <c r="D7535" s="3" t="s">
        <v>12064</v>
      </c>
      <c r="E7535" s="3" t="s">
        <v>1272</v>
      </c>
      <c r="F7535" s="3" t="s">
        <v>399</v>
      </c>
      <c r="I7535" s="3" t="s">
        <v>2369</v>
      </c>
    </row>
    <row r="7536" spans="2:9" hidden="1" x14ac:dyDescent="0.4">
      <c r="B7536" s="8" t="s">
        <v>12299</v>
      </c>
      <c r="C7536" s="3" t="s">
        <v>12298</v>
      </c>
      <c r="D7536" s="3" t="s">
        <v>12065</v>
      </c>
      <c r="E7536" s="3" t="s">
        <v>1272</v>
      </c>
      <c r="F7536" s="3" t="s">
        <v>399</v>
      </c>
      <c r="I7536" s="3" t="s">
        <v>2369</v>
      </c>
    </row>
    <row r="7537" spans="2:9" hidden="1" x14ac:dyDescent="0.4">
      <c r="D7537" s="3" t="s">
        <v>12066</v>
      </c>
      <c r="E7537" s="3" t="s">
        <v>1272</v>
      </c>
      <c r="F7537" s="3" t="s">
        <v>399</v>
      </c>
      <c r="I7537" s="3" t="s">
        <v>2369</v>
      </c>
    </row>
    <row r="7538" spans="2:9" hidden="1" x14ac:dyDescent="0.4">
      <c r="D7538" s="3" t="s">
        <v>12067</v>
      </c>
      <c r="E7538" s="3" t="s">
        <v>1272</v>
      </c>
      <c r="F7538" s="3" t="s">
        <v>399</v>
      </c>
      <c r="I7538" s="3" t="s">
        <v>2369</v>
      </c>
    </row>
    <row r="7539" spans="2:9" hidden="1" x14ac:dyDescent="0.4">
      <c r="D7539" s="3" t="s">
        <v>12068</v>
      </c>
      <c r="E7539" s="3" t="s">
        <v>1272</v>
      </c>
      <c r="F7539" s="3" t="s">
        <v>399</v>
      </c>
      <c r="I7539" s="3" t="s">
        <v>2369</v>
      </c>
    </row>
    <row r="7540" spans="2:9" hidden="1" x14ac:dyDescent="0.4">
      <c r="B7540" s="8" t="s">
        <v>12209</v>
      </c>
      <c r="C7540" s="3" t="s">
        <v>11205</v>
      </c>
      <c r="D7540" s="3" t="s">
        <v>11341</v>
      </c>
      <c r="E7540" s="3" t="s">
        <v>1272</v>
      </c>
      <c r="F7540" s="3" t="s">
        <v>399</v>
      </c>
      <c r="I7540" s="3" t="s">
        <v>2369</v>
      </c>
    </row>
    <row r="7541" spans="2:9" hidden="1" x14ac:dyDescent="0.4">
      <c r="D7541" s="3" t="s">
        <v>12069</v>
      </c>
      <c r="E7541" s="3" t="s">
        <v>1272</v>
      </c>
      <c r="F7541" s="3" t="s">
        <v>399</v>
      </c>
      <c r="I7541" s="3" t="s">
        <v>2369</v>
      </c>
    </row>
    <row r="7542" spans="2:9" hidden="1" x14ac:dyDescent="0.4">
      <c r="D7542" s="3" t="s">
        <v>12070</v>
      </c>
      <c r="E7542" s="3" t="s">
        <v>1272</v>
      </c>
      <c r="F7542" s="3" t="s">
        <v>399</v>
      </c>
      <c r="I7542" s="3" t="s">
        <v>2369</v>
      </c>
    </row>
    <row r="7543" spans="2:9" hidden="1" x14ac:dyDescent="0.4">
      <c r="D7543" s="3" t="s">
        <v>12071</v>
      </c>
      <c r="E7543" s="3" t="s">
        <v>1272</v>
      </c>
      <c r="F7543" s="3" t="s">
        <v>399</v>
      </c>
      <c r="I7543" s="3" t="s">
        <v>2369</v>
      </c>
    </row>
    <row r="7544" spans="2:9" hidden="1" x14ac:dyDescent="0.4">
      <c r="B7544" s="8" t="s">
        <v>531</v>
      </c>
      <c r="C7544" s="3" t="s">
        <v>12300</v>
      </c>
      <c r="D7544" s="3" t="s">
        <v>12072</v>
      </c>
      <c r="E7544" s="3" t="s">
        <v>1272</v>
      </c>
      <c r="F7544" s="3" t="s">
        <v>399</v>
      </c>
      <c r="I7544" s="3" t="s">
        <v>2369</v>
      </c>
    </row>
    <row r="7545" spans="2:9" hidden="1" x14ac:dyDescent="0.4">
      <c r="D7545" s="3" t="s">
        <v>12073</v>
      </c>
      <c r="E7545" s="3" t="s">
        <v>1272</v>
      </c>
      <c r="F7545" s="3" t="s">
        <v>399</v>
      </c>
      <c r="I7545" s="3" t="s">
        <v>2369</v>
      </c>
    </row>
    <row r="7546" spans="2:9" hidden="1" x14ac:dyDescent="0.4">
      <c r="D7546" s="3" t="s">
        <v>12074</v>
      </c>
      <c r="E7546" s="3" t="s">
        <v>1272</v>
      </c>
      <c r="F7546" s="3" t="s">
        <v>399</v>
      </c>
      <c r="I7546" s="3" t="s">
        <v>2369</v>
      </c>
    </row>
    <row r="7547" spans="2:9" hidden="1" x14ac:dyDescent="0.4">
      <c r="B7547" s="8" t="s">
        <v>12301</v>
      </c>
      <c r="C7547" s="3" t="s">
        <v>12302</v>
      </c>
      <c r="D7547" s="3" t="s">
        <v>12075</v>
      </c>
      <c r="E7547" s="3" t="s">
        <v>1272</v>
      </c>
      <c r="F7547" s="3" t="s">
        <v>399</v>
      </c>
      <c r="I7547" s="3" t="s">
        <v>2369</v>
      </c>
    </row>
    <row r="7548" spans="2:9" hidden="1" x14ac:dyDescent="0.4">
      <c r="B7548" s="8" t="s">
        <v>10875</v>
      </c>
      <c r="C7548" s="3" t="s">
        <v>12303</v>
      </c>
      <c r="D7548" s="3" t="s">
        <v>12076</v>
      </c>
      <c r="E7548" s="3" t="s">
        <v>1272</v>
      </c>
      <c r="F7548" s="3" t="s">
        <v>399</v>
      </c>
      <c r="I7548" s="3" t="s">
        <v>2369</v>
      </c>
    </row>
    <row r="7549" spans="2:9" hidden="1" x14ac:dyDescent="0.4">
      <c r="D7549" s="3" t="s">
        <v>12077</v>
      </c>
      <c r="E7549" s="3" t="s">
        <v>1272</v>
      </c>
      <c r="F7549" s="3" t="s">
        <v>399</v>
      </c>
      <c r="I7549" s="3" t="s">
        <v>2369</v>
      </c>
    </row>
    <row r="7550" spans="2:9" hidden="1" x14ac:dyDescent="0.4">
      <c r="D7550" s="3" t="s">
        <v>12078</v>
      </c>
      <c r="E7550" s="3" t="s">
        <v>1272</v>
      </c>
      <c r="F7550" s="3" t="s">
        <v>399</v>
      </c>
      <c r="I7550" s="3" t="s">
        <v>2369</v>
      </c>
    </row>
    <row r="7551" spans="2:9" hidden="1" x14ac:dyDescent="0.4">
      <c r="D7551" s="3" t="s">
        <v>12079</v>
      </c>
      <c r="E7551" s="3" t="s">
        <v>1272</v>
      </c>
      <c r="F7551" s="3" t="s">
        <v>399</v>
      </c>
      <c r="I7551" s="3" t="s">
        <v>2369</v>
      </c>
    </row>
    <row r="7552" spans="2:9" hidden="1" x14ac:dyDescent="0.4">
      <c r="D7552" s="3" t="s">
        <v>12080</v>
      </c>
      <c r="E7552" s="3" t="s">
        <v>1272</v>
      </c>
      <c r="F7552" s="3" t="s">
        <v>399</v>
      </c>
      <c r="I7552" s="3" t="s">
        <v>2369</v>
      </c>
    </row>
    <row r="7553" spans="2:9" hidden="1" x14ac:dyDescent="0.4">
      <c r="D7553" s="3" t="s">
        <v>12081</v>
      </c>
      <c r="E7553" s="3" t="s">
        <v>1272</v>
      </c>
      <c r="F7553" s="3" t="s">
        <v>399</v>
      </c>
      <c r="I7553" s="3" t="s">
        <v>2369</v>
      </c>
    </row>
    <row r="7554" spans="2:9" hidden="1" x14ac:dyDescent="0.4">
      <c r="D7554" s="3" t="s">
        <v>12082</v>
      </c>
      <c r="E7554" s="3" t="s">
        <v>1272</v>
      </c>
      <c r="F7554" s="3" t="s">
        <v>399</v>
      </c>
      <c r="I7554" s="3" t="s">
        <v>2369</v>
      </c>
    </row>
    <row r="7555" spans="2:9" hidden="1" x14ac:dyDescent="0.4">
      <c r="D7555" s="3" t="s">
        <v>12083</v>
      </c>
      <c r="E7555" s="3" t="s">
        <v>1272</v>
      </c>
      <c r="F7555" s="3" t="s">
        <v>399</v>
      </c>
      <c r="I7555" s="3" t="s">
        <v>2369</v>
      </c>
    </row>
    <row r="7556" spans="2:9" hidden="1" x14ac:dyDescent="0.4">
      <c r="D7556" s="3" t="s">
        <v>12084</v>
      </c>
      <c r="E7556" s="3" t="s">
        <v>1272</v>
      </c>
      <c r="F7556" s="3" t="s">
        <v>399</v>
      </c>
      <c r="I7556" s="3" t="s">
        <v>2369</v>
      </c>
    </row>
    <row r="7557" spans="2:9" hidden="1" x14ac:dyDescent="0.4">
      <c r="D7557" s="3" t="s">
        <v>12085</v>
      </c>
      <c r="E7557" s="3" t="s">
        <v>1272</v>
      </c>
      <c r="F7557" s="3" t="s">
        <v>399</v>
      </c>
      <c r="I7557" s="3" t="s">
        <v>2369</v>
      </c>
    </row>
    <row r="7558" spans="2:9" hidden="1" x14ac:dyDescent="0.4">
      <c r="D7558" s="3" t="s">
        <v>12086</v>
      </c>
      <c r="E7558" s="3" t="s">
        <v>1272</v>
      </c>
      <c r="F7558" s="3" t="s">
        <v>399</v>
      </c>
      <c r="I7558" s="3" t="s">
        <v>2369</v>
      </c>
    </row>
    <row r="7559" spans="2:9" hidden="1" x14ac:dyDescent="0.4">
      <c r="B7559" s="8" t="s">
        <v>529</v>
      </c>
      <c r="C7559" s="3" t="s">
        <v>12304</v>
      </c>
      <c r="D7559" s="3" t="s">
        <v>12087</v>
      </c>
      <c r="E7559" s="3" t="s">
        <v>1272</v>
      </c>
      <c r="F7559" s="3" t="s">
        <v>399</v>
      </c>
      <c r="I7559" s="3" t="s">
        <v>2369</v>
      </c>
    </row>
    <row r="7560" spans="2:9" hidden="1" x14ac:dyDescent="0.4">
      <c r="B7560" s="8" t="s">
        <v>529</v>
      </c>
      <c r="C7560" s="3" t="s">
        <v>12305</v>
      </c>
      <c r="D7560" s="3" t="s">
        <v>12088</v>
      </c>
      <c r="E7560" s="3" t="s">
        <v>1272</v>
      </c>
      <c r="F7560" s="3" t="s">
        <v>399</v>
      </c>
      <c r="I7560" s="3" t="s">
        <v>2369</v>
      </c>
    </row>
    <row r="7561" spans="2:9" hidden="1" x14ac:dyDescent="0.4">
      <c r="B7561" s="8" t="s">
        <v>529</v>
      </c>
      <c r="C7561" s="3" t="s">
        <v>12306</v>
      </c>
      <c r="D7561" s="3" t="s">
        <v>12089</v>
      </c>
      <c r="E7561" s="3" t="s">
        <v>1272</v>
      </c>
      <c r="F7561" s="3" t="s">
        <v>399</v>
      </c>
      <c r="I7561" s="3" t="s">
        <v>2369</v>
      </c>
    </row>
    <row r="7562" spans="2:9" hidden="1" x14ac:dyDescent="0.4">
      <c r="B7562" s="8" t="s">
        <v>529</v>
      </c>
      <c r="C7562" s="3" t="s">
        <v>12307</v>
      </c>
      <c r="D7562" s="3" t="s">
        <v>12090</v>
      </c>
      <c r="E7562" s="3" t="s">
        <v>1272</v>
      </c>
      <c r="F7562" s="3" t="s">
        <v>399</v>
      </c>
      <c r="I7562" s="3" t="s">
        <v>2369</v>
      </c>
    </row>
    <row r="7563" spans="2:9" hidden="1" x14ac:dyDescent="0.4">
      <c r="D7563" s="3" t="s">
        <v>11655</v>
      </c>
      <c r="E7563" s="3" t="s">
        <v>1272</v>
      </c>
      <c r="F7563" s="3" t="s">
        <v>399</v>
      </c>
      <c r="I7563" s="3" t="s">
        <v>2369</v>
      </c>
    </row>
    <row r="7564" spans="2:9" hidden="1" x14ac:dyDescent="0.4">
      <c r="D7564" s="3" t="s">
        <v>11653</v>
      </c>
      <c r="E7564" s="3" t="s">
        <v>1272</v>
      </c>
      <c r="F7564" s="3" t="s">
        <v>399</v>
      </c>
      <c r="I7564" s="3" t="s">
        <v>2369</v>
      </c>
    </row>
    <row r="7565" spans="2:9" hidden="1" x14ac:dyDescent="0.4">
      <c r="D7565" s="3" t="s">
        <v>12091</v>
      </c>
      <c r="E7565" s="3" t="s">
        <v>1272</v>
      </c>
      <c r="F7565" s="3" t="s">
        <v>399</v>
      </c>
      <c r="I7565" s="3" t="s">
        <v>2369</v>
      </c>
    </row>
    <row r="7566" spans="2:9" hidden="1" x14ac:dyDescent="0.4">
      <c r="D7566" s="3" t="s">
        <v>12092</v>
      </c>
      <c r="E7566" s="3" t="s">
        <v>1272</v>
      </c>
      <c r="F7566" s="3" t="s">
        <v>399</v>
      </c>
      <c r="I7566" s="3" t="s">
        <v>2369</v>
      </c>
    </row>
    <row r="7567" spans="2:9" hidden="1" x14ac:dyDescent="0.4">
      <c r="D7567" s="3" t="s">
        <v>12093</v>
      </c>
      <c r="E7567" s="3" t="s">
        <v>1272</v>
      </c>
      <c r="F7567" s="3" t="s">
        <v>399</v>
      </c>
      <c r="I7567" s="3" t="s">
        <v>2369</v>
      </c>
    </row>
    <row r="7568" spans="2:9" hidden="1" x14ac:dyDescent="0.4">
      <c r="D7568" s="3" t="s">
        <v>12094</v>
      </c>
      <c r="E7568" s="3" t="s">
        <v>1272</v>
      </c>
      <c r="F7568" s="3" t="s">
        <v>399</v>
      </c>
      <c r="I7568" s="3" t="s">
        <v>2369</v>
      </c>
    </row>
    <row r="7569" spans="2:9" hidden="1" x14ac:dyDescent="0.4">
      <c r="D7569" s="3" t="s">
        <v>12095</v>
      </c>
      <c r="E7569" s="3" t="s">
        <v>1272</v>
      </c>
      <c r="F7569" s="3" t="s">
        <v>399</v>
      </c>
      <c r="I7569" s="3" t="s">
        <v>2369</v>
      </c>
    </row>
    <row r="7570" spans="2:9" hidden="1" x14ac:dyDescent="0.4">
      <c r="B7570" s="8" t="s">
        <v>517</v>
      </c>
      <c r="C7570" s="3" t="s">
        <v>12308</v>
      </c>
      <c r="D7570" s="3" t="s">
        <v>12096</v>
      </c>
      <c r="E7570" s="3" t="s">
        <v>1272</v>
      </c>
      <c r="F7570" s="3" t="s">
        <v>399</v>
      </c>
      <c r="I7570" s="3" t="s">
        <v>2369</v>
      </c>
    </row>
    <row r="7571" spans="2:9" hidden="1" x14ac:dyDescent="0.4">
      <c r="D7571" s="3" t="s">
        <v>12097</v>
      </c>
      <c r="E7571" s="3" t="s">
        <v>1272</v>
      </c>
      <c r="F7571" s="3" t="s">
        <v>399</v>
      </c>
      <c r="I7571" s="3" t="s">
        <v>2369</v>
      </c>
    </row>
    <row r="7572" spans="2:9" hidden="1" x14ac:dyDescent="0.4">
      <c r="D7572" s="3" t="s">
        <v>12098</v>
      </c>
      <c r="E7572" s="3" t="s">
        <v>1272</v>
      </c>
      <c r="F7572" s="3" t="s">
        <v>399</v>
      </c>
      <c r="I7572" s="3" t="s">
        <v>2369</v>
      </c>
    </row>
    <row r="7573" spans="2:9" hidden="1" x14ac:dyDescent="0.4">
      <c r="D7573" s="3" t="s">
        <v>12099</v>
      </c>
      <c r="E7573" s="3" t="s">
        <v>1272</v>
      </c>
      <c r="F7573" s="3" t="s">
        <v>399</v>
      </c>
      <c r="I7573" s="3" t="s">
        <v>2369</v>
      </c>
    </row>
    <row r="7574" spans="2:9" hidden="1" x14ac:dyDescent="0.4">
      <c r="D7574" s="3" t="s">
        <v>12100</v>
      </c>
      <c r="E7574" s="3" t="s">
        <v>1272</v>
      </c>
      <c r="F7574" s="3" t="s">
        <v>399</v>
      </c>
      <c r="I7574" s="3" t="s">
        <v>2369</v>
      </c>
    </row>
    <row r="7575" spans="2:9" hidden="1" x14ac:dyDescent="0.4">
      <c r="D7575" s="3" t="s">
        <v>12101</v>
      </c>
      <c r="E7575" s="3" t="s">
        <v>1272</v>
      </c>
      <c r="F7575" s="3" t="s">
        <v>399</v>
      </c>
      <c r="I7575" s="3" t="s">
        <v>2369</v>
      </c>
    </row>
    <row r="7576" spans="2:9" hidden="1" x14ac:dyDescent="0.4">
      <c r="D7576" s="3" t="s">
        <v>12102</v>
      </c>
      <c r="E7576" s="3" t="s">
        <v>1272</v>
      </c>
      <c r="F7576" s="3" t="s">
        <v>399</v>
      </c>
      <c r="I7576" s="3" t="s">
        <v>2369</v>
      </c>
    </row>
    <row r="7577" spans="2:9" hidden="1" x14ac:dyDescent="0.4">
      <c r="D7577" s="3" t="s">
        <v>12103</v>
      </c>
      <c r="E7577" s="3" t="s">
        <v>1272</v>
      </c>
      <c r="F7577" s="3" t="s">
        <v>399</v>
      </c>
      <c r="I7577" s="3" t="s">
        <v>2369</v>
      </c>
    </row>
    <row r="7578" spans="2:9" hidden="1" x14ac:dyDescent="0.4">
      <c r="D7578" s="3" t="s">
        <v>12104</v>
      </c>
      <c r="E7578" s="3" t="s">
        <v>1272</v>
      </c>
      <c r="F7578" s="3" t="s">
        <v>399</v>
      </c>
      <c r="I7578" s="3" t="s">
        <v>2369</v>
      </c>
    </row>
    <row r="7579" spans="2:9" hidden="1" x14ac:dyDescent="0.4">
      <c r="D7579" s="3" t="s">
        <v>12105</v>
      </c>
      <c r="E7579" s="3" t="s">
        <v>1272</v>
      </c>
      <c r="F7579" s="3" t="s">
        <v>399</v>
      </c>
      <c r="I7579" s="3" t="s">
        <v>2369</v>
      </c>
    </row>
    <row r="7580" spans="2:9" hidden="1" x14ac:dyDescent="0.4">
      <c r="D7580" s="3" t="s">
        <v>12106</v>
      </c>
      <c r="E7580" s="3" t="s">
        <v>1272</v>
      </c>
      <c r="F7580" s="3" t="s">
        <v>399</v>
      </c>
      <c r="I7580" s="3" t="s">
        <v>2369</v>
      </c>
    </row>
    <row r="7581" spans="2:9" hidden="1" x14ac:dyDescent="0.4">
      <c r="D7581" s="3" t="s">
        <v>12107</v>
      </c>
      <c r="E7581" s="3" t="s">
        <v>1272</v>
      </c>
      <c r="F7581" s="3" t="s">
        <v>399</v>
      </c>
      <c r="I7581" s="3" t="s">
        <v>2369</v>
      </c>
    </row>
    <row r="7582" spans="2:9" hidden="1" x14ac:dyDescent="0.4">
      <c r="D7582" s="3" t="s">
        <v>12108</v>
      </c>
      <c r="E7582" s="3" t="s">
        <v>1272</v>
      </c>
      <c r="F7582" s="3" t="s">
        <v>399</v>
      </c>
      <c r="I7582" s="3" t="s">
        <v>2369</v>
      </c>
    </row>
    <row r="7583" spans="2:9" hidden="1" x14ac:dyDescent="0.4">
      <c r="D7583" s="3" t="s">
        <v>12109</v>
      </c>
      <c r="E7583" s="3" t="s">
        <v>1272</v>
      </c>
      <c r="F7583" s="3" t="s">
        <v>399</v>
      </c>
      <c r="I7583" s="3" t="s">
        <v>2369</v>
      </c>
    </row>
    <row r="7584" spans="2:9" hidden="1" x14ac:dyDescent="0.4">
      <c r="D7584" s="3" t="s">
        <v>12110</v>
      </c>
      <c r="E7584" s="3" t="s">
        <v>1272</v>
      </c>
      <c r="F7584" s="3" t="s">
        <v>399</v>
      </c>
      <c r="I7584" s="3" t="s">
        <v>2369</v>
      </c>
    </row>
    <row r="7585" spans="2:9" hidden="1" x14ac:dyDescent="0.4">
      <c r="B7585" s="8" t="s">
        <v>6736</v>
      </c>
      <c r="C7585" s="3" t="s">
        <v>12309</v>
      </c>
      <c r="D7585" s="3" t="s">
        <v>12111</v>
      </c>
      <c r="E7585" s="3" t="s">
        <v>1272</v>
      </c>
      <c r="F7585" s="3" t="s">
        <v>399</v>
      </c>
      <c r="I7585" s="3" t="s">
        <v>2369</v>
      </c>
    </row>
    <row r="7586" spans="2:9" hidden="1" x14ac:dyDescent="0.4">
      <c r="D7586" s="3" t="s">
        <v>11076</v>
      </c>
      <c r="E7586" s="3" t="s">
        <v>1272</v>
      </c>
      <c r="F7586" s="3" t="s">
        <v>399</v>
      </c>
      <c r="I7586" s="3" t="s">
        <v>2369</v>
      </c>
    </row>
    <row r="7587" spans="2:9" hidden="1" x14ac:dyDescent="0.4">
      <c r="D7587" s="3" t="s">
        <v>12112</v>
      </c>
      <c r="E7587" s="3" t="s">
        <v>1272</v>
      </c>
      <c r="F7587" s="3" t="s">
        <v>399</v>
      </c>
      <c r="I7587" s="3" t="s">
        <v>2369</v>
      </c>
    </row>
    <row r="7588" spans="2:9" hidden="1" x14ac:dyDescent="0.4">
      <c r="D7588" s="3" t="s">
        <v>12113</v>
      </c>
      <c r="E7588" s="3" t="s">
        <v>1272</v>
      </c>
      <c r="F7588" s="3" t="s">
        <v>399</v>
      </c>
      <c r="I7588" s="3" t="s">
        <v>2369</v>
      </c>
    </row>
    <row r="7589" spans="2:9" hidden="1" x14ac:dyDescent="0.4">
      <c r="B7589" s="8" t="s">
        <v>517</v>
      </c>
      <c r="C7589" s="3" t="s">
        <v>12310</v>
      </c>
      <c r="D7589" s="3" t="s">
        <v>12114</v>
      </c>
      <c r="E7589" s="3" t="s">
        <v>1272</v>
      </c>
      <c r="F7589" s="3" t="s">
        <v>399</v>
      </c>
      <c r="I7589" s="3" t="s">
        <v>2369</v>
      </c>
    </row>
    <row r="7590" spans="2:9" hidden="1" x14ac:dyDescent="0.4">
      <c r="D7590" s="3" t="s">
        <v>12115</v>
      </c>
      <c r="E7590" s="3" t="s">
        <v>1272</v>
      </c>
      <c r="F7590" s="3" t="s">
        <v>399</v>
      </c>
      <c r="I7590" s="3" t="s">
        <v>2369</v>
      </c>
    </row>
    <row r="7591" spans="2:9" hidden="1" x14ac:dyDescent="0.4">
      <c r="B7591" s="8" t="s">
        <v>520</v>
      </c>
      <c r="C7591" s="3" t="s">
        <v>12311</v>
      </c>
      <c r="D7591" s="3" t="s">
        <v>12116</v>
      </c>
      <c r="E7591" s="3" t="s">
        <v>1272</v>
      </c>
      <c r="F7591" s="3" t="s">
        <v>399</v>
      </c>
      <c r="I7591" s="3" t="s">
        <v>2369</v>
      </c>
    </row>
    <row r="7592" spans="2:9" hidden="1" x14ac:dyDescent="0.4">
      <c r="B7592" s="8" t="s">
        <v>520</v>
      </c>
      <c r="C7592" s="3" t="s">
        <v>12312</v>
      </c>
      <c r="D7592" s="3" t="s">
        <v>12116</v>
      </c>
      <c r="E7592" s="3" t="s">
        <v>1272</v>
      </c>
      <c r="F7592" s="3" t="s">
        <v>399</v>
      </c>
      <c r="I7592" s="3" t="s">
        <v>2369</v>
      </c>
    </row>
    <row r="7593" spans="2:9" hidden="1" x14ac:dyDescent="0.4">
      <c r="B7593" s="8" t="s">
        <v>517</v>
      </c>
      <c r="C7593" s="3" t="s">
        <v>12313</v>
      </c>
      <c r="D7593" s="3" t="s">
        <v>12117</v>
      </c>
      <c r="E7593" s="3" t="s">
        <v>1272</v>
      </c>
      <c r="F7593" s="3" t="s">
        <v>399</v>
      </c>
      <c r="I7593" s="3" t="s">
        <v>2369</v>
      </c>
    </row>
    <row r="7594" spans="2:9" hidden="1" x14ac:dyDescent="0.4">
      <c r="B7594" s="8" t="s">
        <v>516</v>
      </c>
      <c r="C7594" s="3" t="s">
        <v>12314</v>
      </c>
      <c r="D7594" s="3" t="s">
        <v>12117</v>
      </c>
      <c r="E7594" s="3" t="s">
        <v>1272</v>
      </c>
      <c r="F7594" s="3" t="s">
        <v>399</v>
      </c>
      <c r="I7594" s="3" t="s">
        <v>2369</v>
      </c>
    </row>
    <row r="7595" spans="2:9" hidden="1" x14ac:dyDescent="0.4">
      <c r="B7595" s="8" t="s">
        <v>517</v>
      </c>
      <c r="C7595" s="3" t="s">
        <v>12315</v>
      </c>
      <c r="D7595" s="3" t="s">
        <v>12118</v>
      </c>
      <c r="E7595" s="3" t="s">
        <v>1272</v>
      </c>
      <c r="F7595" s="3" t="s">
        <v>399</v>
      </c>
      <c r="I7595" s="3" t="s">
        <v>2369</v>
      </c>
    </row>
    <row r="7596" spans="2:9" hidden="1" x14ac:dyDescent="0.4">
      <c r="B7596" s="8" t="s">
        <v>529</v>
      </c>
      <c r="C7596" s="3" t="s">
        <v>12316</v>
      </c>
      <c r="D7596" s="3" t="s">
        <v>12118</v>
      </c>
      <c r="E7596" s="3" t="s">
        <v>1272</v>
      </c>
      <c r="F7596" s="3" t="s">
        <v>399</v>
      </c>
      <c r="I7596" s="3" t="s">
        <v>2369</v>
      </c>
    </row>
    <row r="7597" spans="2:9" hidden="1" x14ac:dyDescent="0.4">
      <c r="D7597" s="3" t="s">
        <v>12119</v>
      </c>
      <c r="E7597" s="3" t="s">
        <v>1272</v>
      </c>
      <c r="F7597" s="3" t="s">
        <v>399</v>
      </c>
      <c r="I7597" s="3" t="s">
        <v>2369</v>
      </c>
    </row>
    <row r="7598" spans="2:9" hidden="1" x14ac:dyDescent="0.4">
      <c r="B7598" s="8" t="s">
        <v>12208</v>
      </c>
      <c r="C7598" s="3" t="s">
        <v>12317</v>
      </c>
      <c r="D7598" s="3" t="s">
        <v>12120</v>
      </c>
      <c r="E7598" s="3" t="s">
        <v>1272</v>
      </c>
      <c r="F7598" s="3" t="s">
        <v>399</v>
      </c>
      <c r="I7598" s="3" t="s">
        <v>2369</v>
      </c>
    </row>
    <row r="7599" spans="2:9" ht="29.25" hidden="1" x14ac:dyDescent="0.4">
      <c r="B7599" s="8" t="s">
        <v>12235</v>
      </c>
      <c r="C7599" s="3" t="s">
        <v>12318</v>
      </c>
      <c r="D7599" s="3" t="s">
        <v>12120</v>
      </c>
      <c r="E7599" s="3" t="s">
        <v>1272</v>
      </c>
      <c r="F7599" s="3" t="s">
        <v>399</v>
      </c>
      <c r="I7599" s="3" t="s">
        <v>2369</v>
      </c>
    </row>
    <row r="7600" spans="2:9" hidden="1" x14ac:dyDescent="0.4">
      <c r="B7600" s="8" t="s">
        <v>517</v>
      </c>
      <c r="C7600" s="3" t="s">
        <v>12319</v>
      </c>
      <c r="D7600" s="3" t="s">
        <v>12121</v>
      </c>
      <c r="E7600" s="3" t="s">
        <v>1272</v>
      </c>
      <c r="F7600" s="3" t="s">
        <v>399</v>
      </c>
      <c r="I7600" s="3" t="s">
        <v>2369</v>
      </c>
    </row>
    <row r="7601" spans="2:9" hidden="1" x14ac:dyDescent="0.4">
      <c r="D7601" s="3" t="s">
        <v>12122</v>
      </c>
      <c r="E7601" s="3" t="s">
        <v>1272</v>
      </c>
      <c r="F7601" s="3" t="s">
        <v>399</v>
      </c>
      <c r="I7601" s="3" t="s">
        <v>2369</v>
      </c>
    </row>
    <row r="7602" spans="2:9" hidden="1" x14ac:dyDescent="0.4">
      <c r="D7602" s="3" t="s">
        <v>12123</v>
      </c>
      <c r="E7602" s="3" t="s">
        <v>1272</v>
      </c>
      <c r="F7602" s="3" t="s">
        <v>399</v>
      </c>
      <c r="I7602" s="3" t="s">
        <v>2369</v>
      </c>
    </row>
    <row r="7603" spans="2:9" hidden="1" x14ac:dyDescent="0.4">
      <c r="D7603" s="3" t="s">
        <v>12124</v>
      </c>
      <c r="E7603" s="3" t="s">
        <v>1272</v>
      </c>
      <c r="F7603" s="3" t="s">
        <v>399</v>
      </c>
      <c r="I7603" s="3" t="s">
        <v>2369</v>
      </c>
    </row>
    <row r="7604" spans="2:9" hidden="1" x14ac:dyDescent="0.4">
      <c r="D7604" s="3" t="s">
        <v>12125</v>
      </c>
      <c r="E7604" s="3" t="s">
        <v>1272</v>
      </c>
      <c r="F7604" s="3" t="s">
        <v>399</v>
      </c>
      <c r="I7604" s="3" t="s">
        <v>2369</v>
      </c>
    </row>
    <row r="7605" spans="2:9" hidden="1" x14ac:dyDescent="0.4">
      <c r="D7605" s="3" t="s">
        <v>12126</v>
      </c>
      <c r="E7605" s="3" t="s">
        <v>1272</v>
      </c>
      <c r="F7605" s="3" t="s">
        <v>399</v>
      </c>
      <c r="I7605" s="3" t="s">
        <v>2369</v>
      </c>
    </row>
    <row r="7606" spans="2:9" hidden="1" x14ac:dyDescent="0.4">
      <c r="B7606" s="8" t="s">
        <v>520</v>
      </c>
      <c r="C7606" s="3" t="s">
        <v>12320</v>
      </c>
      <c r="D7606" s="3" t="s">
        <v>12127</v>
      </c>
      <c r="E7606" s="3" t="s">
        <v>1272</v>
      </c>
      <c r="F7606" s="3" t="s">
        <v>399</v>
      </c>
      <c r="I7606" s="3" t="s">
        <v>2369</v>
      </c>
    </row>
    <row r="7607" spans="2:9" hidden="1" x14ac:dyDescent="0.4">
      <c r="D7607" s="3" t="s">
        <v>12128</v>
      </c>
      <c r="E7607" s="3" t="s">
        <v>1272</v>
      </c>
      <c r="F7607" s="3" t="s">
        <v>399</v>
      </c>
      <c r="I7607" s="3" t="s">
        <v>2369</v>
      </c>
    </row>
    <row r="7608" spans="2:9" hidden="1" x14ac:dyDescent="0.4">
      <c r="D7608" s="3" t="s">
        <v>11357</v>
      </c>
      <c r="E7608" s="3" t="s">
        <v>1272</v>
      </c>
      <c r="F7608" s="3" t="s">
        <v>399</v>
      </c>
      <c r="I7608" s="3" t="s">
        <v>2369</v>
      </c>
    </row>
    <row r="7609" spans="2:9" hidden="1" x14ac:dyDescent="0.4">
      <c r="D7609" s="3" t="s">
        <v>12129</v>
      </c>
      <c r="E7609" s="3" t="s">
        <v>1272</v>
      </c>
      <c r="F7609" s="3" t="s">
        <v>399</v>
      </c>
      <c r="I7609" s="3" t="s">
        <v>2369</v>
      </c>
    </row>
    <row r="7610" spans="2:9" hidden="1" x14ac:dyDescent="0.4">
      <c r="D7610" s="3" t="s">
        <v>12130</v>
      </c>
      <c r="E7610" s="3" t="s">
        <v>1272</v>
      </c>
      <c r="F7610" s="3" t="s">
        <v>399</v>
      </c>
      <c r="I7610" s="3" t="s">
        <v>2369</v>
      </c>
    </row>
    <row r="7611" spans="2:9" hidden="1" x14ac:dyDescent="0.4">
      <c r="D7611" s="3" t="s">
        <v>12131</v>
      </c>
      <c r="E7611" s="3" t="s">
        <v>1272</v>
      </c>
      <c r="F7611" s="3" t="s">
        <v>399</v>
      </c>
      <c r="I7611" s="3" t="s">
        <v>2369</v>
      </c>
    </row>
    <row r="7612" spans="2:9" hidden="1" x14ac:dyDescent="0.4">
      <c r="D7612" s="3" t="s">
        <v>12132</v>
      </c>
      <c r="E7612" s="3" t="s">
        <v>1272</v>
      </c>
      <c r="F7612" s="3" t="s">
        <v>399</v>
      </c>
      <c r="I7612" s="3" t="s">
        <v>2369</v>
      </c>
    </row>
    <row r="7613" spans="2:9" hidden="1" x14ac:dyDescent="0.4">
      <c r="D7613" s="3" t="s">
        <v>12133</v>
      </c>
      <c r="E7613" s="3" t="s">
        <v>1272</v>
      </c>
      <c r="F7613" s="3" t="s">
        <v>399</v>
      </c>
      <c r="I7613" s="3" t="s">
        <v>2369</v>
      </c>
    </row>
    <row r="7614" spans="2:9" hidden="1" x14ac:dyDescent="0.4">
      <c r="D7614" s="3" t="s">
        <v>11522</v>
      </c>
      <c r="E7614" s="3" t="s">
        <v>1272</v>
      </c>
      <c r="F7614" s="3" t="s">
        <v>399</v>
      </c>
      <c r="I7614" s="3" t="s">
        <v>2369</v>
      </c>
    </row>
    <row r="7615" spans="2:9" hidden="1" x14ac:dyDescent="0.4">
      <c r="D7615" s="3" t="s">
        <v>12134</v>
      </c>
      <c r="E7615" s="3" t="s">
        <v>1272</v>
      </c>
      <c r="F7615" s="3" t="s">
        <v>399</v>
      </c>
      <c r="I7615" s="3" t="s">
        <v>2369</v>
      </c>
    </row>
    <row r="7616" spans="2:9" hidden="1" x14ac:dyDescent="0.4">
      <c r="D7616" s="3" t="s">
        <v>12135</v>
      </c>
      <c r="E7616" s="3" t="s">
        <v>1272</v>
      </c>
      <c r="F7616" s="3" t="s">
        <v>399</v>
      </c>
      <c r="I7616" s="3" t="s">
        <v>2369</v>
      </c>
    </row>
    <row r="7617" spans="2:9" hidden="1" x14ac:dyDescent="0.4">
      <c r="B7617" s="8" t="s">
        <v>517</v>
      </c>
      <c r="C7617" s="3" t="s">
        <v>12321</v>
      </c>
      <c r="D7617" s="3" t="s">
        <v>12136</v>
      </c>
      <c r="E7617" s="3" t="s">
        <v>1272</v>
      </c>
      <c r="F7617" s="3" t="s">
        <v>399</v>
      </c>
      <c r="I7617" s="3" t="s">
        <v>2369</v>
      </c>
    </row>
    <row r="7618" spans="2:9" hidden="1" x14ac:dyDescent="0.4">
      <c r="B7618" s="8" t="s">
        <v>517</v>
      </c>
      <c r="C7618" s="3" t="s">
        <v>12322</v>
      </c>
      <c r="D7618" s="3" t="s">
        <v>12136</v>
      </c>
      <c r="E7618" s="3" t="s">
        <v>1272</v>
      </c>
      <c r="F7618" s="3" t="s">
        <v>399</v>
      </c>
      <c r="I7618" s="3" t="s">
        <v>2369</v>
      </c>
    </row>
    <row r="7619" spans="2:9" hidden="1" x14ac:dyDescent="0.4">
      <c r="D7619" s="3" t="s">
        <v>12137</v>
      </c>
      <c r="E7619" s="3" t="s">
        <v>1272</v>
      </c>
      <c r="F7619" s="3" t="s">
        <v>399</v>
      </c>
      <c r="I7619" s="3" t="s">
        <v>2369</v>
      </c>
    </row>
    <row r="7620" spans="2:9" hidden="1" x14ac:dyDescent="0.4">
      <c r="D7620" s="3" t="s">
        <v>12138</v>
      </c>
      <c r="E7620" s="3" t="s">
        <v>1272</v>
      </c>
      <c r="F7620" s="3" t="s">
        <v>399</v>
      </c>
      <c r="I7620" s="3" t="s">
        <v>2369</v>
      </c>
    </row>
    <row r="7621" spans="2:9" hidden="1" x14ac:dyDescent="0.4">
      <c r="D7621" s="3" t="s">
        <v>12139</v>
      </c>
      <c r="E7621" s="3" t="s">
        <v>1272</v>
      </c>
      <c r="F7621" s="3" t="s">
        <v>399</v>
      </c>
      <c r="I7621" s="3" t="s">
        <v>2369</v>
      </c>
    </row>
    <row r="7622" spans="2:9" hidden="1" x14ac:dyDescent="0.4">
      <c r="D7622" s="3" t="s">
        <v>12140</v>
      </c>
      <c r="E7622" s="3" t="s">
        <v>1272</v>
      </c>
      <c r="F7622" s="3" t="s">
        <v>399</v>
      </c>
      <c r="I7622" s="3" t="s">
        <v>2369</v>
      </c>
    </row>
    <row r="7623" spans="2:9" hidden="1" x14ac:dyDescent="0.4">
      <c r="D7623" s="3" t="s">
        <v>12141</v>
      </c>
      <c r="E7623" s="3" t="s">
        <v>1272</v>
      </c>
      <c r="F7623" s="3" t="s">
        <v>399</v>
      </c>
      <c r="I7623" s="3" t="s">
        <v>2369</v>
      </c>
    </row>
    <row r="7624" spans="2:9" hidden="1" x14ac:dyDescent="0.4">
      <c r="D7624" s="3" t="s">
        <v>12142</v>
      </c>
      <c r="E7624" s="3" t="s">
        <v>1272</v>
      </c>
      <c r="F7624" s="3" t="s">
        <v>399</v>
      </c>
      <c r="I7624" s="3" t="s">
        <v>2369</v>
      </c>
    </row>
    <row r="7625" spans="2:9" hidden="1" x14ac:dyDescent="0.4">
      <c r="D7625" s="3" t="s">
        <v>12143</v>
      </c>
      <c r="E7625" s="3" t="s">
        <v>1272</v>
      </c>
      <c r="F7625" s="3" t="s">
        <v>399</v>
      </c>
      <c r="I7625" s="3" t="s">
        <v>2369</v>
      </c>
    </row>
    <row r="7626" spans="2:9" hidden="1" x14ac:dyDescent="0.4">
      <c r="D7626" s="3" t="s">
        <v>12144</v>
      </c>
      <c r="E7626" s="3" t="s">
        <v>1272</v>
      </c>
      <c r="F7626" s="3" t="s">
        <v>399</v>
      </c>
      <c r="I7626" s="3" t="s">
        <v>2369</v>
      </c>
    </row>
    <row r="7627" spans="2:9" hidden="1" x14ac:dyDescent="0.4">
      <c r="D7627" s="3" t="s">
        <v>12145</v>
      </c>
      <c r="E7627" s="3" t="s">
        <v>1272</v>
      </c>
      <c r="F7627" s="3" t="s">
        <v>399</v>
      </c>
      <c r="I7627" s="3" t="s">
        <v>2369</v>
      </c>
    </row>
    <row r="7628" spans="2:9" hidden="1" x14ac:dyDescent="0.4">
      <c r="D7628" s="3" t="s">
        <v>12146</v>
      </c>
      <c r="E7628" s="3" t="s">
        <v>1272</v>
      </c>
      <c r="F7628" s="3" t="s">
        <v>399</v>
      </c>
      <c r="I7628" s="3" t="s">
        <v>2369</v>
      </c>
    </row>
    <row r="7629" spans="2:9" hidden="1" x14ac:dyDescent="0.4">
      <c r="D7629" s="3" t="s">
        <v>12147</v>
      </c>
      <c r="E7629" s="3" t="s">
        <v>1272</v>
      </c>
      <c r="F7629" s="3" t="s">
        <v>399</v>
      </c>
      <c r="I7629" s="3" t="s">
        <v>2369</v>
      </c>
    </row>
    <row r="7630" spans="2:9" hidden="1" x14ac:dyDescent="0.4">
      <c r="D7630" s="3" t="s">
        <v>12148</v>
      </c>
      <c r="E7630" s="3" t="s">
        <v>1272</v>
      </c>
      <c r="F7630" s="3" t="s">
        <v>399</v>
      </c>
      <c r="I7630" s="3" t="s">
        <v>2369</v>
      </c>
    </row>
    <row r="7631" spans="2:9" hidden="1" x14ac:dyDescent="0.4">
      <c r="D7631" s="3" t="s">
        <v>12149</v>
      </c>
      <c r="E7631" s="3" t="s">
        <v>1272</v>
      </c>
      <c r="F7631" s="3" t="s">
        <v>399</v>
      </c>
      <c r="I7631" s="3" t="s">
        <v>2369</v>
      </c>
    </row>
    <row r="7632" spans="2:9" hidden="1" x14ac:dyDescent="0.4">
      <c r="D7632" s="3" t="s">
        <v>12150</v>
      </c>
      <c r="E7632" s="3" t="s">
        <v>1272</v>
      </c>
      <c r="F7632" s="3" t="s">
        <v>399</v>
      </c>
      <c r="I7632" s="3" t="s">
        <v>2369</v>
      </c>
    </row>
    <row r="7633" spans="2:9" hidden="1" x14ac:dyDescent="0.4">
      <c r="D7633" s="3" t="s">
        <v>12151</v>
      </c>
      <c r="E7633" s="3" t="s">
        <v>1272</v>
      </c>
      <c r="F7633" s="3" t="s">
        <v>399</v>
      </c>
      <c r="I7633" s="3" t="s">
        <v>2369</v>
      </c>
    </row>
    <row r="7634" spans="2:9" hidden="1" x14ac:dyDescent="0.4">
      <c r="D7634" s="3" t="s">
        <v>12152</v>
      </c>
      <c r="E7634" s="3" t="s">
        <v>1272</v>
      </c>
      <c r="F7634" s="3" t="s">
        <v>399</v>
      </c>
      <c r="I7634" s="3" t="s">
        <v>2369</v>
      </c>
    </row>
    <row r="7635" spans="2:9" hidden="1" x14ac:dyDescent="0.4">
      <c r="D7635" s="3" t="s">
        <v>12153</v>
      </c>
      <c r="E7635" s="3" t="s">
        <v>1272</v>
      </c>
      <c r="F7635" s="3" t="s">
        <v>399</v>
      </c>
      <c r="I7635" s="3" t="s">
        <v>2369</v>
      </c>
    </row>
    <row r="7636" spans="2:9" hidden="1" x14ac:dyDescent="0.4">
      <c r="D7636" s="3" t="s">
        <v>12154</v>
      </c>
      <c r="E7636" s="3" t="s">
        <v>1272</v>
      </c>
      <c r="F7636" s="3" t="s">
        <v>399</v>
      </c>
      <c r="I7636" s="3" t="s">
        <v>2369</v>
      </c>
    </row>
    <row r="7637" spans="2:9" hidden="1" x14ac:dyDescent="0.4">
      <c r="D7637" s="3" t="s">
        <v>12155</v>
      </c>
      <c r="E7637" s="3" t="s">
        <v>1272</v>
      </c>
      <c r="F7637" s="3" t="s">
        <v>399</v>
      </c>
      <c r="I7637" s="3" t="s">
        <v>2369</v>
      </c>
    </row>
    <row r="7638" spans="2:9" hidden="1" x14ac:dyDescent="0.4">
      <c r="D7638" s="3" t="s">
        <v>12156</v>
      </c>
      <c r="E7638" s="3" t="s">
        <v>1272</v>
      </c>
      <c r="F7638" s="3" t="s">
        <v>399</v>
      </c>
      <c r="I7638" s="3" t="s">
        <v>2369</v>
      </c>
    </row>
    <row r="7639" spans="2:9" hidden="1" x14ac:dyDescent="0.4">
      <c r="D7639" s="3" t="s">
        <v>12157</v>
      </c>
      <c r="E7639" s="3" t="s">
        <v>1272</v>
      </c>
      <c r="F7639" s="3" t="s">
        <v>399</v>
      </c>
      <c r="I7639" s="3" t="s">
        <v>2369</v>
      </c>
    </row>
    <row r="7640" spans="2:9" hidden="1" x14ac:dyDescent="0.4">
      <c r="D7640" s="3" t="s">
        <v>12158</v>
      </c>
      <c r="E7640" s="3" t="s">
        <v>1272</v>
      </c>
      <c r="F7640" s="3" t="s">
        <v>399</v>
      </c>
      <c r="I7640" s="3" t="s">
        <v>2369</v>
      </c>
    </row>
    <row r="7641" spans="2:9" hidden="1" x14ac:dyDescent="0.4">
      <c r="D7641" s="3" t="s">
        <v>12159</v>
      </c>
      <c r="E7641" s="3" t="s">
        <v>1272</v>
      </c>
      <c r="F7641" s="3" t="s">
        <v>399</v>
      </c>
      <c r="I7641" s="3" t="s">
        <v>2369</v>
      </c>
    </row>
    <row r="7642" spans="2:9" hidden="1" x14ac:dyDescent="0.4">
      <c r="B7642" s="8" t="s">
        <v>517</v>
      </c>
      <c r="C7642" s="3" t="s">
        <v>12323</v>
      </c>
      <c r="D7642" s="3" t="s">
        <v>12160</v>
      </c>
      <c r="E7642" s="3" t="s">
        <v>1272</v>
      </c>
      <c r="F7642" s="3" t="s">
        <v>399</v>
      </c>
      <c r="I7642" s="3" t="s">
        <v>2369</v>
      </c>
    </row>
    <row r="7643" spans="2:9" hidden="1" x14ac:dyDescent="0.4">
      <c r="D7643" s="3" t="s">
        <v>12161</v>
      </c>
      <c r="E7643" s="3" t="s">
        <v>1272</v>
      </c>
      <c r="F7643" s="3" t="s">
        <v>399</v>
      </c>
      <c r="I7643" s="3" t="s">
        <v>2369</v>
      </c>
    </row>
    <row r="7644" spans="2:9" hidden="1" x14ac:dyDescent="0.4">
      <c r="D7644" s="3" t="s">
        <v>12162</v>
      </c>
      <c r="E7644" s="3" t="s">
        <v>1272</v>
      </c>
      <c r="F7644" s="3" t="s">
        <v>399</v>
      </c>
      <c r="I7644" s="3" t="s">
        <v>2369</v>
      </c>
    </row>
    <row r="7645" spans="2:9" hidden="1" x14ac:dyDescent="0.4">
      <c r="D7645" s="3" t="s">
        <v>12163</v>
      </c>
      <c r="E7645" s="3" t="s">
        <v>1272</v>
      </c>
      <c r="F7645" s="3" t="s">
        <v>399</v>
      </c>
      <c r="I7645" s="3" t="s">
        <v>2369</v>
      </c>
    </row>
    <row r="7646" spans="2:9" hidden="1" x14ac:dyDescent="0.4">
      <c r="D7646" s="3" t="s">
        <v>12164</v>
      </c>
      <c r="E7646" s="3" t="s">
        <v>1272</v>
      </c>
      <c r="F7646" s="3" t="s">
        <v>399</v>
      </c>
      <c r="I7646" s="3" t="s">
        <v>2369</v>
      </c>
    </row>
    <row r="7647" spans="2:9" hidden="1" x14ac:dyDescent="0.4">
      <c r="D7647" s="3" t="s">
        <v>12165</v>
      </c>
      <c r="E7647" s="3" t="s">
        <v>1272</v>
      </c>
      <c r="F7647" s="3" t="s">
        <v>399</v>
      </c>
      <c r="I7647" s="3" t="s">
        <v>2369</v>
      </c>
    </row>
    <row r="7648" spans="2:9" hidden="1" x14ac:dyDescent="0.4">
      <c r="D7648" s="3" t="s">
        <v>12166</v>
      </c>
      <c r="E7648" s="3" t="s">
        <v>1272</v>
      </c>
      <c r="F7648" s="3" t="s">
        <v>399</v>
      </c>
      <c r="I7648" s="3" t="s">
        <v>2369</v>
      </c>
    </row>
    <row r="7649" spans="2:9" hidden="1" x14ac:dyDescent="0.4">
      <c r="D7649" s="3" t="s">
        <v>12167</v>
      </c>
      <c r="E7649" s="3" t="s">
        <v>1272</v>
      </c>
      <c r="F7649" s="3" t="s">
        <v>399</v>
      </c>
      <c r="I7649" s="3" t="s">
        <v>2369</v>
      </c>
    </row>
    <row r="7650" spans="2:9" hidden="1" x14ac:dyDescent="0.4">
      <c r="D7650" s="3" t="s">
        <v>12168</v>
      </c>
      <c r="E7650" s="3" t="s">
        <v>1272</v>
      </c>
      <c r="F7650" s="3" t="s">
        <v>399</v>
      </c>
      <c r="I7650" s="3" t="s">
        <v>2369</v>
      </c>
    </row>
    <row r="7651" spans="2:9" hidden="1" x14ac:dyDescent="0.4">
      <c r="D7651" s="3" t="s">
        <v>12169</v>
      </c>
      <c r="E7651" s="3" t="s">
        <v>1272</v>
      </c>
      <c r="F7651" s="3" t="s">
        <v>399</v>
      </c>
      <c r="I7651" s="3" t="s">
        <v>2369</v>
      </c>
    </row>
    <row r="7652" spans="2:9" hidden="1" x14ac:dyDescent="0.4">
      <c r="D7652" s="3" t="s">
        <v>12170</v>
      </c>
      <c r="E7652" s="3" t="s">
        <v>1272</v>
      </c>
      <c r="F7652" s="3" t="s">
        <v>399</v>
      </c>
      <c r="I7652" s="3" t="s">
        <v>2369</v>
      </c>
    </row>
    <row r="7653" spans="2:9" hidden="1" x14ac:dyDescent="0.4">
      <c r="D7653" s="3" t="s">
        <v>12171</v>
      </c>
      <c r="E7653" s="3" t="s">
        <v>1272</v>
      </c>
      <c r="F7653" s="3" t="s">
        <v>399</v>
      </c>
      <c r="I7653" s="3" t="s">
        <v>2369</v>
      </c>
    </row>
    <row r="7654" spans="2:9" hidden="1" x14ac:dyDescent="0.4">
      <c r="B7654" s="8" t="s">
        <v>529</v>
      </c>
      <c r="C7654" s="3" t="s">
        <v>12324</v>
      </c>
      <c r="D7654" s="3" t="s">
        <v>12172</v>
      </c>
      <c r="E7654" s="3" t="s">
        <v>1272</v>
      </c>
      <c r="F7654" s="3" t="s">
        <v>399</v>
      </c>
      <c r="I7654" s="3" t="s">
        <v>2369</v>
      </c>
    </row>
    <row r="7655" spans="2:9" hidden="1" x14ac:dyDescent="0.4">
      <c r="D7655" s="3" t="s">
        <v>12173</v>
      </c>
      <c r="E7655" s="3" t="s">
        <v>1272</v>
      </c>
      <c r="F7655" s="3" t="s">
        <v>399</v>
      </c>
      <c r="I7655" s="3" t="s">
        <v>2369</v>
      </c>
    </row>
    <row r="7656" spans="2:9" hidden="1" x14ac:dyDescent="0.4">
      <c r="D7656" s="3" t="s">
        <v>12174</v>
      </c>
      <c r="E7656" s="3" t="s">
        <v>1272</v>
      </c>
      <c r="F7656" s="3" t="s">
        <v>399</v>
      </c>
      <c r="I7656" s="3" t="s">
        <v>2369</v>
      </c>
    </row>
    <row r="7657" spans="2:9" hidden="1" x14ac:dyDescent="0.4">
      <c r="D7657" s="3" t="s">
        <v>12175</v>
      </c>
      <c r="E7657" s="3" t="s">
        <v>1272</v>
      </c>
      <c r="F7657" s="3" t="s">
        <v>399</v>
      </c>
      <c r="I7657" s="3" t="s">
        <v>2369</v>
      </c>
    </row>
    <row r="7658" spans="2:9" hidden="1" x14ac:dyDescent="0.4">
      <c r="D7658" s="3" t="s">
        <v>12176</v>
      </c>
      <c r="E7658" s="3" t="s">
        <v>1272</v>
      </c>
      <c r="F7658" s="3" t="s">
        <v>399</v>
      </c>
      <c r="I7658" s="3" t="s">
        <v>2369</v>
      </c>
    </row>
    <row r="7659" spans="2:9" hidden="1" x14ac:dyDescent="0.4">
      <c r="D7659" s="3" t="s">
        <v>12177</v>
      </c>
      <c r="E7659" s="3" t="s">
        <v>1272</v>
      </c>
      <c r="F7659" s="3" t="s">
        <v>399</v>
      </c>
      <c r="I7659" s="3" t="s">
        <v>2369</v>
      </c>
    </row>
    <row r="7660" spans="2:9" hidden="1" x14ac:dyDescent="0.4">
      <c r="B7660" s="8" t="s">
        <v>517</v>
      </c>
      <c r="C7660" s="3" t="s">
        <v>12325</v>
      </c>
      <c r="D7660" s="3" t="s">
        <v>12178</v>
      </c>
      <c r="E7660" s="3" t="s">
        <v>1272</v>
      </c>
      <c r="F7660" s="3" t="s">
        <v>399</v>
      </c>
      <c r="I7660" s="3" t="s">
        <v>2369</v>
      </c>
    </row>
    <row r="7661" spans="2:9" hidden="1" x14ac:dyDescent="0.4">
      <c r="B7661" s="8" t="s">
        <v>529</v>
      </c>
      <c r="C7661" s="3" t="s">
        <v>12326</v>
      </c>
      <c r="D7661" s="3" t="s">
        <v>12179</v>
      </c>
      <c r="E7661" s="3" t="s">
        <v>1272</v>
      </c>
      <c r="F7661" s="3" t="s">
        <v>399</v>
      </c>
      <c r="I7661" s="3" t="s">
        <v>2369</v>
      </c>
    </row>
    <row r="7662" spans="2:9" hidden="1" x14ac:dyDescent="0.4">
      <c r="B7662" s="8" t="s">
        <v>517</v>
      </c>
      <c r="C7662" s="3" t="s">
        <v>11275</v>
      </c>
      <c r="D7662" s="3" t="s">
        <v>11471</v>
      </c>
      <c r="E7662" s="3" t="s">
        <v>1272</v>
      </c>
      <c r="F7662" s="3" t="s">
        <v>399</v>
      </c>
      <c r="I7662" s="3" t="s">
        <v>2369</v>
      </c>
    </row>
    <row r="7663" spans="2:9" hidden="1" x14ac:dyDescent="0.4">
      <c r="D7663" s="3" t="s">
        <v>12180</v>
      </c>
      <c r="E7663" s="3" t="s">
        <v>1272</v>
      </c>
      <c r="F7663" s="3" t="s">
        <v>399</v>
      </c>
      <c r="I7663" s="3" t="s">
        <v>2369</v>
      </c>
    </row>
    <row r="7664" spans="2:9" hidden="1" x14ac:dyDescent="0.4">
      <c r="D7664" s="3" t="s">
        <v>12181</v>
      </c>
      <c r="E7664" s="3" t="s">
        <v>1272</v>
      </c>
      <c r="F7664" s="3" t="s">
        <v>399</v>
      </c>
      <c r="I7664" s="3" t="s">
        <v>2369</v>
      </c>
    </row>
    <row r="7665" spans="2:9" hidden="1" x14ac:dyDescent="0.4">
      <c r="B7665" s="8" t="s">
        <v>517</v>
      </c>
      <c r="C7665" s="3" t="s">
        <v>12327</v>
      </c>
      <c r="D7665" s="3" t="s">
        <v>11074</v>
      </c>
      <c r="E7665" s="3" t="s">
        <v>1272</v>
      </c>
      <c r="F7665" s="3" t="s">
        <v>399</v>
      </c>
      <c r="I7665" s="3" t="s">
        <v>2369</v>
      </c>
    </row>
    <row r="7666" spans="2:9" hidden="1" x14ac:dyDescent="0.4">
      <c r="B7666" s="8" t="s">
        <v>517</v>
      </c>
      <c r="C7666" s="3" t="s">
        <v>12328</v>
      </c>
      <c r="D7666" s="3" t="s">
        <v>12182</v>
      </c>
      <c r="E7666" s="3" t="s">
        <v>1272</v>
      </c>
      <c r="F7666" s="3" t="s">
        <v>1279</v>
      </c>
      <c r="I7666" s="3" t="s">
        <v>2369</v>
      </c>
    </row>
    <row r="7667" spans="2:9" hidden="1" x14ac:dyDescent="0.4">
      <c r="B7667" s="8" t="s">
        <v>517</v>
      </c>
      <c r="C7667" s="3" t="s">
        <v>12329</v>
      </c>
      <c r="D7667" s="3" t="s">
        <v>12182</v>
      </c>
      <c r="E7667" s="3" t="s">
        <v>1272</v>
      </c>
      <c r="F7667" s="3" t="s">
        <v>1279</v>
      </c>
      <c r="I7667" s="3" t="s">
        <v>2369</v>
      </c>
    </row>
    <row r="7668" spans="2:9" hidden="1" x14ac:dyDescent="0.4">
      <c r="B7668" s="8" t="s">
        <v>517</v>
      </c>
      <c r="C7668" s="3" t="s">
        <v>12330</v>
      </c>
      <c r="D7668" s="3" t="s">
        <v>12182</v>
      </c>
      <c r="E7668" s="3" t="s">
        <v>1272</v>
      </c>
      <c r="F7668" s="3" t="s">
        <v>399</v>
      </c>
      <c r="I7668" s="3" t="s">
        <v>2369</v>
      </c>
    </row>
    <row r="7669" spans="2:9" hidden="1" x14ac:dyDescent="0.4">
      <c r="B7669" s="8" t="s">
        <v>530</v>
      </c>
      <c r="C7669" s="3" t="s">
        <v>12331</v>
      </c>
      <c r="D7669" s="3" t="s">
        <v>11998</v>
      </c>
      <c r="E7669" s="3" t="s">
        <v>1272</v>
      </c>
      <c r="F7669" s="3" t="s">
        <v>1279</v>
      </c>
      <c r="I7669" s="3" t="s">
        <v>2369</v>
      </c>
    </row>
    <row r="7670" spans="2:9" hidden="1" x14ac:dyDescent="0.4">
      <c r="B7670" s="8" t="s">
        <v>530</v>
      </c>
      <c r="C7670" s="3" t="s">
        <v>12332</v>
      </c>
      <c r="D7670" s="3" t="s">
        <v>11998</v>
      </c>
      <c r="E7670" s="3" t="s">
        <v>1272</v>
      </c>
      <c r="F7670" s="3" t="s">
        <v>399</v>
      </c>
      <c r="I7670" s="3" t="s">
        <v>2369</v>
      </c>
    </row>
    <row r="7671" spans="2:9" hidden="1" x14ac:dyDescent="0.4">
      <c r="B7671" s="8" t="s">
        <v>517</v>
      </c>
      <c r="C7671" s="3" t="s">
        <v>12333</v>
      </c>
      <c r="D7671" s="3" t="s">
        <v>12183</v>
      </c>
      <c r="E7671" s="3" t="s">
        <v>1272</v>
      </c>
      <c r="F7671" s="3" t="s">
        <v>1279</v>
      </c>
      <c r="I7671" s="3" t="s">
        <v>2369</v>
      </c>
    </row>
    <row r="7672" spans="2:9" hidden="1" x14ac:dyDescent="0.4">
      <c r="B7672" s="8" t="s">
        <v>517</v>
      </c>
      <c r="C7672" s="3" t="s">
        <v>12334</v>
      </c>
      <c r="D7672" s="3" t="s">
        <v>12183</v>
      </c>
      <c r="E7672" s="3" t="s">
        <v>1272</v>
      </c>
      <c r="F7672" s="3" t="s">
        <v>399</v>
      </c>
      <c r="I7672" s="3" t="s">
        <v>2369</v>
      </c>
    </row>
    <row r="7673" spans="2:9" hidden="1" x14ac:dyDescent="0.4">
      <c r="B7673" s="8" t="s">
        <v>1004</v>
      </c>
      <c r="C7673" s="3" t="s">
        <v>12228</v>
      </c>
      <c r="D7673" s="3" t="s">
        <v>11715</v>
      </c>
      <c r="E7673" s="3" t="s">
        <v>1272</v>
      </c>
      <c r="F7673" s="3" t="s">
        <v>399</v>
      </c>
      <c r="I7673" s="3" t="s">
        <v>2369</v>
      </c>
    </row>
    <row r="7674" spans="2:9" ht="29.25" hidden="1" x14ac:dyDescent="0.4">
      <c r="B7674" s="8" t="s">
        <v>12346</v>
      </c>
      <c r="C7674" s="3" t="s">
        <v>12335</v>
      </c>
      <c r="D7674" s="3" t="s">
        <v>12184</v>
      </c>
      <c r="E7674" s="3" t="s">
        <v>1272</v>
      </c>
      <c r="F7674" s="3" t="s">
        <v>399</v>
      </c>
      <c r="I7674" s="3" t="s">
        <v>2369</v>
      </c>
    </row>
    <row r="7675" spans="2:9" hidden="1" x14ac:dyDescent="0.4">
      <c r="B7675" s="8" t="s">
        <v>12226</v>
      </c>
      <c r="C7675" s="3" t="s">
        <v>12227</v>
      </c>
      <c r="D7675" s="3" t="s">
        <v>12185</v>
      </c>
      <c r="E7675" s="3" t="s">
        <v>1272</v>
      </c>
      <c r="F7675" s="3" t="s">
        <v>399</v>
      </c>
      <c r="I7675" s="3" t="s">
        <v>2369</v>
      </c>
    </row>
    <row r="7676" spans="2:9" ht="29.25" hidden="1" x14ac:dyDescent="0.4">
      <c r="B7676" s="8" t="s">
        <v>6737</v>
      </c>
      <c r="C7676" s="3" t="s">
        <v>12336</v>
      </c>
      <c r="D7676" s="3" t="s">
        <v>12347</v>
      </c>
      <c r="E7676" s="3" t="s">
        <v>1272</v>
      </c>
      <c r="F7676" s="3" t="s">
        <v>399</v>
      </c>
      <c r="I7676" s="3" t="s">
        <v>2369</v>
      </c>
    </row>
    <row r="7677" spans="2:9" hidden="1" x14ac:dyDescent="0.4">
      <c r="B7677" s="8" t="s">
        <v>517</v>
      </c>
      <c r="C7677" s="3" t="s">
        <v>12337</v>
      </c>
      <c r="D7677" s="3" t="s">
        <v>11724</v>
      </c>
      <c r="E7677" s="3" t="s">
        <v>1272</v>
      </c>
      <c r="F7677" s="3" t="s">
        <v>1279</v>
      </c>
      <c r="I7677" s="3" t="s">
        <v>2369</v>
      </c>
    </row>
    <row r="7678" spans="2:9" hidden="1" x14ac:dyDescent="0.4">
      <c r="B7678" s="8" t="s">
        <v>517</v>
      </c>
      <c r="C7678" s="3" t="s">
        <v>12338</v>
      </c>
      <c r="D7678" s="3" t="s">
        <v>11724</v>
      </c>
      <c r="E7678" s="3" t="s">
        <v>1272</v>
      </c>
      <c r="F7678" s="3" t="s">
        <v>399</v>
      </c>
      <c r="I7678" s="3" t="s">
        <v>2369</v>
      </c>
    </row>
    <row r="7679" spans="2:9" hidden="1" x14ac:dyDescent="0.4">
      <c r="B7679" s="8" t="s">
        <v>517</v>
      </c>
      <c r="C7679" s="3" t="s">
        <v>12339</v>
      </c>
      <c r="D7679" s="3" t="s">
        <v>12186</v>
      </c>
      <c r="E7679" s="3" t="s">
        <v>1272</v>
      </c>
      <c r="F7679" s="3" t="s">
        <v>1279</v>
      </c>
      <c r="I7679" s="3" t="s">
        <v>2369</v>
      </c>
    </row>
    <row r="7680" spans="2:9" hidden="1" x14ac:dyDescent="0.4">
      <c r="B7680" s="8" t="s">
        <v>517</v>
      </c>
      <c r="C7680" s="3" t="s">
        <v>12340</v>
      </c>
      <c r="D7680" s="3" t="s">
        <v>12186</v>
      </c>
      <c r="E7680" s="3" t="s">
        <v>1272</v>
      </c>
      <c r="F7680" s="3" t="s">
        <v>399</v>
      </c>
      <c r="I7680" s="3" t="s">
        <v>2369</v>
      </c>
    </row>
    <row r="7681" spans="2:9" hidden="1" x14ac:dyDescent="0.4">
      <c r="B7681" s="8" t="s">
        <v>517</v>
      </c>
      <c r="C7681" s="3" t="s">
        <v>12341</v>
      </c>
      <c r="D7681" s="3" t="s">
        <v>11406</v>
      </c>
      <c r="E7681" s="3" t="s">
        <v>1272</v>
      </c>
      <c r="F7681" s="3" t="s">
        <v>1279</v>
      </c>
      <c r="I7681" s="3" t="s">
        <v>2369</v>
      </c>
    </row>
    <row r="7682" spans="2:9" hidden="1" x14ac:dyDescent="0.4">
      <c r="B7682" s="8" t="s">
        <v>517</v>
      </c>
      <c r="C7682" s="3" t="s">
        <v>11258</v>
      </c>
      <c r="D7682" s="3" t="s">
        <v>11406</v>
      </c>
      <c r="E7682" s="3" t="s">
        <v>1272</v>
      </c>
      <c r="F7682" s="3" t="s">
        <v>399</v>
      </c>
      <c r="I7682" s="3" t="s">
        <v>2369</v>
      </c>
    </row>
    <row r="7683" spans="2:9" hidden="1" x14ac:dyDescent="0.4">
      <c r="B7683" s="8" t="s">
        <v>6736</v>
      </c>
      <c r="C7683" s="3" t="s">
        <v>12344</v>
      </c>
      <c r="D7683" s="3" t="s">
        <v>12187</v>
      </c>
      <c r="E7683" s="3" t="s">
        <v>1272</v>
      </c>
      <c r="F7683" s="3" t="s">
        <v>399</v>
      </c>
      <c r="I7683" s="3" t="s">
        <v>2369</v>
      </c>
    </row>
    <row r="7684" spans="2:9" ht="29.25" hidden="1" x14ac:dyDescent="0.4">
      <c r="B7684" s="8" t="s">
        <v>4055</v>
      </c>
      <c r="C7684" s="3" t="s">
        <v>12342</v>
      </c>
      <c r="D7684" s="3" t="s">
        <v>12188</v>
      </c>
      <c r="E7684" s="3" t="s">
        <v>1272</v>
      </c>
      <c r="F7684" s="3" t="s">
        <v>399</v>
      </c>
      <c r="I7684" s="3" t="s">
        <v>2369</v>
      </c>
    </row>
    <row r="7685" spans="2:9" hidden="1" x14ac:dyDescent="0.4">
      <c r="B7685" s="8" t="s">
        <v>4055</v>
      </c>
      <c r="C7685" s="3" t="s">
        <v>12343</v>
      </c>
      <c r="D7685" s="3" t="s">
        <v>12189</v>
      </c>
      <c r="E7685" s="3" t="s">
        <v>1272</v>
      </c>
      <c r="F7685" s="3" t="s">
        <v>399</v>
      </c>
      <c r="I7685" s="3" t="s">
        <v>2369</v>
      </c>
    </row>
    <row r="7686" spans="2:9" hidden="1" x14ac:dyDescent="0.4">
      <c r="B7686" s="8" t="s">
        <v>516</v>
      </c>
      <c r="C7686" s="3" t="s">
        <v>12345</v>
      </c>
      <c r="D7686" s="3" t="s">
        <v>12190</v>
      </c>
      <c r="E7686" s="3" t="s">
        <v>1272</v>
      </c>
      <c r="F7686" s="3" t="s">
        <v>399</v>
      </c>
      <c r="I7686" s="3" t="s">
        <v>2369</v>
      </c>
    </row>
    <row r="7687" spans="2:9" hidden="1" x14ac:dyDescent="0.4">
      <c r="B7687" s="8" t="s">
        <v>517</v>
      </c>
      <c r="C7687" s="3" t="s">
        <v>12353</v>
      </c>
      <c r="D7687" s="3" t="s">
        <v>12349</v>
      </c>
      <c r="F7687" s="3" t="s">
        <v>402</v>
      </c>
      <c r="I7687" s="3" t="s">
        <v>12348</v>
      </c>
    </row>
    <row r="7688" spans="2:9" hidden="1" x14ac:dyDescent="0.4">
      <c r="B7688" s="8" t="s">
        <v>517</v>
      </c>
      <c r="C7688" s="3" t="s">
        <v>12354</v>
      </c>
      <c r="D7688" s="3" t="s">
        <v>12350</v>
      </c>
      <c r="F7688" s="3" t="s">
        <v>402</v>
      </c>
      <c r="I7688" s="3" t="s">
        <v>12348</v>
      </c>
    </row>
    <row r="7689" spans="2:9" hidden="1" x14ac:dyDescent="0.4">
      <c r="B7689" s="8" t="s">
        <v>517</v>
      </c>
      <c r="C7689" s="3" t="s">
        <v>12355</v>
      </c>
      <c r="D7689" s="3" t="s">
        <v>12352</v>
      </c>
      <c r="F7689" s="3" t="s">
        <v>402</v>
      </c>
      <c r="I7689" s="3" t="s">
        <v>12348</v>
      </c>
    </row>
    <row r="7690" spans="2:9" hidden="1" x14ac:dyDescent="0.4">
      <c r="B7690" s="8" t="s">
        <v>517</v>
      </c>
      <c r="C7690" s="3" t="s">
        <v>12356</v>
      </c>
      <c r="D7690" s="3" t="s">
        <v>12351</v>
      </c>
      <c r="F7690" s="3" t="s">
        <v>402</v>
      </c>
      <c r="I7690" s="3" t="s">
        <v>12348</v>
      </c>
    </row>
    <row r="7691" spans="2:9" hidden="1" x14ac:dyDescent="0.4">
      <c r="B7691" s="8" t="s">
        <v>517</v>
      </c>
      <c r="C7691" s="3" t="s">
        <v>12357</v>
      </c>
      <c r="D7691" s="3" t="s">
        <v>12382</v>
      </c>
      <c r="F7691" s="3" t="s">
        <v>401</v>
      </c>
      <c r="I7691" s="3" t="s">
        <v>12348</v>
      </c>
    </row>
    <row r="7692" spans="2:9" hidden="1" x14ac:dyDescent="0.4">
      <c r="B7692" s="8" t="s">
        <v>516</v>
      </c>
      <c r="C7692" s="3" t="s">
        <v>12358</v>
      </c>
      <c r="D7692" s="3" t="s">
        <v>12383</v>
      </c>
      <c r="F7692" s="3" t="s">
        <v>401</v>
      </c>
      <c r="I7692" s="3" t="s">
        <v>12348</v>
      </c>
    </row>
    <row r="7693" spans="2:9" hidden="1" x14ac:dyDescent="0.4">
      <c r="B7693" s="8" t="s">
        <v>515</v>
      </c>
      <c r="C7693" s="3" t="s">
        <v>12359</v>
      </c>
      <c r="D7693" s="3" t="s">
        <v>12384</v>
      </c>
      <c r="F7693" s="3" t="s">
        <v>401</v>
      </c>
      <c r="I7693" s="3" t="s">
        <v>12348</v>
      </c>
    </row>
    <row r="7694" spans="2:9" hidden="1" x14ac:dyDescent="0.4">
      <c r="B7694" s="8" t="s">
        <v>515</v>
      </c>
      <c r="C7694" s="3" t="s">
        <v>12360</v>
      </c>
      <c r="D7694" s="3" t="s">
        <v>12398</v>
      </c>
      <c r="F7694" s="3" t="s">
        <v>401</v>
      </c>
      <c r="I7694" s="3" t="s">
        <v>12348</v>
      </c>
    </row>
    <row r="7695" spans="2:9" hidden="1" x14ac:dyDescent="0.4">
      <c r="B7695" s="8" t="s">
        <v>4118</v>
      </c>
      <c r="C7695" s="3" t="s">
        <v>12361</v>
      </c>
      <c r="D7695" s="3" t="s">
        <v>12385</v>
      </c>
      <c r="F7695" s="3" t="s">
        <v>401</v>
      </c>
      <c r="I7695" s="3" t="s">
        <v>12348</v>
      </c>
    </row>
    <row r="7696" spans="2:9" hidden="1" x14ac:dyDescent="0.4">
      <c r="B7696" s="8" t="s">
        <v>517</v>
      </c>
      <c r="C7696" s="3" t="s">
        <v>12362</v>
      </c>
      <c r="D7696" s="3" t="s">
        <v>12386</v>
      </c>
      <c r="F7696" s="3" t="s">
        <v>401</v>
      </c>
      <c r="I7696" s="3" t="s">
        <v>12348</v>
      </c>
    </row>
    <row r="7697" spans="2:9" hidden="1" x14ac:dyDescent="0.4">
      <c r="B7697" s="8" t="s">
        <v>516</v>
      </c>
      <c r="C7697" s="3" t="s">
        <v>12363</v>
      </c>
      <c r="D7697" s="3" t="s">
        <v>12387</v>
      </c>
      <c r="F7697" s="3" t="s">
        <v>401</v>
      </c>
      <c r="I7697" s="3" t="s">
        <v>12348</v>
      </c>
    </row>
    <row r="7698" spans="2:9" hidden="1" x14ac:dyDescent="0.4">
      <c r="B7698" s="8" t="s">
        <v>515</v>
      </c>
      <c r="C7698" s="3" t="s">
        <v>12364</v>
      </c>
      <c r="D7698" s="3" t="s">
        <v>12388</v>
      </c>
      <c r="F7698" s="3" t="s">
        <v>401</v>
      </c>
      <c r="I7698" s="3" t="s">
        <v>12348</v>
      </c>
    </row>
    <row r="7699" spans="2:9" hidden="1" x14ac:dyDescent="0.4">
      <c r="B7699" s="8" t="s">
        <v>515</v>
      </c>
      <c r="C7699" s="3" t="s">
        <v>12365</v>
      </c>
      <c r="D7699" s="3" t="s">
        <v>12399</v>
      </c>
      <c r="F7699" s="3" t="s">
        <v>401</v>
      </c>
      <c r="I7699" s="3" t="s">
        <v>12348</v>
      </c>
    </row>
    <row r="7700" spans="2:9" hidden="1" x14ac:dyDescent="0.4">
      <c r="B7700" s="8" t="s">
        <v>4118</v>
      </c>
      <c r="C7700" s="3" t="s">
        <v>12366</v>
      </c>
      <c r="D7700" s="3" t="s">
        <v>12389</v>
      </c>
      <c r="F7700" s="3" t="s">
        <v>401</v>
      </c>
      <c r="I7700" s="3" t="s">
        <v>12348</v>
      </c>
    </row>
    <row r="7701" spans="2:9" hidden="1" x14ac:dyDescent="0.4">
      <c r="B7701" s="8" t="s">
        <v>517</v>
      </c>
      <c r="C7701" s="3" t="s">
        <v>12367</v>
      </c>
      <c r="D7701" s="3" t="s">
        <v>12390</v>
      </c>
      <c r="F7701" s="3" t="s">
        <v>401</v>
      </c>
      <c r="I7701" s="3" t="s">
        <v>12348</v>
      </c>
    </row>
    <row r="7702" spans="2:9" hidden="1" x14ac:dyDescent="0.4">
      <c r="B7702" s="8" t="s">
        <v>516</v>
      </c>
      <c r="C7702" s="3" t="s">
        <v>12368</v>
      </c>
      <c r="D7702" s="3" t="s">
        <v>12391</v>
      </c>
      <c r="F7702" s="3" t="s">
        <v>401</v>
      </c>
      <c r="I7702" s="3" t="s">
        <v>12348</v>
      </c>
    </row>
    <row r="7703" spans="2:9" hidden="1" x14ac:dyDescent="0.4">
      <c r="B7703" s="8" t="s">
        <v>515</v>
      </c>
      <c r="C7703" s="3" t="s">
        <v>12369</v>
      </c>
      <c r="D7703" s="3" t="s">
        <v>12392</v>
      </c>
      <c r="F7703" s="3" t="s">
        <v>401</v>
      </c>
      <c r="I7703" s="3" t="s">
        <v>12348</v>
      </c>
    </row>
    <row r="7704" spans="2:9" hidden="1" x14ac:dyDescent="0.4">
      <c r="B7704" s="8" t="s">
        <v>515</v>
      </c>
      <c r="C7704" s="3" t="s">
        <v>12370</v>
      </c>
      <c r="D7704" s="3" t="s">
        <v>12400</v>
      </c>
      <c r="F7704" s="3" t="s">
        <v>401</v>
      </c>
      <c r="I7704" s="3" t="s">
        <v>12348</v>
      </c>
    </row>
    <row r="7705" spans="2:9" hidden="1" x14ac:dyDescent="0.4">
      <c r="B7705" s="8" t="s">
        <v>4118</v>
      </c>
      <c r="C7705" s="3" t="s">
        <v>12371</v>
      </c>
      <c r="D7705" s="3" t="s">
        <v>12393</v>
      </c>
      <c r="F7705" s="3" t="s">
        <v>401</v>
      </c>
      <c r="I7705" s="3" t="s">
        <v>12348</v>
      </c>
    </row>
    <row r="7706" spans="2:9" hidden="1" x14ac:dyDescent="0.4">
      <c r="B7706" s="8" t="s">
        <v>517</v>
      </c>
      <c r="C7706" s="3" t="s">
        <v>12372</v>
      </c>
      <c r="D7706" s="3" t="s">
        <v>12394</v>
      </c>
      <c r="F7706" s="3" t="s">
        <v>401</v>
      </c>
      <c r="I7706" s="3" t="s">
        <v>12348</v>
      </c>
    </row>
    <row r="7707" spans="2:9" hidden="1" x14ac:dyDescent="0.4">
      <c r="B7707" s="8" t="s">
        <v>516</v>
      </c>
      <c r="C7707" s="3" t="s">
        <v>12373</v>
      </c>
      <c r="D7707" s="3" t="s">
        <v>12395</v>
      </c>
      <c r="F7707" s="3" t="s">
        <v>401</v>
      </c>
      <c r="I7707" s="3" t="s">
        <v>12348</v>
      </c>
    </row>
    <row r="7708" spans="2:9" hidden="1" x14ac:dyDescent="0.4">
      <c r="B7708" s="8" t="s">
        <v>515</v>
      </c>
      <c r="C7708" s="3" t="s">
        <v>12374</v>
      </c>
      <c r="D7708" s="3" t="s">
        <v>12396</v>
      </c>
      <c r="F7708" s="3" t="s">
        <v>401</v>
      </c>
      <c r="I7708" s="3" t="s">
        <v>12348</v>
      </c>
    </row>
    <row r="7709" spans="2:9" hidden="1" x14ac:dyDescent="0.4">
      <c r="B7709" s="8" t="s">
        <v>515</v>
      </c>
      <c r="C7709" s="3" t="s">
        <v>12375</v>
      </c>
      <c r="D7709" s="3" t="s">
        <v>12397</v>
      </c>
      <c r="F7709" s="3" t="s">
        <v>401</v>
      </c>
      <c r="I7709" s="3" t="s">
        <v>12348</v>
      </c>
    </row>
    <row r="7710" spans="2:9" hidden="1" x14ac:dyDescent="0.4">
      <c r="B7710" s="8" t="s">
        <v>4118</v>
      </c>
      <c r="C7710" s="3" t="s">
        <v>12376</v>
      </c>
      <c r="D7710" s="3" t="s">
        <v>12401</v>
      </c>
      <c r="F7710" s="3" t="s">
        <v>401</v>
      </c>
      <c r="I7710" s="3" t="s">
        <v>12348</v>
      </c>
    </row>
    <row r="7711" spans="2:9" hidden="1" x14ac:dyDescent="0.4">
      <c r="B7711" s="8" t="s">
        <v>536</v>
      </c>
      <c r="C7711" s="3" t="s">
        <v>12377</v>
      </c>
      <c r="D7711" s="3" t="s">
        <v>12402</v>
      </c>
      <c r="F7711" s="3" t="s">
        <v>401</v>
      </c>
      <c r="I7711" s="3" t="s">
        <v>12348</v>
      </c>
    </row>
    <row r="7712" spans="2:9" hidden="1" x14ac:dyDescent="0.4">
      <c r="B7712" s="8" t="s">
        <v>517</v>
      </c>
      <c r="C7712" s="3" t="s">
        <v>12378</v>
      </c>
      <c r="D7712" s="3" t="s">
        <v>12403</v>
      </c>
      <c r="F7712" s="3" t="s">
        <v>401</v>
      </c>
      <c r="I7712" s="3" t="s">
        <v>12348</v>
      </c>
    </row>
    <row r="7713" spans="2:9" hidden="1" x14ac:dyDescent="0.4">
      <c r="B7713" s="8" t="s">
        <v>518</v>
      </c>
      <c r="C7713" s="3" t="s">
        <v>12379</v>
      </c>
      <c r="D7713" s="3" t="s">
        <v>12404</v>
      </c>
      <c r="F7713" s="3" t="s">
        <v>401</v>
      </c>
      <c r="I7713" s="3" t="s">
        <v>12348</v>
      </c>
    </row>
    <row r="7714" spans="2:9" hidden="1" x14ac:dyDescent="0.4">
      <c r="B7714" s="8" t="s">
        <v>518</v>
      </c>
      <c r="C7714" s="3" t="s">
        <v>12380</v>
      </c>
      <c r="D7714" s="3" t="s">
        <v>12405</v>
      </c>
      <c r="F7714" s="3" t="s">
        <v>401</v>
      </c>
      <c r="I7714" s="3" t="s">
        <v>12348</v>
      </c>
    </row>
    <row r="7715" spans="2:9" hidden="1" x14ac:dyDescent="0.4">
      <c r="B7715" s="8" t="s">
        <v>532</v>
      </c>
      <c r="C7715" s="3" t="s">
        <v>12381</v>
      </c>
      <c r="D7715" s="3" t="s">
        <v>12406</v>
      </c>
      <c r="F7715" s="3" t="s">
        <v>401</v>
      </c>
      <c r="I7715" s="3" t="s">
        <v>12348</v>
      </c>
    </row>
    <row r="7716" spans="2:9" hidden="1" x14ac:dyDescent="0.4">
      <c r="B7716" s="8" t="s">
        <v>515</v>
      </c>
      <c r="C7716" s="3" t="s">
        <v>12407</v>
      </c>
      <c r="D7716" s="3" t="s">
        <v>12398</v>
      </c>
      <c r="F7716" s="3" t="s">
        <v>401</v>
      </c>
      <c r="I7716" s="3" t="s">
        <v>12348</v>
      </c>
    </row>
    <row r="7717" spans="2:9" hidden="1" x14ac:dyDescent="0.4">
      <c r="B7717" s="8" t="s">
        <v>517</v>
      </c>
      <c r="C7717" s="3" t="s">
        <v>12443</v>
      </c>
      <c r="D7717" s="3" t="s">
        <v>12408</v>
      </c>
      <c r="F7717" s="3" t="s">
        <v>12740</v>
      </c>
      <c r="G7717" s="3" t="s">
        <v>402</v>
      </c>
      <c r="I7717" s="3" t="s">
        <v>246</v>
      </c>
    </row>
    <row r="7718" spans="2:9" hidden="1" x14ac:dyDescent="0.4">
      <c r="B7718" s="8" t="s">
        <v>536</v>
      </c>
      <c r="C7718" s="3" t="s">
        <v>12444</v>
      </c>
      <c r="D7718" s="3" t="s">
        <v>12409</v>
      </c>
      <c r="F7718" s="3" t="s">
        <v>988</v>
      </c>
      <c r="I7718" s="3" t="s">
        <v>246</v>
      </c>
    </row>
    <row r="7719" spans="2:9" hidden="1" x14ac:dyDescent="0.4">
      <c r="B7719" s="8" t="s">
        <v>536</v>
      </c>
      <c r="C7719" s="3" t="s">
        <v>12445</v>
      </c>
      <c r="D7719" s="3" t="s">
        <v>12409</v>
      </c>
      <c r="F7719" s="3" t="s">
        <v>988</v>
      </c>
      <c r="I7719" s="3" t="s">
        <v>246</v>
      </c>
    </row>
    <row r="7720" spans="2:9" hidden="1" x14ac:dyDescent="0.4">
      <c r="B7720" s="8" t="s">
        <v>536</v>
      </c>
      <c r="C7720" s="3" t="s">
        <v>12446</v>
      </c>
      <c r="D7720" s="3" t="s">
        <v>12409</v>
      </c>
      <c r="F7720" s="3" t="s">
        <v>988</v>
      </c>
      <c r="I7720" s="3" t="s">
        <v>246</v>
      </c>
    </row>
    <row r="7721" spans="2:9" hidden="1" x14ac:dyDescent="0.4">
      <c r="B7721" s="8" t="s">
        <v>517</v>
      </c>
      <c r="C7721" s="3" t="s">
        <v>12447</v>
      </c>
      <c r="D7721" s="3" t="s">
        <v>12410</v>
      </c>
      <c r="F7721" s="3" t="s">
        <v>988</v>
      </c>
      <c r="I7721" s="3" t="s">
        <v>246</v>
      </c>
    </row>
    <row r="7722" spans="2:9" hidden="1" x14ac:dyDescent="0.4">
      <c r="B7722" s="8" t="s">
        <v>531</v>
      </c>
      <c r="C7722" s="3" t="s">
        <v>200</v>
      </c>
      <c r="D7722" s="3" t="s">
        <v>12410</v>
      </c>
      <c r="F7722" s="3" t="s">
        <v>988</v>
      </c>
      <c r="I7722" s="3" t="s">
        <v>246</v>
      </c>
    </row>
    <row r="7723" spans="2:9" hidden="1" x14ac:dyDescent="0.4">
      <c r="B7723" s="8" t="s">
        <v>536</v>
      </c>
      <c r="C7723" s="3" t="s">
        <v>8485</v>
      </c>
      <c r="D7723" s="3" t="s">
        <v>12411</v>
      </c>
      <c r="F7723" s="3" t="s">
        <v>988</v>
      </c>
      <c r="I7723" s="3" t="s">
        <v>246</v>
      </c>
    </row>
    <row r="7724" spans="2:9" hidden="1" x14ac:dyDescent="0.4">
      <c r="B7724" s="8" t="s">
        <v>517</v>
      </c>
      <c r="C7724" s="3" t="s">
        <v>12448</v>
      </c>
      <c r="D7724" s="3" t="s">
        <v>12411</v>
      </c>
      <c r="F7724" s="3" t="s">
        <v>988</v>
      </c>
      <c r="I7724" s="3" t="s">
        <v>246</v>
      </c>
    </row>
    <row r="7725" spans="2:9" hidden="1" x14ac:dyDescent="0.4">
      <c r="B7725" s="8" t="s">
        <v>536</v>
      </c>
      <c r="C7725" s="3" t="s">
        <v>12449</v>
      </c>
      <c r="D7725" s="3" t="s">
        <v>12412</v>
      </c>
      <c r="F7725" s="3" t="s">
        <v>988</v>
      </c>
      <c r="G7725" s="3" t="s">
        <v>430</v>
      </c>
      <c r="I7725" s="3" t="s">
        <v>246</v>
      </c>
    </row>
    <row r="7726" spans="2:9" hidden="1" x14ac:dyDescent="0.4">
      <c r="B7726" s="8" t="s">
        <v>536</v>
      </c>
      <c r="C7726" s="3" t="s">
        <v>12451</v>
      </c>
      <c r="D7726" s="3" t="s">
        <v>12413</v>
      </c>
      <c r="F7726" s="3" t="s">
        <v>988</v>
      </c>
      <c r="I7726" s="3" t="s">
        <v>246</v>
      </c>
    </row>
    <row r="7727" spans="2:9" hidden="1" x14ac:dyDescent="0.4">
      <c r="B7727" s="8" t="s">
        <v>536</v>
      </c>
      <c r="C7727" s="3" t="s">
        <v>12452</v>
      </c>
      <c r="D7727" s="3" t="s">
        <v>12414</v>
      </c>
      <c r="F7727" s="3" t="s">
        <v>988</v>
      </c>
      <c r="I7727" s="3" t="s">
        <v>246</v>
      </c>
    </row>
    <row r="7728" spans="2:9" hidden="1" x14ac:dyDescent="0.4">
      <c r="B7728" s="8" t="s">
        <v>517</v>
      </c>
      <c r="C7728" s="3" t="s">
        <v>12450</v>
      </c>
      <c r="D7728" s="3" t="s">
        <v>12415</v>
      </c>
      <c r="F7728" s="3" t="s">
        <v>988</v>
      </c>
      <c r="I7728" s="3" t="s">
        <v>246</v>
      </c>
    </row>
    <row r="7729" spans="2:9" hidden="1" x14ac:dyDescent="0.4">
      <c r="B7729" s="8" t="s">
        <v>517</v>
      </c>
      <c r="C7729" s="3" t="s">
        <v>12453</v>
      </c>
      <c r="D7729" s="3" t="s">
        <v>12416</v>
      </c>
      <c r="F7729" s="3" t="s">
        <v>988</v>
      </c>
      <c r="I7729" s="3" t="s">
        <v>246</v>
      </c>
    </row>
    <row r="7730" spans="2:9" hidden="1" x14ac:dyDescent="0.4">
      <c r="B7730" s="8" t="s">
        <v>517</v>
      </c>
      <c r="C7730" s="3" t="s">
        <v>12454</v>
      </c>
      <c r="D7730" s="3" t="s">
        <v>12416</v>
      </c>
      <c r="F7730" s="3" t="s">
        <v>988</v>
      </c>
      <c r="I7730" s="3" t="s">
        <v>246</v>
      </c>
    </row>
    <row r="7731" spans="2:9" hidden="1" x14ac:dyDescent="0.4">
      <c r="B7731" s="8" t="s">
        <v>536</v>
      </c>
      <c r="C7731" s="3" t="s">
        <v>12455</v>
      </c>
      <c r="D7731" s="3" t="s">
        <v>12417</v>
      </c>
      <c r="E7731" s="3" t="s">
        <v>432</v>
      </c>
      <c r="F7731" s="3" t="s">
        <v>988</v>
      </c>
      <c r="G7731" s="3" t="s">
        <v>430</v>
      </c>
      <c r="I7731" s="3" t="s">
        <v>246</v>
      </c>
    </row>
    <row r="7732" spans="2:9" hidden="1" x14ac:dyDescent="0.4">
      <c r="B7732" s="8" t="s">
        <v>536</v>
      </c>
      <c r="C7732" s="3" t="s">
        <v>12456</v>
      </c>
      <c r="D7732" s="3" t="s">
        <v>12417</v>
      </c>
      <c r="F7732" s="3" t="s">
        <v>988</v>
      </c>
      <c r="G7732" s="3" t="s">
        <v>430</v>
      </c>
      <c r="I7732" s="3" t="s">
        <v>246</v>
      </c>
    </row>
    <row r="7733" spans="2:9" hidden="1" x14ac:dyDescent="0.4">
      <c r="B7733" s="8" t="s">
        <v>520</v>
      </c>
      <c r="C7733" s="3" t="s">
        <v>12457</v>
      </c>
      <c r="D7733" s="3" t="s">
        <v>12418</v>
      </c>
      <c r="F7733" s="3" t="s">
        <v>988</v>
      </c>
      <c r="I7733" s="3" t="s">
        <v>246</v>
      </c>
    </row>
    <row r="7734" spans="2:9" hidden="1" x14ac:dyDescent="0.4">
      <c r="B7734" s="8" t="s">
        <v>536</v>
      </c>
      <c r="C7734" s="3" t="s">
        <v>12458</v>
      </c>
      <c r="D7734" s="3" t="s">
        <v>12419</v>
      </c>
      <c r="F7734" s="3" t="s">
        <v>988</v>
      </c>
      <c r="I7734" s="3" t="s">
        <v>246</v>
      </c>
    </row>
    <row r="7735" spans="2:9" hidden="1" x14ac:dyDescent="0.4">
      <c r="B7735" s="8" t="s">
        <v>520</v>
      </c>
      <c r="C7735" s="3" t="s">
        <v>12459</v>
      </c>
      <c r="D7735" s="3" t="s">
        <v>12420</v>
      </c>
      <c r="F7735" s="3" t="s">
        <v>988</v>
      </c>
      <c r="I7735" s="3" t="s">
        <v>246</v>
      </c>
    </row>
    <row r="7736" spans="2:9" hidden="1" x14ac:dyDescent="0.4">
      <c r="B7736" s="8" t="s">
        <v>518</v>
      </c>
      <c r="C7736" s="3" t="s">
        <v>7368</v>
      </c>
      <c r="D7736" s="3" t="s">
        <v>12421</v>
      </c>
      <c r="F7736" s="3" t="s">
        <v>988</v>
      </c>
      <c r="G7736" s="3" t="s">
        <v>1279</v>
      </c>
      <c r="I7736" s="3" t="s">
        <v>246</v>
      </c>
    </row>
    <row r="7737" spans="2:9" hidden="1" x14ac:dyDescent="0.4">
      <c r="D7737" s="3" t="s">
        <v>12422</v>
      </c>
      <c r="F7737" s="3" t="s">
        <v>988</v>
      </c>
      <c r="I7737" s="3" t="s">
        <v>246</v>
      </c>
    </row>
    <row r="7738" spans="2:9" hidden="1" x14ac:dyDescent="0.4">
      <c r="B7738" s="8" t="s">
        <v>532</v>
      </c>
      <c r="C7738" s="3" t="s">
        <v>12460</v>
      </c>
      <c r="D7738" s="3" t="s">
        <v>12423</v>
      </c>
      <c r="F7738" s="3" t="s">
        <v>988</v>
      </c>
      <c r="I7738" s="3" t="s">
        <v>246</v>
      </c>
    </row>
    <row r="7739" spans="2:9" hidden="1" x14ac:dyDescent="0.4">
      <c r="B7739" s="8" t="s">
        <v>518</v>
      </c>
      <c r="C7739" s="3" t="s">
        <v>12461</v>
      </c>
      <c r="D7739" s="3" t="s">
        <v>12423</v>
      </c>
      <c r="F7739" s="3" t="s">
        <v>988</v>
      </c>
      <c r="I7739" s="3" t="s">
        <v>246</v>
      </c>
    </row>
    <row r="7740" spans="2:9" hidden="1" x14ac:dyDescent="0.4">
      <c r="B7740" s="8" t="s">
        <v>517</v>
      </c>
      <c r="C7740" s="3" t="s">
        <v>12462</v>
      </c>
      <c r="D7740" s="3" t="s">
        <v>12423</v>
      </c>
      <c r="F7740" s="3" t="s">
        <v>988</v>
      </c>
      <c r="I7740" s="3" t="s">
        <v>246</v>
      </c>
    </row>
    <row r="7741" spans="2:9" hidden="1" x14ac:dyDescent="0.4">
      <c r="B7741" s="8" t="s">
        <v>536</v>
      </c>
      <c r="C7741" s="3" t="s">
        <v>12660</v>
      </c>
      <c r="D7741" s="3" t="s">
        <v>12424</v>
      </c>
      <c r="F7741" s="3" t="s">
        <v>988</v>
      </c>
      <c r="I7741" s="3" t="s">
        <v>246</v>
      </c>
    </row>
    <row r="7742" spans="2:9" hidden="1" x14ac:dyDescent="0.4">
      <c r="B7742" s="8" t="s">
        <v>517</v>
      </c>
      <c r="C7742" s="3" t="s">
        <v>12463</v>
      </c>
      <c r="D7742" s="3" t="s">
        <v>12425</v>
      </c>
      <c r="F7742" s="3" t="s">
        <v>988</v>
      </c>
      <c r="I7742" s="3" t="s">
        <v>246</v>
      </c>
    </row>
    <row r="7743" spans="2:9" hidden="1" x14ac:dyDescent="0.4">
      <c r="B7743" s="8" t="s">
        <v>517</v>
      </c>
      <c r="C7743" s="3" t="s">
        <v>12464</v>
      </c>
      <c r="D7743" s="3" t="s">
        <v>12426</v>
      </c>
      <c r="F7743" s="3" t="s">
        <v>988</v>
      </c>
      <c r="I7743" s="3" t="s">
        <v>246</v>
      </c>
    </row>
    <row r="7744" spans="2:9" ht="29.25" hidden="1" x14ac:dyDescent="0.4">
      <c r="B7744" s="8" t="s">
        <v>520</v>
      </c>
      <c r="C7744" s="3" t="s">
        <v>12465</v>
      </c>
      <c r="D7744" s="3" t="s">
        <v>12427</v>
      </c>
      <c r="F7744" s="3" t="s">
        <v>988</v>
      </c>
      <c r="G7744" s="3" t="s">
        <v>12740</v>
      </c>
      <c r="H7744" s="3" t="s">
        <v>430</v>
      </c>
      <c r="I7744" s="3" t="s">
        <v>246</v>
      </c>
    </row>
    <row r="7745" spans="2:9" ht="29.25" hidden="1" x14ac:dyDescent="0.4">
      <c r="B7745" s="8" t="s">
        <v>517</v>
      </c>
      <c r="C7745" s="3" t="s">
        <v>12466</v>
      </c>
      <c r="D7745" s="3" t="s">
        <v>12427</v>
      </c>
      <c r="F7745" s="3" t="s">
        <v>988</v>
      </c>
      <c r="G7745" s="3" t="s">
        <v>12740</v>
      </c>
      <c r="H7745" s="3" t="s">
        <v>430</v>
      </c>
      <c r="I7745" s="3" t="s">
        <v>246</v>
      </c>
    </row>
    <row r="7746" spans="2:9" ht="29.25" hidden="1" x14ac:dyDescent="0.4">
      <c r="B7746" s="8" t="s">
        <v>517</v>
      </c>
      <c r="C7746" s="3" t="s">
        <v>12467</v>
      </c>
      <c r="D7746" s="3" t="s">
        <v>12428</v>
      </c>
      <c r="F7746" s="3" t="s">
        <v>988</v>
      </c>
      <c r="G7746" s="3" t="s">
        <v>12740</v>
      </c>
      <c r="H7746" s="3" t="s">
        <v>430</v>
      </c>
      <c r="I7746" s="3" t="s">
        <v>246</v>
      </c>
    </row>
    <row r="7747" spans="2:9" hidden="1" x14ac:dyDescent="0.4">
      <c r="B7747" s="8" t="s">
        <v>536</v>
      </c>
      <c r="C7747" s="3" t="s">
        <v>12468</v>
      </c>
      <c r="D7747" s="3" t="s">
        <v>12429</v>
      </c>
      <c r="F7747" s="3" t="s">
        <v>988</v>
      </c>
      <c r="I7747" s="3" t="s">
        <v>246</v>
      </c>
    </row>
    <row r="7748" spans="2:9" hidden="1" x14ac:dyDescent="0.4">
      <c r="B7748" s="8" t="s">
        <v>517</v>
      </c>
      <c r="C7748" s="3" t="s">
        <v>12469</v>
      </c>
      <c r="D7748" s="3" t="s">
        <v>12429</v>
      </c>
      <c r="F7748" s="3" t="s">
        <v>988</v>
      </c>
      <c r="I7748" s="3" t="s">
        <v>246</v>
      </c>
    </row>
    <row r="7749" spans="2:9" hidden="1" x14ac:dyDescent="0.4">
      <c r="B7749" s="8" t="s">
        <v>517</v>
      </c>
      <c r="C7749" s="3" t="s">
        <v>12470</v>
      </c>
      <c r="D7749" s="3" t="s">
        <v>12430</v>
      </c>
      <c r="F7749" s="3" t="s">
        <v>988</v>
      </c>
      <c r="I7749" s="3" t="s">
        <v>246</v>
      </c>
    </row>
    <row r="7750" spans="2:9" hidden="1" x14ac:dyDescent="0.4">
      <c r="B7750" s="8" t="s">
        <v>517</v>
      </c>
      <c r="C7750" s="3" t="s">
        <v>12471</v>
      </c>
      <c r="D7750" s="3" t="s">
        <v>12431</v>
      </c>
      <c r="F7750" s="3" t="s">
        <v>988</v>
      </c>
      <c r="I7750" s="3" t="s">
        <v>246</v>
      </c>
    </row>
    <row r="7751" spans="2:9" hidden="1" x14ac:dyDescent="0.4">
      <c r="B7751" s="8" t="s">
        <v>517</v>
      </c>
      <c r="C7751" s="3" t="s">
        <v>196</v>
      </c>
      <c r="D7751" s="3" t="s">
        <v>12431</v>
      </c>
      <c r="F7751" s="3" t="s">
        <v>988</v>
      </c>
      <c r="I7751" s="3" t="s">
        <v>246</v>
      </c>
    </row>
    <row r="7752" spans="2:9" hidden="1" x14ac:dyDescent="0.4">
      <c r="D7752" s="3" t="s">
        <v>12432</v>
      </c>
      <c r="F7752" s="3" t="s">
        <v>988</v>
      </c>
      <c r="I7752" s="3" t="s">
        <v>246</v>
      </c>
    </row>
    <row r="7753" spans="2:9" hidden="1" x14ac:dyDescent="0.4">
      <c r="D7753" s="3" t="s">
        <v>12433</v>
      </c>
      <c r="F7753" s="3" t="s">
        <v>988</v>
      </c>
      <c r="I7753" s="3" t="s">
        <v>246</v>
      </c>
    </row>
    <row r="7754" spans="2:9" hidden="1" x14ac:dyDescent="0.4">
      <c r="D7754" s="3" t="s">
        <v>12434</v>
      </c>
      <c r="F7754" s="3" t="s">
        <v>988</v>
      </c>
      <c r="I7754" s="3" t="s">
        <v>246</v>
      </c>
    </row>
    <row r="7755" spans="2:9" hidden="1" x14ac:dyDescent="0.4">
      <c r="B7755" s="8" t="s">
        <v>536</v>
      </c>
      <c r="C7755" s="3" t="s">
        <v>12472</v>
      </c>
      <c r="D7755" s="3" t="s">
        <v>12435</v>
      </c>
      <c r="F7755" s="3" t="s">
        <v>12740</v>
      </c>
      <c r="I7755" s="3" t="s">
        <v>253</v>
      </c>
    </row>
    <row r="7756" spans="2:9" hidden="1" x14ac:dyDescent="0.4">
      <c r="B7756" s="8" t="s">
        <v>518</v>
      </c>
      <c r="C7756" s="3" t="s">
        <v>12473</v>
      </c>
      <c r="D7756" s="3" t="s">
        <v>12539</v>
      </c>
      <c r="F7756" s="3" t="s">
        <v>988</v>
      </c>
      <c r="I7756" s="3" t="s">
        <v>246</v>
      </c>
    </row>
    <row r="7757" spans="2:9" hidden="1" x14ac:dyDescent="0.4">
      <c r="B7757" s="8" t="s">
        <v>517</v>
      </c>
      <c r="C7757" s="3" t="s">
        <v>12474</v>
      </c>
      <c r="D7757" s="3" t="s">
        <v>12436</v>
      </c>
      <c r="F7757" s="3" t="s">
        <v>988</v>
      </c>
      <c r="I7757" s="3" t="s">
        <v>246</v>
      </c>
    </row>
    <row r="7758" spans="2:9" hidden="1" x14ac:dyDescent="0.4">
      <c r="D7758" s="3" t="s">
        <v>12437</v>
      </c>
      <c r="F7758" s="3" t="s">
        <v>988</v>
      </c>
      <c r="I7758" s="3" t="s">
        <v>246</v>
      </c>
    </row>
    <row r="7759" spans="2:9" hidden="1" x14ac:dyDescent="0.4">
      <c r="B7759" s="8" t="s">
        <v>536</v>
      </c>
      <c r="C7759" s="3" t="s">
        <v>12475</v>
      </c>
      <c r="D7759" s="3" t="s">
        <v>12438</v>
      </c>
      <c r="F7759" s="3" t="s">
        <v>988</v>
      </c>
      <c r="I7759" s="3" t="s">
        <v>246</v>
      </c>
    </row>
    <row r="7760" spans="2:9" hidden="1" x14ac:dyDescent="0.4">
      <c r="B7760" s="8" t="s">
        <v>536</v>
      </c>
      <c r="C7760" s="3" t="s">
        <v>12476</v>
      </c>
      <c r="D7760" s="3" t="s">
        <v>12439</v>
      </c>
      <c r="F7760" s="3" t="s">
        <v>988</v>
      </c>
      <c r="I7760" s="3" t="s">
        <v>246</v>
      </c>
    </row>
    <row r="7761" spans="2:9" hidden="1" x14ac:dyDescent="0.4">
      <c r="B7761" s="8" t="s">
        <v>518</v>
      </c>
      <c r="C7761" s="3" t="s">
        <v>12477</v>
      </c>
      <c r="D7761" s="3" t="s">
        <v>12440</v>
      </c>
      <c r="F7761" s="3" t="s">
        <v>988</v>
      </c>
      <c r="I7761" s="3" t="s">
        <v>246</v>
      </c>
    </row>
    <row r="7762" spans="2:9" hidden="1" x14ac:dyDescent="0.4">
      <c r="D7762" s="3" t="s">
        <v>12441</v>
      </c>
      <c r="F7762" s="3" t="s">
        <v>988</v>
      </c>
      <c r="I7762" s="3" t="s">
        <v>246</v>
      </c>
    </row>
    <row r="7763" spans="2:9" hidden="1" x14ac:dyDescent="0.4">
      <c r="B7763" s="8" t="s">
        <v>536</v>
      </c>
      <c r="C7763" s="3" t="s">
        <v>12478</v>
      </c>
      <c r="D7763" s="3" t="s">
        <v>12442</v>
      </c>
      <c r="F7763" s="3" t="s">
        <v>988</v>
      </c>
      <c r="I7763" s="3" t="s">
        <v>246</v>
      </c>
    </row>
    <row r="7764" spans="2:9" hidden="1" x14ac:dyDescent="0.4">
      <c r="B7764" s="8" t="s">
        <v>517</v>
      </c>
      <c r="C7764" s="3" t="s">
        <v>194</v>
      </c>
      <c r="D7764" s="3" t="s">
        <v>12442</v>
      </c>
      <c r="F7764" s="3" t="s">
        <v>988</v>
      </c>
      <c r="I7764" s="3" t="s">
        <v>246</v>
      </c>
    </row>
    <row r="7765" spans="2:9" hidden="1" x14ac:dyDescent="0.4">
      <c r="D7765" s="3" t="s">
        <v>12538</v>
      </c>
      <c r="F7765" s="3" t="s">
        <v>988</v>
      </c>
      <c r="I7765" s="3" t="s">
        <v>246</v>
      </c>
    </row>
    <row r="7766" spans="2:9" hidden="1" x14ac:dyDescent="0.4">
      <c r="B7766" s="8" t="s">
        <v>536</v>
      </c>
      <c r="C7766" s="3" t="s">
        <v>12479</v>
      </c>
      <c r="D7766" s="3" t="s">
        <v>12494</v>
      </c>
      <c r="F7766" s="3" t="s">
        <v>988</v>
      </c>
      <c r="I7766" s="3" t="s">
        <v>246</v>
      </c>
    </row>
    <row r="7767" spans="2:9" hidden="1" x14ac:dyDescent="0.4">
      <c r="B7767" s="8" t="s">
        <v>536</v>
      </c>
      <c r="C7767" s="3" t="s">
        <v>12480</v>
      </c>
      <c r="D7767" s="3" t="s">
        <v>12495</v>
      </c>
      <c r="F7767" s="3" t="s">
        <v>988</v>
      </c>
      <c r="I7767" s="3" t="s">
        <v>246</v>
      </c>
    </row>
    <row r="7768" spans="2:9" hidden="1" x14ac:dyDescent="0.4">
      <c r="B7768" s="8" t="s">
        <v>529</v>
      </c>
      <c r="C7768" s="3" t="s">
        <v>205</v>
      </c>
      <c r="D7768" s="3" t="s">
        <v>12495</v>
      </c>
      <c r="F7768" s="3" t="s">
        <v>988</v>
      </c>
      <c r="I7768" s="3" t="s">
        <v>246</v>
      </c>
    </row>
    <row r="7769" spans="2:9" hidden="1" x14ac:dyDescent="0.4">
      <c r="B7769" s="8" t="s">
        <v>536</v>
      </c>
      <c r="C7769" s="3" t="s">
        <v>12481</v>
      </c>
      <c r="D7769" s="3" t="s">
        <v>12496</v>
      </c>
      <c r="F7769" s="3" t="s">
        <v>988</v>
      </c>
      <c r="I7769" s="3" t="s">
        <v>246</v>
      </c>
    </row>
    <row r="7770" spans="2:9" hidden="1" x14ac:dyDescent="0.4">
      <c r="B7770" s="8" t="s">
        <v>517</v>
      </c>
      <c r="C7770" s="3" t="s">
        <v>3097</v>
      </c>
      <c r="D7770" s="3" t="s">
        <v>12497</v>
      </c>
      <c r="F7770" s="3" t="s">
        <v>988</v>
      </c>
      <c r="G7770" s="3" t="s">
        <v>402</v>
      </c>
      <c r="H7770" s="3" t="s">
        <v>1279</v>
      </c>
      <c r="I7770" s="3" t="s">
        <v>246</v>
      </c>
    </row>
    <row r="7771" spans="2:9" hidden="1" x14ac:dyDescent="0.4">
      <c r="B7771" s="8" t="s">
        <v>536</v>
      </c>
      <c r="C7771" s="3" t="s">
        <v>12482</v>
      </c>
      <c r="D7771" s="3" t="s">
        <v>12498</v>
      </c>
      <c r="F7771" s="3" t="s">
        <v>988</v>
      </c>
      <c r="I7771" s="3" t="s">
        <v>246</v>
      </c>
    </row>
    <row r="7772" spans="2:9" hidden="1" x14ac:dyDescent="0.4">
      <c r="B7772" s="8" t="s">
        <v>520</v>
      </c>
      <c r="C7772" s="3" t="s">
        <v>12483</v>
      </c>
      <c r="D7772" s="3" t="s">
        <v>12499</v>
      </c>
      <c r="F7772" s="3" t="s">
        <v>988</v>
      </c>
      <c r="G7772" s="3" t="s">
        <v>430</v>
      </c>
      <c r="I7772" s="3" t="s">
        <v>246</v>
      </c>
    </row>
    <row r="7773" spans="2:9" hidden="1" x14ac:dyDescent="0.4">
      <c r="D7773" s="3" t="s">
        <v>12500</v>
      </c>
      <c r="F7773" s="3" t="s">
        <v>988</v>
      </c>
      <c r="I7773" s="3" t="s">
        <v>246</v>
      </c>
    </row>
    <row r="7774" spans="2:9" hidden="1" x14ac:dyDescent="0.4">
      <c r="B7774" s="8" t="s">
        <v>520</v>
      </c>
      <c r="C7774" s="3" t="s">
        <v>12484</v>
      </c>
      <c r="D7774" s="3" t="s">
        <v>12501</v>
      </c>
      <c r="F7774" s="3" t="s">
        <v>988</v>
      </c>
      <c r="I7774" s="3" t="s">
        <v>246</v>
      </c>
    </row>
    <row r="7775" spans="2:9" hidden="1" x14ac:dyDescent="0.4">
      <c r="D7775" s="3" t="s">
        <v>12502</v>
      </c>
      <c r="F7775" s="3" t="s">
        <v>988</v>
      </c>
      <c r="I7775" s="3" t="s">
        <v>246</v>
      </c>
    </row>
    <row r="7776" spans="2:9" hidden="1" x14ac:dyDescent="0.4">
      <c r="D7776" s="3" t="s">
        <v>12503</v>
      </c>
      <c r="F7776" s="3" t="s">
        <v>988</v>
      </c>
      <c r="I7776" s="3" t="s">
        <v>246</v>
      </c>
    </row>
    <row r="7777" spans="2:9" hidden="1" x14ac:dyDescent="0.4">
      <c r="B7777" s="8" t="s">
        <v>536</v>
      </c>
      <c r="C7777" s="3" t="s">
        <v>12485</v>
      </c>
      <c r="D7777" s="3" t="s">
        <v>12504</v>
      </c>
      <c r="F7777" s="3" t="s">
        <v>988</v>
      </c>
      <c r="I7777" s="3" t="s">
        <v>246</v>
      </c>
    </row>
    <row r="7778" spans="2:9" hidden="1" x14ac:dyDescent="0.4">
      <c r="B7778" s="8" t="s">
        <v>517</v>
      </c>
      <c r="C7778" s="3" t="s">
        <v>12486</v>
      </c>
      <c r="D7778" s="3" t="s">
        <v>12505</v>
      </c>
      <c r="F7778" s="3" t="s">
        <v>988</v>
      </c>
      <c r="I7778" s="3" t="s">
        <v>246</v>
      </c>
    </row>
    <row r="7779" spans="2:9" hidden="1" x14ac:dyDescent="0.4">
      <c r="B7779" s="8" t="s">
        <v>532</v>
      </c>
      <c r="C7779" s="3" t="s">
        <v>12487</v>
      </c>
      <c r="D7779" s="3" t="s">
        <v>12506</v>
      </c>
      <c r="F7779" s="3" t="s">
        <v>988</v>
      </c>
      <c r="I7779" s="3" t="s">
        <v>246</v>
      </c>
    </row>
    <row r="7780" spans="2:9" hidden="1" x14ac:dyDescent="0.4">
      <c r="B7780" s="8" t="s">
        <v>536</v>
      </c>
      <c r="C7780" s="3" t="s">
        <v>12488</v>
      </c>
      <c r="D7780" s="3" t="s">
        <v>12507</v>
      </c>
      <c r="F7780" s="3" t="s">
        <v>988</v>
      </c>
      <c r="I7780" s="3" t="s">
        <v>246</v>
      </c>
    </row>
    <row r="7781" spans="2:9" hidden="1" x14ac:dyDescent="0.4">
      <c r="B7781" s="8" t="s">
        <v>520</v>
      </c>
      <c r="C7781" s="3" t="s">
        <v>12489</v>
      </c>
      <c r="D7781" s="3" t="s">
        <v>12508</v>
      </c>
      <c r="F7781" s="3" t="s">
        <v>988</v>
      </c>
      <c r="I7781" s="3" t="s">
        <v>246</v>
      </c>
    </row>
    <row r="7782" spans="2:9" hidden="1" x14ac:dyDescent="0.4">
      <c r="D7782" s="3" t="s">
        <v>12509</v>
      </c>
      <c r="F7782" s="3" t="s">
        <v>988</v>
      </c>
      <c r="I7782" s="3" t="s">
        <v>246</v>
      </c>
    </row>
    <row r="7783" spans="2:9" hidden="1" x14ac:dyDescent="0.4">
      <c r="B7783" s="8" t="s">
        <v>536</v>
      </c>
      <c r="C7783" s="3" t="s">
        <v>12490</v>
      </c>
      <c r="D7783" s="3" t="s">
        <v>12510</v>
      </c>
      <c r="F7783" s="3" t="s">
        <v>988</v>
      </c>
      <c r="I7783" s="3" t="s">
        <v>246</v>
      </c>
    </row>
    <row r="7784" spans="2:9" hidden="1" x14ac:dyDescent="0.4">
      <c r="B7784" s="8" t="s">
        <v>517</v>
      </c>
      <c r="C7784" s="3" t="s">
        <v>12491</v>
      </c>
      <c r="D7784" s="3" t="s">
        <v>12510</v>
      </c>
      <c r="F7784" s="3" t="s">
        <v>988</v>
      </c>
      <c r="I7784" s="3" t="s">
        <v>246</v>
      </c>
    </row>
    <row r="7785" spans="2:9" hidden="1" x14ac:dyDescent="0.4">
      <c r="B7785" s="8" t="s">
        <v>517</v>
      </c>
      <c r="C7785" s="3" t="s">
        <v>12492</v>
      </c>
      <c r="D7785" s="3" t="s">
        <v>12510</v>
      </c>
      <c r="F7785" s="3" t="s">
        <v>988</v>
      </c>
      <c r="I7785" s="3" t="s">
        <v>246</v>
      </c>
    </row>
    <row r="7786" spans="2:9" hidden="1" x14ac:dyDescent="0.4">
      <c r="D7786" s="3" t="s">
        <v>12511</v>
      </c>
      <c r="F7786" s="3" t="s">
        <v>988</v>
      </c>
      <c r="I7786" s="3" t="s">
        <v>246</v>
      </c>
    </row>
    <row r="7787" spans="2:9" hidden="1" x14ac:dyDescent="0.4">
      <c r="D7787" s="3" t="s">
        <v>12512</v>
      </c>
      <c r="F7787" s="3" t="s">
        <v>988</v>
      </c>
      <c r="I7787" s="3" t="s">
        <v>246</v>
      </c>
    </row>
    <row r="7788" spans="2:9" hidden="1" x14ac:dyDescent="0.4">
      <c r="B7788" s="8" t="s">
        <v>518</v>
      </c>
      <c r="C7788" s="3" t="s">
        <v>190</v>
      </c>
      <c r="D7788" s="3" t="s">
        <v>12513</v>
      </c>
      <c r="F7788" s="3" t="s">
        <v>12740</v>
      </c>
      <c r="I7788" s="3" t="s">
        <v>253</v>
      </c>
    </row>
    <row r="7789" spans="2:9" hidden="1" x14ac:dyDescent="0.4">
      <c r="B7789" s="8" t="s">
        <v>517</v>
      </c>
      <c r="C7789" s="3" t="s">
        <v>188</v>
      </c>
      <c r="D7789" s="3" t="s">
        <v>12514</v>
      </c>
      <c r="F7789" s="3" t="s">
        <v>12740</v>
      </c>
      <c r="I7789" s="3" t="s">
        <v>253</v>
      </c>
    </row>
    <row r="7790" spans="2:9" hidden="1" x14ac:dyDescent="0.4">
      <c r="B7790" s="8" t="s">
        <v>529</v>
      </c>
      <c r="C7790" s="3" t="s">
        <v>12493</v>
      </c>
      <c r="D7790" s="3" t="s">
        <v>12515</v>
      </c>
      <c r="F7790" s="3" t="s">
        <v>12740</v>
      </c>
      <c r="I7790" s="3" t="s">
        <v>253</v>
      </c>
    </row>
    <row r="7791" spans="2:9" hidden="1" x14ac:dyDescent="0.4">
      <c r="D7791" s="3" t="s">
        <v>12516</v>
      </c>
      <c r="F7791" s="3" t="s">
        <v>12740</v>
      </c>
      <c r="I7791" s="3" t="s">
        <v>253</v>
      </c>
    </row>
    <row r="7792" spans="2:9" hidden="1" x14ac:dyDescent="0.4">
      <c r="D7792" s="3" t="s">
        <v>12517</v>
      </c>
      <c r="F7792" s="3" t="s">
        <v>12740</v>
      </c>
      <c r="I7792" s="3" t="s">
        <v>253</v>
      </c>
    </row>
    <row r="7793" spans="2:9" hidden="1" x14ac:dyDescent="0.4">
      <c r="D7793" s="3" t="s">
        <v>12518</v>
      </c>
      <c r="F7793" s="3" t="s">
        <v>12740</v>
      </c>
      <c r="I7793" s="3" t="s">
        <v>253</v>
      </c>
    </row>
    <row r="7794" spans="2:9" hidden="1" x14ac:dyDescent="0.4">
      <c r="D7794" s="3" t="s">
        <v>12519</v>
      </c>
      <c r="F7794" s="3" t="s">
        <v>12740</v>
      </c>
      <c r="I7794" s="3" t="s">
        <v>253</v>
      </c>
    </row>
    <row r="7795" spans="2:9" hidden="1" x14ac:dyDescent="0.4">
      <c r="D7795" s="3" t="s">
        <v>12520</v>
      </c>
      <c r="F7795" s="3" t="s">
        <v>12740</v>
      </c>
      <c r="I7795" s="3" t="s">
        <v>253</v>
      </c>
    </row>
    <row r="7796" spans="2:9" hidden="1" x14ac:dyDescent="0.4">
      <c r="D7796" s="3" t="s">
        <v>12521</v>
      </c>
      <c r="F7796" s="3" t="s">
        <v>12740</v>
      </c>
      <c r="I7796" s="3" t="s">
        <v>253</v>
      </c>
    </row>
    <row r="7797" spans="2:9" hidden="1" x14ac:dyDescent="0.4">
      <c r="D7797" s="3" t="s">
        <v>12522</v>
      </c>
      <c r="F7797" s="3" t="s">
        <v>988</v>
      </c>
      <c r="I7797" s="3" t="s">
        <v>246</v>
      </c>
    </row>
    <row r="7798" spans="2:9" hidden="1" x14ac:dyDescent="0.4">
      <c r="D7798" s="3" t="s">
        <v>12523</v>
      </c>
      <c r="F7798" s="3" t="s">
        <v>988</v>
      </c>
      <c r="I7798" s="3" t="s">
        <v>246</v>
      </c>
    </row>
    <row r="7799" spans="2:9" hidden="1" x14ac:dyDescent="0.4">
      <c r="D7799" s="3" t="s">
        <v>12524</v>
      </c>
      <c r="F7799" s="3" t="s">
        <v>988</v>
      </c>
      <c r="I7799" s="3" t="s">
        <v>246</v>
      </c>
    </row>
    <row r="7800" spans="2:9" hidden="1" x14ac:dyDescent="0.4">
      <c r="D7800" s="3" t="s">
        <v>12525</v>
      </c>
      <c r="F7800" s="3" t="s">
        <v>988</v>
      </c>
      <c r="I7800" s="3" t="s">
        <v>246</v>
      </c>
    </row>
    <row r="7801" spans="2:9" hidden="1" x14ac:dyDescent="0.4">
      <c r="D7801" s="3" t="s">
        <v>12526</v>
      </c>
      <c r="F7801" s="3" t="s">
        <v>988</v>
      </c>
      <c r="I7801" s="3" t="s">
        <v>246</v>
      </c>
    </row>
    <row r="7802" spans="2:9" hidden="1" x14ac:dyDescent="0.4">
      <c r="D7802" s="3" t="s">
        <v>12527</v>
      </c>
      <c r="F7802" s="3" t="s">
        <v>988</v>
      </c>
      <c r="I7802" s="3" t="s">
        <v>246</v>
      </c>
    </row>
    <row r="7803" spans="2:9" hidden="1" x14ac:dyDescent="0.4">
      <c r="B7803" s="8" t="s">
        <v>517</v>
      </c>
      <c r="C7803" s="3" t="s">
        <v>12661</v>
      </c>
      <c r="D7803" s="3" t="s">
        <v>12528</v>
      </c>
      <c r="F7803" s="3" t="s">
        <v>988</v>
      </c>
      <c r="I7803" s="3" t="s">
        <v>246</v>
      </c>
    </row>
    <row r="7804" spans="2:9" hidden="1" x14ac:dyDescent="0.4">
      <c r="B7804" s="8" t="s">
        <v>529</v>
      </c>
      <c r="C7804" s="3" t="s">
        <v>12662</v>
      </c>
      <c r="D7804" s="3" t="s">
        <v>12529</v>
      </c>
      <c r="F7804" s="3" t="s">
        <v>988</v>
      </c>
      <c r="I7804" s="3" t="s">
        <v>246</v>
      </c>
    </row>
    <row r="7805" spans="2:9" hidden="1" x14ac:dyDescent="0.4">
      <c r="B7805" s="8" t="s">
        <v>529</v>
      </c>
      <c r="C7805" s="3" t="s">
        <v>201</v>
      </c>
      <c r="D7805" s="3" t="s">
        <v>12529</v>
      </c>
      <c r="F7805" s="3" t="s">
        <v>988</v>
      </c>
      <c r="I7805" s="3" t="s">
        <v>246</v>
      </c>
    </row>
    <row r="7806" spans="2:9" hidden="1" x14ac:dyDescent="0.4">
      <c r="B7806" s="8" t="s">
        <v>536</v>
      </c>
      <c r="C7806" s="3" t="s">
        <v>12665</v>
      </c>
      <c r="D7806" s="3" t="s">
        <v>12530</v>
      </c>
      <c r="F7806" s="3" t="s">
        <v>988</v>
      </c>
      <c r="I7806" s="3" t="s">
        <v>246</v>
      </c>
    </row>
    <row r="7807" spans="2:9" hidden="1" x14ac:dyDescent="0.4">
      <c r="B7807" s="8" t="s">
        <v>517</v>
      </c>
      <c r="C7807" s="3" t="s">
        <v>3093</v>
      </c>
      <c r="D7807" s="3" t="s">
        <v>12531</v>
      </c>
      <c r="F7807" s="3" t="s">
        <v>988</v>
      </c>
      <c r="I7807" s="3" t="s">
        <v>246</v>
      </c>
    </row>
    <row r="7808" spans="2:9" hidden="1" x14ac:dyDescent="0.4">
      <c r="B7808" s="8" t="s">
        <v>531</v>
      </c>
      <c r="C7808" s="3" t="s">
        <v>12663</v>
      </c>
      <c r="D7808" s="3" t="s">
        <v>12532</v>
      </c>
      <c r="F7808" s="3" t="s">
        <v>988</v>
      </c>
      <c r="I7808" s="3" t="s">
        <v>246</v>
      </c>
    </row>
    <row r="7809" spans="2:9" hidden="1" x14ac:dyDescent="0.4">
      <c r="B7809" s="8" t="s">
        <v>529</v>
      </c>
      <c r="C7809" s="3" t="s">
        <v>12664</v>
      </c>
      <c r="D7809" s="3" t="s">
        <v>12532</v>
      </c>
      <c r="F7809" s="3" t="s">
        <v>988</v>
      </c>
      <c r="I7809" s="3" t="s">
        <v>246</v>
      </c>
    </row>
    <row r="7810" spans="2:9" hidden="1" x14ac:dyDescent="0.4">
      <c r="D7810" s="3" t="s">
        <v>12533</v>
      </c>
      <c r="F7810" s="3" t="s">
        <v>988</v>
      </c>
      <c r="I7810" s="3" t="s">
        <v>246</v>
      </c>
    </row>
    <row r="7811" spans="2:9" hidden="1" x14ac:dyDescent="0.4">
      <c r="D7811" s="3" t="s">
        <v>12534</v>
      </c>
      <c r="F7811" s="3" t="s">
        <v>988</v>
      </c>
      <c r="I7811" s="3" t="s">
        <v>246</v>
      </c>
    </row>
    <row r="7812" spans="2:9" hidden="1" x14ac:dyDescent="0.4">
      <c r="D7812" s="3" t="s">
        <v>12535</v>
      </c>
      <c r="F7812" s="3" t="s">
        <v>988</v>
      </c>
      <c r="I7812" s="3" t="s">
        <v>246</v>
      </c>
    </row>
    <row r="7813" spans="2:9" hidden="1" x14ac:dyDescent="0.4">
      <c r="B7813" s="8" t="s">
        <v>536</v>
      </c>
      <c r="C7813" s="3" t="s">
        <v>12666</v>
      </c>
      <c r="D7813" s="3" t="s">
        <v>12536</v>
      </c>
      <c r="F7813" s="3" t="s">
        <v>988</v>
      </c>
      <c r="I7813" s="3" t="s">
        <v>246</v>
      </c>
    </row>
    <row r="7814" spans="2:9" hidden="1" x14ac:dyDescent="0.4">
      <c r="D7814" s="3" t="s">
        <v>12537</v>
      </c>
      <c r="F7814" s="3" t="s">
        <v>988</v>
      </c>
      <c r="I7814" s="3" t="s">
        <v>246</v>
      </c>
    </row>
    <row r="7815" spans="2:9" hidden="1" x14ac:dyDescent="0.4">
      <c r="D7815" s="3" t="s">
        <v>12540</v>
      </c>
      <c r="F7815" s="3" t="s">
        <v>988</v>
      </c>
      <c r="I7815" s="3" t="s">
        <v>246</v>
      </c>
    </row>
    <row r="7816" spans="2:9" hidden="1" x14ac:dyDescent="0.4">
      <c r="D7816" s="3" t="s">
        <v>12541</v>
      </c>
      <c r="F7816" s="3" t="s">
        <v>12740</v>
      </c>
      <c r="I7816" s="3" t="s">
        <v>253</v>
      </c>
    </row>
    <row r="7817" spans="2:9" ht="29.25" hidden="1" x14ac:dyDescent="0.4">
      <c r="B7817" s="8" t="s">
        <v>531</v>
      </c>
      <c r="C7817" s="3" t="s">
        <v>12667</v>
      </c>
      <c r="D7817" s="3" t="s">
        <v>12542</v>
      </c>
      <c r="F7817" s="3" t="s">
        <v>988</v>
      </c>
      <c r="G7817" s="3" t="s">
        <v>12740</v>
      </c>
      <c r="I7817" s="3" t="s">
        <v>246</v>
      </c>
    </row>
    <row r="7818" spans="2:9" ht="29.25" hidden="1" x14ac:dyDescent="0.4">
      <c r="B7818" s="8" t="s">
        <v>531</v>
      </c>
      <c r="C7818" s="3" t="s">
        <v>12668</v>
      </c>
      <c r="D7818" s="3" t="s">
        <v>12543</v>
      </c>
      <c r="F7818" s="3" t="s">
        <v>988</v>
      </c>
      <c r="G7818" s="3" t="s">
        <v>12740</v>
      </c>
      <c r="I7818" s="3" t="s">
        <v>246</v>
      </c>
    </row>
    <row r="7819" spans="2:9" ht="29.25" hidden="1" x14ac:dyDescent="0.4">
      <c r="B7819" s="8" t="s">
        <v>536</v>
      </c>
      <c r="C7819" s="3" t="s">
        <v>12669</v>
      </c>
      <c r="D7819" s="3" t="s">
        <v>12544</v>
      </c>
      <c r="F7819" s="3" t="s">
        <v>988</v>
      </c>
      <c r="G7819" s="3" t="s">
        <v>12740</v>
      </c>
      <c r="I7819" s="3" t="s">
        <v>246</v>
      </c>
    </row>
    <row r="7820" spans="2:9" hidden="1" x14ac:dyDescent="0.4">
      <c r="B7820" s="8" t="s">
        <v>536</v>
      </c>
      <c r="C7820" s="3" t="s">
        <v>12670</v>
      </c>
      <c r="D7820" s="3" t="s">
        <v>12545</v>
      </c>
      <c r="F7820" s="3" t="s">
        <v>12740</v>
      </c>
      <c r="I7820" s="3" t="s">
        <v>253</v>
      </c>
    </row>
    <row r="7821" spans="2:9" hidden="1" x14ac:dyDescent="0.4">
      <c r="D7821" s="3" t="s">
        <v>12545</v>
      </c>
      <c r="F7821" s="3" t="s">
        <v>12740</v>
      </c>
      <c r="I7821" s="3" t="s">
        <v>253</v>
      </c>
    </row>
    <row r="7822" spans="2:9" hidden="1" x14ac:dyDescent="0.4">
      <c r="D7822" s="3" t="s">
        <v>12545</v>
      </c>
      <c r="F7822" s="3" t="s">
        <v>12740</v>
      </c>
      <c r="I7822" s="3" t="s">
        <v>253</v>
      </c>
    </row>
    <row r="7823" spans="2:9" hidden="1" x14ac:dyDescent="0.4">
      <c r="D7823" s="3" t="s">
        <v>12546</v>
      </c>
      <c r="F7823" s="3" t="s">
        <v>12740</v>
      </c>
      <c r="I7823" s="3" t="s">
        <v>253</v>
      </c>
    </row>
    <row r="7824" spans="2:9" hidden="1" x14ac:dyDescent="0.4">
      <c r="B7824" s="8" t="s">
        <v>529</v>
      </c>
      <c r="C7824" s="3" t="s">
        <v>12671</v>
      </c>
      <c r="D7824" s="3" t="s">
        <v>12547</v>
      </c>
      <c r="F7824" s="3" t="s">
        <v>12740</v>
      </c>
      <c r="G7824" s="3" t="s">
        <v>988</v>
      </c>
      <c r="I7824" s="3" t="s">
        <v>253</v>
      </c>
    </row>
    <row r="7825" spans="2:9" hidden="1" x14ac:dyDescent="0.4">
      <c r="B7825" s="8" t="s">
        <v>517</v>
      </c>
      <c r="C7825" s="3" t="s">
        <v>12672</v>
      </c>
      <c r="D7825" s="3" t="s">
        <v>12548</v>
      </c>
      <c r="F7825" s="3" t="s">
        <v>12740</v>
      </c>
      <c r="G7825" s="3" t="s">
        <v>988</v>
      </c>
      <c r="I7825" s="3" t="s">
        <v>253</v>
      </c>
    </row>
    <row r="7826" spans="2:9" hidden="1" x14ac:dyDescent="0.4">
      <c r="D7826" s="3" t="s">
        <v>12549</v>
      </c>
      <c r="F7826" s="3" t="s">
        <v>12740</v>
      </c>
      <c r="I7826" s="3" t="s">
        <v>253</v>
      </c>
    </row>
    <row r="7827" spans="2:9" hidden="1" x14ac:dyDescent="0.4">
      <c r="D7827" s="3" t="s">
        <v>12550</v>
      </c>
      <c r="F7827" s="3" t="s">
        <v>12740</v>
      </c>
      <c r="I7827" s="3" t="s">
        <v>253</v>
      </c>
    </row>
    <row r="7828" spans="2:9" hidden="1" x14ac:dyDescent="0.4">
      <c r="B7828" s="8" t="s">
        <v>531</v>
      </c>
      <c r="C7828" s="3" t="s">
        <v>12673</v>
      </c>
      <c r="D7828" s="3" t="s">
        <v>12551</v>
      </c>
      <c r="F7828" s="3" t="s">
        <v>12740</v>
      </c>
      <c r="I7828" s="3" t="s">
        <v>253</v>
      </c>
    </row>
    <row r="7829" spans="2:9" ht="29.25" hidden="1" x14ac:dyDescent="0.4">
      <c r="B7829" s="8" t="s">
        <v>531</v>
      </c>
      <c r="C7829" s="3" t="s">
        <v>12674</v>
      </c>
      <c r="D7829" s="3" t="s">
        <v>12552</v>
      </c>
      <c r="F7829" s="3" t="s">
        <v>988</v>
      </c>
      <c r="G7829" s="3" t="s">
        <v>12740</v>
      </c>
      <c r="H7829" s="3" t="s">
        <v>430</v>
      </c>
      <c r="I7829" s="3" t="s">
        <v>246</v>
      </c>
    </row>
    <row r="7830" spans="2:9" hidden="1" x14ac:dyDescent="0.4">
      <c r="B7830" s="8" t="s">
        <v>517</v>
      </c>
      <c r="C7830" s="3" t="s">
        <v>12675</v>
      </c>
      <c r="D7830" s="3" t="s">
        <v>12553</v>
      </c>
      <c r="F7830" s="3" t="s">
        <v>988</v>
      </c>
      <c r="I7830" s="3" t="s">
        <v>246</v>
      </c>
    </row>
    <row r="7831" spans="2:9" hidden="1" x14ac:dyDescent="0.4">
      <c r="B7831" s="8" t="s">
        <v>536</v>
      </c>
      <c r="C7831" s="3" t="s">
        <v>12676</v>
      </c>
      <c r="D7831" s="3" t="s">
        <v>12554</v>
      </c>
      <c r="F7831" s="3" t="s">
        <v>988</v>
      </c>
      <c r="I7831" s="3" t="s">
        <v>246</v>
      </c>
    </row>
    <row r="7832" spans="2:9" hidden="1" x14ac:dyDescent="0.4">
      <c r="B7832" s="8" t="s">
        <v>529</v>
      </c>
      <c r="C7832" s="3" t="s">
        <v>12677</v>
      </c>
      <c r="D7832" s="3" t="s">
        <v>12555</v>
      </c>
      <c r="F7832" s="3" t="s">
        <v>988</v>
      </c>
      <c r="I7832" s="3" t="s">
        <v>246</v>
      </c>
    </row>
    <row r="7833" spans="2:9" hidden="1" x14ac:dyDescent="0.4">
      <c r="B7833" s="8" t="s">
        <v>536</v>
      </c>
      <c r="C7833" s="3" t="s">
        <v>12678</v>
      </c>
      <c r="D7833" s="3" t="s">
        <v>12556</v>
      </c>
      <c r="F7833" s="3" t="s">
        <v>988</v>
      </c>
      <c r="I7833" s="3" t="s">
        <v>246</v>
      </c>
    </row>
    <row r="7834" spans="2:9" hidden="1" x14ac:dyDescent="0.4">
      <c r="B7834" s="8" t="s">
        <v>536</v>
      </c>
      <c r="C7834" s="3" t="s">
        <v>12679</v>
      </c>
      <c r="D7834" s="3" t="s">
        <v>12557</v>
      </c>
      <c r="F7834" s="3" t="s">
        <v>988</v>
      </c>
      <c r="I7834" s="3" t="s">
        <v>246</v>
      </c>
    </row>
    <row r="7835" spans="2:9" hidden="1" x14ac:dyDescent="0.4">
      <c r="B7835" s="8" t="s">
        <v>536</v>
      </c>
      <c r="C7835" s="3" t="s">
        <v>12680</v>
      </c>
      <c r="D7835" s="3" t="s">
        <v>12558</v>
      </c>
      <c r="E7835" s="3" t="s">
        <v>425</v>
      </c>
      <c r="F7835" s="3" t="s">
        <v>988</v>
      </c>
      <c r="I7835" s="3" t="s">
        <v>246</v>
      </c>
    </row>
    <row r="7836" spans="2:9" hidden="1" x14ac:dyDescent="0.4">
      <c r="B7836" s="8" t="s">
        <v>536</v>
      </c>
      <c r="C7836" s="3" t="s">
        <v>12681</v>
      </c>
      <c r="D7836" s="3" t="s">
        <v>12558</v>
      </c>
      <c r="F7836" s="3" t="s">
        <v>988</v>
      </c>
      <c r="I7836" s="3" t="s">
        <v>246</v>
      </c>
    </row>
    <row r="7837" spans="2:9" hidden="1" x14ac:dyDescent="0.4">
      <c r="B7837" s="8" t="s">
        <v>536</v>
      </c>
      <c r="C7837" s="3" t="s">
        <v>12682</v>
      </c>
      <c r="D7837" s="3" t="s">
        <v>12559</v>
      </c>
      <c r="F7837" s="3" t="s">
        <v>988</v>
      </c>
      <c r="I7837" s="3" t="s">
        <v>246</v>
      </c>
    </row>
    <row r="7838" spans="2:9" hidden="1" x14ac:dyDescent="0.4">
      <c r="B7838" s="8" t="s">
        <v>520</v>
      </c>
      <c r="C7838" s="3" t="s">
        <v>12683</v>
      </c>
      <c r="D7838" s="3" t="s">
        <v>12560</v>
      </c>
      <c r="F7838" s="3" t="s">
        <v>988</v>
      </c>
      <c r="I7838" s="3" t="s">
        <v>246</v>
      </c>
    </row>
    <row r="7839" spans="2:9" hidden="1" x14ac:dyDescent="0.4">
      <c r="B7839" s="8" t="s">
        <v>517</v>
      </c>
      <c r="C7839" s="3" t="s">
        <v>12684</v>
      </c>
      <c r="D7839" s="3" t="s">
        <v>12561</v>
      </c>
      <c r="F7839" s="3" t="s">
        <v>988</v>
      </c>
      <c r="I7839" s="3" t="s">
        <v>246</v>
      </c>
    </row>
    <row r="7840" spans="2:9" hidden="1" x14ac:dyDescent="0.4">
      <c r="B7840" s="8" t="s">
        <v>529</v>
      </c>
      <c r="C7840" s="3" t="s">
        <v>12685</v>
      </c>
      <c r="D7840" s="3" t="s">
        <v>12561</v>
      </c>
      <c r="F7840" s="3" t="s">
        <v>988</v>
      </c>
      <c r="I7840" s="3" t="s">
        <v>246</v>
      </c>
    </row>
    <row r="7841" spans="2:9" hidden="1" x14ac:dyDescent="0.4">
      <c r="B7841" s="8" t="s">
        <v>529</v>
      </c>
      <c r="C7841" s="3" t="s">
        <v>12742</v>
      </c>
      <c r="D7841" s="3" t="s">
        <v>12561</v>
      </c>
      <c r="F7841" s="3" t="s">
        <v>988</v>
      </c>
      <c r="I7841" s="3" t="s">
        <v>246</v>
      </c>
    </row>
    <row r="7842" spans="2:9" hidden="1" x14ac:dyDescent="0.4">
      <c r="B7842" s="8" t="s">
        <v>517</v>
      </c>
      <c r="C7842" s="3" t="s">
        <v>12686</v>
      </c>
      <c r="D7842" s="3" t="s">
        <v>12562</v>
      </c>
      <c r="F7842" s="3" t="s">
        <v>988</v>
      </c>
      <c r="I7842" s="3" t="s">
        <v>246</v>
      </c>
    </row>
    <row r="7843" spans="2:9" hidden="1" x14ac:dyDescent="0.4">
      <c r="B7843" s="8" t="s">
        <v>536</v>
      </c>
      <c r="C7843" s="3" t="s">
        <v>12687</v>
      </c>
      <c r="D7843" s="3" t="s">
        <v>12563</v>
      </c>
      <c r="E7843" s="3" t="s">
        <v>425</v>
      </c>
      <c r="F7843" s="3" t="s">
        <v>988</v>
      </c>
      <c r="I7843" s="3" t="s">
        <v>246</v>
      </c>
    </row>
    <row r="7844" spans="2:9" hidden="1" x14ac:dyDescent="0.4">
      <c r="B7844" s="8" t="s">
        <v>532</v>
      </c>
      <c r="C7844" s="3" t="s">
        <v>12688</v>
      </c>
      <c r="D7844" s="3" t="s">
        <v>12564</v>
      </c>
      <c r="F7844" s="3" t="s">
        <v>988</v>
      </c>
      <c r="I7844" s="3" t="s">
        <v>246</v>
      </c>
    </row>
    <row r="7845" spans="2:9" ht="29.25" hidden="1" x14ac:dyDescent="0.4">
      <c r="B7845" s="8" t="s">
        <v>517</v>
      </c>
      <c r="C7845" s="3" t="s">
        <v>12467</v>
      </c>
      <c r="D7845" s="3" t="s">
        <v>12565</v>
      </c>
      <c r="F7845" s="3" t="s">
        <v>988</v>
      </c>
      <c r="G7845" s="3" t="s">
        <v>12740</v>
      </c>
      <c r="H7845" s="3" t="s">
        <v>430</v>
      </c>
      <c r="I7845" s="3" t="s">
        <v>246</v>
      </c>
    </row>
    <row r="7846" spans="2:9" hidden="1" x14ac:dyDescent="0.4">
      <c r="B7846" s="8" t="s">
        <v>517</v>
      </c>
      <c r="C7846" s="3" t="s">
        <v>12689</v>
      </c>
      <c r="D7846" s="3" t="s">
        <v>12566</v>
      </c>
      <c r="F7846" s="3" t="s">
        <v>988</v>
      </c>
      <c r="I7846" s="3" t="s">
        <v>246</v>
      </c>
    </row>
    <row r="7847" spans="2:9" hidden="1" x14ac:dyDescent="0.4">
      <c r="B7847" s="8" t="s">
        <v>517</v>
      </c>
      <c r="C7847" s="3" t="s">
        <v>12690</v>
      </c>
      <c r="D7847" s="3" t="s">
        <v>12567</v>
      </c>
      <c r="F7847" s="3" t="s">
        <v>988</v>
      </c>
      <c r="G7847" s="3" t="s">
        <v>430</v>
      </c>
      <c r="I7847" s="3" t="s">
        <v>246</v>
      </c>
    </row>
    <row r="7848" spans="2:9" ht="29.25" hidden="1" x14ac:dyDescent="0.4">
      <c r="B7848" s="8" t="s">
        <v>517</v>
      </c>
      <c r="C7848" s="3" t="s">
        <v>12691</v>
      </c>
      <c r="D7848" s="3" t="s">
        <v>12568</v>
      </c>
      <c r="F7848" s="3" t="s">
        <v>988</v>
      </c>
      <c r="G7848" s="3" t="s">
        <v>12740</v>
      </c>
      <c r="H7848" s="3" t="s">
        <v>430</v>
      </c>
      <c r="I7848" s="3" t="s">
        <v>246</v>
      </c>
    </row>
    <row r="7849" spans="2:9" hidden="1" x14ac:dyDescent="0.4">
      <c r="B7849" s="8" t="s">
        <v>536</v>
      </c>
      <c r="C7849" s="3" t="s">
        <v>12692</v>
      </c>
      <c r="D7849" s="3" t="s">
        <v>8095</v>
      </c>
      <c r="F7849" s="3" t="s">
        <v>988</v>
      </c>
      <c r="I7849" s="3" t="s">
        <v>246</v>
      </c>
    </row>
    <row r="7850" spans="2:9" ht="29.25" hidden="1" x14ac:dyDescent="0.4">
      <c r="B7850" s="8" t="s">
        <v>531</v>
      </c>
      <c r="C7850" s="3" t="s">
        <v>12693</v>
      </c>
      <c r="D7850" s="3" t="s">
        <v>12569</v>
      </c>
      <c r="F7850" s="3" t="s">
        <v>988</v>
      </c>
      <c r="G7850" s="3" t="s">
        <v>12740</v>
      </c>
      <c r="H7850" s="3" t="s">
        <v>430</v>
      </c>
      <c r="I7850" s="3" t="s">
        <v>246</v>
      </c>
    </row>
    <row r="7851" spans="2:9" hidden="1" x14ac:dyDescent="0.4">
      <c r="B7851" s="8" t="s">
        <v>529</v>
      </c>
      <c r="C7851" s="3" t="s">
        <v>12694</v>
      </c>
      <c r="D7851" s="3" t="s">
        <v>12570</v>
      </c>
      <c r="F7851" s="3" t="s">
        <v>988</v>
      </c>
      <c r="I7851" s="3" t="s">
        <v>246</v>
      </c>
    </row>
    <row r="7852" spans="2:9" hidden="1" x14ac:dyDescent="0.4">
      <c r="B7852" s="8" t="s">
        <v>536</v>
      </c>
      <c r="C7852" s="3" t="s">
        <v>12695</v>
      </c>
      <c r="D7852" s="3" t="s">
        <v>12571</v>
      </c>
      <c r="F7852" s="3" t="s">
        <v>988</v>
      </c>
      <c r="I7852" s="3" t="s">
        <v>246</v>
      </c>
    </row>
    <row r="7853" spans="2:9" hidden="1" x14ac:dyDescent="0.4">
      <c r="B7853" s="8" t="s">
        <v>536</v>
      </c>
      <c r="C7853" s="3" t="s">
        <v>12696</v>
      </c>
      <c r="D7853" s="3" t="s">
        <v>12572</v>
      </c>
      <c r="F7853" s="3" t="s">
        <v>988</v>
      </c>
      <c r="I7853" s="3" t="s">
        <v>246</v>
      </c>
    </row>
    <row r="7854" spans="2:9" hidden="1" x14ac:dyDescent="0.4">
      <c r="B7854" s="8" t="s">
        <v>536</v>
      </c>
      <c r="C7854" s="3" t="s">
        <v>12697</v>
      </c>
      <c r="D7854" s="3" t="s">
        <v>12573</v>
      </c>
      <c r="F7854" s="3" t="s">
        <v>988</v>
      </c>
      <c r="I7854" s="3" t="s">
        <v>246</v>
      </c>
    </row>
    <row r="7855" spans="2:9" hidden="1" x14ac:dyDescent="0.4">
      <c r="B7855" s="8" t="s">
        <v>536</v>
      </c>
      <c r="C7855" s="3" t="s">
        <v>12449</v>
      </c>
      <c r="D7855" s="3" t="s">
        <v>12573</v>
      </c>
      <c r="F7855" s="3" t="s">
        <v>988</v>
      </c>
      <c r="I7855" s="3" t="s">
        <v>246</v>
      </c>
    </row>
    <row r="7856" spans="2:9" hidden="1" x14ac:dyDescent="0.4">
      <c r="B7856" s="8" t="s">
        <v>536</v>
      </c>
      <c r="C7856" s="3" t="s">
        <v>12698</v>
      </c>
      <c r="D7856" s="3" t="s">
        <v>12573</v>
      </c>
      <c r="F7856" s="3" t="s">
        <v>988</v>
      </c>
      <c r="I7856" s="3" t="s">
        <v>246</v>
      </c>
    </row>
    <row r="7857" spans="2:9" ht="29.25" hidden="1" x14ac:dyDescent="0.4">
      <c r="B7857" s="8" t="s">
        <v>518</v>
      </c>
      <c r="C7857" s="3" t="s">
        <v>12699</v>
      </c>
      <c r="D7857" s="3" t="s">
        <v>12574</v>
      </c>
      <c r="F7857" s="3" t="s">
        <v>988</v>
      </c>
      <c r="G7857" s="3" t="s">
        <v>12740</v>
      </c>
      <c r="I7857" s="3" t="s">
        <v>246</v>
      </c>
    </row>
    <row r="7858" spans="2:9" hidden="1" x14ac:dyDescent="0.4">
      <c r="B7858" s="8" t="s">
        <v>536</v>
      </c>
      <c r="C7858" s="3" t="s">
        <v>12700</v>
      </c>
      <c r="D7858" s="3" t="s">
        <v>12575</v>
      </c>
      <c r="F7858" s="3" t="s">
        <v>988</v>
      </c>
      <c r="I7858" s="3" t="s">
        <v>246</v>
      </c>
    </row>
    <row r="7859" spans="2:9" hidden="1" x14ac:dyDescent="0.4">
      <c r="B7859" s="8" t="s">
        <v>529</v>
      </c>
      <c r="C7859" s="3" t="s">
        <v>12701</v>
      </c>
      <c r="D7859" s="3" t="s">
        <v>12576</v>
      </c>
      <c r="F7859" s="3" t="s">
        <v>988</v>
      </c>
      <c r="I7859" s="3" t="s">
        <v>246</v>
      </c>
    </row>
    <row r="7860" spans="2:9" hidden="1" x14ac:dyDescent="0.4">
      <c r="B7860" s="8" t="s">
        <v>536</v>
      </c>
      <c r="C7860" s="3" t="s">
        <v>12702</v>
      </c>
      <c r="D7860" s="3" t="s">
        <v>12577</v>
      </c>
      <c r="F7860" s="3" t="s">
        <v>988</v>
      </c>
      <c r="I7860" s="3" t="s">
        <v>246</v>
      </c>
    </row>
    <row r="7861" spans="2:9" hidden="1" x14ac:dyDescent="0.4">
      <c r="B7861" s="8" t="s">
        <v>536</v>
      </c>
      <c r="C7861" s="3" t="s">
        <v>2903</v>
      </c>
      <c r="D7861" s="3" t="s">
        <v>12577</v>
      </c>
      <c r="F7861" s="3" t="s">
        <v>988</v>
      </c>
      <c r="I7861" s="3" t="s">
        <v>246</v>
      </c>
    </row>
    <row r="7862" spans="2:9" hidden="1" x14ac:dyDescent="0.4">
      <c r="B7862" s="8" t="s">
        <v>529</v>
      </c>
      <c r="C7862" s="3" t="s">
        <v>12703</v>
      </c>
      <c r="D7862" s="3" t="s">
        <v>12578</v>
      </c>
      <c r="F7862" s="3" t="s">
        <v>988</v>
      </c>
      <c r="I7862" s="3" t="s">
        <v>246</v>
      </c>
    </row>
    <row r="7863" spans="2:9" hidden="1" x14ac:dyDescent="0.4">
      <c r="B7863" s="8" t="s">
        <v>520</v>
      </c>
      <c r="C7863" s="3" t="s">
        <v>12704</v>
      </c>
      <c r="D7863" s="3" t="s">
        <v>12578</v>
      </c>
      <c r="F7863" s="3" t="s">
        <v>988</v>
      </c>
      <c r="I7863" s="3" t="s">
        <v>246</v>
      </c>
    </row>
    <row r="7864" spans="2:9" hidden="1" x14ac:dyDescent="0.4">
      <c r="B7864" s="8" t="s">
        <v>529</v>
      </c>
      <c r="C7864" s="3" t="s">
        <v>12705</v>
      </c>
      <c r="D7864" s="3" t="s">
        <v>12579</v>
      </c>
      <c r="F7864" s="3" t="s">
        <v>988</v>
      </c>
      <c r="I7864" s="3" t="s">
        <v>246</v>
      </c>
    </row>
    <row r="7865" spans="2:9" hidden="1" x14ac:dyDescent="0.4">
      <c r="B7865" s="8" t="s">
        <v>536</v>
      </c>
      <c r="C7865" s="3" t="s">
        <v>12665</v>
      </c>
      <c r="D7865" s="3" t="s">
        <v>12579</v>
      </c>
      <c r="F7865" s="3" t="s">
        <v>988</v>
      </c>
      <c r="I7865" s="3" t="s">
        <v>246</v>
      </c>
    </row>
    <row r="7866" spans="2:9" hidden="1" x14ac:dyDescent="0.4">
      <c r="B7866" s="8" t="s">
        <v>518</v>
      </c>
      <c r="C7866" s="3" t="s">
        <v>12706</v>
      </c>
      <c r="D7866" s="3" t="s">
        <v>12580</v>
      </c>
      <c r="F7866" s="3" t="s">
        <v>988</v>
      </c>
      <c r="I7866" s="3" t="s">
        <v>246</v>
      </c>
    </row>
    <row r="7867" spans="2:9" hidden="1" x14ac:dyDescent="0.4">
      <c r="D7867" s="3" t="s">
        <v>12581</v>
      </c>
      <c r="F7867" s="3" t="s">
        <v>988</v>
      </c>
      <c r="I7867" s="3" t="s">
        <v>246</v>
      </c>
    </row>
    <row r="7868" spans="2:9" hidden="1" x14ac:dyDescent="0.4">
      <c r="D7868" s="3" t="s">
        <v>12582</v>
      </c>
      <c r="F7868" s="3" t="s">
        <v>988</v>
      </c>
      <c r="I7868" s="3" t="s">
        <v>246</v>
      </c>
    </row>
    <row r="7869" spans="2:9" hidden="1" x14ac:dyDescent="0.4">
      <c r="B7869" s="8" t="s">
        <v>536</v>
      </c>
      <c r="C7869" s="3" t="s">
        <v>12707</v>
      </c>
      <c r="D7869" s="3" t="s">
        <v>12583</v>
      </c>
      <c r="F7869" s="3" t="s">
        <v>988</v>
      </c>
      <c r="I7869" s="3" t="s">
        <v>246</v>
      </c>
    </row>
    <row r="7870" spans="2:9" hidden="1" x14ac:dyDescent="0.4">
      <c r="D7870" s="3" t="s">
        <v>12584</v>
      </c>
      <c r="F7870" s="3" t="s">
        <v>12740</v>
      </c>
      <c r="I7870" s="3" t="s">
        <v>253</v>
      </c>
    </row>
    <row r="7871" spans="2:9" hidden="1" x14ac:dyDescent="0.4">
      <c r="B7871" s="8" t="s">
        <v>536</v>
      </c>
      <c r="C7871" s="3" t="s">
        <v>12708</v>
      </c>
      <c r="D7871" s="3" t="s">
        <v>12585</v>
      </c>
      <c r="F7871" s="3" t="s">
        <v>12740</v>
      </c>
      <c r="I7871" s="3" t="s">
        <v>253</v>
      </c>
    </row>
    <row r="7872" spans="2:9" hidden="1" x14ac:dyDescent="0.4">
      <c r="B7872" s="8" t="s">
        <v>536</v>
      </c>
      <c r="C7872" s="3" t="s">
        <v>467</v>
      </c>
      <c r="D7872" s="3" t="s">
        <v>12586</v>
      </c>
      <c r="F7872" s="3" t="s">
        <v>12740</v>
      </c>
      <c r="I7872" s="3" t="s">
        <v>253</v>
      </c>
    </row>
    <row r="7873" spans="2:9" hidden="1" x14ac:dyDescent="0.4">
      <c r="B7873" s="8" t="s">
        <v>517</v>
      </c>
      <c r="C7873" s="3" t="s">
        <v>12709</v>
      </c>
      <c r="D7873" s="3" t="s">
        <v>12586</v>
      </c>
      <c r="F7873" s="3" t="s">
        <v>12740</v>
      </c>
      <c r="I7873" s="3" t="s">
        <v>253</v>
      </c>
    </row>
    <row r="7874" spans="2:9" hidden="1" x14ac:dyDescent="0.4">
      <c r="D7874" s="3" t="s">
        <v>12587</v>
      </c>
      <c r="F7874" s="3" t="s">
        <v>12740</v>
      </c>
      <c r="I7874" s="3" t="s">
        <v>253</v>
      </c>
    </row>
    <row r="7875" spans="2:9" hidden="1" x14ac:dyDescent="0.4">
      <c r="D7875" s="3" t="s">
        <v>12588</v>
      </c>
      <c r="F7875" s="3" t="s">
        <v>12740</v>
      </c>
      <c r="I7875" s="3" t="s">
        <v>253</v>
      </c>
    </row>
    <row r="7876" spans="2:9" hidden="1" x14ac:dyDescent="0.4">
      <c r="D7876" s="3" t="s">
        <v>12589</v>
      </c>
      <c r="F7876" s="3" t="s">
        <v>12740</v>
      </c>
      <c r="I7876" s="3" t="s">
        <v>253</v>
      </c>
    </row>
    <row r="7877" spans="2:9" hidden="1" x14ac:dyDescent="0.4">
      <c r="D7877" s="3" t="s">
        <v>12590</v>
      </c>
      <c r="F7877" s="3" t="s">
        <v>12740</v>
      </c>
      <c r="I7877" s="3" t="s">
        <v>253</v>
      </c>
    </row>
    <row r="7878" spans="2:9" hidden="1" x14ac:dyDescent="0.4">
      <c r="D7878" s="3" t="s">
        <v>12591</v>
      </c>
      <c r="F7878" s="3" t="s">
        <v>12740</v>
      </c>
      <c r="I7878" s="3" t="s">
        <v>253</v>
      </c>
    </row>
    <row r="7879" spans="2:9" hidden="1" x14ac:dyDescent="0.4">
      <c r="D7879" s="3" t="s">
        <v>12592</v>
      </c>
      <c r="F7879" s="3" t="s">
        <v>12740</v>
      </c>
      <c r="I7879" s="3" t="s">
        <v>253</v>
      </c>
    </row>
    <row r="7880" spans="2:9" hidden="1" x14ac:dyDescent="0.4">
      <c r="D7880" s="3" t="s">
        <v>12593</v>
      </c>
      <c r="F7880" s="3" t="s">
        <v>12740</v>
      </c>
      <c r="I7880" s="3" t="s">
        <v>253</v>
      </c>
    </row>
    <row r="7881" spans="2:9" hidden="1" x14ac:dyDescent="0.4">
      <c r="B7881" s="8" t="s">
        <v>517</v>
      </c>
      <c r="C7881" s="3" t="s">
        <v>414</v>
      </c>
      <c r="D7881" s="3" t="s">
        <v>12594</v>
      </c>
      <c r="F7881" s="3" t="s">
        <v>12740</v>
      </c>
      <c r="I7881" s="3" t="s">
        <v>253</v>
      </c>
    </row>
    <row r="7882" spans="2:9" hidden="1" x14ac:dyDescent="0.4">
      <c r="B7882" s="8" t="s">
        <v>536</v>
      </c>
      <c r="C7882" s="3" t="s">
        <v>12472</v>
      </c>
      <c r="D7882" s="3" t="s">
        <v>12595</v>
      </c>
      <c r="F7882" s="3" t="s">
        <v>12740</v>
      </c>
      <c r="I7882" s="3" t="s">
        <v>253</v>
      </c>
    </row>
    <row r="7883" spans="2:9" hidden="1" x14ac:dyDescent="0.4">
      <c r="B7883" s="8" t="s">
        <v>518</v>
      </c>
      <c r="C7883" s="3" t="s">
        <v>12710</v>
      </c>
      <c r="D7883" s="3" t="s">
        <v>12596</v>
      </c>
      <c r="F7883" s="3" t="s">
        <v>12740</v>
      </c>
      <c r="I7883" s="3" t="s">
        <v>253</v>
      </c>
    </row>
    <row r="7884" spans="2:9" hidden="1" x14ac:dyDescent="0.4">
      <c r="D7884" s="3" t="s">
        <v>12597</v>
      </c>
      <c r="F7884" s="3" t="s">
        <v>12740</v>
      </c>
      <c r="I7884" s="3" t="s">
        <v>253</v>
      </c>
    </row>
    <row r="7885" spans="2:9" hidden="1" x14ac:dyDescent="0.4">
      <c r="B7885" s="8" t="s">
        <v>517</v>
      </c>
      <c r="C7885" s="3" t="s">
        <v>12711</v>
      </c>
      <c r="D7885" s="3" t="s">
        <v>12598</v>
      </c>
      <c r="F7885" s="3" t="s">
        <v>12740</v>
      </c>
      <c r="I7885" s="3" t="s">
        <v>253</v>
      </c>
    </row>
    <row r="7886" spans="2:9" hidden="1" x14ac:dyDescent="0.4">
      <c r="B7886" s="8" t="s">
        <v>531</v>
      </c>
      <c r="C7886" s="3" t="s">
        <v>12712</v>
      </c>
      <c r="D7886" s="3" t="s">
        <v>12599</v>
      </c>
      <c r="F7886" s="3" t="s">
        <v>12740</v>
      </c>
      <c r="I7886" s="3" t="s">
        <v>253</v>
      </c>
    </row>
    <row r="7887" spans="2:9" hidden="1" x14ac:dyDescent="0.4">
      <c r="D7887" s="3" t="s">
        <v>12600</v>
      </c>
      <c r="F7887" s="3" t="s">
        <v>12740</v>
      </c>
      <c r="I7887" s="3" t="s">
        <v>253</v>
      </c>
    </row>
    <row r="7888" spans="2:9" hidden="1" x14ac:dyDescent="0.4">
      <c r="B7888" s="8" t="s">
        <v>518</v>
      </c>
      <c r="C7888" s="3" t="s">
        <v>12713</v>
      </c>
      <c r="D7888" s="3" t="s">
        <v>12601</v>
      </c>
      <c r="F7888" s="3" t="s">
        <v>12740</v>
      </c>
      <c r="I7888" s="3" t="s">
        <v>253</v>
      </c>
    </row>
    <row r="7889" spans="2:9" hidden="1" x14ac:dyDescent="0.4">
      <c r="D7889" s="3" t="s">
        <v>12602</v>
      </c>
      <c r="F7889" s="3" t="s">
        <v>12740</v>
      </c>
      <c r="I7889" s="3" t="s">
        <v>253</v>
      </c>
    </row>
    <row r="7890" spans="2:9" hidden="1" x14ac:dyDescent="0.4">
      <c r="D7890" s="3" t="s">
        <v>12603</v>
      </c>
      <c r="F7890" s="3" t="s">
        <v>12740</v>
      </c>
      <c r="I7890" s="3" t="s">
        <v>253</v>
      </c>
    </row>
    <row r="7891" spans="2:9" hidden="1" x14ac:dyDescent="0.4">
      <c r="D7891" s="3" t="s">
        <v>12604</v>
      </c>
      <c r="F7891" s="3" t="s">
        <v>12740</v>
      </c>
      <c r="I7891" s="3" t="s">
        <v>253</v>
      </c>
    </row>
    <row r="7892" spans="2:9" hidden="1" x14ac:dyDescent="0.4">
      <c r="D7892" s="3" t="s">
        <v>12605</v>
      </c>
      <c r="F7892" s="3" t="s">
        <v>12740</v>
      </c>
      <c r="I7892" s="3" t="s">
        <v>253</v>
      </c>
    </row>
    <row r="7893" spans="2:9" hidden="1" x14ac:dyDescent="0.4">
      <c r="D7893" s="3" t="s">
        <v>12606</v>
      </c>
      <c r="F7893" s="3" t="s">
        <v>12740</v>
      </c>
      <c r="I7893" s="3" t="s">
        <v>253</v>
      </c>
    </row>
    <row r="7894" spans="2:9" hidden="1" x14ac:dyDescent="0.4">
      <c r="D7894" s="3" t="s">
        <v>12607</v>
      </c>
      <c r="F7894" s="3" t="s">
        <v>12740</v>
      </c>
      <c r="I7894" s="3" t="s">
        <v>253</v>
      </c>
    </row>
    <row r="7895" spans="2:9" hidden="1" x14ac:dyDescent="0.4">
      <c r="D7895" s="3" t="s">
        <v>12608</v>
      </c>
      <c r="F7895" s="3" t="s">
        <v>12740</v>
      </c>
      <c r="I7895" s="3" t="s">
        <v>253</v>
      </c>
    </row>
    <row r="7896" spans="2:9" hidden="1" x14ac:dyDescent="0.4">
      <c r="D7896" s="3" t="s">
        <v>12609</v>
      </c>
      <c r="F7896" s="3" t="s">
        <v>12740</v>
      </c>
      <c r="I7896" s="3" t="s">
        <v>253</v>
      </c>
    </row>
    <row r="7897" spans="2:9" hidden="1" x14ac:dyDescent="0.4">
      <c r="D7897" s="3" t="s">
        <v>12610</v>
      </c>
      <c r="F7897" s="3" t="s">
        <v>12740</v>
      </c>
      <c r="I7897" s="3" t="s">
        <v>253</v>
      </c>
    </row>
    <row r="7898" spans="2:9" hidden="1" x14ac:dyDescent="0.4">
      <c r="B7898" s="8" t="s">
        <v>518</v>
      </c>
      <c r="C7898" s="3" t="s">
        <v>12714</v>
      </c>
      <c r="D7898" s="3" t="s">
        <v>12611</v>
      </c>
      <c r="F7898" s="3" t="s">
        <v>12740</v>
      </c>
      <c r="I7898" s="3" t="s">
        <v>253</v>
      </c>
    </row>
    <row r="7899" spans="2:9" hidden="1" x14ac:dyDescent="0.4">
      <c r="B7899" s="8" t="s">
        <v>517</v>
      </c>
      <c r="C7899" s="3" t="s">
        <v>12715</v>
      </c>
      <c r="D7899" s="3" t="s">
        <v>12612</v>
      </c>
      <c r="F7899" s="3" t="s">
        <v>12740</v>
      </c>
      <c r="I7899" s="3" t="s">
        <v>253</v>
      </c>
    </row>
    <row r="7900" spans="2:9" hidden="1" x14ac:dyDescent="0.4">
      <c r="B7900" s="8" t="s">
        <v>536</v>
      </c>
      <c r="C7900" s="3" t="s">
        <v>12716</v>
      </c>
      <c r="D7900" s="3" t="s">
        <v>12613</v>
      </c>
      <c r="F7900" s="3" t="s">
        <v>12740</v>
      </c>
      <c r="I7900" s="3" t="s">
        <v>253</v>
      </c>
    </row>
    <row r="7901" spans="2:9" hidden="1" x14ac:dyDescent="0.4">
      <c r="D7901" s="3" t="s">
        <v>12614</v>
      </c>
      <c r="F7901" s="3" t="s">
        <v>12740</v>
      </c>
      <c r="I7901" s="3" t="s">
        <v>253</v>
      </c>
    </row>
    <row r="7902" spans="2:9" hidden="1" x14ac:dyDescent="0.4">
      <c r="B7902" s="8" t="s">
        <v>532</v>
      </c>
      <c r="C7902" s="3" t="s">
        <v>12717</v>
      </c>
      <c r="D7902" s="3" t="s">
        <v>12615</v>
      </c>
      <c r="F7902" s="3" t="s">
        <v>12740</v>
      </c>
      <c r="I7902" s="3" t="s">
        <v>253</v>
      </c>
    </row>
    <row r="7903" spans="2:9" hidden="1" x14ac:dyDescent="0.4">
      <c r="B7903" s="8" t="s">
        <v>518</v>
      </c>
      <c r="C7903" s="3" t="s">
        <v>12718</v>
      </c>
      <c r="D7903" s="3" t="s">
        <v>12616</v>
      </c>
      <c r="F7903" s="3" t="s">
        <v>12740</v>
      </c>
      <c r="I7903" s="3" t="s">
        <v>253</v>
      </c>
    </row>
    <row r="7904" spans="2:9" hidden="1" x14ac:dyDescent="0.4">
      <c r="B7904" s="8" t="s">
        <v>518</v>
      </c>
      <c r="C7904" s="3" t="s">
        <v>12719</v>
      </c>
      <c r="D7904" s="3" t="s">
        <v>12616</v>
      </c>
      <c r="F7904" s="3" t="s">
        <v>12740</v>
      </c>
      <c r="I7904" s="3" t="s">
        <v>253</v>
      </c>
    </row>
    <row r="7905" spans="2:9" hidden="1" x14ac:dyDescent="0.4">
      <c r="B7905" s="8" t="s">
        <v>536</v>
      </c>
      <c r="C7905" s="3" t="s">
        <v>12720</v>
      </c>
      <c r="D7905" s="3" t="s">
        <v>12617</v>
      </c>
      <c r="F7905" s="3" t="s">
        <v>12740</v>
      </c>
      <c r="I7905" s="3" t="s">
        <v>253</v>
      </c>
    </row>
    <row r="7906" spans="2:9" hidden="1" x14ac:dyDescent="0.4">
      <c r="D7906" s="3" t="s">
        <v>12618</v>
      </c>
      <c r="F7906" s="3" t="s">
        <v>12740</v>
      </c>
      <c r="I7906" s="3" t="s">
        <v>253</v>
      </c>
    </row>
    <row r="7907" spans="2:9" hidden="1" x14ac:dyDescent="0.4">
      <c r="D7907" s="3" t="s">
        <v>12619</v>
      </c>
      <c r="F7907" s="3" t="s">
        <v>12740</v>
      </c>
      <c r="I7907" s="3" t="s">
        <v>253</v>
      </c>
    </row>
    <row r="7908" spans="2:9" hidden="1" x14ac:dyDescent="0.4">
      <c r="B7908" s="8" t="s">
        <v>536</v>
      </c>
      <c r="C7908" s="3" t="s">
        <v>12721</v>
      </c>
      <c r="D7908" s="3" t="s">
        <v>12620</v>
      </c>
      <c r="F7908" s="3" t="s">
        <v>12740</v>
      </c>
      <c r="I7908" s="3" t="s">
        <v>253</v>
      </c>
    </row>
    <row r="7909" spans="2:9" hidden="1" x14ac:dyDescent="0.4">
      <c r="B7909" s="8" t="s">
        <v>536</v>
      </c>
      <c r="C7909" s="3" t="s">
        <v>12722</v>
      </c>
      <c r="D7909" s="3" t="s">
        <v>12621</v>
      </c>
      <c r="F7909" s="3" t="s">
        <v>12740</v>
      </c>
      <c r="I7909" s="3" t="s">
        <v>253</v>
      </c>
    </row>
    <row r="7910" spans="2:9" hidden="1" x14ac:dyDescent="0.4">
      <c r="B7910" s="8" t="s">
        <v>518</v>
      </c>
      <c r="C7910" s="3" t="s">
        <v>12723</v>
      </c>
      <c r="D7910" s="3" t="s">
        <v>12622</v>
      </c>
      <c r="F7910" s="3" t="s">
        <v>12740</v>
      </c>
      <c r="I7910" s="3" t="s">
        <v>253</v>
      </c>
    </row>
    <row r="7911" spans="2:9" hidden="1" x14ac:dyDescent="0.4">
      <c r="B7911" s="8" t="s">
        <v>536</v>
      </c>
      <c r="C7911" s="3" t="s">
        <v>12724</v>
      </c>
      <c r="D7911" s="3" t="s">
        <v>12623</v>
      </c>
      <c r="F7911" s="3" t="s">
        <v>12740</v>
      </c>
      <c r="I7911" s="3" t="s">
        <v>253</v>
      </c>
    </row>
    <row r="7912" spans="2:9" hidden="1" x14ac:dyDescent="0.4">
      <c r="B7912" s="8" t="s">
        <v>536</v>
      </c>
      <c r="C7912" s="3" t="s">
        <v>12725</v>
      </c>
      <c r="D7912" s="3" t="s">
        <v>12623</v>
      </c>
      <c r="F7912" s="3" t="s">
        <v>12740</v>
      </c>
      <c r="I7912" s="3" t="s">
        <v>253</v>
      </c>
    </row>
    <row r="7913" spans="2:9" hidden="1" x14ac:dyDescent="0.4">
      <c r="B7913" s="8" t="s">
        <v>518</v>
      </c>
      <c r="C7913" s="3" t="s">
        <v>12726</v>
      </c>
      <c r="D7913" s="3" t="s">
        <v>12624</v>
      </c>
      <c r="F7913" s="3" t="s">
        <v>12740</v>
      </c>
      <c r="I7913" s="3" t="s">
        <v>253</v>
      </c>
    </row>
    <row r="7914" spans="2:9" hidden="1" x14ac:dyDescent="0.4">
      <c r="B7914" s="8" t="s">
        <v>518</v>
      </c>
      <c r="C7914" s="3" t="s">
        <v>12727</v>
      </c>
      <c r="D7914" s="3" t="s">
        <v>12625</v>
      </c>
      <c r="F7914" s="3" t="s">
        <v>12740</v>
      </c>
      <c r="I7914" s="3" t="s">
        <v>253</v>
      </c>
    </row>
    <row r="7915" spans="2:9" hidden="1" x14ac:dyDescent="0.4">
      <c r="B7915" s="8" t="s">
        <v>536</v>
      </c>
      <c r="C7915" s="3" t="s">
        <v>12728</v>
      </c>
      <c r="D7915" s="3" t="s">
        <v>12626</v>
      </c>
      <c r="F7915" s="3" t="s">
        <v>12740</v>
      </c>
      <c r="I7915" s="3" t="s">
        <v>253</v>
      </c>
    </row>
    <row r="7916" spans="2:9" hidden="1" x14ac:dyDescent="0.4">
      <c r="B7916" s="8" t="s">
        <v>517</v>
      </c>
      <c r="C7916" s="3" t="s">
        <v>12729</v>
      </c>
      <c r="D7916" s="3" t="s">
        <v>12627</v>
      </c>
      <c r="F7916" s="3" t="s">
        <v>12740</v>
      </c>
      <c r="I7916" s="3" t="s">
        <v>253</v>
      </c>
    </row>
    <row r="7917" spans="2:9" hidden="1" x14ac:dyDescent="0.4">
      <c r="B7917" s="8" t="s">
        <v>536</v>
      </c>
      <c r="C7917" s="3" t="s">
        <v>12730</v>
      </c>
      <c r="D7917" s="3" t="s">
        <v>12628</v>
      </c>
      <c r="F7917" s="3" t="s">
        <v>12740</v>
      </c>
      <c r="G7917" s="3" t="s">
        <v>988</v>
      </c>
      <c r="I7917" s="3" t="s">
        <v>253</v>
      </c>
    </row>
    <row r="7918" spans="2:9" hidden="1" x14ac:dyDescent="0.4">
      <c r="D7918" s="3" t="s">
        <v>12629</v>
      </c>
      <c r="F7918" s="3" t="s">
        <v>12740</v>
      </c>
      <c r="I7918" s="3" t="s">
        <v>253</v>
      </c>
    </row>
    <row r="7919" spans="2:9" hidden="1" x14ac:dyDescent="0.4">
      <c r="B7919" s="8" t="s">
        <v>536</v>
      </c>
      <c r="C7919" s="3" t="s">
        <v>12731</v>
      </c>
      <c r="D7919" s="3" t="s">
        <v>12630</v>
      </c>
      <c r="F7919" s="3" t="s">
        <v>12740</v>
      </c>
      <c r="G7919" s="3" t="s">
        <v>402</v>
      </c>
      <c r="I7919" s="3" t="s">
        <v>253</v>
      </c>
    </row>
    <row r="7920" spans="2:9" hidden="1" x14ac:dyDescent="0.4">
      <c r="B7920" s="8" t="s">
        <v>536</v>
      </c>
      <c r="C7920" s="3" t="s">
        <v>12732</v>
      </c>
      <c r="D7920" s="3" t="s">
        <v>12631</v>
      </c>
      <c r="F7920" s="3" t="s">
        <v>12740</v>
      </c>
      <c r="I7920" s="3" t="s">
        <v>253</v>
      </c>
    </row>
    <row r="7921" spans="2:9" hidden="1" x14ac:dyDescent="0.4">
      <c r="B7921" s="8" t="s">
        <v>536</v>
      </c>
      <c r="C7921" s="3" t="s">
        <v>12733</v>
      </c>
      <c r="D7921" s="3" t="s">
        <v>12632</v>
      </c>
      <c r="F7921" s="3" t="s">
        <v>12740</v>
      </c>
      <c r="G7921" s="3" t="s">
        <v>988</v>
      </c>
      <c r="I7921" s="3" t="s">
        <v>253</v>
      </c>
    </row>
    <row r="7922" spans="2:9" hidden="1" x14ac:dyDescent="0.4">
      <c r="B7922" s="8" t="s">
        <v>520</v>
      </c>
      <c r="C7922" s="3" t="s">
        <v>12734</v>
      </c>
      <c r="D7922" s="3" t="s">
        <v>12633</v>
      </c>
      <c r="F7922" s="3" t="s">
        <v>12740</v>
      </c>
      <c r="I7922" s="3" t="s">
        <v>253</v>
      </c>
    </row>
    <row r="7923" spans="2:9" hidden="1" x14ac:dyDescent="0.4">
      <c r="B7923" s="8" t="s">
        <v>520</v>
      </c>
      <c r="C7923" s="3" t="s">
        <v>12735</v>
      </c>
      <c r="D7923" s="3" t="s">
        <v>12634</v>
      </c>
      <c r="F7923" s="3" t="s">
        <v>12740</v>
      </c>
      <c r="I7923" s="3" t="s">
        <v>253</v>
      </c>
    </row>
    <row r="7924" spans="2:9" hidden="1" x14ac:dyDescent="0.4">
      <c r="D7924" s="3" t="s">
        <v>12635</v>
      </c>
      <c r="F7924" s="3" t="s">
        <v>12740</v>
      </c>
      <c r="I7924" s="3" t="s">
        <v>253</v>
      </c>
    </row>
    <row r="7925" spans="2:9" hidden="1" x14ac:dyDescent="0.4">
      <c r="D7925" s="3" t="s">
        <v>12636</v>
      </c>
      <c r="F7925" s="3" t="s">
        <v>12740</v>
      </c>
      <c r="I7925" s="3" t="s">
        <v>253</v>
      </c>
    </row>
    <row r="7926" spans="2:9" hidden="1" x14ac:dyDescent="0.4">
      <c r="D7926" s="3" t="s">
        <v>12637</v>
      </c>
      <c r="F7926" s="3" t="s">
        <v>12740</v>
      </c>
      <c r="I7926" s="3" t="s">
        <v>253</v>
      </c>
    </row>
    <row r="7927" spans="2:9" hidden="1" x14ac:dyDescent="0.4">
      <c r="D7927" s="3" t="s">
        <v>12638</v>
      </c>
      <c r="F7927" s="3" t="s">
        <v>12740</v>
      </c>
      <c r="I7927" s="3" t="s">
        <v>253</v>
      </c>
    </row>
    <row r="7928" spans="2:9" hidden="1" x14ac:dyDescent="0.4">
      <c r="D7928" s="3" t="s">
        <v>12639</v>
      </c>
      <c r="F7928" s="3" t="s">
        <v>12740</v>
      </c>
      <c r="I7928" s="3" t="s">
        <v>253</v>
      </c>
    </row>
    <row r="7929" spans="2:9" hidden="1" x14ac:dyDescent="0.4">
      <c r="D7929" s="3" t="s">
        <v>12640</v>
      </c>
      <c r="F7929" s="3" t="s">
        <v>12740</v>
      </c>
      <c r="I7929" s="3" t="s">
        <v>253</v>
      </c>
    </row>
    <row r="7930" spans="2:9" hidden="1" x14ac:dyDescent="0.4">
      <c r="D7930" s="3" t="s">
        <v>12641</v>
      </c>
      <c r="F7930" s="3" t="s">
        <v>12740</v>
      </c>
      <c r="I7930" s="3" t="s">
        <v>253</v>
      </c>
    </row>
    <row r="7931" spans="2:9" hidden="1" x14ac:dyDescent="0.4">
      <c r="D7931" s="3" t="s">
        <v>12642</v>
      </c>
      <c r="F7931" s="3" t="s">
        <v>12740</v>
      </c>
      <c r="I7931" s="3" t="s">
        <v>253</v>
      </c>
    </row>
    <row r="7932" spans="2:9" hidden="1" x14ac:dyDescent="0.4">
      <c r="D7932" s="3" t="s">
        <v>12643</v>
      </c>
      <c r="F7932" s="3" t="s">
        <v>12740</v>
      </c>
      <c r="I7932" s="3" t="s">
        <v>253</v>
      </c>
    </row>
    <row r="7933" spans="2:9" hidden="1" x14ac:dyDescent="0.4">
      <c r="D7933" s="3" t="s">
        <v>12643</v>
      </c>
      <c r="F7933" s="3" t="s">
        <v>12740</v>
      </c>
      <c r="I7933" s="3" t="s">
        <v>253</v>
      </c>
    </row>
    <row r="7934" spans="2:9" hidden="1" x14ac:dyDescent="0.4">
      <c r="D7934" s="3" t="s">
        <v>12644</v>
      </c>
      <c r="F7934" s="3" t="s">
        <v>12740</v>
      </c>
      <c r="I7934" s="3" t="s">
        <v>253</v>
      </c>
    </row>
    <row r="7935" spans="2:9" hidden="1" x14ac:dyDescent="0.4">
      <c r="D7935" s="3" t="s">
        <v>12645</v>
      </c>
      <c r="F7935" s="3" t="s">
        <v>12740</v>
      </c>
      <c r="I7935" s="3" t="s">
        <v>253</v>
      </c>
    </row>
    <row r="7936" spans="2:9" hidden="1" x14ac:dyDescent="0.4">
      <c r="D7936" s="3" t="s">
        <v>7819</v>
      </c>
      <c r="F7936" s="3" t="s">
        <v>12740</v>
      </c>
      <c r="I7936" s="3" t="s">
        <v>253</v>
      </c>
    </row>
    <row r="7937" spans="2:9" hidden="1" x14ac:dyDescent="0.4">
      <c r="B7937" s="8" t="s">
        <v>536</v>
      </c>
      <c r="C7937" s="3" t="s">
        <v>12736</v>
      </c>
      <c r="D7937" s="3" t="s">
        <v>12645</v>
      </c>
      <c r="F7937" s="3" t="s">
        <v>12740</v>
      </c>
      <c r="I7937" s="3" t="s">
        <v>253</v>
      </c>
    </row>
    <row r="7938" spans="2:9" hidden="1" x14ac:dyDescent="0.4">
      <c r="D7938" s="3" t="s">
        <v>12646</v>
      </c>
      <c r="F7938" s="3" t="s">
        <v>12740</v>
      </c>
      <c r="I7938" s="3" t="s">
        <v>253</v>
      </c>
    </row>
    <row r="7939" spans="2:9" hidden="1" x14ac:dyDescent="0.4">
      <c r="D7939" s="3" t="s">
        <v>12647</v>
      </c>
      <c r="F7939" s="3" t="s">
        <v>12740</v>
      </c>
      <c r="I7939" s="3" t="s">
        <v>253</v>
      </c>
    </row>
    <row r="7940" spans="2:9" hidden="1" x14ac:dyDescent="0.4">
      <c r="D7940" s="3" t="s">
        <v>12648</v>
      </c>
      <c r="F7940" s="3" t="s">
        <v>12740</v>
      </c>
      <c r="I7940" s="3" t="s">
        <v>253</v>
      </c>
    </row>
    <row r="7941" spans="2:9" hidden="1" x14ac:dyDescent="0.4">
      <c r="D7941" s="3" t="s">
        <v>12649</v>
      </c>
      <c r="F7941" s="3" t="s">
        <v>12740</v>
      </c>
      <c r="I7941" s="3" t="s">
        <v>253</v>
      </c>
    </row>
    <row r="7942" spans="2:9" hidden="1" x14ac:dyDescent="0.4">
      <c r="D7942" s="3" t="s">
        <v>12650</v>
      </c>
      <c r="F7942" s="3" t="s">
        <v>12740</v>
      </c>
      <c r="I7942" s="3" t="s">
        <v>253</v>
      </c>
    </row>
    <row r="7943" spans="2:9" hidden="1" x14ac:dyDescent="0.4">
      <c r="D7943" s="3" t="s">
        <v>12651</v>
      </c>
      <c r="F7943" s="3" t="s">
        <v>12740</v>
      </c>
      <c r="I7943" s="3" t="s">
        <v>253</v>
      </c>
    </row>
    <row r="7944" spans="2:9" hidden="1" x14ac:dyDescent="0.4">
      <c r="D7944" s="3" t="s">
        <v>12652</v>
      </c>
      <c r="F7944" s="3" t="s">
        <v>12740</v>
      </c>
      <c r="I7944" s="3" t="s">
        <v>253</v>
      </c>
    </row>
    <row r="7945" spans="2:9" hidden="1" x14ac:dyDescent="0.4">
      <c r="D7945" s="3" t="s">
        <v>12653</v>
      </c>
      <c r="F7945" s="3" t="s">
        <v>12740</v>
      </c>
      <c r="I7945" s="3" t="s">
        <v>253</v>
      </c>
    </row>
    <row r="7946" spans="2:9" hidden="1" x14ac:dyDescent="0.4">
      <c r="B7946" s="8" t="s">
        <v>536</v>
      </c>
      <c r="C7946" s="3" t="s">
        <v>12741</v>
      </c>
      <c r="D7946" s="3" t="s">
        <v>12654</v>
      </c>
      <c r="F7946" s="3" t="s">
        <v>12740</v>
      </c>
      <c r="I7946" s="3" t="s">
        <v>253</v>
      </c>
    </row>
    <row r="7947" spans="2:9" hidden="1" x14ac:dyDescent="0.4">
      <c r="D7947" s="3" t="s">
        <v>12655</v>
      </c>
      <c r="F7947" s="3" t="s">
        <v>12740</v>
      </c>
      <c r="I7947" s="3" t="s">
        <v>253</v>
      </c>
    </row>
    <row r="7948" spans="2:9" hidden="1" x14ac:dyDescent="0.4">
      <c r="D7948" s="3" t="s">
        <v>12656</v>
      </c>
      <c r="F7948" s="3" t="s">
        <v>12740</v>
      </c>
      <c r="I7948" s="3" t="s">
        <v>253</v>
      </c>
    </row>
    <row r="7949" spans="2:9" hidden="1" x14ac:dyDescent="0.4">
      <c r="D7949" s="3" t="s">
        <v>12657</v>
      </c>
      <c r="F7949" s="3" t="s">
        <v>12740</v>
      </c>
      <c r="I7949" s="3" t="s">
        <v>253</v>
      </c>
    </row>
    <row r="7950" spans="2:9" hidden="1" x14ac:dyDescent="0.4">
      <c r="D7950" s="3" t="s">
        <v>12658</v>
      </c>
      <c r="F7950" s="3" t="s">
        <v>12740</v>
      </c>
      <c r="I7950" s="3" t="s">
        <v>253</v>
      </c>
    </row>
    <row r="7951" spans="2:9" hidden="1" x14ac:dyDescent="0.4">
      <c r="D7951" s="3" t="s">
        <v>12659</v>
      </c>
      <c r="F7951" s="3" t="s">
        <v>12740</v>
      </c>
      <c r="I7951" s="3" t="s">
        <v>253</v>
      </c>
    </row>
    <row r="7952" spans="2:9" hidden="1" x14ac:dyDescent="0.4">
      <c r="B7952" s="8" t="s">
        <v>536</v>
      </c>
      <c r="C7952" s="3" t="s">
        <v>12743</v>
      </c>
      <c r="D7952" s="3" t="s">
        <v>12737</v>
      </c>
      <c r="F7952" s="3" t="s">
        <v>403</v>
      </c>
      <c r="I7952" s="3" t="s">
        <v>12780</v>
      </c>
    </row>
    <row r="7953" spans="2:9" hidden="1" x14ac:dyDescent="0.4">
      <c r="B7953" s="8" t="s">
        <v>536</v>
      </c>
      <c r="C7953" s="3" t="s">
        <v>12745</v>
      </c>
      <c r="D7953" s="3" t="s">
        <v>12738</v>
      </c>
      <c r="F7953" s="3" t="s">
        <v>403</v>
      </c>
      <c r="I7953" s="3" t="s">
        <v>12780</v>
      </c>
    </row>
    <row r="7954" spans="2:9" hidden="1" x14ac:dyDescent="0.4">
      <c r="B7954" s="8" t="s">
        <v>536</v>
      </c>
      <c r="C7954" s="3" t="s">
        <v>12744</v>
      </c>
      <c r="D7954" s="3" t="s">
        <v>12739</v>
      </c>
      <c r="F7954" s="3" t="s">
        <v>403</v>
      </c>
      <c r="I7954" s="3" t="s">
        <v>12780</v>
      </c>
    </row>
    <row r="7955" spans="2:9" hidden="1" x14ac:dyDescent="0.4">
      <c r="B7955" s="8" t="s">
        <v>536</v>
      </c>
      <c r="C7955" s="3" t="s">
        <v>12746</v>
      </c>
      <c r="D7955" s="3" t="s">
        <v>12785</v>
      </c>
      <c r="F7955" s="3" t="s">
        <v>403</v>
      </c>
      <c r="I7955" s="3" t="s">
        <v>12780</v>
      </c>
    </row>
    <row r="7956" spans="2:9" hidden="1" x14ac:dyDescent="0.4">
      <c r="B7956" s="8" t="s">
        <v>536</v>
      </c>
      <c r="C7956" s="3" t="s">
        <v>12744</v>
      </c>
      <c r="D7956" s="3" t="s">
        <v>12786</v>
      </c>
      <c r="F7956" s="3" t="s">
        <v>403</v>
      </c>
      <c r="I7956" s="3" t="s">
        <v>12780</v>
      </c>
    </row>
    <row r="7957" spans="2:9" hidden="1" x14ac:dyDescent="0.4">
      <c r="B7957" s="8" t="s">
        <v>536</v>
      </c>
      <c r="C7957" s="3" t="s">
        <v>26</v>
      </c>
      <c r="D7957" s="3" t="s">
        <v>12787</v>
      </c>
      <c r="F7957" s="3" t="s">
        <v>403</v>
      </c>
      <c r="I7957" s="3" t="s">
        <v>12780</v>
      </c>
    </row>
    <row r="7958" spans="2:9" hidden="1" x14ac:dyDescent="0.4">
      <c r="B7958" s="8" t="s">
        <v>536</v>
      </c>
      <c r="C7958" s="3" t="s">
        <v>198</v>
      </c>
      <c r="D7958" s="3" t="s">
        <v>12788</v>
      </c>
      <c r="F7958" s="3" t="s">
        <v>403</v>
      </c>
      <c r="I7958" s="3" t="s">
        <v>12780</v>
      </c>
    </row>
    <row r="7959" spans="2:9" hidden="1" x14ac:dyDescent="0.4">
      <c r="B7959" s="8" t="s">
        <v>536</v>
      </c>
      <c r="C7959" s="3" t="s">
        <v>12747</v>
      </c>
      <c r="D7959" s="3" t="s">
        <v>12789</v>
      </c>
      <c r="F7959" s="3" t="s">
        <v>403</v>
      </c>
      <c r="I7959" s="3" t="s">
        <v>12780</v>
      </c>
    </row>
    <row r="7960" spans="2:9" hidden="1" x14ac:dyDescent="0.4">
      <c r="B7960" s="8" t="s">
        <v>536</v>
      </c>
      <c r="C7960" s="3" t="s">
        <v>12754</v>
      </c>
      <c r="D7960" s="3" t="s">
        <v>12790</v>
      </c>
      <c r="F7960" s="3" t="s">
        <v>403</v>
      </c>
      <c r="I7960" s="3" t="s">
        <v>12780</v>
      </c>
    </row>
    <row r="7961" spans="2:9" hidden="1" x14ac:dyDescent="0.4">
      <c r="B7961" s="8" t="s">
        <v>536</v>
      </c>
      <c r="C7961" s="3" t="s">
        <v>10077</v>
      </c>
      <c r="D7961" s="3" t="s">
        <v>12791</v>
      </c>
      <c r="F7961" s="3" t="s">
        <v>403</v>
      </c>
      <c r="I7961" s="3" t="s">
        <v>12780</v>
      </c>
    </row>
    <row r="7962" spans="2:9" hidden="1" x14ac:dyDescent="0.4">
      <c r="B7962" s="8" t="s">
        <v>536</v>
      </c>
      <c r="C7962" s="3" t="s">
        <v>12748</v>
      </c>
      <c r="D7962" s="3" t="s">
        <v>12792</v>
      </c>
      <c r="F7962" s="3" t="s">
        <v>403</v>
      </c>
      <c r="I7962" s="3" t="s">
        <v>12780</v>
      </c>
    </row>
    <row r="7963" spans="2:9" hidden="1" x14ac:dyDescent="0.4">
      <c r="B7963" s="8" t="s">
        <v>536</v>
      </c>
      <c r="C7963" s="3" t="s">
        <v>12749</v>
      </c>
      <c r="D7963" s="3" t="s">
        <v>12793</v>
      </c>
      <c r="F7963" s="3" t="s">
        <v>403</v>
      </c>
      <c r="I7963" s="3" t="s">
        <v>12780</v>
      </c>
    </row>
    <row r="7964" spans="2:9" hidden="1" x14ac:dyDescent="0.4">
      <c r="B7964" s="8" t="s">
        <v>536</v>
      </c>
      <c r="C7964" s="3" t="s">
        <v>340</v>
      </c>
      <c r="D7964" s="3" t="s">
        <v>12794</v>
      </c>
      <c r="F7964" s="3" t="s">
        <v>403</v>
      </c>
      <c r="I7964" s="3" t="s">
        <v>12780</v>
      </c>
    </row>
    <row r="7965" spans="2:9" hidden="1" x14ac:dyDescent="0.4">
      <c r="B7965" s="8" t="s">
        <v>536</v>
      </c>
      <c r="C7965" s="3" t="s">
        <v>12750</v>
      </c>
      <c r="D7965" s="3" t="s">
        <v>12795</v>
      </c>
      <c r="F7965" s="3" t="s">
        <v>403</v>
      </c>
      <c r="I7965" s="3" t="s">
        <v>12780</v>
      </c>
    </row>
    <row r="7966" spans="2:9" hidden="1" x14ac:dyDescent="0.4">
      <c r="B7966" s="8" t="s">
        <v>536</v>
      </c>
      <c r="C7966" s="3" t="s">
        <v>12751</v>
      </c>
      <c r="D7966" s="3" t="s">
        <v>12796</v>
      </c>
      <c r="F7966" s="3" t="s">
        <v>403</v>
      </c>
      <c r="I7966" s="3" t="s">
        <v>12780</v>
      </c>
    </row>
    <row r="7967" spans="2:9" hidden="1" x14ac:dyDescent="0.4">
      <c r="B7967" s="8" t="s">
        <v>536</v>
      </c>
      <c r="C7967" s="3" t="s">
        <v>12752</v>
      </c>
      <c r="D7967" s="3" t="s">
        <v>12797</v>
      </c>
      <c r="F7967" s="3" t="s">
        <v>403</v>
      </c>
      <c r="I7967" s="3" t="s">
        <v>12780</v>
      </c>
    </row>
    <row r="7968" spans="2:9" hidden="1" x14ac:dyDescent="0.4">
      <c r="B7968" s="8" t="s">
        <v>536</v>
      </c>
      <c r="C7968" s="3" t="s">
        <v>455</v>
      </c>
      <c r="D7968" s="3" t="s">
        <v>12798</v>
      </c>
      <c r="F7968" s="3" t="s">
        <v>403</v>
      </c>
      <c r="I7968" s="3" t="s">
        <v>12780</v>
      </c>
    </row>
    <row r="7969" spans="2:9" hidden="1" x14ac:dyDescent="0.4">
      <c r="B7969" s="8" t="s">
        <v>536</v>
      </c>
      <c r="C7969" s="3" t="s">
        <v>457</v>
      </c>
      <c r="D7969" s="3" t="s">
        <v>12799</v>
      </c>
      <c r="F7969" s="3" t="s">
        <v>403</v>
      </c>
      <c r="I7969" s="3" t="s">
        <v>12780</v>
      </c>
    </row>
    <row r="7970" spans="2:9" hidden="1" x14ac:dyDescent="0.4">
      <c r="B7970" s="8" t="s">
        <v>536</v>
      </c>
      <c r="C7970" s="3" t="s">
        <v>12753</v>
      </c>
      <c r="D7970" s="3" t="s">
        <v>12800</v>
      </c>
      <c r="F7970" s="3" t="s">
        <v>403</v>
      </c>
      <c r="I7970" s="3" t="s">
        <v>12780</v>
      </c>
    </row>
    <row r="7971" spans="2:9" hidden="1" x14ac:dyDescent="0.4">
      <c r="B7971" s="8" t="s">
        <v>536</v>
      </c>
      <c r="C7971" s="3" t="s">
        <v>12755</v>
      </c>
      <c r="D7971" s="3" t="s">
        <v>12801</v>
      </c>
      <c r="F7971" s="3" t="s">
        <v>403</v>
      </c>
      <c r="I7971" s="3" t="s">
        <v>12780</v>
      </c>
    </row>
    <row r="7972" spans="2:9" hidden="1" x14ac:dyDescent="0.4">
      <c r="B7972" s="8" t="s">
        <v>536</v>
      </c>
      <c r="C7972" s="3" t="s">
        <v>12756</v>
      </c>
      <c r="D7972" s="3" t="s">
        <v>12802</v>
      </c>
      <c r="F7972" s="3" t="s">
        <v>403</v>
      </c>
      <c r="I7972" s="3" t="s">
        <v>12780</v>
      </c>
    </row>
    <row r="7973" spans="2:9" hidden="1" x14ac:dyDescent="0.4">
      <c r="B7973" s="8" t="s">
        <v>536</v>
      </c>
      <c r="C7973" s="3" t="s">
        <v>12757</v>
      </c>
      <c r="D7973" s="3" t="s">
        <v>12803</v>
      </c>
      <c r="F7973" s="3" t="s">
        <v>403</v>
      </c>
      <c r="I7973" s="3" t="s">
        <v>12780</v>
      </c>
    </row>
    <row r="7974" spans="2:9" hidden="1" x14ac:dyDescent="0.4">
      <c r="B7974" s="8" t="s">
        <v>536</v>
      </c>
      <c r="C7974" s="3" t="s">
        <v>449</v>
      </c>
      <c r="D7974" s="3" t="s">
        <v>12804</v>
      </c>
      <c r="F7974" s="3" t="s">
        <v>403</v>
      </c>
      <c r="I7974" s="3" t="s">
        <v>12780</v>
      </c>
    </row>
    <row r="7975" spans="2:9" hidden="1" x14ac:dyDescent="0.4">
      <c r="B7975" s="8" t="s">
        <v>536</v>
      </c>
      <c r="C7975" s="3" t="s">
        <v>12758</v>
      </c>
      <c r="D7975" s="3" t="s">
        <v>12805</v>
      </c>
      <c r="F7975" s="3" t="s">
        <v>403</v>
      </c>
      <c r="I7975" s="3" t="s">
        <v>12780</v>
      </c>
    </row>
    <row r="7976" spans="2:9" hidden="1" x14ac:dyDescent="0.4">
      <c r="B7976" s="8" t="s">
        <v>536</v>
      </c>
      <c r="C7976" s="3" t="s">
        <v>12759</v>
      </c>
      <c r="D7976" s="3" t="s">
        <v>12806</v>
      </c>
      <c r="F7976" s="3" t="s">
        <v>403</v>
      </c>
      <c r="I7976" s="3" t="s">
        <v>12780</v>
      </c>
    </row>
    <row r="7977" spans="2:9" hidden="1" x14ac:dyDescent="0.4">
      <c r="B7977" s="8" t="s">
        <v>536</v>
      </c>
      <c r="C7977" s="3" t="s">
        <v>10918</v>
      </c>
      <c r="D7977" s="3" t="s">
        <v>12807</v>
      </c>
      <c r="F7977" s="3" t="s">
        <v>403</v>
      </c>
      <c r="I7977" s="3" t="s">
        <v>12780</v>
      </c>
    </row>
    <row r="7978" spans="2:9" hidden="1" x14ac:dyDescent="0.4">
      <c r="B7978" s="8" t="s">
        <v>536</v>
      </c>
      <c r="C7978" s="3" t="s">
        <v>12760</v>
      </c>
      <c r="D7978" s="3" t="s">
        <v>12808</v>
      </c>
      <c r="F7978" s="3" t="s">
        <v>403</v>
      </c>
      <c r="I7978" s="3" t="s">
        <v>12780</v>
      </c>
    </row>
    <row r="7979" spans="2:9" hidden="1" x14ac:dyDescent="0.4">
      <c r="B7979" s="8" t="s">
        <v>536</v>
      </c>
      <c r="C7979" s="3" t="s">
        <v>12761</v>
      </c>
      <c r="D7979" s="3" t="s">
        <v>12809</v>
      </c>
      <c r="F7979" s="3" t="s">
        <v>403</v>
      </c>
      <c r="I7979" s="3" t="s">
        <v>12780</v>
      </c>
    </row>
    <row r="7980" spans="2:9" hidden="1" x14ac:dyDescent="0.4">
      <c r="B7980" s="8" t="s">
        <v>536</v>
      </c>
      <c r="C7980" s="3" t="s">
        <v>192</v>
      </c>
      <c r="D7980" s="3" t="s">
        <v>12810</v>
      </c>
      <c r="F7980" s="3" t="s">
        <v>403</v>
      </c>
      <c r="I7980" s="3" t="s">
        <v>12780</v>
      </c>
    </row>
    <row r="7981" spans="2:9" hidden="1" x14ac:dyDescent="0.4">
      <c r="B7981" s="8" t="s">
        <v>536</v>
      </c>
      <c r="C7981" s="3" t="s">
        <v>12762</v>
      </c>
      <c r="D7981" s="3" t="s">
        <v>12811</v>
      </c>
      <c r="F7981" s="3" t="s">
        <v>403</v>
      </c>
      <c r="I7981" s="3" t="s">
        <v>12780</v>
      </c>
    </row>
    <row r="7982" spans="2:9" hidden="1" x14ac:dyDescent="0.4">
      <c r="B7982" s="8" t="s">
        <v>536</v>
      </c>
      <c r="C7982" s="3" t="s">
        <v>466</v>
      </c>
      <c r="D7982" s="3" t="s">
        <v>12812</v>
      </c>
      <c r="F7982" s="3" t="s">
        <v>403</v>
      </c>
      <c r="I7982" s="3" t="s">
        <v>12780</v>
      </c>
    </row>
    <row r="7983" spans="2:9" hidden="1" x14ac:dyDescent="0.4">
      <c r="B7983" s="8" t="s">
        <v>536</v>
      </c>
      <c r="C7983" s="3" t="s">
        <v>12763</v>
      </c>
      <c r="D7983" s="3" t="s">
        <v>12813</v>
      </c>
      <c r="F7983" s="3" t="s">
        <v>403</v>
      </c>
      <c r="I7983" s="3" t="s">
        <v>12780</v>
      </c>
    </row>
    <row r="7984" spans="2:9" hidden="1" x14ac:dyDescent="0.4">
      <c r="B7984" s="8" t="s">
        <v>536</v>
      </c>
      <c r="C7984" s="3" t="s">
        <v>12764</v>
      </c>
      <c r="D7984" s="3" t="s">
        <v>12814</v>
      </c>
      <c r="F7984" s="3" t="s">
        <v>403</v>
      </c>
      <c r="I7984" s="3" t="s">
        <v>12780</v>
      </c>
    </row>
    <row r="7985" spans="2:9" hidden="1" x14ac:dyDescent="0.4">
      <c r="B7985" s="8" t="s">
        <v>536</v>
      </c>
      <c r="C7985" s="3" t="s">
        <v>450</v>
      </c>
      <c r="D7985" s="3" t="s">
        <v>12815</v>
      </c>
      <c r="F7985" s="3" t="s">
        <v>403</v>
      </c>
      <c r="I7985" s="3" t="s">
        <v>12780</v>
      </c>
    </row>
    <row r="7986" spans="2:9" hidden="1" x14ac:dyDescent="0.4">
      <c r="B7986" s="8" t="s">
        <v>536</v>
      </c>
      <c r="C7986" s="3" t="s">
        <v>12765</v>
      </c>
      <c r="D7986" s="3" t="s">
        <v>12816</v>
      </c>
      <c r="F7986" s="3" t="s">
        <v>403</v>
      </c>
      <c r="I7986" s="3" t="s">
        <v>12780</v>
      </c>
    </row>
    <row r="7987" spans="2:9" hidden="1" x14ac:dyDescent="0.4">
      <c r="B7987" s="8" t="s">
        <v>536</v>
      </c>
      <c r="C7987" s="3" t="s">
        <v>12766</v>
      </c>
      <c r="D7987" s="3" t="s">
        <v>12817</v>
      </c>
      <c r="F7987" s="3" t="s">
        <v>403</v>
      </c>
      <c r="I7987" s="3" t="s">
        <v>12780</v>
      </c>
    </row>
    <row r="7988" spans="2:9" hidden="1" x14ac:dyDescent="0.4">
      <c r="B7988" s="8" t="s">
        <v>536</v>
      </c>
      <c r="C7988" s="3" t="s">
        <v>12767</v>
      </c>
      <c r="D7988" s="3" t="s">
        <v>12818</v>
      </c>
      <c r="F7988" s="3" t="s">
        <v>403</v>
      </c>
      <c r="I7988" s="3" t="s">
        <v>12780</v>
      </c>
    </row>
    <row r="7989" spans="2:9" hidden="1" x14ac:dyDescent="0.4">
      <c r="B7989" s="8" t="s">
        <v>536</v>
      </c>
      <c r="C7989" s="3" t="s">
        <v>12768</v>
      </c>
      <c r="D7989" s="3" t="s">
        <v>12819</v>
      </c>
      <c r="F7989" s="3" t="s">
        <v>403</v>
      </c>
      <c r="I7989" s="3" t="s">
        <v>12780</v>
      </c>
    </row>
    <row r="7990" spans="2:9" hidden="1" x14ac:dyDescent="0.4">
      <c r="B7990" s="8" t="s">
        <v>536</v>
      </c>
      <c r="C7990" s="3" t="s">
        <v>12769</v>
      </c>
      <c r="D7990" s="3" t="s">
        <v>12820</v>
      </c>
      <c r="F7990" s="3" t="s">
        <v>403</v>
      </c>
      <c r="I7990" s="3" t="s">
        <v>12780</v>
      </c>
    </row>
    <row r="7991" spans="2:9" hidden="1" x14ac:dyDescent="0.4">
      <c r="B7991" s="8" t="s">
        <v>536</v>
      </c>
      <c r="C7991" s="3" t="s">
        <v>12770</v>
      </c>
      <c r="D7991" s="3" t="s">
        <v>12821</v>
      </c>
      <c r="F7991" s="3" t="s">
        <v>403</v>
      </c>
      <c r="I7991" s="3" t="s">
        <v>12780</v>
      </c>
    </row>
    <row r="7992" spans="2:9" hidden="1" x14ac:dyDescent="0.4">
      <c r="B7992" s="8" t="s">
        <v>536</v>
      </c>
      <c r="C7992" s="3" t="s">
        <v>12771</v>
      </c>
      <c r="D7992" s="3" t="s">
        <v>12822</v>
      </c>
      <c r="F7992" s="3" t="s">
        <v>403</v>
      </c>
      <c r="I7992" s="3" t="s">
        <v>12780</v>
      </c>
    </row>
    <row r="7993" spans="2:9" hidden="1" x14ac:dyDescent="0.4">
      <c r="B7993" s="8" t="s">
        <v>536</v>
      </c>
      <c r="C7993" s="3" t="s">
        <v>12457</v>
      </c>
      <c r="D7993" s="3" t="s">
        <v>12823</v>
      </c>
      <c r="F7993" s="3" t="s">
        <v>403</v>
      </c>
      <c r="I7993" s="3" t="s">
        <v>12780</v>
      </c>
    </row>
    <row r="7994" spans="2:9" hidden="1" x14ac:dyDescent="0.4">
      <c r="B7994" s="8" t="s">
        <v>536</v>
      </c>
      <c r="C7994" s="3" t="s">
        <v>12772</v>
      </c>
      <c r="D7994" s="3" t="s">
        <v>12819</v>
      </c>
      <c r="F7994" s="3" t="s">
        <v>403</v>
      </c>
      <c r="I7994" s="3" t="s">
        <v>12780</v>
      </c>
    </row>
    <row r="7995" spans="2:9" hidden="1" x14ac:dyDescent="0.4">
      <c r="B7995" s="8" t="s">
        <v>536</v>
      </c>
      <c r="C7995" s="3" t="s">
        <v>12773</v>
      </c>
      <c r="D7995" s="3" t="s">
        <v>12824</v>
      </c>
      <c r="F7995" s="3" t="s">
        <v>403</v>
      </c>
      <c r="I7995" s="3" t="s">
        <v>12780</v>
      </c>
    </row>
    <row r="7996" spans="2:9" hidden="1" x14ac:dyDescent="0.4">
      <c r="B7996" s="8" t="s">
        <v>536</v>
      </c>
      <c r="C7996" s="3" t="s">
        <v>295</v>
      </c>
      <c r="D7996" s="3" t="s">
        <v>12825</v>
      </c>
      <c r="F7996" s="3" t="s">
        <v>403</v>
      </c>
      <c r="I7996" s="3" t="s">
        <v>12780</v>
      </c>
    </row>
    <row r="7997" spans="2:9" hidden="1" x14ac:dyDescent="0.4">
      <c r="B7997" s="8" t="s">
        <v>536</v>
      </c>
      <c r="C7997" s="3" t="s">
        <v>12774</v>
      </c>
      <c r="D7997" s="3" t="s">
        <v>12826</v>
      </c>
      <c r="F7997" s="3" t="s">
        <v>403</v>
      </c>
      <c r="I7997" s="3" t="s">
        <v>12780</v>
      </c>
    </row>
    <row r="7998" spans="2:9" hidden="1" x14ac:dyDescent="0.4">
      <c r="B7998" s="8" t="s">
        <v>536</v>
      </c>
      <c r="C7998" s="3" t="s">
        <v>12776</v>
      </c>
      <c r="D7998" s="3" t="s">
        <v>12781</v>
      </c>
      <c r="F7998" s="3" t="s">
        <v>403</v>
      </c>
      <c r="I7998" s="3" t="s">
        <v>12780</v>
      </c>
    </row>
    <row r="7999" spans="2:9" hidden="1" x14ac:dyDescent="0.4">
      <c r="B7999" s="8" t="s">
        <v>536</v>
      </c>
      <c r="C7999" s="3" t="s">
        <v>12775</v>
      </c>
      <c r="D7999" s="3" t="s">
        <v>12782</v>
      </c>
      <c r="F7999" s="3" t="s">
        <v>403</v>
      </c>
      <c r="I7999" s="3" t="s">
        <v>12780</v>
      </c>
    </row>
    <row r="8000" spans="2:9" hidden="1" x14ac:dyDescent="0.4">
      <c r="B8000" s="8" t="s">
        <v>536</v>
      </c>
      <c r="C8000" s="3" t="s">
        <v>12777</v>
      </c>
      <c r="D8000" s="3" t="s">
        <v>12827</v>
      </c>
      <c r="F8000" s="3" t="s">
        <v>403</v>
      </c>
      <c r="I8000" s="3" t="s">
        <v>12780</v>
      </c>
    </row>
    <row r="8001" spans="2:9" hidden="1" x14ac:dyDescent="0.4">
      <c r="B8001" s="8" t="s">
        <v>536</v>
      </c>
      <c r="C8001" s="3" t="s">
        <v>12783</v>
      </c>
      <c r="D8001" s="3" t="s">
        <v>12828</v>
      </c>
      <c r="F8001" s="3" t="s">
        <v>403</v>
      </c>
      <c r="I8001" s="3" t="s">
        <v>12780</v>
      </c>
    </row>
    <row r="8002" spans="2:9" hidden="1" x14ac:dyDescent="0.4">
      <c r="B8002" s="8" t="s">
        <v>536</v>
      </c>
      <c r="C8002" s="3" t="s">
        <v>12784</v>
      </c>
      <c r="D8002" s="3" t="s">
        <v>12829</v>
      </c>
      <c r="F8002" s="3" t="s">
        <v>403</v>
      </c>
      <c r="I8002" s="3" t="s">
        <v>12780</v>
      </c>
    </row>
    <row r="8003" spans="2:9" hidden="1" x14ac:dyDescent="0.4">
      <c r="B8003" s="8" t="s">
        <v>536</v>
      </c>
      <c r="C8003" s="3" t="s">
        <v>323</v>
      </c>
      <c r="D8003" s="3" t="s">
        <v>12830</v>
      </c>
      <c r="F8003" s="3" t="s">
        <v>403</v>
      </c>
      <c r="I8003" s="3" t="s">
        <v>12780</v>
      </c>
    </row>
    <row r="8004" spans="2:9" hidden="1" x14ac:dyDescent="0.4">
      <c r="B8004" s="8" t="s">
        <v>536</v>
      </c>
      <c r="C8004" s="3" t="s">
        <v>12778</v>
      </c>
      <c r="D8004" s="3" t="s">
        <v>12831</v>
      </c>
      <c r="F8004" s="3" t="s">
        <v>403</v>
      </c>
      <c r="I8004" s="3" t="s">
        <v>12780</v>
      </c>
    </row>
    <row r="8005" spans="2:9" hidden="1" x14ac:dyDescent="0.4">
      <c r="B8005" s="8" t="s">
        <v>536</v>
      </c>
      <c r="C8005" s="3" t="s">
        <v>2029</v>
      </c>
      <c r="D8005" s="3" t="s">
        <v>12837</v>
      </c>
      <c r="F8005" s="3" t="s">
        <v>403</v>
      </c>
      <c r="I8005" s="3" t="s">
        <v>12838</v>
      </c>
    </row>
    <row r="8006" spans="2:9" hidden="1" x14ac:dyDescent="0.4">
      <c r="B8006" s="8" t="s">
        <v>536</v>
      </c>
      <c r="C8006" s="3" t="s">
        <v>12832</v>
      </c>
      <c r="D8006" s="3" t="s">
        <v>12834</v>
      </c>
      <c r="F8006" s="3" t="s">
        <v>403</v>
      </c>
      <c r="I8006" s="3" t="s">
        <v>12838</v>
      </c>
    </row>
    <row r="8007" spans="2:9" hidden="1" x14ac:dyDescent="0.4">
      <c r="B8007" s="8" t="s">
        <v>536</v>
      </c>
      <c r="C8007" s="3" t="s">
        <v>12833</v>
      </c>
      <c r="D8007" s="3" t="s">
        <v>12836</v>
      </c>
      <c r="F8007" s="3" t="s">
        <v>403</v>
      </c>
      <c r="I8007" s="3" t="s">
        <v>12838</v>
      </c>
    </row>
    <row r="8008" spans="2:9" hidden="1" x14ac:dyDescent="0.4">
      <c r="B8008" s="8" t="s">
        <v>518</v>
      </c>
      <c r="C8008" s="3" t="s">
        <v>410</v>
      </c>
      <c r="D8008" s="3" t="s">
        <v>12835</v>
      </c>
      <c r="F8008" s="3" t="s">
        <v>403</v>
      </c>
      <c r="I8008" s="3" t="s">
        <v>12838</v>
      </c>
    </row>
    <row r="8009" spans="2:9" hidden="1" x14ac:dyDescent="0.4">
      <c r="B8009" s="8" t="s">
        <v>517</v>
      </c>
      <c r="C8009" s="3" t="s">
        <v>12839</v>
      </c>
      <c r="D8009" s="3" t="s">
        <v>12909</v>
      </c>
      <c r="F8009" s="3" t="s">
        <v>399</v>
      </c>
      <c r="I8009" s="3" t="s">
        <v>16572</v>
      </c>
    </row>
    <row r="8010" spans="2:9" hidden="1" x14ac:dyDescent="0.4">
      <c r="B8010" s="8" t="s">
        <v>517</v>
      </c>
      <c r="C8010" s="3" t="s">
        <v>12840</v>
      </c>
      <c r="D8010" s="3" t="s">
        <v>12909</v>
      </c>
      <c r="F8010" s="3" t="s">
        <v>399</v>
      </c>
      <c r="I8010" s="3" t="s">
        <v>16572</v>
      </c>
    </row>
    <row r="8011" spans="2:9" hidden="1" x14ac:dyDescent="0.4">
      <c r="B8011" s="8" t="s">
        <v>517</v>
      </c>
      <c r="C8011" s="3" t="s">
        <v>12841</v>
      </c>
      <c r="D8011" s="3" t="s">
        <v>12910</v>
      </c>
      <c r="F8011" s="3" t="s">
        <v>399</v>
      </c>
      <c r="I8011" s="3" t="s">
        <v>16572</v>
      </c>
    </row>
    <row r="8012" spans="2:9" hidden="1" x14ac:dyDescent="0.4">
      <c r="B8012" s="8" t="s">
        <v>517</v>
      </c>
      <c r="C8012" s="3" t="s">
        <v>12842</v>
      </c>
      <c r="D8012" s="3" t="s">
        <v>12910</v>
      </c>
      <c r="F8012" s="3" t="s">
        <v>399</v>
      </c>
      <c r="I8012" s="3" t="s">
        <v>16572</v>
      </c>
    </row>
    <row r="8013" spans="2:9" hidden="1" x14ac:dyDescent="0.4">
      <c r="B8013" s="8" t="s">
        <v>529</v>
      </c>
      <c r="C8013" s="3" t="s">
        <v>12843</v>
      </c>
      <c r="D8013" s="3" t="s">
        <v>12911</v>
      </c>
      <c r="F8013" s="3" t="s">
        <v>399</v>
      </c>
      <c r="I8013" s="3" t="s">
        <v>16572</v>
      </c>
    </row>
    <row r="8014" spans="2:9" hidden="1" x14ac:dyDescent="0.4">
      <c r="B8014" s="8" t="s">
        <v>517</v>
      </c>
      <c r="C8014" s="3" t="s">
        <v>12844</v>
      </c>
      <c r="D8014" s="3" t="s">
        <v>12912</v>
      </c>
      <c r="F8014" s="3" t="s">
        <v>399</v>
      </c>
      <c r="I8014" s="3" t="s">
        <v>16572</v>
      </c>
    </row>
    <row r="8015" spans="2:9" hidden="1" x14ac:dyDescent="0.4">
      <c r="B8015" s="8" t="s">
        <v>518</v>
      </c>
      <c r="C8015" s="3" t="s">
        <v>12845</v>
      </c>
      <c r="D8015" s="3" t="s">
        <v>12913</v>
      </c>
      <c r="F8015" s="3" t="s">
        <v>399</v>
      </c>
      <c r="I8015" s="3" t="s">
        <v>16572</v>
      </c>
    </row>
    <row r="8016" spans="2:9" hidden="1" x14ac:dyDescent="0.4">
      <c r="B8016" s="8" t="s">
        <v>517</v>
      </c>
      <c r="C8016" s="3" t="s">
        <v>12846</v>
      </c>
      <c r="D8016" s="3" t="s">
        <v>12914</v>
      </c>
      <c r="F8016" s="3" t="s">
        <v>399</v>
      </c>
      <c r="I8016" s="3" t="s">
        <v>16572</v>
      </c>
    </row>
    <row r="8017" spans="2:9" hidden="1" x14ac:dyDescent="0.4">
      <c r="B8017" s="8" t="s">
        <v>517</v>
      </c>
      <c r="C8017" s="3" t="s">
        <v>12847</v>
      </c>
      <c r="D8017" s="3" t="s">
        <v>12915</v>
      </c>
      <c r="F8017" s="3" t="s">
        <v>399</v>
      </c>
      <c r="I8017" s="3" t="s">
        <v>16572</v>
      </c>
    </row>
    <row r="8018" spans="2:9" hidden="1" x14ac:dyDescent="0.4">
      <c r="B8018" s="8" t="s">
        <v>517</v>
      </c>
      <c r="C8018" s="3" t="s">
        <v>347</v>
      </c>
      <c r="D8018" s="3" t="s">
        <v>12916</v>
      </c>
      <c r="F8018" s="3" t="s">
        <v>399</v>
      </c>
      <c r="I8018" s="3" t="s">
        <v>16572</v>
      </c>
    </row>
    <row r="8019" spans="2:9" hidden="1" x14ac:dyDescent="0.4">
      <c r="B8019" s="8" t="s">
        <v>517</v>
      </c>
      <c r="C8019" s="3" t="s">
        <v>12848</v>
      </c>
      <c r="D8019" s="3" t="s">
        <v>12917</v>
      </c>
      <c r="F8019" s="3" t="s">
        <v>399</v>
      </c>
      <c r="I8019" s="3" t="s">
        <v>16572</v>
      </c>
    </row>
    <row r="8020" spans="2:9" hidden="1" x14ac:dyDescent="0.4">
      <c r="B8020" s="8" t="s">
        <v>517</v>
      </c>
      <c r="C8020" s="3" t="s">
        <v>12849</v>
      </c>
      <c r="D8020" s="3" t="s">
        <v>12918</v>
      </c>
      <c r="F8020" s="3" t="s">
        <v>399</v>
      </c>
      <c r="I8020" s="3" t="s">
        <v>16572</v>
      </c>
    </row>
    <row r="8021" spans="2:9" hidden="1" x14ac:dyDescent="0.4">
      <c r="B8021" s="8" t="s">
        <v>517</v>
      </c>
      <c r="C8021" s="3" t="s">
        <v>12850</v>
      </c>
      <c r="D8021" s="3" t="s">
        <v>12919</v>
      </c>
      <c r="F8021" s="3" t="s">
        <v>399</v>
      </c>
      <c r="I8021" s="3" t="s">
        <v>16572</v>
      </c>
    </row>
    <row r="8022" spans="2:9" hidden="1" x14ac:dyDescent="0.4">
      <c r="B8022" s="8" t="s">
        <v>517</v>
      </c>
      <c r="C8022" s="3" t="s">
        <v>12851</v>
      </c>
      <c r="D8022" s="3" t="s">
        <v>12920</v>
      </c>
      <c r="F8022" s="3" t="s">
        <v>399</v>
      </c>
      <c r="I8022" s="3" t="s">
        <v>16572</v>
      </c>
    </row>
    <row r="8023" spans="2:9" hidden="1" x14ac:dyDescent="0.4">
      <c r="B8023" s="8" t="s">
        <v>517</v>
      </c>
      <c r="C8023" s="3" t="s">
        <v>12852</v>
      </c>
      <c r="D8023" s="3" t="s">
        <v>12921</v>
      </c>
      <c r="F8023" s="3" t="s">
        <v>399</v>
      </c>
      <c r="I8023" s="3" t="s">
        <v>16572</v>
      </c>
    </row>
    <row r="8024" spans="2:9" hidden="1" x14ac:dyDescent="0.4">
      <c r="B8024" s="8" t="s">
        <v>518</v>
      </c>
      <c r="C8024" s="3" t="s">
        <v>12853</v>
      </c>
      <c r="D8024" s="3" t="s">
        <v>12922</v>
      </c>
      <c r="F8024" s="3" t="s">
        <v>399</v>
      </c>
      <c r="I8024" s="3" t="s">
        <v>16572</v>
      </c>
    </row>
    <row r="8025" spans="2:9" hidden="1" x14ac:dyDescent="0.4">
      <c r="B8025" s="8" t="s">
        <v>517</v>
      </c>
      <c r="C8025" s="3" t="s">
        <v>12854</v>
      </c>
      <c r="D8025" s="3" t="s">
        <v>12923</v>
      </c>
      <c r="F8025" s="3" t="s">
        <v>399</v>
      </c>
      <c r="I8025" s="3" t="s">
        <v>16572</v>
      </c>
    </row>
    <row r="8026" spans="2:9" hidden="1" x14ac:dyDescent="0.4">
      <c r="B8026" s="8" t="s">
        <v>517</v>
      </c>
      <c r="C8026" s="3" t="s">
        <v>12855</v>
      </c>
      <c r="D8026" s="3" t="s">
        <v>12924</v>
      </c>
      <c r="F8026" s="3" t="s">
        <v>399</v>
      </c>
      <c r="I8026" s="3" t="s">
        <v>16572</v>
      </c>
    </row>
    <row r="8027" spans="2:9" hidden="1" x14ac:dyDescent="0.4">
      <c r="B8027" s="8" t="s">
        <v>517</v>
      </c>
      <c r="C8027" s="3" t="s">
        <v>12856</v>
      </c>
      <c r="D8027" s="3" t="s">
        <v>12925</v>
      </c>
      <c r="F8027" s="3" t="s">
        <v>399</v>
      </c>
      <c r="I8027" s="3" t="s">
        <v>16572</v>
      </c>
    </row>
    <row r="8028" spans="2:9" hidden="1" x14ac:dyDescent="0.4">
      <c r="B8028" s="8" t="s">
        <v>517</v>
      </c>
      <c r="C8028" s="3" t="s">
        <v>12857</v>
      </c>
      <c r="D8028" s="3" t="s">
        <v>12926</v>
      </c>
      <c r="F8028" s="3" t="s">
        <v>399</v>
      </c>
      <c r="I8028" s="3" t="s">
        <v>16572</v>
      </c>
    </row>
    <row r="8029" spans="2:9" hidden="1" x14ac:dyDescent="0.4">
      <c r="B8029" s="8" t="s">
        <v>517</v>
      </c>
      <c r="C8029" s="3" t="s">
        <v>12858</v>
      </c>
      <c r="D8029" s="3" t="s">
        <v>12927</v>
      </c>
      <c r="F8029" s="3" t="s">
        <v>399</v>
      </c>
      <c r="I8029" s="3" t="s">
        <v>16572</v>
      </c>
    </row>
    <row r="8030" spans="2:9" hidden="1" x14ac:dyDescent="0.4">
      <c r="B8030" s="8" t="s">
        <v>517</v>
      </c>
      <c r="C8030" s="3" t="s">
        <v>12859</v>
      </c>
      <c r="D8030" s="3" t="s">
        <v>12928</v>
      </c>
      <c r="F8030" s="3" t="s">
        <v>399</v>
      </c>
      <c r="I8030" s="3" t="s">
        <v>16572</v>
      </c>
    </row>
    <row r="8031" spans="2:9" hidden="1" x14ac:dyDescent="0.4">
      <c r="B8031" s="8" t="s">
        <v>517</v>
      </c>
      <c r="C8031" s="3" t="s">
        <v>12860</v>
      </c>
      <c r="D8031" s="3" t="s">
        <v>12929</v>
      </c>
      <c r="F8031" s="3" t="s">
        <v>399</v>
      </c>
      <c r="I8031" s="3" t="s">
        <v>16572</v>
      </c>
    </row>
    <row r="8032" spans="2:9" hidden="1" x14ac:dyDescent="0.4">
      <c r="B8032" s="8" t="s">
        <v>517</v>
      </c>
      <c r="C8032" s="3" t="s">
        <v>12861</v>
      </c>
      <c r="D8032" s="3" t="s">
        <v>12930</v>
      </c>
      <c r="F8032" s="3" t="s">
        <v>399</v>
      </c>
      <c r="I8032" s="3" t="s">
        <v>16572</v>
      </c>
    </row>
    <row r="8033" spans="2:9" hidden="1" x14ac:dyDescent="0.4">
      <c r="B8033" s="8" t="s">
        <v>520</v>
      </c>
      <c r="C8033" s="3" t="s">
        <v>12862</v>
      </c>
      <c r="D8033" s="3" t="s">
        <v>12931</v>
      </c>
      <c r="F8033" s="3" t="s">
        <v>399</v>
      </c>
      <c r="I8033" s="3" t="s">
        <v>16572</v>
      </c>
    </row>
    <row r="8034" spans="2:9" hidden="1" x14ac:dyDescent="0.4">
      <c r="B8034" s="8" t="s">
        <v>517</v>
      </c>
      <c r="C8034" s="3" t="s">
        <v>12863</v>
      </c>
      <c r="D8034" s="3" t="s">
        <v>12932</v>
      </c>
      <c r="F8034" s="3" t="s">
        <v>399</v>
      </c>
      <c r="I8034" s="3" t="s">
        <v>16572</v>
      </c>
    </row>
    <row r="8035" spans="2:9" hidden="1" x14ac:dyDescent="0.4">
      <c r="B8035" s="8" t="s">
        <v>517</v>
      </c>
      <c r="C8035" s="3" t="s">
        <v>12864</v>
      </c>
      <c r="D8035" s="3" t="s">
        <v>12933</v>
      </c>
      <c r="F8035" s="3" t="s">
        <v>399</v>
      </c>
      <c r="I8035" s="3" t="s">
        <v>16572</v>
      </c>
    </row>
    <row r="8036" spans="2:9" hidden="1" x14ac:dyDescent="0.4">
      <c r="B8036" s="8" t="s">
        <v>517</v>
      </c>
      <c r="C8036" s="3" t="s">
        <v>6728</v>
      </c>
      <c r="D8036" s="3" t="s">
        <v>12934</v>
      </c>
      <c r="F8036" s="3" t="s">
        <v>399</v>
      </c>
      <c r="I8036" s="3" t="s">
        <v>16572</v>
      </c>
    </row>
    <row r="8037" spans="2:9" hidden="1" x14ac:dyDescent="0.4">
      <c r="B8037" s="8" t="s">
        <v>517</v>
      </c>
      <c r="C8037" s="3" t="s">
        <v>12865</v>
      </c>
      <c r="D8037" s="3" t="s">
        <v>12935</v>
      </c>
      <c r="F8037" s="3" t="s">
        <v>399</v>
      </c>
      <c r="I8037" s="3" t="s">
        <v>16572</v>
      </c>
    </row>
    <row r="8038" spans="2:9" hidden="1" x14ac:dyDescent="0.4">
      <c r="B8038" s="8" t="s">
        <v>517</v>
      </c>
      <c r="C8038" s="3" t="s">
        <v>12866</v>
      </c>
      <c r="D8038" s="3" t="s">
        <v>12936</v>
      </c>
      <c r="F8038" s="3" t="s">
        <v>399</v>
      </c>
      <c r="I8038" s="3" t="s">
        <v>16572</v>
      </c>
    </row>
    <row r="8039" spans="2:9" hidden="1" x14ac:dyDescent="0.4">
      <c r="B8039" s="8" t="s">
        <v>518</v>
      </c>
      <c r="C8039" s="3" t="s">
        <v>12867</v>
      </c>
      <c r="D8039" s="3" t="s">
        <v>12937</v>
      </c>
      <c r="F8039" s="3" t="s">
        <v>399</v>
      </c>
      <c r="I8039" s="3" t="s">
        <v>16572</v>
      </c>
    </row>
    <row r="8040" spans="2:9" hidden="1" x14ac:dyDescent="0.4">
      <c r="B8040" s="8" t="s">
        <v>517</v>
      </c>
      <c r="C8040" s="3" t="s">
        <v>12868</v>
      </c>
      <c r="D8040" s="3" t="s">
        <v>12938</v>
      </c>
      <c r="F8040" s="3" t="s">
        <v>399</v>
      </c>
      <c r="I8040" s="3" t="s">
        <v>16572</v>
      </c>
    </row>
    <row r="8041" spans="2:9" hidden="1" x14ac:dyDescent="0.4">
      <c r="B8041" s="8" t="s">
        <v>517</v>
      </c>
      <c r="C8041" s="3" t="s">
        <v>12869</v>
      </c>
      <c r="D8041" s="3" t="s">
        <v>12939</v>
      </c>
      <c r="F8041" s="3" t="s">
        <v>399</v>
      </c>
      <c r="I8041" s="3" t="s">
        <v>16572</v>
      </c>
    </row>
    <row r="8042" spans="2:9" hidden="1" x14ac:dyDescent="0.4">
      <c r="B8042" s="8" t="s">
        <v>518</v>
      </c>
      <c r="C8042" s="3" t="s">
        <v>13148</v>
      </c>
      <c r="D8042" s="3" t="s">
        <v>12940</v>
      </c>
      <c r="F8042" s="3" t="s">
        <v>399</v>
      </c>
      <c r="I8042" s="3" t="s">
        <v>16572</v>
      </c>
    </row>
    <row r="8043" spans="2:9" hidden="1" x14ac:dyDescent="0.4">
      <c r="B8043" s="8" t="s">
        <v>520</v>
      </c>
      <c r="C8043" s="3" t="s">
        <v>12870</v>
      </c>
      <c r="D8043" s="3" t="s">
        <v>12941</v>
      </c>
      <c r="F8043" s="3" t="s">
        <v>399</v>
      </c>
      <c r="I8043" s="3" t="s">
        <v>16572</v>
      </c>
    </row>
    <row r="8044" spans="2:9" hidden="1" x14ac:dyDescent="0.4">
      <c r="B8044" s="8" t="s">
        <v>517</v>
      </c>
      <c r="C8044" s="3" t="s">
        <v>12871</v>
      </c>
      <c r="D8044" s="3" t="s">
        <v>12942</v>
      </c>
      <c r="F8044" s="3" t="s">
        <v>399</v>
      </c>
      <c r="I8044" s="3" t="s">
        <v>16572</v>
      </c>
    </row>
    <row r="8045" spans="2:9" hidden="1" x14ac:dyDescent="0.4">
      <c r="B8045" s="8" t="s">
        <v>529</v>
      </c>
      <c r="C8045" s="3" t="s">
        <v>12872</v>
      </c>
      <c r="D8045" s="3" t="s">
        <v>12942</v>
      </c>
      <c r="F8045" s="3" t="s">
        <v>399</v>
      </c>
      <c r="I8045" s="3" t="s">
        <v>16572</v>
      </c>
    </row>
    <row r="8046" spans="2:9" hidden="1" x14ac:dyDescent="0.4">
      <c r="B8046" s="8" t="s">
        <v>530</v>
      </c>
      <c r="C8046" s="3" t="s">
        <v>12873</v>
      </c>
      <c r="D8046" s="3" t="s">
        <v>12943</v>
      </c>
      <c r="F8046" s="3" t="s">
        <v>399</v>
      </c>
      <c r="I8046" s="3" t="s">
        <v>16572</v>
      </c>
    </row>
    <row r="8047" spans="2:9" hidden="1" x14ac:dyDescent="0.4">
      <c r="B8047" s="8" t="s">
        <v>518</v>
      </c>
      <c r="C8047" s="3" t="s">
        <v>12873</v>
      </c>
      <c r="D8047" s="3" t="s">
        <v>12943</v>
      </c>
      <c r="F8047" s="3" t="s">
        <v>399</v>
      </c>
      <c r="I8047" s="3" t="s">
        <v>16572</v>
      </c>
    </row>
    <row r="8048" spans="2:9" hidden="1" x14ac:dyDescent="0.4">
      <c r="B8048" s="8" t="s">
        <v>517</v>
      </c>
      <c r="C8048" s="3" t="s">
        <v>12874</v>
      </c>
      <c r="D8048" s="3" t="s">
        <v>12944</v>
      </c>
      <c r="F8048" s="3" t="s">
        <v>399</v>
      </c>
      <c r="I8048" s="3" t="s">
        <v>16572</v>
      </c>
    </row>
    <row r="8049" spans="2:9" hidden="1" x14ac:dyDescent="0.4">
      <c r="B8049" s="8" t="s">
        <v>517</v>
      </c>
      <c r="C8049" s="3" t="s">
        <v>12875</v>
      </c>
      <c r="D8049" s="3" t="s">
        <v>12945</v>
      </c>
      <c r="F8049" s="3" t="s">
        <v>399</v>
      </c>
      <c r="I8049" s="3" t="s">
        <v>16572</v>
      </c>
    </row>
    <row r="8050" spans="2:9" hidden="1" x14ac:dyDescent="0.4">
      <c r="B8050" s="8" t="s">
        <v>517</v>
      </c>
      <c r="C8050" s="3" t="s">
        <v>12876</v>
      </c>
      <c r="D8050" s="3" t="s">
        <v>12946</v>
      </c>
      <c r="F8050" s="3" t="s">
        <v>399</v>
      </c>
      <c r="I8050" s="3" t="s">
        <v>16572</v>
      </c>
    </row>
    <row r="8051" spans="2:9" hidden="1" x14ac:dyDescent="0.4">
      <c r="B8051" s="8" t="s">
        <v>517</v>
      </c>
      <c r="C8051" s="3" t="s">
        <v>12877</v>
      </c>
      <c r="D8051" s="3" t="s">
        <v>12947</v>
      </c>
      <c r="F8051" s="3" t="s">
        <v>399</v>
      </c>
      <c r="I8051" s="3" t="s">
        <v>16572</v>
      </c>
    </row>
    <row r="8052" spans="2:9" hidden="1" x14ac:dyDescent="0.4">
      <c r="B8052" s="8" t="s">
        <v>532</v>
      </c>
      <c r="C8052" s="3" t="s">
        <v>12878</v>
      </c>
      <c r="D8052" s="3" t="s">
        <v>12948</v>
      </c>
      <c r="F8052" s="3" t="s">
        <v>399</v>
      </c>
      <c r="I8052" s="3" t="s">
        <v>16572</v>
      </c>
    </row>
    <row r="8053" spans="2:9" hidden="1" x14ac:dyDescent="0.4">
      <c r="B8053" s="8" t="s">
        <v>517</v>
      </c>
      <c r="C8053" s="3" t="s">
        <v>12879</v>
      </c>
      <c r="D8053" s="3" t="s">
        <v>12949</v>
      </c>
      <c r="F8053" s="3" t="s">
        <v>399</v>
      </c>
      <c r="I8053" s="3" t="s">
        <v>16572</v>
      </c>
    </row>
    <row r="8054" spans="2:9" hidden="1" x14ac:dyDescent="0.4">
      <c r="B8054" s="8" t="s">
        <v>517</v>
      </c>
      <c r="C8054" s="3" t="s">
        <v>12880</v>
      </c>
      <c r="D8054" s="3" t="s">
        <v>12950</v>
      </c>
      <c r="F8054" s="3" t="s">
        <v>399</v>
      </c>
      <c r="I8054" s="3" t="s">
        <v>16572</v>
      </c>
    </row>
    <row r="8055" spans="2:9" hidden="1" x14ac:dyDescent="0.4">
      <c r="B8055" s="8" t="s">
        <v>520</v>
      </c>
      <c r="C8055" s="3" t="s">
        <v>12881</v>
      </c>
      <c r="D8055" s="3" t="s">
        <v>12951</v>
      </c>
      <c r="F8055" s="3" t="s">
        <v>399</v>
      </c>
      <c r="I8055" s="3" t="s">
        <v>16572</v>
      </c>
    </row>
    <row r="8056" spans="2:9" hidden="1" x14ac:dyDescent="0.4">
      <c r="B8056" s="8" t="s">
        <v>529</v>
      </c>
      <c r="C8056" s="3" t="s">
        <v>12882</v>
      </c>
      <c r="D8056" s="3" t="s">
        <v>12952</v>
      </c>
      <c r="F8056" s="3" t="s">
        <v>399</v>
      </c>
      <c r="I8056" s="3" t="s">
        <v>16572</v>
      </c>
    </row>
    <row r="8057" spans="2:9" hidden="1" x14ac:dyDescent="0.4">
      <c r="B8057" s="8" t="s">
        <v>532</v>
      </c>
      <c r="C8057" s="3" t="s">
        <v>1389</v>
      </c>
      <c r="D8057" s="3" t="s">
        <v>12953</v>
      </c>
      <c r="F8057" s="3" t="s">
        <v>399</v>
      </c>
      <c r="I8057" s="3" t="s">
        <v>16572</v>
      </c>
    </row>
    <row r="8058" spans="2:9" hidden="1" x14ac:dyDescent="0.4">
      <c r="B8058" s="8" t="s">
        <v>520</v>
      </c>
      <c r="C8058" s="3" t="s">
        <v>12883</v>
      </c>
      <c r="D8058" s="3" t="s">
        <v>12954</v>
      </c>
      <c r="F8058" s="3" t="s">
        <v>399</v>
      </c>
      <c r="I8058" s="3" t="s">
        <v>16572</v>
      </c>
    </row>
    <row r="8059" spans="2:9" hidden="1" x14ac:dyDescent="0.4">
      <c r="B8059" s="8" t="s">
        <v>518</v>
      </c>
      <c r="C8059" s="3" t="s">
        <v>12884</v>
      </c>
      <c r="D8059" s="3" t="s">
        <v>12955</v>
      </c>
      <c r="F8059" s="3" t="s">
        <v>399</v>
      </c>
      <c r="I8059" s="3" t="s">
        <v>16572</v>
      </c>
    </row>
    <row r="8060" spans="2:9" hidden="1" x14ac:dyDescent="0.4">
      <c r="B8060" s="8" t="s">
        <v>518</v>
      </c>
      <c r="C8060" s="3" t="s">
        <v>12885</v>
      </c>
      <c r="D8060" s="3" t="s">
        <v>12956</v>
      </c>
      <c r="F8060" s="3" t="s">
        <v>399</v>
      </c>
      <c r="I8060" s="3" t="s">
        <v>16572</v>
      </c>
    </row>
    <row r="8061" spans="2:9" hidden="1" x14ac:dyDescent="0.4">
      <c r="B8061" s="8" t="s">
        <v>520</v>
      </c>
      <c r="C8061" s="3" t="s">
        <v>12886</v>
      </c>
      <c r="D8061" s="3" t="s">
        <v>12957</v>
      </c>
      <c r="F8061" s="3" t="s">
        <v>399</v>
      </c>
      <c r="I8061" s="3" t="s">
        <v>16572</v>
      </c>
    </row>
    <row r="8062" spans="2:9" hidden="1" x14ac:dyDescent="0.4">
      <c r="B8062" s="8" t="s">
        <v>529</v>
      </c>
      <c r="C8062" s="3" t="s">
        <v>12887</v>
      </c>
      <c r="D8062" s="3" t="s">
        <v>12958</v>
      </c>
      <c r="F8062" s="3" t="s">
        <v>399</v>
      </c>
      <c r="I8062" s="3" t="s">
        <v>16572</v>
      </c>
    </row>
    <row r="8063" spans="2:9" hidden="1" x14ac:dyDescent="0.4">
      <c r="B8063" s="8" t="s">
        <v>518</v>
      </c>
      <c r="C8063" s="3" t="s">
        <v>12888</v>
      </c>
      <c r="D8063" s="3" t="s">
        <v>12959</v>
      </c>
      <c r="F8063" s="3" t="s">
        <v>399</v>
      </c>
      <c r="I8063" s="3" t="s">
        <v>16572</v>
      </c>
    </row>
    <row r="8064" spans="2:9" hidden="1" x14ac:dyDescent="0.4">
      <c r="B8064" s="8" t="s">
        <v>517</v>
      </c>
      <c r="C8064" s="3" t="s">
        <v>12889</v>
      </c>
      <c r="D8064" s="3" t="s">
        <v>12960</v>
      </c>
      <c r="F8064" s="3" t="s">
        <v>399</v>
      </c>
      <c r="I8064" s="3" t="s">
        <v>16572</v>
      </c>
    </row>
    <row r="8065" spans="2:9" hidden="1" x14ac:dyDescent="0.4">
      <c r="D8065" s="3" t="s">
        <v>12961</v>
      </c>
      <c r="F8065" s="3" t="s">
        <v>399</v>
      </c>
      <c r="I8065" s="3" t="s">
        <v>16572</v>
      </c>
    </row>
    <row r="8066" spans="2:9" hidden="1" x14ac:dyDescent="0.4">
      <c r="B8066" s="8" t="s">
        <v>517</v>
      </c>
      <c r="C8066" s="3" t="s">
        <v>1390</v>
      </c>
      <c r="D8066" s="3" t="s">
        <v>12962</v>
      </c>
      <c r="F8066" s="3" t="s">
        <v>399</v>
      </c>
      <c r="I8066" s="3" t="s">
        <v>16572</v>
      </c>
    </row>
    <row r="8067" spans="2:9" hidden="1" x14ac:dyDescent="0.4">
      <c r="B8067" s="8" t="s">
        <v>518</v>
      </c>
      <c r="C8067" s="3" t="s">
        <v>12890</v>
      </c>
      <c r="D8067" s="3" t="s">
        <v>12963</v>
      </c>
      <c r="F8067" s="3" t="s">
        <v>399</v>
      </c>
      <c r="I8067" s="3" t="s">
        <v>16572</v>
      </c>
    </row>
    <row r="8068" spans="2:9" hidden="1" x14ac:dyDescent="0.4">
      <c r="B8068" s="8" t="s">
        <v>518</v>
      </c>
      <c r="C8068" s="3" t="s">
        <v>12891</v>
      </c>
      <c r="D8068" s="3" t="s">
        <v>12964</v>
      </c>
      <c r="F8068" s="3" t="s">
        <v>399</v>
      </c>
      <c r="I8068" s="3" t="s">
        <v>16572</v>
      </c>
    </row>
    <row r="8069" spans="2:9" hidden="1" x14ac:dyDescent="0.4">
      <c r="B8069" s="8" t="s">
        <v>518</v>
      </c>
      <c r="C8069" s="3" t="s">
        <v>12892</v>
      </c>
      <c r="D8069" s="3" t="s">
        <v>12965</v>
      </c>
      <c r="F8069" s="3" t="s">
        <v>399</v>
      </c>
      <c r="I8069" s="3" t="s">
        <v>16572</v>
      </c>
    </row>
    <row r="8070" spans="2:9" hidden="1" x14ac:dyDescent="0.4">
      <c r="B8070" s="8" t="s">
        <v>529</v>
      </c>
      <c r="C8070" s="3" t="s">
        <v>12893</v>
      </c>
      <c r="D8070" s="3" t="s">
        <v>12966</v>
      </c>
      <c r="F8070" s="3" t="s">
        <v>399</v>
      </c>
      <c r="I8070" s="3" t="s">
        <v>16572</v>
      </c>
    </row>
    <row r="8071" spans="2:9" hidden="1" x14ac:dyDescent="0.4">
      <c r="B8071" s="8" t="s">
        <v>518</v>
      </c>
      <c r="C8071" s="3" t="s">
        <v>12894</v>
      </c>
      <c r="D8071" s="3" t="s">
        <v>12967</v>
      </c>
      <c r="F8071" s="3" t="s">
        <v>399</v>
      </c>
      <c r="I8071" s="3" t="s">
        <v>16572</v>
      </c>
    </row>
    <row r="8072" spans="2:9" hidden="1" x14ac:dyDescent="0.4">
      <c r="D8072" s="3" t="s">
        <v>12968</v>
      </c>
      <c r="F8072" s="3" t="s">
        <v>399</v>
      </c>
      <c r="I8072" s="3" t="s">
        <v>16572</v>
      </c>
    </row>
    <row r="8073" spans="2:9" hidden="1" x14ac:dyDescent="0.4">
      <c r="B8073" s="8" t="s">
        <v>529</v>
      </c>
      <c r="C8073" s="3" t="s">
        <v>12895</v>
      </c>
      <c r="D8073" s="3" t="s">
        <v>12969</v>
      </c>
      <c r="F8073" s="3" t="s">
        <v>399</v>
      </c>
      <c r="I8073" s="3" t="s">
        <v>16572</v>
      </c>
    </row>
    <row r="8074" spans="2:9" hidden="1" x14ac:dyDescent="0.4">
      <c r="B8074" s="8" t="s">
        <v>9732</v>
      </c>
      <c r="C8074" s="3" t="s">
        <v>12896</v>
      </c>
      <c r="D8074" s="3" t="s">
        <v>12969</v>
      </c>
      <c r="F8074" s="3" t="s">
        <v>399</v>
      </c>
      <c r="I8074" s="3" t="s">
        <v>16572</v>
      </c>
    </row>
    <row r="8075" spans="2:9" hidden="1" x14ac:dyDescent="0.4">
      <c r="B8075" s="8" t="s">
        <v>518</v>
      </c>
      <c r="C8075" s="3" t="s">
        <v>12897</v>
      </c>
      <c r="D8075" s="3" t="s">
        <v>12970</v>
      </c>
      <c r="F8075" s="3" t="s">
        <v>399</v>
      </c>
      <c r="I8075" s="3" t="s">
        <v>16572</v>
      </c>
    </row>
    <row r="8076" spans="2:9" hidden="1" x14ac:dyDescent="0.4">
      <c r="B8076" s="8" t="s">
        <v>9750</v>
      </c>
      <c r="C8076" s="3" t="s">
        <v>12898</v>
      </c>
      <c r="D8076" s="3" t="s">
        <v>12970</v>
      </c>
      <c r="F8076" s="3" t="s">
        <v>399</v>
      </c>
      <c r="I8076" s="3" t="s">
        <v>16572</v>
      </c>
    </row>
    <row r="8077" spans="2:9" hidden="1" x14ac:dyDescent="0.4">
      <c r="B8077" s="8" t="s">
        <v>12205</v>
      </c>
      <c r="C8077" s="3" t="s">
        <v>12899</v>
      </c>
      <c r="D8077" s="3" t="s">
        <v>12971</v>
      </c>
      <c r="F8077" s="3" t="s">
        <v>399</v>
      </c>
      <c r="I8077" s="3" t="s">
        <v>16572</v>
      </c>
    </row>
    <row r="8078" spans="2:9" hidden="1" x14ac:dyDescent="0.4">
      <c r="B8078" s="8" t="s">
        <v>517</v>
      </c>
      <c r="C8078" s="3" t="s">
        <v>12900</v>
      </c>
      <c r="D8078" s="3" t="s">
        <v>12972</v>
      </c>
      <c r="F8078" s="3" t="s">
        <v>399</v>
      </c>
      <c r="I8078" s="3" t="s">
        <v>16572</v>
      </c>
    </row>
    <row r="8079" spans="2:9" hidden="1" x14ac:dyDescent="0.4">
      <c r="B8079" s="8" t="s">
        <v>517</v>
      </c>
      <c r="C8079" s="3" t="s">
        <v>12901</v>
      </c>
      <c r="D8079" s="3" t="s">
        <v>12973</v>
      </c>
      <c r="F8079" s="3" t="s">
        <v>399</v>
      </c>
      <c r="I8079" s="3" t="s">
        <v>16572</v>
      </c>
    </row>
    <row r="8080" spans="2:9" hidden="1" x14ac:dyDescent="0.4">
      <c r="B8080" s="8" t="s">
        <v>517</v>
      </c>
      <c r="C8080" s="3" t="s">
        <v>12902</v>
      </c>
      <c r="D8080" s="3" t="s">
        <v>12974</v>
      </c>
      <c r="F8080" s="3" t="s">
        <v>399</v>
      </c>
      <c r="I8080" s="3" t="s">
        <v>16572</v>
      </c>
    </row>
    <row r="8081" spans="2:9" hidden="1" x14ac:dyDescent="0.4">
      <c r="B8081" s="8" t="s">
        <v>517</v>
      </c>
      <c r="C8081" s="3" t="s">
        <v>12903</v>
      </c>
      <c r="D8081" s="3" t="s">
        <v>12974</v>
      </c>
      <c r="F8081" s="3" t="s">
        <v>399</v>
      </c>
      <c r="I8081" s="3" t="s">
        <v>16572</v>
      </c>
    </row>
    <row r="8082" spans="2:9" hidden="1" x14ac:dyDescent="0.4">
      <c r="B8082" s="8" t="s">
        <v>517</v>
      </c>
      <c r="C8082" s="3" t="s">
        <v>12904</v>
      </c>
      <c r="D8082" s="3" t="s">
        <v>12975</v>
      </c>
      <c r="F8082" s="3" t="s">
        <v>399</v>
      </c>
      <c r="I8082" s="3" t="s">
        <v>16572</v>
      </c>
    </row>
    <row r="8083" spans="2:9" hidden="1" x14ac:dyDescent="0.4">
      <c r="B8083" s="8" t="s">
        <v>517</v>
      </c>
      <c r="C8083" s="3" t="s">
        <v>12905</v>
      </c>
      <c r="D8083" s="3" t="s">
        <v>12976</v>
      </c>
      <c r="F8083" s="3" t="s">
        <v>399</v>
      </c>
      <c r="I8083" s="3" t="s">
        <v>16572</v>
      </c>
    </row>
    <row r="8084" spans="2:9" hidden="1" x14ac:dyDescent="0.4">
      <c r="B8084" s="8" t="s">
        <v>532</v>
      </c>
      <c r="C8084" s="3" t="s">
        <v>12906</v>
      </c>
      <c r="D8084" s="3" t="s">
        <v>12977</v>
      </c>
      <c r="F8084" s="3" t="s">
        <v>399</v>
      </c>
      <c r="I8084" s="3" t="s">
        <v>16572</v>
      </c>
    </row>
    <row r="8085" spans="2:9" hidden="1" x14ac:dyDescent="0.4">
      <c r="B8085" s="8" t="s">
        <v>520</v>
      </c>
      <c r="C8085" s="3" t="s">
        <v>12907</v>
      </c>
      <c r="D8085" s="3" t="s">
        <v>12978</v>
      </c>
      <c r="F8085" s="3" t="s">
        <v>399</v>
      </c>
      <c r="I8085" s="3" t="s">
        <v>16572</v>
      </c>
    </row>
    <row r="8086" spans="2:9" hidden="1" x14ac:dyDescent="0.4">
      <c r="B8086" s="8" t="s">
        <v>520</v>
      </c>
      <c r="C8086" s="3" t="s">
        <v>12908</v>
      </c>
      <c r="D8086" s="3" t="s">
        <v>12979</v>
      </c>
      <c r="F8086" s="3" t="s">
        <v>399</v>
      </c>
      <c r="I8086" s="3" t="s">
        <v>16572</v>
      </c>
    </row>
    <row r="8087" spans="2:9" hidden="1" x14ac:dyDescent="0.4">
      <c r="D8087" s="3" t="s">
        <v>12980</v>
      </c>
      <c r="F8087" s="3" t="s">
        <v>399</v>
      </c>
      <c r="I8087" s="3" t="s">
        <v>16572</v>
      </c>
    </row>
    <row r="8088" spans="2:9" hidden="1" x14ac:dyDescent="0.4">
      <c r="D8088" s="3" t="s">
        <v>12981</v>
      </c>
      <c r="F8088" s="3" t="s">
        <v>399</v>
      </c>
      <c r="I8088" s="3" t="s">
        <v>16572</v>
      </c>
    </row>
    <row r="8089" spans="2:9" hidden="1" x14ac:dyDescent="0.4">
      <c r="D8089" s="3" t="s">
        <v>12982</v>
      </c>
      <c r="F8089" s="3" t="s">
        <v>399</v>
      </c>
      <c r="I8089" s="3" t="s">
        <v>16572</v>
      </c>
    </row>
    <row r="8090" spans="2:9" hidden="1" x14ac:dyDescent="0.4">
      <c r="D8090" s="3" t="s">
        <v>12983</v>
      </c>
      <c r="F8090" s="3" t="s">
        <v>399</v>
      </c>
      <c r="I8090" s="3" t="s">
        <v>16572</v>
      </c>
    </row>
    <row r="8091" spans="2:9" hidden="1" x14ac:dyDescent="0.4">
      <c r="D8091" s="3" t="s">
        <v>12984</v>
      </c>
      <c r="F8091" s="3" t="s">
        <v>399</v>
      </c>
      <c r="I8091" s="3" t="s">
        <v>16572</v>
      </c>
    </row>
    <row r="8092" spans="2:9" hidden="1" x14ac:dyDescent="0.4">
      <c r="D8092" s="3" t="s">
        <v>12985</v>
      </c>
      <c r="F8092" s="3" t="s">
        <v>399</v>
      </c>
      <c r="I8092" s="3" t="s">
        <v>16572</v>
      </c>
    </row>
    <row r="8093" spans="2:9" hidden="1" x14ac:dyDescent="0.4">
      <c r="D8093" s="3" t="s">
        <v>12986</v>
      </c>
      <c r="F8093" s="3" t="s">
        <v>399</v>
      </c>
      <c r="I8093" s="3" t="s">
        <v>16572</v>
      </c>
    </row>
    <row r="8094" spans="2:9" hidden="1" x14ac:dyDescent="0.4">
      <c r="B8094" s="8" t="s">
        <v>517</v>
      </c>
      <c r="C8094" s="3" t="s">
        <v>12203</v>
      </c>
      <c r="D8094" s="3" t="s">
        <v>12987</v>
      </c>
      <c r="F8094" s="3" t="s">
        <v>399</v>
      </c>
      <c r="I8094" s="3" t="s">
        <v>16572</v>
      </c>
    </row>
    <row r="8095" spans="2:9" hidden="1" x14ac:dyDescent="0.4">
      <c r="D8095" s="3" t="s">
        <v>12988</v>
      </c>
      <c r="F8095" s="3" t="s">
        <v>399</v>
      </c>
      <c r="I8095" s="3" t="s">
        <v>16572</v>
      </c>
    </row>
    <row r="8096" spans="2:9" hidden="1" x14ac:dyDescent="0.4">
      <c r="D8096" s="3" t="s">
        <v>12989</v>
      </c>
      <c r="F8096" s="3" t="s">
        <v>399</v>
      </c>
      <c r="I8096" s="3" t="s">
        <v>16572</v>
      </c>
    </row>
    <row r="8097" spans="2:9" hidden="1" x14ac:dyDescent="0.4">
      <c r="B8097" s="8" t="s">
        <v>517</v>
      </c>
      <c r="C8097" s="3" t="s">
        <v>13023</v>
      </c>
      <c r="D8097" s="3" t="s">
        <v>12990</v>
      </c>
      <c r="F8097" s="3" t="s">
        <v>399</v>
      </c>
      <c r="I8097" s="3" t="s">
        <v>16572</v>
      </c>
    </row>
    <row r="8098" spans="2:9" hidden="1" x14ac:dyDescent="0.4">
      <c r="B8098" s="8" t="s">
        <v>517</v>
      </c>
      <c r="C8098" s="3" t="s">
        <v>13024</v>
      </c>
      <c r="D8098" s="3" t="s">
        <v>12991</v>
      </c>
      <c r="F8098" s="3" t="s">
        <v>399</v>
      </c>
      <c r="I8098" s="3" t="s">
        <v>16572</v>
      </c>
    </row>
    <row r="8099" spans="2:9" hidden="1" x14ac:dyDescent="0.4">
      <c r="B8099" s="8" t="s">
        <v>518</v>
      </c>
      <c r="C8099" s="3" t="s">
        <v>13025</v>
      </c>
      <c r="D8099" s="3" t="s">
        <v>12992</v>
      </c>
      <c r="F8099" s="3" t="s">
        <v>399</v>
      </c>
      <c r="I8099" s="3" t="s">
        <v>16572</v>
      </c>
    </row>
    <row r="8100" spans="2:9" hidden="1" x14ac:dyDescent="0.4">
      <c r="B8100" s="8" t="s">
        <v>517</v>
      </c>
      <c r="C8100" s="3" t="s">
        <v>13026</v>
      </c>
      <c r="D8100" s="3" t="s">
        <v>12993</v>
      </c>
      <c r="F8100" s="3" t="s">
        <v>399</v>
      </c>
      <c r="I8100" s="3" t="s">
        <v>16572</v>
      </c>
    </row>
    <row r="8101" spans="2:9" hidden="1" x14ac:dyDescent="0.4">
      <c r="B8101" s="8" t="s">
        <v>529</v>
      </c>
      <c r="C8101" s="3" t="s">
        <v>13027</v>
      </c>
      <c r="D8101" s="3" t="s">
        <v>12994</v>
      </c>
      <c r="F8101" s="3" t="s">
        <v>399</v>
      </c>
      <c r="I8101" s="3" t="s">
        <v>16572</v>
      </c>
    </row>
    <row r="8102" spans="2:9" hidden="1" x14ac:dyDescent="0.4">
      <c r="B8102" s="8" t="s">
        <v>517</v>
      </c>
      <c r="C8102" s="3" t="s">
        <v>13028</v>
      </c>
      <c r="D8102" s="3" t="s">
        <v>12995</v>
      </c>
      <c r="F8102" s="3" t="s">
        <v>399</v>
      </c>
      <c r="I8102" s="3" t="s">
        <v>16572</v>
      </c>
    </row>
    <row r="8103" spans="2:9" hidden="1" x14ac:dyDescent="0.4">
      <c r="B8103" s="8" t="s">
        <v>518</v>
      </c>
      <c r="C8103" s="3" t="s">
        <v>13029</v>
      </c>
      <c r="D8103" s="3" t="s">
        <v>12996</v>
      </c>
      <c r="F8103" s="3" t="s">
        <v>399</v>
      </c>
      <c r="I8103" s="3" t="s">
        <v>16572</v>
      </c>
    </row>
    <row r="8104" spans="2:9" hidden="1" x14ac:dyDescent="0.4">
      <c r="B8104" s="8" t="s">
        <v>6731</v>
      </c>
      <c r="C8104" s="3" t="s">
        <v>13030</v>
      </c>
      <c r="D8104" s="3" t="s">
        <v>12997</v>
      </c>
      <c r="F8104" s="3" t="s">
        <v>399</v>
      </c>
      <c r="I8104" s="3" t="s">
        <v>16572</v>
      </c>
    </row>
    <row r="8105" spans="2:9" ht="29.25" hidden="1" x14ac:dyDescent="0.4">
      <c r="B8105" s="8" t="s">
        <v>9736</v>
      </c>
      <c r="C8105" s="3" t="s">
        <v>13031</v>
      </c>
      <c r="D8105" s="3" t="s">
        <v>12998</v>
      </c>
      <c r="F8105" s="3" t="s">
        <v>399</v>
      </c>
      <c r="I8105" s="3" t="s">
        <v>16572</v>
      </c>
    </row>
    <row r="8106" spans="2:9" hidden="1" x14ac:dyDescent="0.4">
      <c r="B8106" s="8" t="s">
        <v>520</v>
      </c>
      <c r="C8106" s="3" t="s">
        <v>13032</v>
      </c>
      <c r="D8106" s="3" t="s">
        <v>12999</v>
      </c>
      <c r="F8106" s="3" t="s">
        <v>399</v>
      </c>
      <c r="I8106" s="3" t="s">
        <v>16572</v>
      </c>
    </row>
    <row r="8107" spans="2:9" hidden="1" x14ac:dyDescent="0.4">
      <c r="B8107" s="8" t="s">
        <v>517</v>
      </c>
      <c r="C8107" s="3" t="s">
        <v>13033</v>
      </c>
      <c r="D8107" s="3" t="s">
        <v>13000</v>
      </c>
      <c r="F8107" s="3" t="s">
        <v>399</v>
      </c>
      <c r="I8107" s="3" t="s">
        <v>16572</v>
      </c>
    </row>
    <row r="8108" spans="2:9" hidden="1" x14ac:dyDescent="0.4">
      <c r="B8108" s="8" t="s">
        <v>517</v>
      </c>
      <c r="C8108" s="3" t="s">
        <v>13034</v>
      </c>
      <c r="D8108" s="3" t="s">
        <v>13001</v>
      </c>
      <c r="F8108" s="3" t="s">
        <v>399</v>
      </c>
      <c r="I8108" s="3" t="s">
        <v>16572</v>
      </c>
    </row>
    <row r="8109" spans="2:9" hidden="1" x14ac:dyDescent="0.4">
      <c r="B8109" s="8" t="s">
        <v>529</v>
      </c>
      <c r="C8109" s="3" t="s">
        <v>13035</v>
      </c>
      <c r="D8109" s="3" t="s">
        <v>13002</v>
      </c>
      <c r="F8109" s="3" t="s">
        <v>399</v>
      </c>
      <c r="I8109" s="3" t="s">
        <v>16572</v>
      </c>
    </row>
    <row r="8110" spans="2:9" hidden="1" x14ac:dyDescent="0.4">
      <c r="B8110" s="8" t="s">
        <v>6739</v>
      </c>
      <c r="C8110" s="3" t="s">
        <v>13036</v>
      </c>
      <c r="D8110" s="3" t="s">
        <v>13003</v>
      </c>
      <c r="F8110" s="3" t="s">
        <v>399</v>
      </c>
      <c r="I8110" s="3" t="s">
        <v>16572</v>
      </c>
    </row>
    <row r="8111" spans="2:9" hidden="1" x14ac:dyDescent="0.4">
      <c r="B8111" s="8" t="s">
        <v>6739</v>
      </c>
      <c r="C8111" s="3" t="s">
        <v>13037</v>
      </c>
      <c r="D8111" s="3" t="s">
        <v>13004</v>
      </c>
      <c r="F8111" s="3" t="s">
        <v>399</v>
      </c>
      <c r="I8111" s="3" t="s">
        <v>16572</v>
      </c>
    </row>
    <row r="8112" spans="2:9" ht="29.25" hidden="1" x14ac:dyDescent="0.4">
      <c r="B8112" s="8" t="s">
        <v>6739</v>
      </c>
      <c r="C8112" s="3" t="s">
        <v>13038</v>
      </c>
      <c r="D8112" s="3" t="s">
        <v>13004</v>
      </c>
      <c r="F8112" s="3" t="s">
        <v>399</v>
      </c>
      <c r="I8112" s="3" t="s">
        <v>16572</v>
      </c>
    </row>
    <row r="8113" spans="2:9" hidden="1" x14ac:dyDescent="0.4">
      <c r="B8113" s="8" t="s">
        <v>517</v>
      </c>
      <c r="C8113" s="3" t="s">
        <v>13039</v>
      </c>
      <c r="D8113" s="3" t="s">
        <v>13005</v>
      </c>
      <c r="F8113" s="3" t="s">
        <v>399</v>
      </c>
      <c r="I8113" s="3" t="s">
        <v>16572</v>
      </c>
    </row>
    <row r="8114" spans="2:9" hidden="1" x14ac:dyDescent="0.4">
      <c r="B8114" s="8" t="s">
        <v>531</v>
      </c>
      <c r="C8114" s="3" t="s">
        <v>13040</v>
      </c>
      <c r="D8114" s="3" t="s">
        <v>13006</v>
      </c>
      <c r="F8114" s="3" t="s">
        <v>399</v>
      </c>
      <c r="I8114" s="3" t="s">
        <v>16572</v>
      </c>
    </row>
    <row r="8115" spans="2:9" hidden="1" x14ac:dyDescent="0.4">
      <c r="B8115" s="8" t="s">
        <v>517</v>
      </c>
      <c r="C8115" s="3" t="s">
        <v>13041</v>
      </c>
      <c r="D8115" s="3" t="s">
        <v>13007</v>
      </c>
      <c r="F8115" s="3" t="s">
        <v>399</v>
      </c>
      <c r="I8115" s="3" t="s">
        <v>16572</v>
      </c>
    </row>
    <row r="8116" spans="2:9" hidden="1" x14ac:dyDescent="0.4">
      <c r="B8116" s="8" t="s">
        <v>517</v>
      </c>
      <c r="C8116" s="3" t="s">
        <v>13042</v>
      </c>
      <c r="D8116" s="3" t="s">
        <v>13008</v>
      </c>
      <c r="F8116" s="3" t="s">
        <v>399</v>
      </c>
      <c r="I8116" s="3" t="s">
        <v>16572</v>
      </c>
    </row>
    <row r="8117" spans="2:9" ht="29.25" hidden="1" x14ac:dyDescent="0.4">
      <c r="B8117" s="8" t="s">
        <v>6733</v>
      </c>
      <c r="C8117" s="3" t="s">
        <v>13043</v>
      </c>
      <c r="D8117" s="3" t="s">
        <v>13009</v>
      </c>
      <c r="F8117" s="3" t="s">
        <v>399</v>
      </c>
      <c r="I8117" s="3" t="s">
        <v>16572</v>
      </c>
    </row>
    <row r="8118" spans="2:9" hidden="1" x14ac:dyDescent="0.4">
      <c r="B8118" s="8" t="s">
        <v>12194</v>
      </c>
      <c r="C8118" s="3" t="s">
        <v>13044</v>
      </c>
      <c r="D8118" s="3" t="s">
        <v>13010</v>
      </c>
      <c r="F8118" s="3" t="s">
        <v>399</v>
      </c>
      <c r="I8118" s="3" t="s">
        <v>16572</v>
      </c>
    </row>
    <row r="8119" spans="2:9" hidden="1" x14ac:dyDescent="0.4">
      <c r="B8119" s="8" t="s">
        <v>13149</v>
      </c>
      <c r="C8119" s="3" t="s">
        <v>13045</v>
      </c>
      <c r="D8119" s="3" t="s">
        <v>13011</v>
      </c>
      <c r="F8119" s="3" t="s">
        <v>399</v>
      </c>
      <c r="I8119" s="3" t="s">
        <v>16572</v>
      </c>
    </row>
    <row r="8120" spans="2:9" hidden="1" x14ac:dyDescent="0.4">
      <c r="B8120" s="8" t="s">
        <v>13149</v>
      </c>
      <c r="C8120" s="3" t="s">
        <v>13046</v>
      </c>
      <c r="D8120" s="3" t="s">
        <v>13012</v>
      </c>
      <c r="F8120" s="3" t="s">
        <v>399</v>
      </c>
      <c r="I8120" s="3" t="s">
        <v>16572</v>
      </c>
    </row>
    <row r="8121" spans="2:9" hidden="1" x14ac:dyDescent="0.4">
      <c r="B8121" s="8" t="s">
        <v>518</v>
      </c>
      <c r="C8121" s="3" t="s">
        <v>13047</v>
      </c>
      <c r="D8121" s="3" t="s">
        <v>13013</v>
      </c>
      <c r="F8121" s="3" t="s">
        <v>399</v>
      </c>
      <c r="I8121" s="3" t="s">
        <v>16572</v>
      </c>
    </row>
    <row r="8122" spans="2:9" hidden="1" x14ac:dyDescent="0.4">
      <c r="B8122" s="8" t="s">
        <v>6731</v>
      </c>
      <c r="C8122" s="3" t="s">
        <v>13048</v>
      </c>
      <c r="D8122" s="3" t="s">
        <v>13014</v>
      </c>
      <c r="F8122" s="3" t="s">
        <v>399</v>
      </c>
      <c r="I8122" s="3" t="s">
        <v>16572</v>
      </c>
    </row>
    <row r="8123" spans="2:9" hidden="1" x14ac:dyDescent="0.4">
      <c r="B8123" s="8" t="s">
        <v>517</v>
      </c>
      <c r="C8123" s="3" t="s">
        <v>13049</v>
      </c>
      <c r="D8123" s="3" t="s">
        <v>13015</v>
      </c>
      <c r="F8123" s="3" t="s">
        <v>399</v>
      </c>
      <c r="I8123" s="3" t="s">
        <v>16572</v>
      </c>
    </row>
    <row r="8124" spans="2:9" hidden="1" x14ac:dyDescent="0.4">
      <c r="B8124" s="8" t="s">
        <v>517</v>
      </c>
      <c r="C8124" s="3" t="s">
        <v>13050</v>
      </c>
      <c r="D8124" s="3" t="s">
        <v>13016</v>
      </c>
      <c r="F8124" s="3" t="s">
        <v>399</v>
      </c>
      <c r="I8124" s="3" t="s">
        <v>16572</v>
      </c>
    </row>
    <row r="8125" spans="2:9" hidden="1" x14ac:dyDescent="0.4">
      <c r="B8125" s="8" t="s">
        <v>6731</v>
      </c>
      <c r="C8125" s="3" t="s">
        <v>13051</v>
      </c>
      <c r="D8125" s="3" t="s">
        <v>13017</v>
      </c>
      <c r="F8125" s="3" t="s">
        <v>399</v>
      </c>
      <c r="I8125" s="3" t="s">
        <v>16572</v>
      </c>
    </row>
    <row r="8126" spans="2:9" hidden="1" x14ac:dyDescent="0.4">
      <c r="B8126" s="8" t="s">
        <v>6731</v>
      </c>
      <c r="C8126" s="3" t="s">
        <v>13052</v>
      </c>
      <c r="D8126" s="3" t="s">
        <v>13018</v>
      </c>
      <c r="F8126" s="3" t="s">
        <v>399</v>
      </c>
      <c r="I8126" s="3" t="s">
        <v>16572</v>
      </c>
    </row>
    <row r="8127" spans="2:9" hidden="1" x14ac:dyDescent="0.4">
      <c r="B8127" s="8" t="s">
        <v>517</v>
      </c>
      <c r="D8127" s="3" t="s">
        <v>13019</v>
      </c>
      <c r="F8127" s="3" t="s">
        <v>399</v>
      </c>
      <c r="I8127" s="3" t="s">
        <v>16572</v>
      </c>
    </row>
    <row r="8128" spans="2:9" hidden="1" x14ac:dyDescent="0.4">
      <c r="D8128" s="3" t="s">
        <v>13020</v>
      </c>
      <c r="F8128" s="3" t="s">
        <v>399</v>
      </c>
      <c r="I8128" s="3" t="s">
        <v>16572</v>
      </c>
    </row>
    <row r="8129" spans="2:9" hidden="1" x14ac:dyDescent="0.4">
      <c r="B8129" s="8" t="s">
        <v>9732</v>
      </c>
      <c r="C8129" s="3" t="s">
        <v>13053</v>
      </c>
      <c r="D8129" s="3" t="s">
        <v>13021</v>
      </c>
      <c r="F8129" s="3" t="s">
        <v>399</v>
      </c>
      <c r="I8129" s="3" t="s">
        <v>16572</v>
      </c>
    </row>
    <row r="8130" spans="2:9" hidden="1" x14ac:dyDescent="0.4">
      <c r="D8130" s="3" t="s">
        <v>13022</v>
      </c>
      <c r="F8130" s="3" t="s">
        <v>399</v>
      </c>
      <c r="I8130" s="3" t="s">
        <v>16572</v>
      </c>
    </row>
    <row r="8131" spans="2:9" ht="29.25" hidden="1" x14ac:dyDescent="0.4">
      <c r="B8131" s="8" t="s">
        <v>12192</v>
      </c>
      <c r="C8131" s="3" t="s">
        <v>13054</v>
      </c>
      <c r="D8131" s="3" t="s">
        <v>13061</v>
      </c>
      <c r="F8131" s="3" t="s">
        <v>399</v>
      </c>
      <c r="I8131" s="3" t="s">
        <v>16572</v>
      </c>
    </row>
    <row r="8132" spans="2:9" hidden="1" x14ac:dyDescent="0.4">
      <c r="B8132" s="8" t="s">
        <v>517</v>
      </c>
      <c r="C8132" s="3" t="s">
        <v>13055</v>
      </c>
      <c r="D8132" s="3" t="s">
        <v>13062</v>
      </c>
      <c r="F8132" s="3" t="s">
        <v>399</v>
      </c>
      <c r="I8132" s="3" t="s">
        <v>16572</v>
      </c>
    </row>
    <row r="8133" spans="2:9" hidden="1" x14ac:dyDescent="0.4">
      <c r="B8133" s="8" t="s">
        <v>6733</v>
      </c>
      <c r="C8133" s="3" t="s">
        <v>13056</v>
      </c>
      <c r="D8133" s="3" t="s">
        <v>13063</v>
      </c>
      <c r="F8133" s="3" t="s">
        <v>399</v>
      </c>
      <c r="I8133" s="3" t="s">
        <v>16572</v>
      </c>
    </row>
    <row r="8134" spans="2:9" hidden="1" x14ac:dyDescent="0.4">
      <c r="B8134" s="8" t="s">
        <v>6731</v>
      </c>
      <c r="C8134" s="3" t="s">
        <v>13057</v>
      </c>
      <c r="D8134" s="3" t="s">
        <v>13064</v>
      </c>
      <c r="F8134" s="3" t="s">
        <v>399</v>
      </c>
      <c r="I8134" s="3" t="s">
        <v>16572</v>
      </c>
    </row>
    <row r="8135" spans="2:9" hidden="1" x14ac:dyDescent="0.4">
      <c r="B8135" s="8" t="s">
        <v>517</v>
      </c>
      <c r="C8135" s="3" t="s">
        <v>13058</v>
      </c>
      <c r="D8135" s="3" t="s">
        <v>13065</v>
      </c>
      <c r="F8135" s="3" t="s">
        <v>399</v>
      </c>
      <c r="I8135" s="3" t="s">
        <v>16572</v>
      </c>
    </row>
    <row r="8136" spans="2:9" hidden="1" x14ac:dyDescent="0.4">
      <c r="B8136" s="8" t="s">
        <v>517</v>
      </c>
      <c r="C8136" s="3" t="s">
        <v>13059</v>
      </c>
      <c r="D8136" s="3" t="s">
        <v>13066</v>
      </c>
      <c r="F8136" s="3" t="s">
        <v>399</v>
      </c>
      <c r="I8136" s="3" t="s">
        <v>16572</v>
      </c>
    </row>
    <row r="8137" spans="2:9" hidden="1" x14ac:dyDescent="0.4">
      <c r="D8137" s="3" t="s">
        <v>13067</v>
      </c>
      <c r="F8137" s="3" t="s">
        <v>399</v>
      </c>
      <c r="I8137" s="3" t="s">
        <v>16572</v>
      </c>
    </row>
    <row r="8138" spans="2:9" hidden="1" x14ac:dyDescent="0.4">
      <c r="B8138" s="8" t="s">
        <v>6731</v>
      </c>
      <c r="C8138" s="3" t="s">
        <v>13060</v>
      </c>
      <c r="D8138" s="3" t="s">
        <v>13068</v>
      </c>
      <c r="F8138" s="3" t="s">
        <v>399</v>
      </c>
      <c r="I8138" s="3" t="s">
        <v>16572</v>
      </c>
    </row>
    <row r="8139" spans="2:9" hidden="1" x14ac:dyDescent="0.4">
      <c r="D8139" s="3" t="s">
        <v>13069</v>
      </c>
      <c r="F8139" s="3" t="s">
        <v>399</v>
      </c>
      <c r="I8139" s="3" t="s">
        <v>16572</v>
      </c>
    </row>
    <row r="8140" spans="2:9" hidden="1" x14ac:dyDescent="0.4">
      <c r="D8140" s="3" t="s">
        <v>13070</v>
      </c>
      <c r="F8140" s="3" t="s">
        <v>399</v>
      </c>
      <c r="I8140" s="3" t="s">
        <v>16572</v>
      </c>
    </row>
    <row r="8141" spans="2:9" hidden="1" x14ac:dyDescent="0.4">
      <c r="D8141" s="3" t="s">
        <v>13071</v>
      </c>
      <c r="F8141" s="3" t="s">
        <v>399</v>
      </c>
      <c r="I8141" s="3" t="s">
        <v>16572</v>
      </c>
    </row>
    <row r="8142" spans="2:9" hidden="1" x14ac:dyDescent="0.4">
      <c r="D8142" s="3" t="s">
        <v>13072</v>
      </c>
      <c r="F8142" s="3" t="s">
        <v>399</v>
      </c>
      <c r="I8142" s="3" t="s">
        <v>16572</v>
      </c>
    </row>
    <row r="8143" spans="2:9" hidden="1" x14ac:dyDescent="0.4">
      <c r="D8143" s="3" t="s">
        <v>13073</v>
      </c>
      <c r="F8143" s="3" t="s">
        <v>399</v>
      </c>
      <c r="I8143" s="3" t="s">
        <v>16572</v>
      </c>
    </row>
    <row r="8144" spans="2:9" hidden="1" x14ac:dyDescent="0.4">
      <c r="D8144" s="3" t="s">
        <v>13074</v>
      </c>
      <c r="F8144" s="3" t="s">
        <v>399</v>
      </c>
      <c r="I8144" s="3" t="s">
        <v>16572</v>
      </c>
    </row>
    <row r="8145" spans="2:9" hidden="1" x14ac:dyDescent="0.4">
      <c r="D8145" s="3" t="s">
        <v>13075</v>
      </c>
      <c r="F8145" s="3" t="s">
        <v>399</v>
      </c>
      <c r="I8145" s="3" t="s">
        <v>16572</v>
      </c>
    </row>
    <row r="8146" spans="2:9" hidden="1" x14ac:dyDescent="0.4">
      <c r="B8146" s="8" t="s">
        <v>517</v>
      </c>
      <c r="C8146" s="3" t="s">
        <v>13134</v>
      </c>
      <c r="D8146" s="3" t="s">
        <v>13076</v>
      </c>
      <c r="F8146" s="3" t="s">
        <v>399</v>
      </c>
      <c r="I8146" s="3" t="s">
        <v>16572</v>
      </c>
    </row>
    <row r="8147" spans="2:9" hidden="1" x14ac:dyDescent="0.4">
      <c r="D8147" s="3" t="s">
        <v>13077</v>
      </c>
      <c r="F8147" s="3" t="s">
        <v>399</v>
      </c>
      <c r="I8147" s="3" t="s">
        <v>16572</v>
      </c>
    </row>
    <row r="8148" spans="2:9" hidden="1" x14ac:dyDescent="0.4">
      <c r="D8148" s="3" t="s">
        <v>13077</v>
      </c>
      <c r="F8148" s="3" t="s">
        <v>399</v>
      </c>
      <c r="I8148" s="3" t="s">
        <v>16572</v>
      </c>
    </row>
    <row r="8149" spans="2:9" hidden="1" x14ac:dyDescent="0.4">
      <c r="D8149" s="3" t="s">
        <v>13078</v>
      </c>
      <c r="F8149" s="3" t="s">
        <v>399</v>
      </c>
      <c r="I8149" s="3" t="s">
        <v>16572</v>
      </c>
    </row>
    <row r="8150" spans="2:9" hidden="1" x14ac:dyDescent="0.4">
      <c r="D8150" s="3" t="s">
        <v>13079</v>
      </c>
      <c r="F8150" s="3" t="s">
        <v>399</v>
      </c>
      <c r="I8150" s="3" t="s">
        <v>16572</v>
      </c>
    </row>
    <row r="8151" spans="2:9" hidden="1" x14ac:dyDescent="0.4">
      <c r="D8151" s="3" t="s">
        <v>13080</v>
      </c>
      <c r="F8151" s="3" t="s">
        <v>399</v>
      </c>
      <c r="I8151" s="3" t="s">
        <v>16572</v>
      </c>
    </row>
    <row r="8152" spans="2:9" hidden="1" x14ac:dyDescent="0.4">
      <c r="D8152" s="3" t="s">
        <v>13081</v>
      </c>
      <c r="F8152" s="3" t="s">
        <v>399</v>
      </c>
      <c r="I8152" s="3" t="s">
        <v>16572</v>
      </c>
    </row>
    <row r="8153" spans="2:9" hidden="1" x14ac:dyDescent="0.4">
      <c r="D8153" s="3" t="s">
        <v>13082</v>
      </c>
      <c r="F8153" s="3" t="s">
        <v>399</v>
      </c>
      <c r="I8153" s="3" t="s">
        <v>16572</v>
      </c>
    </row>
    <row r="8154" spans="2:9" hidden="1" x14ac:dyDescent="0.4">
      <c r="D8154" s="3" t="s">
        <v>13083</v>
      </c>
      <c r="F8154" s="3" t="s">
        <v>399</v>
      </c>
      <c r="I8154" s="3" t="s">
        <v>16572</v>
      </c>
    </row>
    <row r="8155" spans="2:9" hidden="1" x14ac:dyDescent="0.4">
      <c r="D8155" s="3" t="s">
        <v>13084</v>
      </c>
      <c r="F8155" s="3" t="s">
        <v>399</v>
      </c>
      <c r="I8155" s="3" t="s">
        <v>16572</v>
      </c>
    </row>
    <row r="8156" spans="2:9" hidden="1" x14ac:dyDescent="0.4">
      <c r="D8156" s="3" t="s">
        <v>13085</v>
      </c>
      <c r="F8156" s="3" t="s">
        <v>399</v>
      </c>
      <c r="I8156" s="3" t="s">
        <v>16572</v>
      </c>
    </row>
    <row r="8157" spans="2:9" hidden="1" x14ac:dyDescent="0.4">
      <c r="D8157" s="3" t="s">
        <v>13086</v>
      </c>
      <c r="F8157" s="3" t="s">
        <v>399</v>
      </c>
      <c r="I8157" s="3" t="s">
        <v>16572</v>
      </c>
    </row>
    <row r="8158" spans="2:9" hidden="1" x14ac:dyDescent="0.4">
      <c r="D8158" s="3" t="s">
        <v>13087</v>
      </c>
      <c r="F8158" s="3" t="s">
        <v>399</v>
      </c>
      <c r="I8158" s="3" t="s">
        <v>16572</v>
      </c>
    </row>
    <row r="8159" spans="2:9" hidden="1" x14ac:dyDescent="0.4">
      <c r="D8159" s="3" t="s">
        <v>13088</v>
      </c>
      <c r="F8159" s="3" t="s">
        <v>399</v>
      </c>
      <c r="I8159" s="3" t="s">
        <v>16572</v>
      </c>
    </row>
    <row r="8160" spans="2:9" hidden="1" x14ac:dyDescent="0.4">
      <c r="D8160" s="3" t="s">
        <v>13089</v>
      </c>
      <c r="F8160" s="3" t="s">
        <v>399</v>
      </c>
      <c r="I8160" s="3" t="s">
        <v>16572</v>
      </c>
    </row>
    <row r="8161" spans="2:9" hidden="1" x14ac:dyDescent="0.4">
      <c r="D8161" s="3" t="s">
        <v>13090</v>
      </c>
      <c r="F8161" s="3" t="s">
        <v>399</v>
      </c>
      <c r="I8161" s="3" t="s">
        <v>16572</v>
      </c>
    </row>
    <row r="8162" spans="2:9" hidden="1" x14ac:dyDescent="0.4">
      <c r="D8162" s="3" t="s">
        <v>13091</v>
      </c>
      <c r="F8162" s="3" t="s">
        <v>399</v>
      </c>
      <c r="I8162" s="3" t="s">
        <v>16572</v>
      </c>
    </row>
    <row r="8163" spans="2:9" hidden="1" x14ac:dyDescent="0.4">
      <c r="D8163" s="3" t="s">
        <v>13092</v>
      </c>
      <c r="F8163" s="3" t="s">
        <v>399</v>
      </c>
      <c r="I8163" s="3" t="s">
        <v>16572</v>
      </c>
    </row>
    <row r="8164" spans="2:9" hidden="1" x14ac:dyDescent="0.4">
      <c r="D8164" s="3" t="s">
        <v>13093</v>
      </c>
      <c r="F8164" s="3" t="s">
        <v>399</v>
      </c>
      <c r="I8164" s="3" t="s">
        <v>16572</v>
      </c>
    </row>
    <row r="8165" spans="2:9" hidden="1" x14ac:dyDescent="0.4">
      <c r="D8165" s="3" t="s">
        <v>13094</v>
      </c>
      <c r="F8165" s="3" t="s">
        <v>399</v>
      </c>
      <c r="I8165" s="3" t="s">
        <v>16572</v>
      </c>
    </row>
    <row r="8166" spans="2:9" hidden="1" x14ac:dyDescent="0.4">
      <c r="D8166" s="3" t="s">
        <v>13095</v>
      </c>
      <c r="F8166" s="3" t="s">
        <v>399</v>
      </c>
      <c r="I8166" s="3" t="s">
        <v>16572</v>
      </c>
    </row>
    <row r="8167" spans="2:9" hidden="1" x14ac:dyDescent="0.4">
      <c r="D8167" s="3" t="s">
        <v>13096</v>
      </c>
      <c r="F8167" s="3" t="s">
        <v>399</v>
      </c>
      <c r="I8167" s="3" t="s">
        <v>16572</v>
      </c>
    </row>
    <row r="8168" spans="2:9" hidden="1" x14ac:dyDescent="0.4">
      <c r="D8168" s="3" t="s">
        <v>13097</v>
      </c>
      <c r="F8168" s="3" t="s">
        <v>399</v>
      </c>
      <c r="I8168" s="3" t="s">
        <v>16572</v>
      </c>
    </row>
    <row r="8169" spans="2:9" hidden="1" x14ac:dyDescent="0.4">
      <c r="D8169" s="3" t="s">
        <v>13098</v>
      </c>
      <c r="F8169" s="3" t="s">
        <v>399</v>
      </c>
      <c r="I8169" s="3" t="s">
        <v>16572</v>
      </c>
    </row>
    <row r="8170" spans="2:9" hidden="1" x14ac:dyDescent="0.4">
      <c r="D8170" s="3" t="s">
        <v>13099</v>
      </c>
      <c r="F8170" s="3" t="s">
        <v>399</v>
      </c>
      <c r="I8170" s="3" t="s">
        <v>16572</v>
      </c>
    </row>
    <row r="8171" spans="2:9" hidden="1" x14ac:dyDescent="0.4">
      <c r="D8171" s="3" t="s">
        <v>13100</v>
      </c>
      <c r="F8171" s="3" t="s">
        <v>399</v>
      </c>
      <c r="I8171" s="3" t="s">
        <v>16572</v>
      </c>
    </row>
    <row r="8172" spans="2:9" hidden="1" x14ac:dyDescent="0.4">
      <c r="B8172" s="8" t="s">
        <v>13150</v>
      </c>
      <c r="D8172" s="3" t="s">
        <v>13101</v>
      </c>
      <c r="F8172" s="3" t="s">
        <v>399</v>
      </c>
      <c r="I8172" s="3" t="s">
        <v>16572</v>
      </c>
    </row>
    <row r="8173" spans="2:9" hidden="1" x14ac:dyDescent="0.4">
      <c r="B8173" s="8" t="s">
        <v>518</v>
      </c>
      <c r="C8173" s="3" t="s">
        <v>13135</v>
      </c>
      <c r="D8173" s="3" t="s">
        <v>13102</v>
      </c>
      <c r="F8173" s="3" t="s">
        <v>399</v>
      </c>
      <c r="I8173" s="3" t="s">
        <v>16572</v>
      </c>
    </row>
    <row r="8174" spans="2:9" hidden="1" x14ac:dyDescent="0.4">
      <c r="D8174" s="3" t="s">
        <v>13103</v>
      </c>
      <c r="F8174" s="3" t="s">
        <v>399</v>
      </c>
      <c r="I8174" s="3" t="s">
        <v>16572</v>
      </c>
    </row>
    <row r="8175" spans="2:9" hidden="1" x14ac:dyDescent="0.4">
      <c r="B8175" s="8" t="s">
        <v>517</v>
      </c>
      <c r="C8175" s="3" t="s">
        <v>13136</v>
      </c>
      <c r="D8175" s="3" t="s">
        <v>13104</v>
      </c>
      <c r="F8175" s="3" t="s">
        <v>399</v>
      </c>
      <c r="I8175" s="3" t="s">
        <v>16572</v>
      </c>
    </row>
    <row r="8176" spans="2:9" hidden="1" x14ac:dyDescent="0.4">
      <c r="B8176" s="8" t="s">
        <v>517</v>
      </c>
      <c r="C8176" s="3" t="s">
        <v>13137</v>
      </c>
      <c r="D8176" s="3" t="s">
        <v>13105</v>
      </c>
      <c r="F8176" s="3" t="s">
        <v>399</v>
      </c>
      <c r="I8176" s="3" t="s">
        <v>16572</v>
      </c>
    </row>
    <row r="8177" spans="2:9" hidden="1" x14ac:dyDescent="0.4">
      <c r="D8177" s="3" t="s">
        <v>13106</v>
      </c>
      <c r="F8177" s="3" t="s">
        <v>399</v>
      </c>
      <c r="I8177" s="3" t="s">
        <v>16572</v>
      </c>
    </row>
    <row r="8178" spans="2:9" hidden="1" x14ac:dyDescent="0.4">
      <c r="D8178" s="3" t="s">
        <v>13107</v>
      </c>
      <c r="F8178" s="3" t="s">
        <v>399</v>
      </c>
      <c r="I8178" s="3" t="s">
        <v>16572</v>
      </c>
    </row>
    <row r="8179" spans="2:9" hidden="1" x14ac:dyDescent="0.4">
      <c r="D8179" s="3" t="s">
        <v>13108</v>
      </c>
      <c r="F8179" s="3" t="s">
        <v>399</v>
      </c>
      <c r="I8179" s="3" t="s">
        <v>16572</v>
      </c>
    </row>
    <row r="8180" spans="2:9" hidden="1" x14ac:dyDescent="0.4">
      <c r="B8180" s="8" t="s">
        <v>12235</v>
      </c>
      <c r="C8180" s="3" t="s">
        <v>13138</v>
      </c>
      <c r="D8180" s="3" t="s">
        <v>13102</v>
      </c>
      <c r="F8180" s="3" t="s">
        <v>399</v>
      </c>
      <c r="I8180" s="3" t="s">
        <v>16572</v>
      </c>
    </row>
    <row r="8181" spans="2:9" hidden="1" x14ac:dyDescent="0.4">
      <c r="B8181" s="8" t="s">
        <v>517</v>
      </c>
      <c r="C8181" s="3" t="s">
        <v>13139</v>
      </c>
      <c r="D8181" s="3" t="s">
        <v>13109</v>
      </c>
      <c r="F8181" s="3" t="s">
        <v>399</v>
      </c>
      <c r="I8181" s="3" t="s">
        <v>16572</v>
      </c>
    </row>
    <row r="8182" spans="2:9" hidden="1" x14ac:dyDescent="0.4">
      <c r="B8182" s="8" t="s">
        <v>529</v>
      </c>
      <c r="C8182" s="3" t="s">
        <v>13140</v>
      </c>
      <c r="D8182" s="3" t="s">
        <v>13110</v>
      </c>
      <c r="F8182" s="3" t="s">
        <v>399</v>
      </c>
      <c r="I8182" s="3" t="s">
        <v>16572</v>
      </c>
    </row>
    <row r="8183" spans="2:9" hidden="1" x14ac:dyDescent="0.4">
      <c r="B8183" s="8" t="s">
        <v>517</v>
      </c>
      <c r="C8183" s="3" t="s">
        <v>13141</v>
      </c>
      <c r="D8183" s="3" t="s">
        <v>13111</v>
      </c>
      <c r="F8183" s="3" t="s">
        <v>399</v>
      </c>
      <c r="I8183" s="3" t="s">
        <v>16572</v>
      </c>
    </row>
    <row r="8184" spans="2:9" hidden="1" x14ac:dyDescent="0.4">
      <c r="B8184" s="8" t="s">
        <v>531</v>
      </c>
      <c r="C8184" s="3" t="s">
        <v>13142</v>
      </c>
      <c r="D8184" s="3" t="s">
        <v>13112</v>
      </c>
      <c r="F8184" s="3" t="s">
        <v>399</v>
      </c>
      <c r="I8184" s="3" t="s">
        <v>16572</v>
      </c>
    </row>
    <row r="8185" spans="2:9" hidden="1" x14ac:dyDescent="0.4">
      <c r="B8185" s="8" t="s">
        <v>517</v>
      </c>
      <c r="C8185" s="3" t="s">
        <v>13143</v>
      </c>
      <c r="D8185" s="3" t="s">
        <v>13113</v>
      </c>
      <c r="F8185" s="3" t="s">
        <v>399</v>
      </c>
      <c r="I8185" s="3" t="s">
        <v>16572</v>
      </c>
    </row>
    <row r="8186" spans="2:9" hidden="1" x14ac:dyDescent="0.4">
      <c r="B8186" s="8" t="s">
        <v>517</v>
      </c>
      <c r="C8186" s="3" t="s">
        <v>13144</v>
      </c>
      <c r="D8186" s="3" t="s">
        <v>13114</v>
      </c>
      <c r="F8186" s="3" t="s">
        <v>399</v>
      </c>
      <c r="I8186" s="3" t="s">
        <v>16572</v>
      </c>
    </row>
    <row r="8187" spans="2:9" hidden="1" x14ac:dyDescent="0.4">
      <c r="B8187" s="8" t="s">
        <v>529</v>
      </c>
      <c r="C8187" s="3" t="s">
        <v>13145</v>
      </c>
      <c r="D8187" s="3" t="s">
        <v>13115</v>
      </c>
      <c r="F8187" s="3" t="s">
        <v>399</v>
      </c>
      <c r="I8187" s="3" t="s">
        <v>16572</v>
      </c>
    </row>
    <row r="8188" spans="2:9" hidden="1" x14ac:dyDescent="0.4">
      <c r="B8188" s="8" t="s">
        <v>529</v>
      </c>
      <c r="C8188" s="3" t="s">
        <v>13146</v>
      </c>
      <c r="D8188" s="3" t="s">
        <v>13116</v>
      </c>
      <c r="F8188" s="3" t="s">
        <v>399</v>
      </c>
      <c r="I8188" s="3" t="s">
        <v>16572</v>
      </c>
    </row>
    <row r="8189" spans="2:9" hidden="1" x14ac:dyDescent="0.4">
      <c r="B8189" s="8" t="s">
        <v>520</v>
      </c>
      <c r="C8189" s="3" t="s">
        <v>13147</v>
      </c>
      <c r="D8189" s="3" t="s">
        <v>13116</v>
      </c>
      <c r="F8189" s="3" t="s">
        <v>399</v>
      </c>
      <c r="I8189" s="3" t="s">
        <v>16572</v>
      </c>
    </row>
    <row r="8190" spans="2:9" hidden="1" x14ac:dyDescent="0.4">
      <c r="D8190" s="3" t="s">
        <v>13117</v>
      </c>
      <c r="F8190" s="3" t="s">
        <v>399</v>
      </c>
      <c r="I8190" s="3" t="s">
        <v>16572</v>
      </c>
    </row>
    <row r="8191" spans="2:9" hidden="1" x14ac:dyDescent="0.4">
      <c r="D8191" s="3" t="s">
        <v>13118</v>
      </c>
      <c r="F8191" s="3" t="s">
        <v>399</v>
      </c>
      <c r="I8191" s="3" t="s">
        <v>16572</v>
      </c>
    </row>
    <row r="8192" spans="2:9" hidden="1" x14ac:dyDescent="0.4">
      <c r="D8192" s="3" t="s">
        <v>13119</v>
      </c>
      <c r="F8192" s="3" t="s">
        <v>399</v>
      </c>
      <c r="I8192" s="3" t="s">
        <v>16572</v>
      </c>
    </row>
    <row r="8193" spans="2:9" hidden="1" x14ac:dyDescent="0.4">
      <c r="D8193" s="3" t="s">
        <v>13120</v>
      </c>
      <c r="F8193" s="3" t="s">
        <v>399</v>
      </c>
      <c r="I8193" s="3" t="s">
        <v>16572</v>
      </c>
    </row>
    <row r="8194" spans="2:9" hidden="1" x14ac:dyDescent="0.4">
      <c r="D8194" s="3" t="s">
        <v>13121</v>
      </c>
      <c r="F8194" s="3" t="s">
        <v>399</v>
      </c>
      <c r="I8194" s="3" t="s">
        <v>16572</v>
      </c>
    </row>
    <row r="8195" spans="2:9" hidden="1" x14ac:dyDescent="0.4">
      <c r="D8195" s="3" t="s">
        <v>13186</v>
      </c>
      <c r="F8195" s="3" t="s">
        <v>399</v>
      </c>
      <c r="I8195" s="3" t="s">
        <v>16572</v>
      </c>
    </row>
    <row r="8196" spans="2:9" hidden="1" x14ac:dyDescent="0.4">
      <c r="D8196" s="3" t="s">
        <v>13122</v>
      </c>
      <c r="F8196" s="3" t="s">
        <v>399</v>
      </c>
      <c r="I8196" s="3" t="s">
        <v>16572</v>
      </c>
    </row>
    <row r="8197" spans="2:9" hidden="1" x14ac:dyDescent="0.4">
      <c r="D8197" s="3" t="s">
        <v>13123</v>
      </c>
      <c r="F8197" s="3" t="s">
        <v>399</v>
      </c>
      <c r="I8197" s="3" t="s">
        <v>16572</v>
      </c>
    </row>
    <row r="8198" spans="2:9" hidden="1" x14ac:dyDescent="0.4">
      <c r="D8198" s="3" t="s">
        <v>13124</v>
      </c>
      <c r="F8198" s="3" t="s">
        <v>399</v>
      </c>
      <c r="I8198" s="3" t="s">
        <v>16572</v>
      </c>
    </row>
    <row r="8199" spans="2:9" hidden="1" x14ac:dyDescent="0.4">
      <c r="D8199" s="3" t="s">
        <v>13125</v>
      </c>
      <c r="F8199" s="3" t="s">
        <v>399</v>
      </c>
      <c r="I8199" s="3" t="s">
        <v>16572</v>
      </c>
    </row>
    <row r="8200" spans="2:9" hidden="1" x14ac:dyDescent="0.4">
      <c r="B8200" s="8" t="s">
        <v>526</v>
      </c>
      <c r="C8200" s="3" t="s">
        <v>11259</v>
      </c>
      <c r="D8200" s="3" t="s">
        <v>11443</v>
      </c>
      <c r="F8200" s="3" t="s">
        <v>399</v>
      </c>
      <c r="I8200" s="3" t="s">
        <v>16572</v>
      </c>
    </row>
    <row r="8201" spans="2:9" hidden="1" x14ac:dyDescent="0.4">
      <c r="B8201" s="8" t="s">
        <v>518</v>
      </c>
      <c r="C8201" s="3" t="s">
        <v>11260</v>
      </c>
      <c r="D8201" s="3" t="s">
        <v>11443</v>
      </c>
      <c r="F8201" s="3" t="s">
        <v>399</v>
      </c>
      <c r="I8201" s="3" t="s">
        <v>16572</v>
      </c>
    </row>
    <row r="8202" spans="2:9" hidden="1" x14ac:dyDescent="0.4">
      <c r="B8202" s="8" t="s">
        <v>526</v>
      </c>
      <c r="C8202" s="3" t="s">
        <v>11261</v>
      </c>
      <c r="D8202" s="3" t="s">
        <v>11444</v>
      </c>
      <c r="F8202" s="3" t="s">
        <v>399</v>
      </c>
      <c r="I8202" s="3" t="s">
        <v>16572</v>
      </c>
    </row>
    <row r="8203" spans="2:9" hidden="1" x14ac:dyDescent="0.4">
      <c r="D8203" s="3" t="s">
        <v>13126</v>
      </c>
      <c r="F8203" s="3" t="s">
        <v>399</v>
      </c>
      <c r="I8203" s="3" t="s">
        <v>16572</v>
      </c>
    </row>
    <row r="8204" spans="2:9" hidden="1" x14ac:dyDescent="0.4">
      <c r="D8204" s="3" t="s">
        <v>13127</v>
      </c>
      <c r="F8204" s="3" t="s">
        <v>399</v>
      </c>
      <c r="I8204" s="3" t="s">
        <v>16572</v>
      </c>
    </row>
    <row r="8205" spans="2:9" hidden="1" x14ac:dyDescent="0.4">
      <c r="D8205" s="3" t="s">
        <v>13128</v>
      </c>
      <c r="F8205" s="3" t="s">
        <v>399</v>
      </c>
      <c r="I8205" s="3" t="s">
        <v>16572</v>
      </c>
    </row>
    <row r="8206" spans="2:9" hidden="1" x14ac:dyDescent="0.4">
      <c r="D8206" s="3" t="s">
        <v>13129</v>
      </c>
      <c r="F8206" s="3" t="s">
        <v>399</v>
      </c>
      <c r="I8206" s="3" t="s">
        <v>16572</v>
      </c>
    </row>
    <row r="8207" spans="2:9" hidden="1" x14ac:dyDescent="0.4">
      <c r="D8207" s="3" t="s">
        <v>13130</v>
      </c>
      <c r="F8207" s="3" t="s">
        <v>399</v>
      </c>
      <c r="I8207" s="3" t="s">
        <v>16572</v>
      </c>
    </row>
    <row r="8208" spans="2:9" hidden="1" x14ac:dyDescent="0.4">
      <c r="D8208" s="3" t="s">
        <v>13131</v>
      </c>
      <c r="F8208" s="3" t="s">
        <v>399</v>
      </c>
      <c r="I8208" s="3" t="s">
        <v>16572</v>
      </c>
    </row>
    <row r="8209" spans="2:9" hidden="1" x14ac:dyDescent="0.4">
      <c r="D8209" s="3" t="s">
        <v>13132</v>
      </c>
      <c r="F8209" s="3" t="s">
        <v>399</v>
      </c>
      <c r="I8209" s="3" t="s">
        <v>16572</v>
      </c>
    </row>
    <row r="8210" spans="2:9" hidden="1" x14ac:dyDescent="0.4">
      <c r="D8210" s="3" t="s">
        <v>13133</v>
      </c>
      <c r="F8210" s="3" t="s">
        <v>399</v>
      </c>
      <c r="I8210" s="3" t="s">
        <v>16572</v>
      </c>
    </row>
    <row r="8211" spans="2:9" hidden="1" x14ac:dyDescent="0.4">
      <c r="B8211" s="8" t="s">
        <v>530</v>
      </c>
      <c r="C8211" s="3" t="s">
        <v>13549</v>
      </c>
      <c r="D8211" s="3" t="s">
        <v>13151</v>
      </c>
      <c r="F8211" s="3" t="s">
        <v>399</v>
      </c>
      <c r="I8211" s="3" t="s">
        <v>16572</v>
      </c>
    </row>
    <row r="8212" spans="2:9" hidden="1" x14ac:dyDescent="0.4">
      <c r="B8212" s="8" t="s">
        <v>13564</v>
      </c>
      <c r="C8212" s="3" t="s">
        <v>13550</v>
      </c>
      <c r="D8212" s="3" t="s">
        <v>13151</v>
      </c>
      <c r="F8212" s="3" t="s">
        <v>399</v>
      </c>
      <c r="I8212" s="3" t="s">
        <v>16572</v>
      </c>
    </row>
    <row r="8213" spans="2:9" hidden="1" x14ac:dyDescent="0.4">
      <c r="B8213" s="8" t="s">
        <v>530</v>
      </c>
      <c r="C8213" s="3" t="s">
        <v>13551</v>
      </c>
      <c r="D8213" s="3" t="s">
        <v>13152</v>
      </c>
      <c r="F8213" s="3" t="s">
        <v>399</v>
      </c>
      <c r="I8213" s="3" t="s">
        <v>16572</v>
      </c>
    </row>
    <row r="8214" spans="2:9" hidden="1" x14ac:dyDescent="0.4">
      <c r="D8214" s="3" t="s">
        <v>11559</v>
      </c>
      <c r="F8214" s="3" t="s">
        <v>399</v>
      </c>
      <c r="I8214" s="3" t="s">
        <v>16572</v>
      </c>
    </row>
    <row r="8215" spans="2:9" hidden="1" x14ac:dyDescent="0.4">
      <c r="B8215" s="8" t="s">
        <v>6734</v>
      </c>
      <c r="C8215" s="3" t="s">
        <v>13552</v>
      </c>
      <c r="D8215" s="3" t="s">
        <v>13153</v>
      </c>
      <c r="F8215" s="3" t="s">
        <v>399</v>
      </c>
      <c r="I8215" s="3" t="s">
        <v>16572</v>
      </c>
    </row>
    <row r="8216" spans="2:9" hidden="1" x14ac:dyDescent="0.4">
      <c r="D8216" s="3" t="s">
        <v>13154</v>
      </c>
      <c r="F8216" s="3" t="s">
        <v>399</v>
      </c>
      <c r="I8216" s="3" t="s">
        <v>16572</v>
      </c>
    </row>
    <row r="8217" spans="2:9" hidden="1" x14ac:dyDescent="0.4">
      <c r="D8217" s="3" t="s">
        <v>13155</v>
      </c>
      <c r="F8217" s="3" t="s">
        <v>399</v>
      </c>
      <c r="I8217" s="3" t="s">
        <v>16572</v>
      </c>
    </row>
    <row r="8218" spans="2:9" hidden="1" x14ac:dyDescent="0.4">
      <c r="B8218" s="8" t="s">
        <v>529</v>
      </c>
      <c r="C8218" s="3" t="s">
        <v>13553</v>
      </c>
      <c r="D8218" s="3" t="s">
        <v>13156</v>
      </c>
      <c r="F8218" s="3" t="s">
        <v>399</v>
      </c>
      <c r="I8218" s="3" t="s">
        <v>16572</v>
      </c>
    </row>
    <row r="8219" spans="2:9" hidden="1" x14ac:dyDescent="0.4">
      <c r="B8219" s="8" t="s">
        <v>518</v>
      </c>
      <c r="C8219" s="3" t="s">
        <v>13554</v>
      </c>
      <c r="D8219" s="3" t="s">
        <v>13156</v>
      </c>
      <c r="F8219" s="3" t="s">
        <v>399</v>
      </c>
      <c r="I8219" s="3" t="s">
        <v>16572</v>
      </c>
    </row>
    <row r="8220" spans="2:9" hidden="1" x14ac:dyDescent="0.4">
      <c r="B8220" s="8" t="s">
        <v>517</v>
      </c>
      <c r="C8220" s="3" t="s">
        <v>13555</v>
      </c>
      <c r="D8220" s="3" t="s">
        <v>13156</v>
      </c>
      <c r="F8220" s="3" t="s">
        <v>399</v>
      </c>
      <c r="I8220" s="3" t="s">
        <v>16572</v>
      </c>
    </row>
    <row r="8221" spans="2:9" hidden="1" x14ac:dyDescent="0.4">
      <c r="D8221" s="3" t="s">
        <v>13157</v>
      </c>
      <c r="F8221" s="3" t="s">
        <v>399</v>
      </c>
      <c r="I8221" s="3" t="s">
        <v>16572</v>
      </c>
    </row>
    <row r="8222" spans="2:9" hidden="1" x14ac:dyDescent="0.4">
      <c r="D8222" s="3" t="s">
        <v>13158</v>
      </c>
      <c r="F8222" s="3" t="s">
        <v>399</v>
      </c>
      <c r="I8222" s="3" t="s">
        <v>16572</v>
      </c>
    </row>
    <row r="8223" spans="2:9" hidden="1" x14ac:dyDescent="0.4">
      <c r="D8223" s="3" t="s">
        <v>13159</v>
      </c>
      <c r="F8223" s="3" t="s">
        <v>399</v>
      </c>
      <c r="I8223" s="3" t="s">
        <v>16572</v>
      </c>
    </row>
    <row r="8224" spans="2:9" hidden="1" x14ac:dyDescent="0.4">
      <c r="B8224" s="8" t="s">
        <v>518</v>
      </c>
      <c r="C8224" s="3" t="s">
        <v>13556</v>
      </c>
      <c r="D8224" s="3" t="s">
        <v>13160</v>
      </c>
      <c r="F8224" s="3" t="s">
        <v>399</v>
      </c>
      <c r="I8224" s="3" t="s">
        <v>16572</v>
      </c>
    </row>
    <row r="8225" spans="2:9" hidden="1" x14ac:dyDescent="0.4">
      <c r="B8225" s="8" t="s">
        <v>518</v>
      </c>
      <c r="C8225" s="3" t="s">
        <v>13557</v>
      </c>
      <c r="D8225" s="3" t="s">
        <v>13161</v>
      </c>
      <c r="F8225" s="3" t="s">
        <v>399</v>
      </c>
      <c r="I8225" s="3" t="s">
        <v>16572</v>
      </c>
    </row>
    <row r="8226" spans="2:9" hidden="1" x14ac:dyDescent="0.4">
      <c r="B8226" s="8" t="s">
        <v>518</v>
      </c>
      <c r="C8226" s="3" t="s">
        <v>13558</v>
      </c>
      <c r="D8226" s="3" t="s">
        <v>13162</v>
      </c>
      <c r="F8226" s="3" t="s">
        <v>399</v>
      </c>
      <c r="I8226" s="3" t="s">
        <v>16572</v>
      </c>
    </row>
    <row r="8227" spans="2:9" hidden="1" x14ac:dyDescent="0.4">
      <c r="B8227" s="8" t="s">
        <v>517</v>
      </c>
      <c r="C8227" s="3" t="s">
        <v>13559</v>
      </c>
      <c r="D8227" s="3" t="s">
        <v>13163</v>
      </c>
      <c r="F8227" s="3" t="s">
        <v>399</v>
      </c>
      <c r="I8227" s="3" t="s">
        <v>16572</v>
      </c>
    </row>
    <row r="8228" spans="2:9" hidden="1" x14ac:dyDescent="0.4">
      <c r="B8228" s="8" t="s">
        <v>517</v>
      </c>
      <c r="C8228" s="3" t="s">
        <v>13560</v>
      </c>
      <c r="D8228" s="3" t="s">
        <v>13164</v>
      </c>
      <c r="F8228" s="3" t="s">
        <v>399</v>
      </c>
      <c r="I8228" s="3" t="s">
        <v>16572</v>
      </c>
    </row>
    <row r="8229" spans="2:9" hidden="1" x14ac:dyDescent="0.4">
      <c r="B8229" s="8" t="s">
        <v>529</v>
      </c>
      <c r="C8229" s="3" t="s">
        <v>13561</v>
      </c>
      <c r="D8229" s="3" t="s">
        <v>13165</v>
      </c>
      <c r="F8229" s="3" t="s">
        <v>399</v>
      </c>
      <c r="I8229" s="3" t="s">
        <v>16572</v>
      </c>
    </row>
    <row r="8230" spans="2:9" hidden="1" x14ac:dyDescent="0.4">
      <c r="B8230" s="8" t="s">
        <v>529</v>
      </c>
      <c r="C8230" s="3" t="s">
        <v>13562</v>
      </c>
      <c r="D8230" s="3" t="s">
        <v>13165</v>
      </c>
      <c r="F8230" s="3" t="s">
        <v>399</v>
      </c>
      <c r="I8230" s="3" t="s">
        <v>16572</v>
      </c>
    </row>
    <row r="8231" spans="2:9" hidden="1" x14ac:dyDescent="0.4">
      <c r="B8231" s="8" t="s">
        <v>4055</v>
      </c>
      <c r="C8231" s="3" t="s">
        <v>13563</v>
      </c>
      <c r="D8231" s="3" t="s">
        <v>13166</v>
      </c>
      <c r="F8231" s="3" t="s">
        <v>399</v>
      </c>
      <c r="I8231" s="3" t="s">
        <v>16572</v>
      </c>
    </row>
    <row r="8232" spans="2:9" hidden="1" x14ac:dyDescent="0.4">
      <c r="B8232" s="8" t="s">
        <v>529</v>
      </c>
      <c r="C8232" s="3" t="s">
        <v>6631</v>
      </c>
      <c r="D8232" s="3" t="s">
        <v>13167</v>
      </c>
      <c r="F8232" s="3" t="s">
        <v>399</v>
      </c>
      <c r="I8232" s="3" t="s">
        <v>16572</v>
      </c>
    </row>
    <row r="8233" spans="2:9" hidden="1" x14ac:dyDescent="0.4">
      <c r="B8233" s="8" t="s">
        <v>517</v>
      </c>
      <c r="C8233" s="3" t="s">
        <v>6788</v>
      </c>
      <c r="D8233" s="3" t="s">
        <v>13167</v>
      </c>
      <c r="F8233" s="3" t="s">
        <v>399</v>
      </c>
      <c r="I8233" s="3" t="s">
        <v>16572</v>
      </c>
    </row>
    <row r="8234" spans="2:9" hidden="1" x14ac:dyDescent="0.4">
      <c r="D8234" s="3" t="s">
        <v>13168</v>
      </c>
      <c r="F8234" s="3" t="s">
        <v>399</v>
      </c>
      <c r="I8234" s="3" t="s">
        <v>16572</v>
      </c>
    </row>
    <row r="8235" spans="2:9" hidden="1" x14ac:dyDescent="0.4">
      <c r="D8235" s="3" t="s">
        <v>13169</v>
      </c>
      <c r="F8235" s="3" t="s">
        <v>399</v>
      </c>
      <c r="I8235" s="3" t="s">
        <v>16572</v>
      </c>
    </row>
    <row r="8236" spans="2:9" hidden="1" x14ac:dyDescent="0.4">
      <c r="D8236" s="3" t="s">
        <v>13167</v>
      </c>
      <c r="F8236" s="3" t="s">
        <v>399</v>
      </c>
      <c r="I8236" s="3" t="s">
        <v>16572</v>
      </c>
    </row>
    <row r="8237" spans="2:9" hidden="1" x14ac:dyDescent="0.4">
      <c r="D8237" s="3" t="s">
        <v>13170</v>
      </c>
      <c r="F8237" s="3" t="s">
        <v>399</v>
      </c>
      <c r="I8237" s="3" t="s">
        <v>16572</v>
      </c>
    </row>
    <row r="8238" spans="2:9" hidden="1" x14ac:dyDescent="0.4">
      <c r="D8238" s="3" t="s">
        <v>13171</v>
      </c>
      <c r="F8238" s="3" t="s">
        <v>399</v>
      </c>
      <c r="I8238" s="3" t="s">
        <v>16572</v>
      </c>
    </row>
    <row r="8239" spans="2:9" hidden="1" x14ac:dyDescent="0.4">
      <c r="D8239" s="3" t="s">
        <v>13172</v>
      </c>
      <c r="F8239" s="3" t="s">
        <v>399</v>
      </c>
      <c r="I8239" s="3" t="s">
        <v>16572</v>
      </c>
    </row>
    <row r="8240" spans="2:9" hidden="1" x14ac:dyDescent="0.4">
      <c r="D8240" s="3" t="s">
        <v>13173</v>
      </c>
      <c r="F8240" s="3" t="s">
        <v>399</v>
      </c>
      <c r="I8240" s="3" t="s">
        <v>16572</v>
      </c>
    </row>
    <row r="8241" spans="4:9" hidden="1" x14ac:dyDescent="0.4">
      <c r="D8241" s="3" t="s">
        <v>13174</v>
      </c>
      <c r="F8241" s="3" t="s">
        <v>399</v>
      </c>
      <c r="I8241" s="3" t="s">
        <v>16572</v>
      </c>
    </row>
    <row r="8242" spans="4:9" hidden="1" x14ac:dyDescent="0.4">
      <c r="D8242" s="3" t="s">
        <v>13175</v>
      </c>
      <c r="F8242" s="3" t="s">
        <v>399</v>
      </c>
      <c r="I8242" s="3" t="s">
        <v>16572</v>
      </c>
    </row>
    <row r="8243" spans="4:9" hidden="1" x14ac:dyDescent="0.4">
      <c r="D8243" s="3" t="s">
        <v>13176</v>
      </c>
      <c r="F8243" s="3" t="s">
        <v>399</v>
      </c>
      <c r="I8243" s="3" t="s">
        <v>16572</v>
      </c>
    </row>
    <row r="8244" spans="4:9" hidden="1" x14ac:dyDescent="0.4">
      <c r="D8244" s="3" t="s">
        <v>13177</v>
      </c>
      <c r="F8244" s="3" t="s">
        <v>399</v>
      </c>
      <c r="I8244" s="3" t="s">
        <v>16572</v>
      </c>
    </row>
    <row r="8245" spans="4:9" hidden="1" x14ac:dyDescent="0.4">
      <c r="D8245" s="3" t="s">
        <v>13178</v>
      </c>
      <c r="F8245" s="3" t="s">
        <v>399</v>
      </c>
      <c r="I8245" s="3" t="s">
        <v>16572</v>
      </c>
    </row>
    <row r="8246" spans="4:9" hidden="1" x14ac:dyDescent="0.4">
      <c r="D8246" s="3" t="s">
        <v>13179</v>
      </c>
      <c r="F8246" s="3" t="s">
        <v>399</v>
      </c>
      <c r="I8246" s="3" t="s">
        <v>16572</v>
      </c>
    </row>
    <row r="8247" spans="4:9" hidden="1" x14ac:dyDescent="0.4">
      <c r="D8247" s="3" t="s">
        <v>13180</v>
      </c>
      <c r="F8247" s="3" t="s">
        <v>399</v>
      </c>
      <c r="I8247" s="3" t="s">
        <v>16572</v>
      </c>
    </row>
    <row r="8248" spans="4:9" hidden="1" x14ac:dyDescent="0.4">
      <c r="D8248" s="3" t="s">
        <v>11565</v>
      </c>
      <c r="F8248" s="3" t="s">
        <v>399</v>
      </c>
      <c r="I8248" s="3" t="s">
        <v>16572</v>
      </c>
    </row>
    <row r="8249" spans="4:9" hidden="1" x14ac:dyDescent="0.4">
      <c r="D8249" s="3" t="s">
        <v>13181</v>
      </c>
      <c r="F8249" s="3" t="s">
        <v>399</v>
      </c>
      <c r="I8249" s="3" t="s">
        <v>16572</v>
      </c>
    </row>
    <row r="8250" spans="4:9" hidden="1" x14ac:dyDescent="0.4">
      <c r="D8250" s="3" t="s">
        <v>13182</v>
      </c>
      <c r="F8250" s="3" t="s">
        <v>399</v>
      </c>
      <c r="I8250" s="3" t="s">
        <v>16572</v>
      </c>
    </row>
    <row r="8251" spans="4:9" hidden="1" x14ac:dyDescent="0.4">
      <c r="D8251" s="3" t="s">
        <v>13183</v>
      </c>
      <c r="F8251" s="3" t="s">
        <v>399</v>
      </c>
      <c r="I8251" s="3" t="s">
        <v>16572</v>
      </c>
    </row>
    <row r="8252" spans="4:9" hidden="1" x14ac:dyDescent="0.4">
      <c r="D8252" s="3" t="s">
        <v>13184</v>
      </c>
      <c r="F8252" s="3" t="s">
        <v>399</v>
      </c>
      <c r="I8252" s="3" t="s">
        <v>16572</v>
      </c>
    </row>
    <row r="8253" spans="4:9" hidden="1" x14ac:dyDescent="0.4">
      <c r="D8253" s="3" t="s">
        <v>13185</v>
      </c>
      <c r="F8253" s="3" t="s">
        <v>399</v>
      </c>
      <c r="I8253" s="3" t="s">
        <v>16572</v>
      </c>
    </row>
    <row r="8254" spans="4:9" hidden="1" x14ac:dyDescent="0.4">
      <c r="D8254" s="3" t="s">
        <v>13187</v>
      </c>
      <c r="F8254" s="3" t="s">
        <v>399</v>
      </c>
      <c r="I8254" s="3" t="s">
        <v>16572</v>
      </c>
    </row>
    <row r="8255" spans="4:9" hidden="1" x14ac:dyDescent="0.4">
      <c r="D8255" s="3" t="s">
        <v>13188</v>
      </c>
      <c r="F8255" s="3" t="s">
        <v>399</v>
      </c>
      <c r="I8255" s="3" t="s">
        <v>16572</v>
      </c>
    </row>
    <row r="8256" spans="4:9" hidden="1" x14ac:dyDescent="0.4">
      <c r="D8256" s="3" t="s">
        <v>13189</v>
      </c>
      <c r="F8256" s="3" t="s">
        <v>399</v>
      </c>
      <c r="I8256" s="3" t="s">
        <v>16572</v>
      </c>
    </row>
    <row r="8257" spans="2:9" hidden="1" x14ac:dyDescent="0.4">
      <c r="D8257" s="3" t="s">
        <v>13190</v>
      </c>
      <c r="F8257" s="3" t="s">
        <v>399</v>
      </c>
      <c r="I8257" s="3" t="s">
        <v>16572</v>
      </c>
    </row>
    <row r="8258" spans="2:9" hidden="1" x14ac:dyDescent="0.4">
      <c r="D8258" s="3" t="s">
        <v>13191</v>
      </c>
      <c r="F8258" s="3" t="s">
        <v>399</v>
      </c>
      <c r="I8258" s="3" t="s">
        <v>16572</v>
      </c>
    </row>
    <row r="8259" spans="2:9" hidden="1" x14ac:dyDescent="0.4">
      <c r="B8259" s="8" t="s">
        <v>516</v>
      </c>
      <c r="C8259" s="3" t="s">
        <v>13565</v>
      </c>
      <c r="D8259" s="3" t="s">
        <v>13566</v>
      </c>
      <c r="F8259" s="3" t="s">
        <v>399</v>
      </c>
      <c r="I8259" s="3" t="s">
        <v>16572</v>
      </c>
    </row>
    <row r="8260" spans="2:9" hidden="1" x14ac:dyDescent="0.4">
      <c r="B8260" s="8" t="s">
        <v>517</v>
      </c>
      <c r="C8260" s="3" t="s">
        <v>13567</v>
      </c>
      <c r="D8260" s="3" t="s">
        <v>13566</v>
      </c>
      <c r="F8260" s="3" t="s">
        <v>399</v>
      </c>
      <c r="I8260" s="3" t="s">
        <v>16572</v>
      </c>
    </row>
    <row r="8261" spans="2:9" hidden="1" x14ac:dyDescent="0.4">
      <c r="D8261" s="3" t="s">
        <v>13192</v>
      </c>
      <c r="F8261" s="3" t="s">
        <v>399</v>
      </c>
      <c r="I8261" s="3" t="s">
        <v>16572</v>
      </c>
    </row>
    <row r="8262" spans="2:9" hidden="1" x14ac:dyDescent="0.4">
      <c r="D8262" s="3" t="s">
        <v>13193</v>
      </c>
      <c r="F8262" s="3" t="s">
        <v>399</v>
      </c>
      <c r="I8262" s="3" t="s">
        <v>16572</v>
      </c>
    </row>
    <row r="8263" spans="2:9" hidden="1" x14ac:dyDescent="0.4">
      <c r="D8263" s="3" t="s">
        <v>13194</v>
      </c>
      <c r="F8263" s="3" t="s">
        <v>399</v>
      </c>
      <c r="I8263" s="3" t="s">
        <v>16572</v>
      </c>
    </row>
    <row r="8264" spans="2:9" hidden="1" x14ac:dyDescent="0.4">
      <c r="D8264" s="3" t="s">
        <v>13195</v>
      </c>
      <c r="F8264" s="3" t="s">
        <v>399</v>
      </c>
      <c r="I8264" s="3" t="s">
        <v>16572</v>
      </c>
    </row>
    <row r="8265" spans="2:9" hidden="1" x14ac:dyDescent="0.4">
      <c r="D8265" s="3" t="s">
        <v>13196</v>
      </c>
      <c r="F8265" s="3" t="s">
        <v>399</v>
      </c>
      <c r="I8265" s="3" t="s">
        <v>16572</v>
      </c>
    </row>
    <row r="8266" spans="2:9" hidden="1" x14ac:dyDescent="0.4">
      <c r="D8266" s="3" t="s">
        <v>13197</v>
      </c>
      <c r="F8266" s="3" t="s">
        <v>399</v>
      </c>
      <c r="I8266" s="3" t="s">
        <v>16572</v>
      </c>
    </row>
    <row r="8267" spans="2:9" hidden="1" x14ac:dyDescent="0.4">
      <c r="D8267" s="3" t="s">
        <v>13198</v>
      </c>
      <c r="F8267" s="3" t="s">
        <v>399</v>
      </c>
      <c r="I8267" s="3" t="s">
        <v>16572</v>
      </c>
    </row>
    <row r="8268" spans="2:9" hidden="1" x14ac:dyDescent="0.4">
      <c r="D8268" s="3" t="s">
        <v>13199</v>
      </c>
      <c r="F8268" s="3" t="s">
        <v>399</v>
      </c>
      <c r="I8268" s="3" t="s">
        <v>16572</v>
      </c>
    </row>
    <row r="8269" spans="2:9" hidden="1" x14ac:dyDescent="0.4">
      <c r="D8269" s="3" t="s">
        <v>13200</v>
      </c>
      <c r="F8269" s="3" t="s">
        <v>399</v>
      </c>
      <c r="I8269" s="3" t="s">
        <v>16572</v>
      </c>
    </row>
    <row r="8270" spans="2:9" hidden="1" x14ac:dyDescent="0.4">
      <c r="D8270" s="3" t="s">
        <v>13201</v>
      </c>
      <c r="F8270" s="3" t="s">
        <v>399</v>
      </c>
      <c r="I8270" s="3" t="s">
        <v>16572</v>
      </c>
    </row>
    <row r="8271" spans="2:9" hidden="1" x14ac:dyDescent="0.4">
      <c r="D8271" s="3" t="s">
        <v>13202</v>
      </c>
      <c r="F8271" s="3" t="s">
        <v>399</v>
      </c>
      <c r="I8271" s="3" t="s">
        <v>16572</v>
      </c>
    </row>
    <row r="8272" spans="2:9" hidden="1" x14ac:dyDescent="0.4">
      <c r="D8272" s="3" t="s">
        <v>13203</v>
      </c>
      <c r="F8272" s="3" t="s">
        <v>399</v>
      </c>
      <c r="I8272" s="3" t="s">
        <v>16572</v>
      </c>
    </row>
    <row r="8273" spans="2:9" hidden="1" x14ac:dyDescent="0.4">
      <c r="D8273" s="3" t="s">
        <v>13204</v>
      </c>
      <c r="F8273" s="3" t="s">
        <v>399</v>
      </c>
      <c r="I8273" s="3" t="s">
        <v>16572</v>
      </c>
    </row>
    <row r="8274" spans="2:9" hidden="1" x14ac:dyDescent="0.4">
      <c r="D8274" s="3" t="s">
        <v>13205</v>
      </c>
      <c r="F8274" s="3" t="s">
        <v>399</v>
      </c>
      <c r="I8274" s="3" t="s">
        <v>16572</v>
      </c>
    </row>
    <row r="8275" spans="2:9" hidden="1" x14ac:dyDescent="0.4">
      <c r="D8275" s="3" t="s">
        <v>13206</v>
      </c>
      <c r="F8275" s="3" t="s">
        <v>399</v>
      </c>
      <c r="I8275" s="3" t="s">
        <v>16572</v>
      </c>
    </row>
    <row r="8276" spans="2:9" hidden="1" x14ac:dyDescent="0.4">
      <c r="D8276" s="3" t="s">
        <v>13207</v>
      </c>
      <c r="F8276" s="3" t="s">
        <v>399</v>
      </c>
      <c r="I8276" s="3" t="s">
        <v>16572</v>
      </c>
    </row>
    <row r="8277" spans="2:9" hidden="1" x14ac:dyDescent="0.4">
      <c r="D8277" s="3" t="s">
        <v>13208</v>
      </c>
      <c r="F8277" s="3" t="s">
        <v>399</v>
      </c>
      <c r="I8277" s="3" t="s">
        <v>16572</v>
      </c>
    </row>
    <row r="8278" spans="2:9" hidden="1" x14ac:dyDescent="0.4">
      <c r="D8278" s="3" t="s">
        <v>13209</v>
      </c>
      <c r="F8278" s="3" t="s">
        <v>399</v>
      </c>
      <c r="I8278" s="3" t="s">
        <v>16572</v>
      </c>
    </row>
    <row r="8279" spans="2:9" hidden="1" x14ac:dyDescent="0.4">
      <c r="D8279" s="3" t="s">
        <v>13210</v>
      </c>
      <c r="F8279" s="3" t="s">
        <v>399</v>
      </c>
      <c r="I8279" s="3" t="s">
        <v>16572</v>
      </c>
    </row>
    <row r="8280" spans="2:9" hidden="1" x14ac:dyDescent="0.4">
      <c r="D8280" s="3" t="s">
        <v>13211</v>
      </c>
      <c r="F8280" s="3" t="s">
        <v>399</v>
      </c>
      <c r="I8280" s="3" t="s">
        <v>16572</v>
      </c>
    </row>
    <row r="8281" spans="2:9" hidden="1" x14ac:dyDescent="0.4">
      <c r="D8281" s="3" t="s">
        <v>13212</v>
      </c>
      <c r="F8281" s="3" t="s">
        <v>399</v>
      </c>
      <c r="I8281" s="3" t="s">
        <v>16572</v>
      </c>
    </row>
    <row r="8282" spans="2:9" hidden="1" x14ac:dyDescent="0.4">
      <c r="B8282" s="8" t="s">
        <v>516</v>
      </c>
      <c r="C8282" s="3" t="s">
        <v>13568</v>
      </c>
      <c r="D8282" s="3" t="s">
        <v>13213</v>
      </c>
      <c r="F8282" s="3" t="s">
        <v>399</v>
      </c>
      <c r="I8282" s="3" t="s">
        <v>16572</v>
      </c>
    </row>
    <row r="8283" spans="2:9" hidden="1" x14ac:dyDescent="0.4">
      <c r="D8283" s="3" t="s">
        <v>13214</v>
      </c>
      <c r="F8283" s="3" t="s">
        <v>399</v>
      </c>
      <c r="I8283" s="3" t="s">
        <v>16572</v>
      </c>
    </row>
    <row r="8284" spans="2:9" hidden="1" x14ac:dyDescent="0.4">
      <c r="D8284" s="3" t="s">
        <v>13215</v>
      </c>
      <c r="F8284" s="3" t="s">
        <v>399</v>
      </c>
      <c r="I8284" s="3" t="s">
        <v>16572</v>
      </c>
    </row>
    <row r="8285" spans="2:9" hidden="1" x14ac:dyDescent="0.4">
      <c r="D8285" s="3" t="s">
        <v>13216</v>
      </c>
      <c r="F8285" s="3" t="s">
        <v>399</v>
      </c>
      <c r="I8285" s="3" t="s">
        <v>16572</v>
      </c>
    </row>
    <row r="8286" spans="2:9" hidden="1" x14ac:dyDescent="0.4">
      <c r="B8286" s="8" t="s">
        <v>4055</v>
      </c>
      <c r="C8286" s="3" t="s">
        <v>13569</v>
      </c>
      <c r="D8286" s="3" t="s">
        <v>13217</v>
      </c>
      <c r="F8286" s="3" t="s">
        <v>399</v>
      </c>
      <c r="I8286" s="3" t="s">
        <v>16572</v>
      </c>
    </row>
    <row r="8287" spans="2:9" hidden="1" x14ac:dyDescent="0.4">
      <c r="B8287" s="8" t="s">
        <v>526</v>
      </c>
      <c r="C8287" s="3" t="s">
        <v>13570</v>
      </c>
      <c r="D8287" s="3" t="s">
        <v>13218</v>
      </c>
      <c r="F8287" s="3" t="s">
        <v>399</v>
      </c>
      <c r="I8287" s="3" t="s">
        <v>16572</v>
      </c>
    </row>
    <row r="8288" spans="2:9" hidden="1" x14ac:dyDescent="0.4">
      <c r="B8288" s="8" t="s">
        <v>526</v>
      </c>
      <c r="C8288" s="3" t="s">
        <v>13571</v>
      </c>
      <c r="D8288" s="3" t="s">
        <v>13218</v>
      </c>
      <c r="F8288" s="3" t="s">
        <v>399</v>
      </c>
      <c r="I8288" s="3" t="s">
        <v>16572</v>
      </c>
    </row>
    <row r="8289" spans="2:9" hidden="1" x14ac:dyDescent="0.4">
      <c r="D8289" s="3" t="s">
        <v>13219</v>
      </c>
      <c r="F8289" s="3" t="s">
        <v>399</v>
      </c>
      <c r="I8289" s="3" t="s">
        <v>16572</v>
      </c>
    </row>
    <row r="8290" spans="2:9" hidden="1" x14ac:dyDescent="0.4">
      <c r="B8290" s="8" t="s">
        <v>517</v>
      </c>
      <c r="C8290" s="3" t="s">
        <v>13572</v>
      </c>
      <c r="D8290" s="3" t="s">
        <v>13220</v>
      </c>
      <c r="F8290" s="3" t="s">
        <v>399</v>
      </c>
      <c r="I8290" s="3" t="s">
        <v>16572</v>
      </c>
    </row>
    <row r="8291" spans="2:9" hidden="1" x14ac:dyDescent="0.4">
      <c r="D8291" s="3" t="s">
        <v>13221</v>
      </c>
      <c r="F8291" s="3" t="s">
        <v>399</v>
      </c>
      <c r="I8291" s="3" t="s">
        <v>16572</v>
      </c>
    </row>
    <row r="8292" spans="2:9" hidden="1" x14ac:dyDescent="0.4">
      <c r="D8292" s="3" t="s">
        <v>13222</v>
      </c>
      <c r="F8292" s="3" t="s">
        <v>399</v>
      </c>
      <c r="I8292" s="3" t="s">
        <v>16572</v>
      </c>
    </row>
    <row r="8293" spans="2:9" hidden="1" x14ac:dyDescent="0.4">
      <c r="D8293" s="3" t="s">
        <v>13223</v>
      </c>
      <c r="F8293" s="3" t="s">
        <v>399</v>
      </c>
      <c r="I8293" s="3" t="s">
        <v>16572</v>
      </c>
    </row>
    <row r="8294" spans="2:9" hidden="1" x14ac:dyDescent="0.4">
      <c r="D8294" s="3" t="s">
        <v>13224</v>
      </c>
      <c r="F8294" s="3" t="s">
        <v>399</v>
      </c>
      <c r="I8294" s="3" t="s">
        <v>16572</v>
      </c>
    </row>
    <row r="8295" spans="2:9" hidden="1" x14ac:dyDescent="0.4">
      <c r="D8295" s="3" t="s">
        <v>13225</v>
      </c>
      <c r="F8295" s="3" t="s">
        <v>399</v>
      </c>
      <c r="I8295" s="3" t="s">
        <v>16572</v>
      </c>
    </row>
    <row r="8296" spans="2:9" hidden="1" x14ac:dyDescent="0.4">
      <c r="D8296" s="3" t="s">
        <v>13226</v>
      </c>
      <c r="F8296" s="3" t="s">
        <v>399</v>
      </c>
      <c r="I8296" s="3" t="s">
        <v>16572</v>
      </c>
    </row>
    <row r="8297" spans="2:9" hidden="1" x14ac:dyDescent="0.4">
      <c r="D8297" s="3" t="s">
        <v>13227</v>
      </c>
      <c r="F8297" s="3" t="s">
        <v>399</v>
      </c>
      <c r="I8297" s="3" t="s">
        <v>16572</v>
      </c>
    </row>
    <row r="8298" spans="2:9" hidden="1" x14ac:dyDescent="0.4">
      <c r="D8298" s="3" t="s">
        <v>13228</v>
      </c>
      <c r="F8298" s="3" t="s">
        <v>399</v>
      </c>
      <c r="I8298" s="3" t="s">
        <v>16572</v>
      </c>
    </row>
    <row r="8299" spans="2:9" hidden="1" x14ac:dyDescent="0.4">
      <c r="D8299" s="3" t="s">
        <v>13229</v>
      </c>
      <c r="F8299" s="3" t="s">
        <v>399</v>
      </c>
      <c r="I8299" s="3" t="s">
        <v>16572</v>
      </c>
    </row>
    <row r="8300" spans="2:9" hidden="1" x14ac:dyDescent="0.4">
      <c r="D8300" s="3" t="s">
        <v>13230</v>
      </c>
      <c r="F8300" s="3" t="s">
        <v>399</v>
      </c>
      <c r="I8300" s="3" t="s">
        <v>16572</v>
      </c>
    </row>
    <row r="8301" spans="2:9" hidden="1" x14ac:dyDescent="0.4">
      <c r="D8301" s="3" t="s">
        <v>13231</v>
      </c>
      <c r="F8301" s="3" t="s">
        <v>399</v>
      </c>
      <c r="I8301" s="3" t="s">
        <v>16572</v>
      </c>
    </row>
    <row r="8302" spans="2:9" hidden="1" x14ac:dyDescent="0.4">
      <c r="D8302" s="3" t="s">
        <v>13232</v>
      </c>
      <c r="F8302" s="3" t="s">
        <v>399</v>
      </c>
      <c r="I8302" s="3" t="s">
        <v>16572</v>
      </c>
    </row>
    <row r="8303" spans="2:9" hidden="1" x14ac:dyDescent="0.4">
      <c r="D8303" s="3" t="s">
        <v>13233</v>
      </c>
      <c r="F8303" s="3" t="s">
        <v>399</v>
      </c>
      <c r="I8303" s="3" t="s">
        <v>16572</v>
      </c>
    </row>
    <row r="8304" spans="2:9" hidden="1" x14ac:dyDescent="0.4">
      <c r="D8304" s="3" t="s">
        <v>13234</v>
      </c>
      <c r="F8304" s="3" t="s">
        <v>399</v>
      </c>
      <c r="I8304" s="3" t="s">
        <v>16572</v>
      </c>
    </row>
    <row r="8305" spans="4:9" hidden="1" x14ac:dyDescent="0.4">
      <c r="D8305" s="3" t="s">
        <v>13235</v>
      </c>
      <c r="F8305" s="3" t="s">
        <v>399</v>
      </c>
      <c r="I8305" s="3" t="s">
        <v>16572</v>
      </c>
    </row>
    <row r="8306" spans="4:9" hidden="1" x14ac:dyDescent="0.4">
      <c r="D8306" s="3" t="s">
        <v>13236</v>
      </c>
      <c r="F8306" s="3" t="s">
        <v>399</v>
      </c>
      <c r="I8306" s="3" t="s">
        <v>16572</v>
      </c>
    </row>
    <row r="8307" spans="4:9" hidden="1" x14ac:dyDescent="0.4">
      <c r="D8307" s="3" t="s">
        <v>13237</v>
      </c>
      <c r="F8307" s="3" t="s">
        <v>399</v>
      </c>
      <c r="I8307" s="3" t="s">
        <v>16572</v>
      </c>
    </row>
    <row r="8308" spans="4:9" hidden="1" x14ac:dyDescent="0.4">
      <c r="D8308" s="3" t="s">
        <v>13238</v>
      </c>
      <c r="F8308" s="3" t="s">
        <v>399</v>
      </c>
      <c r="I8308" s="3" t="s">
        <v>16572</v>
      </c>
    </row>
    <row r="8309" spans="4:9" hidden="1" x14ac:dyDescent="0.4">
      <c r="D8309" s="3" t="s">
        <v>13239</v>
      </c>
      <c r="F8309" s="3" t="s">
        <v>399</v>
      </c>
      <c r="I8309" s="3" t="s">
        <v>16572</v>
      </c>
    </row>
    <row r="8310" spans="4:9" hidden="1" x14ac:dyDescent="0.4">
      <c r="D8310" s="3" t="s">
        <v>13240</v>
      </c>
      <c r="F8310" s="3" t="s">
        <v>399</v>
      </c>
      <c r="I8310" s="3" t="s">
        <v>16572</v>
      </c>
    </row>
    <row r="8311" spans="4:9" hidden="1" x14ac:dyDescent="0.4">
      <c r="D8311" s="3" t="s">
        <v>13241</v>
      </c>
      <c r="F8311" s="3" t="s">
        <v>399</v>
      </c>
      <c r="I8311" s="3" t="s">
        <v>16572</v>
      </c>
    </row>
    <row r="8312" spans="4:9" hidden="1" x14ac:dyDescent="0.4">
      <c r="D8312" s="3" t="s">
        <v>13242</v>
      </c>
      <c r="F8312" s="3" t="s">
        <v>399</v>
      </c>
      <c r="I8312" s="3" t="s">
        <v>16572</v>
      </c>
    </row>
    <row r="8313" spans="4:9" hidden="1" x14ac:dyDescent="0.4">
      <c r="D8313" s="3" t="s">
        <v>13243</v>
      </c>
      <c r="F8313" s="3" t="s">
        <v>399</v>
      </c>
      <c r="I8313" s="3" t="s">
        <v>16572</v>
      </c>
    </row>
    <row r="8314" spans="4:9" hidden="1" x14ac:dyDescent="0.4">
      <c r="D8314" s="3" t="s">
        <v>13244</v>
      </c>
      <c r="F8314" s="3" t="s">
        <v>399</v>
      </c>
      <c r="I8314" s="3" t="s">
        <v>16572</v>
      </c>
    </row>
    <row r="8315" spans="4:9" hidden="1" x14ac:dyDescent="0.4">
      <c r="D8315" s="3" t="s">
        <v>13245</v>
      </c>
      <c r="F8315" s="3" t="s">
        <v>399</v>
      </c>
      <c r="I8315" s="3" t="s">
        <v>16572</v>
      </c>
    </row>
    <row r="8316" spans="4:9" hidden="1" x14ac:dyDescent="0.4">
      <c r="D8316" s="3" t="s">
        <v>13246</v>
      </c>
      <c r="F8316" s="3" t="s">
        <v>399</v>
      </c>
      <c r="I8316" s="3" t="s">
        <v>16572</v>
      </c>
    </row>
    <row r="8317" spans="4:9" hidden="1" x14ac:dyDescent="0.4">
      <c r="D8317" s="3" t="s">
        <v>13247</v>
      </c>
      <c r="F8317" s="3" t="s">
        <v>399</v>
      </c>
      <c r="I8317" s="3" t="s">
        <v>16572</v>
      </c>
    </row>
    <row r="8318" spans="4:9" hidden="1" x14ac:dyDescent="0.4">
      <c r="D8318" s="3" t="s">
        <v>13248</v>
      </c>
      <c r="F8318" s="3" t="s">
        <v>399</v>
      </c>
      <c r="I8318" s="3" t="s">
        <v>16572</v>
      </c>
    </row>
    <row r="8319" spans="4:9" hidden="1" x14ac:dyDescent="0.4">
      <c r="D8319" s="3" t="s">
        <v>13249</v>
      </c>
      <c r="F8319" s="3" t="s">
        <v>399</v>
      </c>
      <c r="I8319" s="3" t="s">
        <v>16572</v>
      </c>
    </row>
    <row r="8320" spans="4:9" hidden="1" x14ac:dyDescent="0.4">
      <c r="D8320" s="3" t="s">
        <v>13250</v>
      </c>
      <c r="F8320" s="3" t="s">
        <v>399</v>
      </c>
      <c r="I8320" s="3" t="s">
        <v>16572</v>
      </c>
    </row>
    <row r="8321" spans="2:9" hidden="1" x14ac:dyDescent="0.4">
      <c r="D8321" s="3" t="s">
        <v>13251</v>
      </c>
      <c r="F8321" s="3" t="s">
        <v>399</v>
      </c>
      <c r="I8321" s="3" t="s">
        <v>16572</v>
      </c>
    </row>
    <row r="8322" spans="2:9" hidden="1" x14ac:dyDescent="0.4">
      <c r="D8322" s="3" t="s">
        <v>13252</v>
      </c>
      <c r="F8322" s="3" t="s">
        <v>399</v>
      </c>
      <c r="I8322" s="3" t="s">
        <v>16572</v>
      </c>
    </row>
    <row r="8323" spans="2:9" hidden="1" x14ac:dyDescent="0.4">
      <c r="D8323" s="3" t="s">
        <v>13253</v>
      </c>
      <c r="F8323" s="3" t="s">
        <v>399</v>
      </c>
      <c r="I8323" s="3" t="s">
        <v>16572</v>
      </c>
    </row>
    <row r="8324" spans="2:9" ht="29.25" hidden="1" x14ac:dyDescent="0.4">
      <c r="B8324" s="8" t="s">
        <v>13574</v>
      </c>
      <c r="C8324" s="3" t="s">
        <v>13573</v>
      </c>
      <c r="D8324" s="3" t="s">
        <v>13254</v>
      </c>
      <c r="F8324" s="3" t="s">
        <v>399</v>
      </c>
      <c r="I8324" s="3" t="s">
        <v>16572</v>
      </c>
    </row>
    <row r="8325" spans="2:9" hidden="1" x14ac:dyDescent="0.4">
      <c r="D8325" s="3" t="s">
        <v>13255</v>
      </c>
      <c r="F8325" s="3" t="s">
        <v>399</v>
      </c>
      <c r="I8325" s="3" t="s">
        <v>16572</v>
      </c>
    </row>
    <row r="8326" spans="2:9" hidden="1" x14ac:dyDescent="0.4">
      <c r="D8326" s="3" t="s">
        <v>13256</v>
      </c>
      <c r="F8326" s="3" t="s">
        <v>399</v>
      </c>
      <c r="I8326" s="3" t="s">
        <v>16572</v>
      </c>
    </row>
    <row r="8327" spans="2:9" hidden="1" x14ac:dyDescent="0.4">
      <c r="B8327" s="8" t="s">
        <v>1004</v>
      </c>
      <c r="C8327" s="3" t="s">
        <v>13575</v>
      </c>
      <c r="D8327" s="3" t="s">
        <v>13257</v>
      </c>
      <c r="F8327" s="3" t="s">
        <v>399</v>
      </c>
      <c r="I8327" s="3" t="s">
        <v>16572</v>
      </c>
    </row>
    <row r="8328" spans="2:9" hidden="1" x14ac:dyDescent="0.4">
      <c r="B8328" s="8" t="s">
        <v>526</v>
      </c>
      <c r="C8328" s="3" t="s">
        <v>13576</v>
      </c>
      <c r="D8328" s="3" t="s">
        <v>13257</v>
      </c>
      <c r="F8328" s="3" t="s">
        <v>399</v>
      </c>
      <c r="I8328" s="3" t="s">
        <v>16572</v>
      </c>
    </row>
    <row r="8329" spans="2:9" hidden="1" x14ac:dyDescent="0.4">
      <c r="D8329" s="3" t="s">
        <v>13258</v>
      </c>
      <c r="F8329" s="3" t="s">
        <v>399</v>
      </c>
      <c r="I8329" s="3" t="s">
        <v>16572</v>
      </c>
    </row>
    <row r="8330" spans="2:9" ht="29.25" hidden="1" x14ac:dyDescent="0.4">
      <c r="B8330" s="8" t="s">
        <v>12199</v>
      </c>
      <c r="C8330" s="3" t="s">
        <v>13577</v>
      </c>
      <c r="D8330" s="3" t="s">
        <v>13259</v>
      </c>
      <c r="F8330" s="3" t="s">
        <v>399</v>
      </c>
      <c r="I8330" s="3" t="s">
        <v>16572</v>
      </c>
    </row>
    <row r="8331" spans="2:9" hidden="1" x14ac:dyDescent="0.4">
      <c r="D8331" s="3" t="s">
        <v>13260</v>
      </c>
      <c r="F8331" s="3" t="s">
        <v>399</v>
      </c>
      <c r="I8331" s="3" t="s">
        <v>16572</v>
      </c>
    </row>
    <row r="8332" spans="2:9" hidden="1" x14ac:dyDescent="0.4">
      <c r="D8332" s="3" t="s">
        <v>13261</v>
      </c>
      <c r="F8332" s="3" t="s">
        <v>399</v>
      </c>
      <c r="I8332" s="3" t="s">
        <v>16572</v>
      </c>
    </row>
    <row r="8333" spans="2:9" hidden="1" x14ac:dyDescent="0.4">
      <c r="B8333" s="8" t="s">
        <v>517</v>
      </c>
      <c r="C8333" s="3" t="s">
        <v>13578</v>
      </c>
      <c r="D8333" s="3" t="s">
        <v>13262</v>
      </c>
      <c r="F8333" s="3" t="s">
        <v>399</v>
      </c>
      <c r="I8333" s="3" t="s">
        <v>16572</v>
      </c>
    </row>
    <row r="8334" spans="2:9" hidden="1" x14ac:dyDescent="0.4">
      <c r="D8334" s="3" t="s">
        <v>13263</v>
      </c>
      <c r="F8334" s="3" t="s">
        <v>399</v>
      </c>
      <c r="I8334" s="3" t="s">
        <v>16572</v>
      </c>
    </row>
    <row r="8335" spans="2:9" hidden="1" x14ac:dyDescent="0.4">
      <c r="D8335" s="3" t="s">
        <v>13264</v>
      </c>
      <c r="F8335" s="3" t="s">
        <v>399</v>
      </c>
      <c r="I8335" s="3" t="s">
        <v>16572</v>
      </c>
    </row>
    <row r="8336" spans="2:9" hidden="1" x14ac:dyDescent="0.4">
      <c r="D8336" s="3" t="s">
        <v>13265</v>
      </c>
      <c r="F8336" s="3" t="s">
        <v>399</v>
      </c>
      <c r="I8336" s="3" t="s">
        <v>16572</v>
      </c>
    </row>
    <row r="8337" spans="2:9" hidden="1" x14ac:dyDescent="0.4">
      <c r="D8337" s="3" t="s">
        <v>13266</v>
      </c>
      <c r="F8337" s="3" t="s">
        <v>399</v>
      </c>
      <c r="I8337" s="3" t="s">
        <v>16572</v>
      </c>
    </row>
    <row r="8338" spans="2:9" hidden="1" x14ac:dyDescent="0.4">
      <c r="D8338" s="3" t="s">
        <v>13267</v>
      </c>
      <c r="F8338" s="3" t="s">
        <v>399</v>
      </c>
      <c r="I8338" s="3" t="s">
        <v>16572</v>
      </c>
    </row>
    <row r="8339" spans="2:9" hidden="1" x14ac:dyDescent="0.4">
      <c r="B8339" s="8" t="s">
        <v>526</v>
      </c>
      <c r="C8339" s="8" t="s">
        <v>13579</v>
      </c>
      <c r="D8339" s="3" t="s">
        <v>13268</v>
      </c>
      <c r="F8339" s="3" t="s">
        <v>399</v>
      </c>
      <c r="I8339" s="3" t="s">
        <v>16572</v>
      </c>
    </row>
    <row r="8340" spans="2:9" hidden="1" x14ac:dyDescent="0.4">
      <c r="B8340" s="8" t="s">
        <v>12197</v>
      </c>
      <c r="C8340" s="3" t="s">
        <v>13580</v>
      </c>
      <c r="D8340" s="3" t="s">
        <v>13268</v>
      </c>
      <c r="F8340" s="3" t="s">
        <v>399</v>
      </c>
      <c r="I8340" s="3" t="s">
        <v>16572</v>
      </c>
    </row>
    <row r="8341" spans="2:9" hidden="1" x14ac:dyDescent="0.4">
      <c r="D8341" s="3" t="s">
        <v>13269</v>
      </c>
      <c r="F8341" s="3" t="s">
        <v>399</v>
      </c>
      <c r="I8341" s="3" t="s">
        <v>16572</v>
      </c>
    </row>
    <row r="8342" spans="2:9" hidden="1" x14ac:dyDescent="0.4">
      <c r="D8342" s="3" t="s">
        <v>13270</v>
      </c>
      <c r="F8342" s="3" t="s">
        <v>399</v>
      </c>
      <c r="I8342" s="3" t="s">
        <v>16572</v>
      </c>
    </row>
    <row r="8343" spans="2:9" hidden="1" x14ac:dyDescent="0.4">
      <c r="D8343" s="3" t="s">
        <v>13271</v>
      </c>
      <c r="F8343" s="3" t="s">
        <v>399</v>
      </c>
      <c r="I8343" s="3" t="s">
        <v>16572</v>
      </c>
    </row>
    <row r="8344" spans="2:9" hidden="1" x14ac:dyDescent="0.4">
      <c r="D8344" s="3" t="s">
        <v>13272</v>
      </c>
      <c r="F8344" s="3" t="s">
        <v>399</v>
      </c>
      <c r="I8344" s="3" t="s">
        <v>16572</v>
      </c>
    </row>
    <row r="8345" spans="2:9" hidden="1" x14ac:dyDescent="0.4">
      <c r="D8345" s="3" t="s">
        <v>13273</v>
      </c>
      <c r="F8345" s="3" t="s">
        <v>399</v>
      </c>
      <c r="I8345" s="3" t="s">
        <v>16572</v>
      </c>
    </row>
    <row r="8346" spans="2:9" hidden="1" x14ac:dyDescent="0.4">
      <c r="D8346" s="3" t="s">
        <v>13274</v>
      </c>
      <c r="F8346" s="3" t="s">
        <v>399</v>
      </c>
      <c r="I8346" s="3" t="s">
        <v>16572</v>
      </c>
    </row>
    <row r="8347" spans="2:9" hidden="1" x14ac:dyDescent="0.4">
      <c r="D8347" s="3" t="s">
        <v>13275</v>
      </c>
      <c r="F8347" s="3" t="s">
        <v>399</v>
      </c>
      <c r="I8347" s="3" t="s">
        <v>16572</v>
      </c>
    </row>
    <row r="8348" spans="2:9" hidden="1" x14ac:dyDescent="0.4">
      <c r="D8348" s="3" t="s">
        <v>13276</v>
      </c>
      <c r="F8348" s="3" t="s">
        <v>399</v>
      </c>
      <c r="I8348" s="3" t="s">
        <v>16572</v>
      </c>
    </row>
    <row r="8349" spans="2:9" hidden="1" x14ac:dyDescent="0.4">
      <c r="B8349" s="8" t="s">
        <v>512</v>
      </c>
      <c r="C8349" s="3" t="s">
        <v>13581</v>
      </c>
      <c r="D8349" s="3" t="s">
        <v>13277</v>
      </c>
      <c r="F8349" s="3" t="s">
        <v>399</v>
      </c>
      <c r="I8349" s="3" t="s">
        <v>16572</v>
      </c>
    </row>
    <row r="8350" spans="2:9" hidden="1" x14ac:dyDescent="0.4">
      <c r="B8350" s="8" t="s">
        <v>517</v>
      </c>
      <c r="C8350" s="3" t="s">
        <v>13582</v>
      </c>
      <c r="D8350" s="3" t="s">
        <v>13278</v>
      </c>
      <c r="F8350" s="3" t="s">
        <v>399</v>
      </c>
      <c r="I8350" s="3" t="s">
        <v>16572</v>
      </c>
    </row>
    <row r="8351" spans="2:9" hidden="1" x14ac:dyDescent="0.4">
      <c r="B8351" s="8" t="s">
        <v>517</v>
      </c>
      <c r="C8351" s="3" t="s">
        <v>13583</v>
      </c>
      <c r="D8351" s="3" t="s">
        <v>13278</v>
      </c>
      <c r="F8351" s="3" t="s">
        <v>399</v>
      </c>
      <c r="I8351" s="3" t="s">
        <v>16572</v>
      </c>
    </row>
    <row r="8352" spans="2:9" hidden="1" x14ac:dyDescent="0.4">
      <c r="B8352" s="8" t="s">
        <v>517</v>
      </c>
      <c r="C8352" s="3" t="s">
        <v>13584</v>
      </c>
      <c r="D8352" s="3" t="s">
        <v>13279</v>
      </c>
      <c r="F8352" s="3" t="s">
        <v>399</v>
      </c>
      <c r="I8352" s="3" t="s">
        <v>16572</v>
      </c>
    </row>
    <row r="8353" spans="2:9" hidden="1" x14ac:dyDescent="0.4">
      <c r="B8353" s="8" t="s">
        <v>6734</v>
      </c>
      <c r="C8353" s="3" t="s">
        <v>13585</v>
      </c>
      <c r="D8353" s="3" t="s">
        <v>13279</v>
      </c>
      <c r="F8353" s="3" t="s">
        <v>399</v>
      </c>
      <c r="I8353" s="3" t="s">
        <v>16572</v>
      </c>
    </row>
    <row r="8354" spans="2:9" hidden="1" x14ac:dyDescent="0.4">
      <c r="D8354" s="3" t="s">
        <v>13280</v>
      </c>
      <c r="F8354" s="3" t="s">
        <v>399</v>
      </c>
      <c r="I8354" s="3" t="s">
        <v>16572</v>
      </c>
    </row>
    <row r="8355" spans="2:9" hidden="1" x14ac:dyDescent="0.4">
      <c r="D8355" s="3" t="s">
        <v>13281</v>
      </c>
      <c r="F8355" s="3" t="s">
        <v>399</v>
      </c>
      <c r="I8355" s="3" t="s">
        <v>16572</v>
      </c>
    </row>
    <row r="8356" spans="2:9" hidden="1" x14ac:dyDescent="0.4">
      <c r="D8356" s="3" t="s">
        <v>13282</v>
      </c>
      <c r="F8356" s="3" t="s">
        <v>399</v>
      </c>
      <c r="I8356" s="3" t="s">
        <v>16572</v>
      </c>
    </row>
    <row r="8357" spans="2:9" hidden="1" x14ac:dyDescent="0.4">
      <c r="D8357" s="3" t="s">
        <v>13283</v>
      </c>
      <c r="F8357" s="3" t="s">
        <v>399</v>
      </c>
      <c r="I8357" s="3" t="s">
        <v>16572</v>
      </c>
    </row>
    <row r="8358" spans="2:9" hidden="1" x14ac:dyDescent="0.4">
      <c r="D8358" s="3" t="s">
        <v>13284</v>
      </c>
      <c r="F8358" s="3" t="s">
        <v>399</v>
      </c>
      <c r="I8358" s="3" t="s">
        <v>16572</v>
      </c>
    </row>
    <row r="8359" spans="2:9" hidden="1" x14ac:dyDescent="0.4">
      <c r="D8359" s="3" t="s">
        <v>13285</v>
      </c>
      <c r="F8359" s="3" t="s">
        <v>399</v>
      </c>
      <c r="I8359" s="3" t="s">
        <v>16572</v>
      </c>
    </row>
    <row r="8360" spans="2:9" hidden="1" x14ac:dyDescent="0.4">
      <c r="D8360" s="3" t="s">
        <v>13286</v>
      </c>
      <c r="F8360" s="3" t="s">
        <v>399</v>
      </c>
      <c r="I8360" s="3" t="s">
        <v>16572</v>
      </c>
    </row>
    <row r="8361" spans="2:9" hidden="1" x14ac:dyDescent="0.4">
      <c r="D8361" s="3" t="s">
        <v>13287</v>
      </c>
      <c r="F8361" s="3" t="s">
        <v>399</v>
      </c>
      <c r="I8361" s="3" t="s">
        <v>16572</v>
      </c>
    </row>
    <row r="8362" spans="2:9" hidden="1" x14ac:dyDescent="0.4">
      <c r="B8362" s="8" t="s">
        <v>13588</v>
      </c>
      <c r="C8362" s="3" t="s">
        <v>13586</v>
      </c>
      <c r="D8362" s="3" t="s">
        <v>13288</v>
      </c>
      <c r="F8362" s="3" t="s">
        <v>399</v>
      </c>
      <c r="I8362" s="3" t="s">
        <v>16572</v>
      </c>
    </row>
    <row r="8363" spans="2:9" hidden="1" x14ac:dyDescent="0.4">
      <c r="B8363" s="8" t="s">
        <v>13589</v>
      </c>
      <c r="C8363" s="3" t="s">
        <v>13587</v>
      </c>
      <c r="D8363" s="3" t="s">
        <v>13289</v>
      </c>
      <c r="F8363" s="3" t="s">
        <v>399</v>
      </c>
      <c r="I8363" s="3" t="s">
        <v>16572</v>
      </c>
    </row>
    <row r="8364" spans="2:9" hidden="1" x14ac:dyDescent="0.4">
      <c r="B8364" s="8" t="s">
        <v>530</v>
      </c>
      <c r="C8364" s="3" t="s">
        <v>1398</v>
      </c>
      <c r="D8364" s="3" t="s">
        <v>13290</v>
      </c>
      <c r="F8364" s="3" t="s">
        <v>399</v>
      </c>
      <c r="I8364" s="3" t="s">
        <v>16572</v>
      </c>
    </row>
    <row r="8365" spans="2:9" hidden="1" x14ac:dyDescent="0.4">
      <c r="B8365" s="8" t="s">
        <v>530</v>
      </c>
      <c r="C8365" s="3" t="s">
        <v>13590</v>
      </c>
      <c r="D8365" s="3" t="s">
        <v>13290</v>
      </c>
      <c r="F8365" s="3" t="s">
        <v>399</v>
      </c>
      <c r="I8365" s="3" t="s">
        <v>16572</v>
      </c>
    </row>
    <row r="8366" spans="2:9" hidden="1" x14ac:dyDescent="0.4">
      <c r="D8366" s="3" t="s">
        <v>13291</v>
      </c>
      <c r="F8366" s="3" t="s">
        <v>399</v>
      </c>
      <c r="I8366" s="3" t="s">
        <v>16572</v>
      </c>
    </row>
    <row r="8367" spans="2:9" hidden="1" x14ac:dyDescent="0.4">
      <c r="D8367" s="3" t="s">
        <v>13292</v>
      </c>
      <c r="F8367" s="3" t="s">
        <v>399</v>
      </c>
      <c r="I8367" s="3" t="s">
        <v>16572</v>
      </c>
    </row>
    <row r="8368" spans="2:9" hidden="1" x14ac:dyDescent="0.4">
      <c r="D8368" s="3" t="s">
        <v>13293</v>
      </c>
      <c r="F8368" s="3" t="s">
        <v>399</v>
      </c>
      <c r="I8368" s="3" t="s">
        <v>16572</v>
      </c>
    </row>
    <row r="8369" spans="2:9" hidden="1" x14ac:dyDescent="0.4">
      <c r="D8369" s="3" t="s">
        <v>13294</v>
      </c>
      <c r="F8369" s="3" t="s">
        <v>399</v>
      </c>
      <c r="I8369" s="3" t="s">
        <v>16572</v>
      </c>
    </row>
    <row r="8370" spans="2:9" hidden="1" x14ac:dyDescent="0.4">
      <c r="D8370" s="3" t="s">
        <v>13295</v>
      </c>
      <c r="F8370" s="3" t="s">
        <v>399</v>
      </c>
      <c r="I8370" s="3" t="s">
        <v>16572</v>
      </c>
    </row>
    <row r="8371" spans="2:9" hidden="1" x14ac:dyDescent="0.4">
      <c r="D8371" s="3" t="s">
        <v>13296</v>
      </c>
      <c r="F8371" s="3" t="s">
        <v>399</v>
      </c>
      <c r="I8371" s="3" t="s">
        <v>16572</v>
      </c>
    </row>
    <row r="8372" spans="2:9" hidden="1" x14ac:dyDescent="0.4">
      <c r="D8372" s="3" t="s">
        <v>13266</v>
      </c>
      <c r="F8372" s="3" t="s">
        <v>399</v>
      </c>
      <c r="I8372" s="3" t="s">
        <v>16572</v>
      </c>
    </row>
    <row r="8373" spans="2:9" hidden="1" x14ac:dyDescent="0.4">
      <c r="D8373" s="3" t="s">
        <v>13297</v>
      </c>
      <c r="F8373" s="3" t="s">
        <v>399</v>
      </c>
      <c r="I8373" s="3" t="s">
        <v>16572</v>
      </c>
    </row>
    <row r="8374" spans="2:9" hidden="1" x14ac:dyDescent="0.4">
      <c r="D8374" s="3" t="s">
        <v>13298</v>
      </c>
      <c r="F8374" s="3" t="s">
        <v>399</v>
      </c>
      <c r="I8374" s="3" t="s">
        <v>16572</v>
      </c>
    </row>
    <row r="8375" spans="2:9" hidden="1" x14ac:dyDescent="0.4">
      <c r="D8375" s="3" t="s">
        <v>13299</v>
      </c>
      <c r="F8375" s="3" t="s">
        <v>399</v>
      </c>
      <c r="I8375" s="3" t="s">
        <v>16572</v>
      </c>
    </row>
    <row r="8376" spans="2:9" hidden="1" x14ac:dyDescent="0.4">
      <c r="D8376" s="3" t="s">
        <v>13300</v>
      </c>
      <c r="F8376" s="3" t="s">
        <v>399</v>
      </c>
      <c r="I8376" s="3" t="s">
        <v>16572</v>
      </c>
    </row>
    <row r="8377" spans="2:9" hidden="1" x14ac:dyDescent="0.4">
      <c r="D8377" s="3" t="s">
        <v>13301</v>
      </c>
      <c r="F8377" s="3" t="s">
        <v>399</v>
      </c>
      <c r="I8377" s="3" t="s">
        <v>16572</v>
      </c>
    </row>
    <row r="8378" spans="2:9" hidden="1" x14ac:dyDescent="0.4">
      <c r="D8378" s="3" t="s">
        <v>13302</v>
      </c>
      <c r="F8378" s="3" t="s">
        <v>399</v>
      </c>
      <c r="I8378" s="3" t="s">
        <v>16572</v>
      </c>
    </row>
    <row r="8379" spans="2:9" hidden="1" x14ac:dyDescent="0.4">
      <c r="D8379" s="3" t="s">
        <v>13124</v>
      </c>
      <c r="F8379" s="3" t="s">
        <v>399</v>
      </c>
      <c r="I8379" s="3" t="s">
        <v>16572</v>
      </c>
    </row>
    <row r="8380" spans="2:9" hidden="1" x14ac:dyDescent="0.4">
      <c r="D8380" s="3" t="s">
        <v>13303</v>
      </c>
      <c r="F8380" s="3" t="s">
        <v>399</v>
      </c>
      <c r="I8380" s="3" t="s">
        <v>16572</v>
      </c>
    </row>
    <row r="8381" spans="2:9" hidden="1" x14ac:dyDescent="0.4">
      <c r="D8381" s="3" t="s">
        <v>13304</v>
      </c>
      <c r="F8381" s="3" t="s">
        <v>399</v>
      </c>
      <c r="I8381" s="3" t="s">
        <v>16572</v>
      </c>
    </row>
    <row r="8382" spans="2:9" hidden="1" x14ac:dyDescent="0.4">
      <c r="D8382" s="3" t="s">
        <v>13305</v>
      </c>
      <c r="F8382" s="3" t="s">
        <v>399</v>
      </c>
      <c r="I8382" s="3" t="s">
        <v>16572</v>
      </c>
    </row>
    <row r="8383" spans="2:9" hidden="1" x14ac:dyDescent="0.4">
      <c r="B8383" s="8" t="s">
        <v>6734</v>
      </c>
      <c r="C8383" s="3" t="s">
        <v>13591</v>
      </c>
      <c r="D8383" s="3" t="s">
        <v>13306</v>
      </c>
      <c r="F8383" s="3" t="s">
        <v>399</v>
      </c>
      <c r="I8383" s="3" t="s">
        <v>16572</v>
      </c>
    </row>
    <row r="8384" spans="2:9" hidden="1" x14ac:dyDescent="0.4">
      <c r="D8384" s="3" t="s">
        <v>13307</v>
      </c>
      <c r="F8384" s="3" t="s">
        <v>399</v>
      </c>
      <c r="I8384" s="3" t="s">
        <v>16572</v>
      </c>
    </row>
    <row r="8385" spans="4:9" hidden="1" x14ac:dyDescent="0.4">
      <c r="D8385" s="3" t="s">
        <v>13308</v>
      </c>
      <c r="F8385" s="3" t="s">
        <v>399</v>
      </c>
      <c r="I8385" s="3" t="s">
        <v>16572</v>
      </c>
    </row>
    <row r="8386" spans="4:9" hidden="1" x14ac:dyDescent="0.4">
      <c r="D8386" s="3" t="s">
        <v>13309</v>
      </c>
      <c r="F8386" s="3" t="s">
        <v>399</v>
      </c>
      <c r="I8386" s="3" t="s">
        <v>16572</v>
      </c>
    </row>
    <row r="8387" spans="4:9" hidden="1" x14ac:dyDescent="0.4">
      <c r="D8387" s="3" t="s">
        <v>13133</v>
      </c>
      <c r="F8387" s="3" t="s">
        <v>399</v>
      </c>
      <c r="I8387" s="3" t="s">
        <v>16572</v>
      </c>
    </row>
    <row r="8388" spans="4:9" hidden="1" x14ac:dyDescent="0.4">
      <c r="D8388" s="3" t="s">
        <v>12977</v>
      </c>
      <c r="F8388" s="3" t="s">
        <v>399</v>
      </c>
      <c r="I8388" s="3" t="s">
        <v>16572</v>
      </c>
    </row>
    <row r="8389" spans="4:9" hidden="1" x14ac:dyDescent="0.4">
      <c r="D8389" s="3" t="s">
        <v>13310</v>
      </c>
      <c r="F8389" s="3" t="s">
        <v>399</v>
      </c>
      <c r="I8389" s="3" t="s">
        <v>16572</v>
      </c>
    </row>
    <row r="8390" spans="4:9" hidden="1" x14ac:dyDescent="0.4">
      <c r="D8390" s="3" t="s">
        <v>13311</v>
      </c>
      <c r="F8390" s="3" t="s">
        <v>399</v>
      </c>
      <c r="I8390" s="3" t="s">
        <v>16572</v>
      </c>
    </row>
    <row r="8391" spans="4:9" hidden="1" x14ac:dyDescent="0.4">
      <c r="D8391" s="3" t="s">
        <v>13312</v>
      </c>
      <c r="F8391" s="3" t="s">
        <v>399</v>
      </c>
      <c r="I8391" s="3" t="s">
        <v>16572</v>
      </c>
    </row>
    <row r="8392" spans="4:9" hidden="1" x14ac:dyDescent="0.4">
      <c r="D8392" s="3" t="s">
        <v>13313</v>
      </c>
      <c r="F8392" s="3" t="s">
        <v>399</v>
      </c>
      <c r="I8392" s="3" t="s">
        <v>16572</v>
      </c>
    </row>
    <row r="8393" spans="4:9" hidden="1" x14ac:dyDescent="0.4">
      <c r="D8393" s="3" t="s">
        <v>13314</v>
      </c>
      <c r="F8393" s="3" t="s">
        <v>399</v>
      </c>
      <c r="I8393" s="3" t="s">
        <v>16572</v>
      </c>
    </row>
    <row r="8394" spans="4:9" hidden="1" x14ac:dyDescent="0.4">
      <c r="D8394" s="3" t="s">
        <v>13315</v>
      </c>
      <c r="F8394" s="3" t="s">
        <v>399</v>
      </c>
      <c r="I8394" s="3" t="s">
        <v>16572</v>
      </c>
    </row>
    <row r="8395" spans="4:9" hidden="1" x14ac:dyDescent="0.4">
      <c r="D8395" s="3" t="s">
        <v>13316</v>
      </c>
      <c r="F8395" s="3" t="s">
        <v>399</v>
      </c>
      <c r="I8395" s="3" t="s">
        <v>16572</v>
      </c>
    </row>
    <row r="8396" spans="4:9" hidden="1" x14ac:dyDescent="0.4">
      <c r="D8396" s="3" t="s">
        <v>13317</v>
      </c>
      <c r="F8396" s="3" t="s">
        <v>399</v>
      </c>
      <c r="I8396" s="3" t="s">
        <v>16572</v>
      </c>
    </row>
    <row r="8397" spans="4:9" hidden="1" x14ac:dyDescent="0.4">
      <c r="D8397" s="3" t="s">
        <v>13318</v>
      </c>
      <c r="F8397" s="3" t="s">
        <v>399</v>
      </c>
      <c r="I8397" s="3" t="s">
        <v>16572</v>
      </c>
    </row>
    <row r="8398" spans="4:9" hidden="1" x14ac:dyDescent="0.4">
      <c r="D8398" s="3" t="s">
        <v>13319</v>
      </c>
      <c r="F8398" s="3" t="s">
        <v>399</v>
      </c>
      <c r="I8398" s="3" t="s">
        <v>16572</v>
      </c>
    </row>
    <row r="8399" spans="4:9" hidden="1" x14ac:dyDescent="0.4">
      <c r="D8399" s="3" t="s">
        <v>13320</v>
      </c>
      <c r="F8399" s="3" t="s">
        <v>399</v>
      </c>
      <c r="I8399" s="3" t="s">
        <v>16572</v>
      </c>
    </row>
    <row r="8400" spans="4:9" hidden="1" x14ac:dyDescent="0.4">
      <c r="D8400" s="3" t="s">
        <v>13321</v>
      </c>
      <c r="F8400" s="3" t="s">
        <v>399</v>
      </c>
      <c r="I8400" s="3" t="s">
        <v>16572</v>
      </c>
    </row>
    <row r="8401" spans="2:9" hidden="1" x14ac:dyDescent="0.4">
      <c r="D8401" s="3" t="s">
        <v>13111</v>
      </c>
      <c r="F8401" s="3" t="s">
        <v>399</v>
      </c>
      <c r="I8401" s="3" t="s">
        <v>16572</v>
      </c>
    </row>
    <row r="8402" spans="2:9" hidden="1" x14ac:dyDescent="0.4">
      <c r="B8402" s="8" t="s">
        <v>518</v>
      </c>
      <c r="C8402" s="3" t="s">
        <v>13047</v>
      </c>
      <c r="D8402" s="3" t="s">
        <v>13013</v>
      </c>
      <c r="F8402" s="3" t="s">
        <v>399</v>
      </c>
      <c r="I8402" s="3" t="s">
        <v>16572</v>
      </c>
    </row>
    <row r="8403" spans="2:9" hidden="1" x14ac:dyDescent="0.4">
      <c r="D8403" s="3" t="s">
        <v>13322</v>
      </c>
      <c r="F8403" s="3" t="s">
        <v>399</v>
      </c>
      <c r="I8403" s="3" t="s">
        <v>16572</v>
      </c>
    </row>
    <row r="8404" spans="2:9" hidden="1" x14ac:dyDescent="0.4">
      <c r="D8404" s="3" t="s">
        <v>13323</v>
      </c>
      <c r="F8404" s="3" t="s">
        <v>399</v>
      </c>
      <c r="I8404" s="3" t="s">
        <v>16572</v>
      </c>
    </row>
    <row r="8405" spans="2:9" hidden="1" x14ac:dyDescent="0.4">
      <c r="D8405" s="3" t="s">
        <v>13324</v>
      </c>
      <c r="F8405" s="3" t="s">
        <v>399</v>
      </c>
      <c r="I8405" s="3" t="s">
        <v>16572</v>
      </c>
    </row>
    <row r="8406" spans="2:9" hidden="1" x14ac:dyDescent="0.4">
      <c r="D8406" s="3" t="s">
        <v>13325</v>
      </c>
      <c r="F8406" s="3" t="s">
        <v>399</v>
      </c>
      <c r="I8406" s="3" t="s">
        <v>16572</v>
      </c>
    </row>
    <row r="8407" spans="2:9" hidden="1" x14ac:dyDescent="0.4">
      <c r="D8407" s="3" t="s">
        <v>13326</v>
      </c>
      <c r="F8407" s="3" t="s">
        <v>399</v>
      </c>
      <c r="I8407" s="3" t="s">
        <v>16572</v>
      </c>
    </row>
    <row r="8408" spans="2:9" hidden="1" x14ac:dyDescent="0.4">
      <c r="D8408" s="3" t="s">
        <v>13327</v>
      </c>
      <c r="F8408" s="3" t="s">
        <v>399</v>
      </c>
      <c r="I8408" s="3" t="s">
        <v>16572</v>
      </c>
    </row>
    <row r="8409" spans="2:9" hidden="1" x14ac:dyDescent="0.4">
      <c r="D8409" s="3" t="s">
        <v>13328</v>
      </c>
      <c r="F8409" s="3" t="s">
        <v>399</v>
      </c>
      <c r="I8409" s="3" t="s">
        <v>16572</v>
      </c>
    </row>
    <row r="8410" spans="2:9" hidden="1" x14ac:dyDescent="0.4">
      <c r="D8410" s="3" t="s">
        <v>13329</v>
      </c>
      <c r="F8410" s="3" t="s">
        <v>399</v>
      </c>
      <c r="I8410" s="3" t="s">
        <v>16572</v>
      </c>
    </row>
    <row r="8411" spans="2:9" hidden="1" x14ac:dyDescent="0.4">
      <c r="D8411" s="3" t="s">
        <v>13330</v>
      </c>
      <c r="F8411" s="3" t="s">
        <v>399</v>
      </c>
      <c r="I8411" s="3" t="s">
        <v>16572</v>
      </c>
    </row>
    <row r="8412" spans="2:9" hidden="1" x14ac:dyDescent="0.4">
      <c r="D8412" s="3" t="s">
        <v>13331</v>
      </c>
      <c r="F8412" s="3" t="s">
        <v>399</v>
      </c>
      <c r="I8412" s="3" t="s">
        <v>16572</v>
      </c>
    </row>
    <row r="8413" spans="2:9" hidden="1" x14ac:dyDescent="0.4">
      <c r="D8413" s="3" t="s">
        <v>13332</v>
      </c>
      <c r="F8413" s="3" t="s">
        <v>399</v>
      </c>
      <c r="I8413" s="3" t="s">
        <v>16572</v>
      </c>
    </row>
    <row r="8414" spans="2:9" hidden="1" x14ac:dyDescent="0.4">
      <c r="D8414" s="3" t="s">
        <v>11445</v>
      </c>
      <c r="F8414" s="3" t="s">
        <v>399</v>
      </c>
      <c r="I8414" s="3" t="s">
        <v>16572</v>
      </c>
    </row>
    <row r="8415" spans="2:9" hidden="1" x14ac:dyDescent="0.4">
      <c r="D8415" s="3" t="s">
        <v>11446</v>
      </c>
      <c r="F8415" s="3" t="s">
        <v>399</v>
      </c>
      <c r="I8415" s="3" t="s">
        <v>16572</v>
      </c>
    </row>
    <row r="8416" spans="2:9" hidden="1" x14ac:dyDescent="0.4">
      <c r="D8416" s="3" t="s">
        <v>13333</v>
      </c>
      <c r="F8416" s="3" t="s">
        <v>399</v>
      </c>
      <c r="I8416" s="3" t="s">
        <v>16572</v>
      </c>
    </row>
    <row r="8417" spans="2:9" hidden="1" x14ac:dyDescent="0.4">
      <c r="D8417" s="3" t="s">
        <v>13334</v>
      </c>
      <c r="F8417" s="3" t="s">
        <v>399</v>
      </c>
      <c r="I8417" s="3" t="s">
        <v>16572</v>
      </c>
    </row>
    <row r="8418" spans="2:9" hidden="1" x14ac:dyDescent="0.4">
      <c r="B8418" s="8" t="s">
        <v>516</v>
      </c>
      <c r="C8418" s="3" t="s">
        <v>13592</v>
      </c>
      <c r="D8418" s="3" t="s">
        <v>13335</v>
      </c>
      <c r="F8418" s="3" t="s">
        <v>399</v>
      </c>
      <c r="I8418" s="3" t="s">
        <v>16572</v>
      </c>
    </row>
    <row r="8419" spans="2:9" hidden="1" x14ac:dyDescent="0.4">
      <c r="B8419" s="8" t="s">
        <v>9750</v>
      </c>
      <c r="C8419" s="3" t="s">
        <v>13593</v>
      </c>
      <c r="D8419" s="3" t="s">
        <v>13336</v>
      </c>
      <c r="F8419" s="3" t="s">
        <v>399</v>
      </c>
      <c r="I8419" s="3" t="s">
        <v>16572</v>
      </c>
    </row>
    <row r="8420" spans="2:9" hidden="1" x14ac:dyDescent="0.4">
      <c r="D8420" s="3" t="s">
        <v>13337</v>
      </c>
      <c r="F8420" s="3" t="s">
        <v>399</v>
      </c>
      <c r="I8420" s="3" t="s">
        <v>16572</v>
      </c>
    </row>
    <row r="8421" spans="2:9" hidden="1" x14ac:dyDescent="0.4">
      <c r="D8421" s="3" t="s">
        <v>13338</v>
      </c>
      <c r="F8421" s="3" t="s">
        <v>399</v>
      </c>
      <c r="I8421" s="3" t="s">
        <v>16572</v>
      </c>
    </row>
    <row r="8422" spans="2:9" hidden="1" x14ac:dyDescent="0.4">
      <c r="D8422" s="3" t="s">
        <v>13339</v>
      </c>
      <c r="F8422" s="3" t="s">
        <v>399</v>
      </c>
      <c r="I8422" s="3" t="s">
        <v>16572</v>
      </c>
    </row>
    <row r="8423" spans="2:9" hidden="1" x14ac:dyDescent="0.4">
      <c r="D8423" s="3" t="s">
        <v>13340</v>
      </c>
      <c r="F8423" s="3" t="s">
        <v>399</v>
      </c>
      <c r="I8423" s="3" t="s">
        <v>16572</v>
      </c>
    </row>
    <row r="8424" spans="2:9" hidden="1" x14ac:dyDescent="0.4">
      <c r="D8424" s="3" t="s">
        <v>13341</v>
      </c>
      <c r="F8424" s="3" t="s">
        <v>399</v>
      </c>
      <c r="I8424" s="3" t="s">
        <v>16572</v>
      </c>
    </row>
    <row r="8425" spans="2:9" hidden="1" x14ac:dyDescent="0.4">
      <c r="D8425" s="3" t="s">
        <v>13342</v>
      </c>
      <c r="F8425" s="3" t="s">
        <v>399</v>
      </c>
      <c r="I8425" s="3" t="s">
        <v>16572</v>
      </c>
    </row>
    <row r="8426" spans="2:9" hidden="1" x14ac:dyDescent="0.4">
      <c r="D8426" s="3" t="s">
        <v>13343</v>
      </c>
      <c r="F8426" s="3" t="s">
        <v>399</v>
      </c>
      <c r="I8426" s="3" t="s">
        <v>16572</v>
      </c>
    </row>
    <row r="8427" spans="2:9" hidden="1" x14ac:dyDescent="0.4">
      <c r="D8427" s="3" t="s">
        <v>13344</v>
      </c>
      <c r="F8427" s="3" t="s">
        <v>399</v>
      </c>
      <c r="I8427" s="3" t="s">
        <v>16572</v>
      </c>
    </row>
    <row r="8428" spans="2:9" hidden="1" x14ac:dyDescent="0.4">
      <c r="D8428" s="3" t="s">
        <v>13345</v>
      </c>
      <c r="F8428" s="3" t="s">
        <v>399</v>
      </c>
      <c r="I8428" s="3" t="s">
        <v>16572</v>
      </c>
    </row>
    <row r="8429" spans="2:9" hidden="1" x14ac:dyDescent="0.4">
      <c r="D8429" s="3" t="s">
        <v>13346</v>
      </c>
      <c r="F8429" s="3" t="s">
        <v>399</v>
      </c>
      <c r="I8429" s="3" t="s">
        <v>16572</v>
      </c>
    </row>
    <row r="8430" spans="2:9" hidden="1" x14ac:dyDescent="0.4">
      <c r="D8430" s="3" t="s">
        <v>13347</v>
      </c>
      <c r="F8430" s="3" t="s">
        <v>399</v>
      </c>
      <c r="I8430" s="3" t="s">
        <v>16572</v>
      </c>
    </row>
    <row r="8431" spans="2:9" hidden="1" x14ac:dyDescent="0.4">
      <c r="D8431" s="3" t="s">
        <v>13348</v>
      </c>
      <c r="F8431" s="3" t="s">
        <v>399</v>
      </c>
      <c r="I8431" s="3" t="s">
        <v>16572</v>
      </c>
    </row>
    <row r="8432" spans="2:9" hidden="1" x14ac:dyDescent="0.4">
      <c r="D8432" s="3" t="s">
        <v>13349</v>
      </c>
      <c r="F8432" s="3" t="s">
        <v>399</v>
      </c>
      <c r="I8432" s="3" t="s">
        <v>16572</v>
      </c>
    </row>
    <row r="8433" spans="4:9" hidden="1" x14ac:dyDescent="0.4">
      <c r="D8433" s="3" t="s">
        <v>13350</v>
      </c>
      <c r="F8433" s="3" t="s">
        <v>399</v>
      </c>
      <c r="I8433" s="3" t="s">
        <v>16572</v>
      </c>
    </row>
    <row r="8434" spans="4:9" hidden="1" x14ac:dyDescent="0.4">
      <c r="D8434" s="3" t="s">
        <v>13351</v>
      </c>
      <c r="F8434" s="3" t="s">
        <v>399</v>
      </c>
      <c r="I8434" s="3" t="s">
        <v>16572</v>
      </c>
    </row>
    <row r="8435" spans="4:9" hidden="1" x14ac:dyDescent="0.4">
      <c r="D8435" s="3" t="s">
        <v>13352</v>
      </c>
      <c r="F8435" s="3" t="s">
        <v>399</v>
      </c>
      <c r="I8435" s="3" t="s">
        <v>16572</v>
      </c>
    </row>
    <row r="8436" spans="4:9" hidden="1" x14ac:dyDescent="0.4">
      <c r="D8436" s="3" t="s">
        <v>13353</v>
      </c>
      <c r="F8436" s="3" t="s">
        <v>399</v>
      </c>
      <c r="I8436" s="3" t="s">
        <v>16572</v>
      </c>
    </row>
    <row r="8437" spans="4:9" hidden="1" x14ac:dyDescent="0.4">
      <c r="D8437" s="3" t="s">
        <v>13354</v>
      </c>
      <c r="F8437" s="3" t="s">
        <v>399</v>
      </c>
      <c r="I8437" s="3" t="s">
        <v>16572</v>
      </c>
    </row>
    <row r="8438" spans="4:9" hidden="1" x14ac:dyDescent="0.4">
      <c r="D8438" s="3" t="s">
        <v>13355</v>
      </c>
      <c r="F8438" s="3" t="s">
        <v>399</v>
      </c>
      <c r="I8438" s="3" t="s">
        <v>16572</v>
      </c>
    </row>
    <row r="8439" spans="4:9" hidden="1" x14ac:dyDescent="0.4">
      <c r="D8439" s="3" t="s">
        <v>13356</v>
      </c>
      <c r="F8439" s="3" t="s">
        <v>399</v>
      </c>
      <c r="I8439" s="3" t="s">
        <v>16572</v>
      </c>
    </row>
    <row r="8440" spans="4:9" hidden="1" x14ac:dyDescent="0.4">
      <c r="D8440" s="3" t="s">
        <v>13357</v>
      </c>
      <c r="F8440" s="3" t="s">
        <v>399</v>
      </c>
      <c r="I8440" s="3" t="s">
        <v>16572</v>
      </c>
    </row>
    <row r="8441" spans="4:9" hidden="1" x14ac:dyDescent="0.4">
      <c r="D8441" s="3" t="s">
        <v>13358</v>
      </c>
      <c r="F8441" s="3" t="s">
        <v>399</v>
      </c>
      <c r="I8441" s="3" t="s">
        <v>16572</v>
      </c>
    </row>
    <row r="8442" spans="4:9" hidden="1" x14ac:dyDescent="0.4">
      <c r="D8442" s="3" t="s">
        <v>13303</v>
      </c>
      <c r="F8442" s="3" t="s">
        <v>399</v>
      </c>
      <c r="I8442" s="3" t="s">
        <v>16572</v>
      </c>
    </row>
    <row r="8443" spans="4:9" hidden="1" x14ac:dyDescent="0.4">
      <c r="D8443" s="3" t="s">
        <v>13359</v>
      </c>
      <c r="F8443" s="3" t="s">
        <v>399</v>
      </c>
      <c r="I8443" s="3" t="s">
        <v>16572</v>
      </c>
    </row>
    <row r="8444" spans="4:9" hidden="1" x14ac:dyDescent="0.4">
      <c r="D8444" s="3" t="s">
        <v>13360</v>
      </c>
      <c r="F8444" s="3" t="s">
        <v>399</v>
      </c>
      <c r="I8444" s="3" t="s">
        <v>16572</v>
      </c>
    </row>
    <row r="8445" spans="4:9" hidden="1" x14ac:dyDescent="0.4">
      <c r="D8445" s="3" t="s">
        <v>13361</v>
      </c>
      <c r="F8445" s="3" t="s">
        <v>399</v>
      </c>
      <c r="I8445" s="3" t="s">
        <v>16572</v>
      </c>
    </row>
    <row r="8446" spans="4:9" hidden="1" x14ac:dyDescent="0.4">
      <c r="D8446" s="3" t="s">
        <v>13362</v>
      </c>
      <c r="F8446" s="3" t="s">
        <v>399</v>
      </c>
      <c r="I8446" s="3" t="s">
        <v>16572</v>
      </c>
    </row>
    <row r="8447" spans="4:9" hidden="1" x14ac:dyDescent="0.4">
      <c r="D8447" s="3" t="s">
        <v>13653</v>
      </c>
      <c r="F8447" s="3" t="s">
        <v>399</v>
      </c>
      <c r="I8447" s="3" t="s">
        <v>16572</v>
      </c>
    </row>
    <row r="8448" spans="4:9" hidden="1" x14ac:dyDescent="0.4">
      <c r="D8448" s="3" t="s">
        <v>13654</v>
      </c>
      <c r="F8448" s="3" t="s">
        <v>399</v>
      </c>
      <c r="I8448" s="3" t="s">
        <v>16572</v>
      </c>
    </row>
    <row r="8449" spans="4:9" hidden="1" x14ac:dyDescent="0.4">
      <c r="D8449" s="3" t="s">
        <v>13655</v>
      </c>
      <c r="F8449" s="3" t="s">
        <v>399</v>
      </c>
      <c r="I8449" s="3" t="s">
        <v>16572</v>
      </c>
    </row>
    <row r="8450" spans="4:9" hidden="1" x14ac:dyDescent="0.4">
      <c r="D8450" s="3" t="s">
        <v>13656</v>
      </c>
      <c r="F8450" s="3" t="s">
        <v>399</v>
      </c>
      <c r="I8450" s="3" t="s">
        <v>16572</v>
      </c>
    </row>
    <row r="8451" spans="4:9" hidden="1" x14ac:dyDescent="0.4">
      <c r="D8451" s="3" t="s">
        <v>13657</v>
      </c>
      <c r="F8451" s="3" t="s">
        <v>399</v>
      </c>
      <c r="I8451" s="3" t="s">
        <v>16572</v>
      </c>
    </row>
    <row r="8452" spans="4:9" hidden="1" x14ac:dyDescent="0.4">
      <c r="D8452" s="3" t="s">
        <v>13658</v>
      </c>
      <c r="F8452" s="3" t="s">
        <v>399</v>
      </c>
      <c r="I8452" s="3" t="s">
        <v>16572</v>
      </c>
    </row>
    <row r="8453" spans="4:9" hidden="1" x14ac:dyDescent="0.4">
      <c r="D8453" s="3" t="s">
        <v>13659</v>
      </c>
      <c r="F8453" s="3" t="s">
        <v>399</v>
      </c>
      <c r="I8453" s="3" t="s">
        <v>16572</v>
      </c>
    </row>
    <row r="8454" spans="4:9" hidden="1" x14ac:dyDescent="0.4">
      <c r="D8454" s="3" t="s">
        <v>13660</v>
      </c>
      <c r="F8454" s="3" t="s">
        <v>399</v>
      </c>
      <c r="I8454" s="3" t="s">
        <v>16572</v>
      </c>
    </row>
    <row r="8455" spans="4:9" hidden="1" x14ac:dyDescent="0.4">
      <c r="D8455" s="3" t="s">
        <v>13661</v>
      </c>
      <c r="F8455" s="3" t="s">
        <v>399</v>
      </c>
      <c r="I8455" s="3" t="s">
        <v>16572</v>
      </c>
    </row>
    <row r="8456" spans="4:9" hidden="1" x14ac:dyDescent="0.4">
      <c r="D8456" s="3" t="s">
        <v>13662</v>
      </c>
      <c r="F8456" s="3" t="s">
        <v>399</v>
      </c>
      <c r="I8456" s="3" t="s">
        <v>16572</v>
      </c>
    </row>
    <row r="8457" spans="4:9" hidden="1" x14ac:dyDescent="0.4">
      <c r="D8457" s="3" t="s">
        <v>13663</v>
      </c>
      <c r="F8457" s="3" t="s">
        <v>399</v>
      </c>
      <c r="I8457" s="3" t="s">
        <v>16572</v>
      </c>
    </row>
    <row r="8458" spans="4:9" hidden="1" x14ac:dyDescent="0.4">
      <c r="D8458" s="3" t="s">
        <v>13664</v>
      </c>
      <c r="F8458" s="3" t="s">
        <v>399</v>
      </c>
      <c r="I8458" s="3" t="s">
        <v>16572</v>
      </c>
    </row>
    <row r="8459" spans="4:9" hidden="1" x14ac:dyDescent="0.4">
      <c r="D8459" s="3" t="s">
        <v>13665</v>
      </c>
      <c r="F8459" s="3" t="s">
        <v>399</v>
      </c>
      <c r="I8459" s="3" t="s">
        <v>16572</v>
      </c>
    </row>
    <row r="8460" spans="4:9" hidden="1" x14ac:dyDescent="0.4">
      <c r="D8460" s="3" t="s">
        <v>13666</v>
      </c>
      <c r="F8460" s="3" t="s">
        <v>399</v>
      </c>
      <c r="I8460" s="3" t="s">
        <v>16572</v>
      </c>
    </row>
    <row r="8461" spans="4:9" hidden="1" x14ac:dyDescent="0.4">
      <c r="D8461" s="3" t="s">
        <v>13667</v>
      </c>
      <c r="F8461" s="3" t="s">
        <v>399</v>
      </c>
      <c r="I8461" s="3" t="s">
        <v>16572</v>
      </c>
    </row>
    <row r="8462" spans="4:9" hidden="1" x14ac:dyDescent="0.4">
      <c r="D8462" s="3" t="s">
        <v>13668</v>
      </c>
      <c r="F8462" s="3" t="s">
        <v>399</v>
      </c>
      <c r="I8462" s="3" t="s">
        <v>16572</v>
      </c>
    </row>
    <row r="8463" spans="4:9" hidden="1" x14ac:dyDescent="0.4">
      <c r="D8463" s="3" t="s">
        <v>13669</v>
      </c>
      <c r="F8463" s="3" t="s">
        <v>399</v>
      </c>
      <c r="I8463" s="3" t="s">
        <v>16572</v>
      </c>
    </row>
    <row r="8464" spans="4:9" hidden="1" x14ac:dyDescent="0.4">
      <c r="D8464" s="3" t="s">
        <v>13670</v>
      </c>
      <c r="F8464" s="3" t="s">
        <v>399</v>
      </c>
      <c r="I8464" s="3" t="s">
        <v>16572</v>
      </c>
    </row>
    <row r="8465" spans="4:9" hidden="1" x14ac:dyDescent="0.4">
      <c r="D8465" s="3" t="s">
        <v>13671</v>
      </c>
      <c r="F8465" s="3" t="s">
        <v>399</v>
      </c>
      <c r="I8465" s="3" t="s">
        <v>16572</v>
      </c>
    </row>
    <row r="8466" spans="4:9" hidden="1" x14ac:dyDescent="0.4">
      <c r="D8466" s="3" t="s">
        <v>11434</v>
      </c>
      <c r="F8466" s="3" t="s">
        <v>399</v>
      </c>
      <c r="I8466" s="3" t="s">
        <v>16572</v>
      </c>
    </row>
    <row r="8467" spans="4:9" hidden="1" x14ac:dyDescent="0.4">
      <c r="D8467" s="3" t="s">
        <v>13672</v>
      </c>
      <c r="F8467" s="3" t="s">
        <v>399</v>
      </c>
      <c r="I8467" s="3" t="s">
        <v>16572</v>
      </c>
    </row>
    <row r="8468" spans="4:9" hidden="1" x14ac:dyDescent="0.4">
      <c r="D8468" s="3" t="s">
        <v>13673</v>
      </c>
      <c r="F8468" s="3" t="s">
        <v>399</v>
      </c>
      <c r="I8468" s="3" t="s">
        <v>16572</v>
      </c>
    </row>
    <row r="8469" spans="4:9" hidden="1" x14ac:dyDescent="0.4">
      <c r="D8469" s="3" t="s">
        <v>13674</v>
      </c>
      <c r="F8469" s="3" t="s">
        <v>399</v>
      </c>
      <c r="I8469" s="3" t="s">
        <v>16572</v>
      </c>
    </row>
    <row r="8470" spans="4:9" hidden="1" x14ac:dyDescent="0.4">
      <c r="D8470" s="3" t="s">
        <v>13675</v>
      </c>
      <c r="F8470" s="3" t="s">
        <v>399</v>
      </c>
      <c r="I8470" s="3" t="s">
        <v>16572</v>
      </c>
    </row>
    <row r="8471" spans="4:9" hidden="1" x14ac:dyDescent="0.4">
      <c r="D8471" s="3" t="s">
        <v>13676</v>
      </c>
      <c r="F8471" s="3" t="s">
        <v>399</v>
      </c>
      <c r="I8471" s="3" t="s">
        <v>16572</v>
      </c>
    </row>
    <row r="8472" spans="4:9" hidden="1" x14ac:dyDescent="0.4">
      <c r="D8472" s="3" t="s">
        <v>13677</v>
      </c>
      <c r="F8472" s="3" t="s">
        <v>399</v>
      </c>
      <c r="I8472" s="3" t="s">
        <v>16572</v>
      </c>
    </row>
    <row r="8473" spans="4:9" hidden="1" x14ac:dyDescent="0.4">
      <c r="D8473" s="3" t="s">
        <v>13678</v>
      </c>
      <c r="F8473" s="3" t="s">
        <v>399</v>
      </c>
      <c r="I8473" s="3" t="s">
        <v>16572</v>
      </c>
    </row>
    <row r="8474" spans="4:9" hidden="1" x14ac:dyDescent="0.4">
      <c r="D8474" s="3" t="s">
        <v>13679</v>
      </c>
      <c r="F8474" s="3" t="s">
        <v>399</v>
      </c>
      <c r="I8474" s="3" t="s">
        <v>16572</v>
      </c>
    </row>
    <row r="8475" spans="4:9" hidden="1" x14ac:dyDescent="0.4">
      <c r="D8475" s="3" t="s">
        <v>13680</v>
      </c>
      <c r="F8475" s="3" t="s">
        <v>399</v>
      </c>
      <c r="I8475" s="3" t="s">
        <v>16572</v>
      </c>
    </row>
    <row r="8476" spans="4:9" hidden="1" x14ac:dyDescent="0.4">
      <c r="D8476" s="3" t="s">
        <v>13681</v>
      </c>
      <c r="F8476" s="3" t="s">
        <v>399</v>
      </c>
      <c r="I8476" s="3" t="s">
        <v>16572</v>
      </c>
    </row>
    <row r="8477" spans="4:9" hidden="1" x14ac:dyDescent="0.4">
      <c r="D8477" s="3" t="s">
        <v>13682</v>
      </c>
      <c r="F8477" s="3" t="s">
        <v>399</v>
      </c>
      <c r="I8477" s="3" t="s">
        <v>16572</v>
      </c>
    </row>
    <row r="8478" spans="4:9" hidden="1" x14ac:dyDescent="0.4">
      <c r="D8478" s="3" t="s">
        <v>13683</v>
      </c>
      <c r="F8478" s="3" t="s">
        <v>399</v>
      </c>
      <c r="I8478" s="3" t="s">
        <v>16572</v>
      </c>
    </row>
    <row r="8479" spans="4:9" hidden="1" x14ac:dyDescent="0.4">
      <c r="D8479" s="3" t="s">
        <v>13684</v>
      </c>
      <c r="F8479" s="3" t="s">
        <v>399</v>
      </c>
      <c r="I8479" s="3" t="s">
        <v>16572</v>
      </c>
    </row>
    <row r="8480" spans="4:9" hidden="1" x14ac:dyDescent="0.4">
      <c r="D8480" s="3" t="s">
        <v>13685</v>
      </c>
      <c r="F8480" s="3" t="s">
        <v>399</v>
      </c>
      <c r="I8480" s="3" t="s">
        <v>16572</v>
      </c>
    </row>
    <row r="8481" spans="4:9" hidden="1" x14ac:dyDescent="0.4">
      <c r="D8481" s="3" t="s">
        <v>13686</v>
      </c>
      <c r="F8481" s="3" t="s">
        <v>399</v>
      </c>
      <c r="I8481" s="3" t="s">
        <v>16572</v>
      </c>
    </row>
    <row r="8482" spans="4:9" hidden="1" x14ac:dyDescent="0.4">
      <c r="D8482" s="3" t="s">
        <v>13687</v>
      </c>
      <c r="F8482" s="3" t="s">
        <v>399</v>
      </c>
      <c r="I8482" s="3" t="s">
        <v>16572</v>
      </c>
    </row>
    <row r="8483" spans="4:9" hidden="1" x14ac:dyDescent="0.4">
      <c r="D8483" s="3" t="s">
        <v>13688</v>
      </c>
      <c r="F8483" s="3" t="s">
        <v>399</v>
      </c>
      <c r="I8483" s="3" t="s">
        <v>16572</v>
      </c>
    </row>
    <row r="8484" spans="4:9" hidden="1" x14ac:dyDescent="0.4">
      <c r="D8484" s="3" t="s">
        <v>13689</v>
      </c>
      <c r="F8484" s="3" t="s">
        <v>399</v>
      </c>
      <c r="I8484" s="3" t="s">
        <v>16572</v>
      </c>
    </row>
    <row r="8485" spans="4:9" hidden="1" x14ac:dyDescent="0.4">
      <c r="D8485" s="3" t="s">
        <v>13690</v>
      </c>
      <c r="F8485" s="3" t="s">
        <v>399</v>
      </c>
      <c r="I8485" s="3" t="s">
        <v>16572</v>
      </c>
    </row>
    <row r="8486" spans="4:9" hidden="1" x14ac:dyDescent="0.4">
      <c r="D8486" s="3" t="s">
        <v>13691</v>
      </c>
      <c r="F8486" s="3" t="s">
        <v>399</v>
      </c>
      <c r="I8486" s="3" t="s">
        <v>16572</v>
      </c>
    </row>
    <row r="8487" spans="4:9" hidden="1" x14ac:dyDescent="0.4">
      <c r="D8487" s="3" t="s">
        <v>13692</v>
      </c>
      <c r="F8487" s="3" t="s">
        <v>399</v>
      </c>
      <c r="I8487" s="3" t="s">
        <v>16572</v>
      </c>
    </row>
    <row r="8488" spans="4:9" hidden="1" x14ac:dyDescent="0.4">
      <c r="D8488" s="3" t="s">
        <v>13693</v>
      </c>
      <c r="F8488" s="3" t="s">
        <v>399</v>
      </c>
      <c r="I8488" s="3" t="s">
        <v>16572</v>
      </c>
    </row>
    <row r="8489" spans="4:9" hidden="1" x14ac:dyDescent="0.4">
      <c r="D8489" s="3" t="s">
        <v>13694</v>
      </c>
      <c r="F8489" s="3" t="s">
        <v>399</v>
      </c>
      <c r="I8489" s="3" t="s">
        <v>16572</v>
      </c>
    </row>
    <row r="8490" spans="4:9" hidden="1" x14ac:dyDescent="0.4">
      <c r="D8490" s="3" t="s">
        <v>13695</v>
      </c>
      <c r="F8490" s="3" t="s">
        <v>399</v>
      </c>
      <c r="I8490" s="3" t="s">
        <v>16572</v>
      </c>
    </row>
    <row r="8491" spans="4:9" hidden="1" x14ac:dyDescent="0.4">
      <c r="D8491" s="3" t="s">
        <v>13696</v>
      </c>
      <c r="F8491" s="3" t="s">
        <v>399</v>
      </c>
      <c r="I8491" s="3" t="s">
        <v>16572</v>
      </c>
    </row>
    <row r="8492" spans="4:9" hidden="1" x14ac:dyDescent="0.4">
      <c r="D8492" s="3" t="s">
        <v>13697</v>
      </c>
      <c r="F8492" s="3" t="s">
        <v>399</v>
      </c>
      <c r="I8492" s="3" t="s">
        <v>16572</v>
      </c>
    </row>
    <row r="8493" spans="4:9" hidden="1" x14ac:dyDescent="0.4">
      <c r="D8493" s="3" t="s">
        <v>13698</v>
      </c>
      <c r="F8493" s="3" t="s">
        <v>399</v>
      </c>
      <c r="I8493" s="3" t="s">
        <v>16572</v>
      </c>
    </row>
    <row r="8494" spans="4:9" hidden="1" x14ac:dyDescent="0.4">
      <c r="D8494" s="3" t="s">
        <v>13699</v>
      </c>
      <c r="F8494" s="3" t="s">
        <v>399</v>
      </c>
      <c r="I8494" s="3" t="s">
        <v>16572</v>
      </c>
    </row>
    <row r="8495" spans="4:9" hidden="1" x14ac:dyDescent="0.4">
      <c r="D8495" s="3" t="s">
        <v>13700</v>
      </c>
      <c r="F8495" s="3" t="s">
        <v>399</v>
      </c>
      <c r="I8495" s="3" t="s">
        <v>16572</v>
      </c>
    </row>
    <row r="8496" spans="4:9" hidden="1" x14ac:dyDescent="0.4">
      <c r="D8496" s="3" t="s">
        <v>13701</v>
      </c>
      <c r="F8496" s="3" t="s">
        <v>399</v>
      </c>
      <c r="I8496" s="3" t="s">
        <v>16572</v>
      </c>
    </row>
    <row r="8497" spans="4:9" hidden="1" x14ac:dyDescent="0.4">
      <c r="D8497" s="3" t="s">
        <v>13702</v>
      </c>
      <c r="F8497" s="3" t="s">
        <v>399</v>
      </c>
      <c r="I8497" s="3" t="s">
        <v>16572</v>
      </c>
    </row>
    <row r="8498" spans="4:9" hidden="1" x14ac:dyDescent="0.4">
      <c r="D8498" s="3" t="s">
        <v>13703</v>
      </c>
      <c r="F8498" s="3" t="s">
        <v>399</v>
      </c>
      <c r="I8498" s="3" t="s">
        <v>16572</v>
      </c>
    </row>
    <row r="8499" spans="4:9" hidden="1" x14ac:dyDescent="0.4">
      <c r="D8499" s="3" t="s">
        <v>13704</v>
      </c>
      <c r="F8499" s="3" t="s">
        <v>399</v>
      </c>
      <c r="I8499" s="3" t="s">
        <v>16572</v>
      </c>
    </row>
    <row r="8500" spans="4:9" hidden="1" x14ac:dyDescent="0.4">
      <c r="D8500" s="3" t="s">
        <v>13705</v>
      </c>
      <c r="F8500" s="3" t="s">
        <v>399</v>
      </c>
      <c r="I8500" s="3" t="s">
        <v>16572</v>
      </c>
    </row>
    <row r="8501" spans="4:9" hidden="1" x14ac:dyDescent="0.4">
      <c r="D8501" s="3" t="s">
        <v>13706</v>
      </c>
      <c r="F8501" s="3" t="s">
        <v>399</v>
      </c>
      <c r="I8501" s="3" t="s">
        <v>16572</v>
      </c>
    </row>
    <row r="8502" spans="4:9" hidden="1" x14ac:dyDescent="0.4">
      <c r="D8502" s="3" t="s">
        <v>13707</v>
      </c>
      <c r="F8502" s="3" t="s">
        <v>399</v>
      </c>
      <c r="I8502" s="3" t="s">
        <v>16572</v>
      </c>
    </row>
    <row r="8503" spans="4:9" hidden="1" x14ac:dyDescent="0.4">
      <c r="D8503" s="3" t="s">
        <v>13708</v>
      </c>
      <c r="F8503" s="3" t="s">
        <v>399</v>
      </c>
      <c r="I8503" s="3" t="s">
        <v>16572</v>
      </c>
    </row>
    <row r="8504" spans="4:9" hidden="1" x14ac:dyDescent="0.4">
      <c r="D8504" s="3" t="s">
        <v>13707</v>
      </c>
      <c r="F8504" s="3" t="s">
        <v>399</v>
      </c>
      <c r="I8504" s="3" t="s">
        <v>16572</v>
      </c>
    </row>
    <row r="8505" spans="4:9" hidden="1" x14ac:dyDescent="0.4">
      <c r="D8505" s="3" t="s">
        <v>13709</v>
      </c>
      <c r="F8505" s="3" t="s">
        <v>399</v>
      </c>
      <c r="I8505" s="3" t="s">
        <v>16572</v>
      </c>
    </row>
    <row r="8506" spans="4:9" hidden="1" x14ac:dyDescent="0.4">
      <c r="D8506" s="3" t="s">
        <v>13710</v>
      </c>
      <c r="F8506" s="3" t="s">
        <v>399</v>
      </c>
      <c r="I8506" s="3" t="s">
        <v>16572</v>
      </c>
    </row>
    <row r="8507" spans="4:9" hidden="1" x14ac:dyDescent="0.4">
      <c r="D8507" s="3" t="s">
        <v>13711</v>
      </c>
      <c r="F8507" s="3" t="s">
        <v>399</v>
      </c>
      <c r="I8507" s="3" t="s">
        <v>16572</v>
      </c>
    </row>
    <row r="8508" spans="4:9" hidden="1" x14ac:dyDescent="0.4">
      <c r="D8508" s="3" t="s">
        <v>13712</v>
      </c>
      <c r="F8508" s="3" t="s">
        <v>399</v>
      </c>
      <c r="I8508" s="3" t="s">
        <v>16572</v>
      </c>
    </row>
    <row r="8509" spans="4:9" hidden="1" x14ac:dyDescent="0.4">
      <c r="D8509" s="3" t="s">
        <v>13713</v>
      </c>
      <c r="F8509" s="3" t="s">
        <v>399</v>
      </c>
      <c r="I8509" s="3" t="s">
        <v>16572</v>
      </c>
    </row>
    <row r="8510" spans="4:9" hidden="1" x14ac:dyDescent="0.4">
      <c r="D8510" s="3" t="s">
        <v>13156</v>
      </c>
      <c r="F8510" s="3" t="s">
        <v>399</v>
      </c>
      <c r="I8510" s="3" t="s">
        <v>16572</v>
      </c>
    </row>
    <row r="8511" spans="4:9" hidden="1" x14ac:dyDescent="0.4">
      <c r="D8511" s="3" t="s">
        <v>13714</v>
      </c>
      <c r="F8511" s="3" t="s">
        <v>399</v>
      </c>
      <c r="I8511" s="3" t="s">
        <v>16572</v>
      </c>
    </row>
    <row r="8512" spans="4:9" hidden="1" x14ac:dyDescent="0.4">
      <c r="D8512" s="3" t="s">
        <v>13715</v>
      </c>
      <c r="F8512" s="3" t="s">
        <v>399</v>
      </c>
      <c r="I8512" s="3" t="s">
        <v>16572</v>
      </c>
    </row>
    <row r="8513" spans="4:9" hidden="1" x14ac:dyDescent="0.4">
      <c r="D8513" s="3" t="s">
        <v>13716</v>
      </c>
      <c r="F8513" s="3" t="s">
        <v>399</v>
      </c>
      <c r="I8513" s="3" t="s">
        <v>16572</v>
      </c>
    </row>
    <row r="8514" spans="4:9" hidden="1" x14ac:dyDescent="0.4">
      <c r="D8514" s="3" t="s">
        <v>13717</v>
      </c>
      <c r="F8514" s="3" t="s">
        <v>399</v>
      </c>
      <c r="I8514" s="3" t="s">
        <v>16572</v>
      </c>
    </row>
    <row r="8515" spans="4:9" hidden="1" x14ac:dyDescent="0.4">
      <c r="D8515" s="3" t="s">
        <v>13718</v>
      </c>
      <c r="F8515" s="3" t="s">
        <v>399</v>
      </c>
      <c r="I8515" s="3" t="s">
        <v>16572</v>
      </c>
    </row>
    <row r="8516" spans="4:9" hidden="1" x14ac:dyDescent="0.4">
      <c r="D8516" s="3" t="s">
        <v>13719</v>
      </c>
      <c r="F8516" s="3" t="s">
        <v>399</v>
      </c>
      <c r="I8516" s="3" t="s">
        <v>16572</v>
      </c>
    </row>
    <row r="8517" spans="4:9" hidden="1" x14ac:dyDescent="0.4">
      <c r="D8517" s="3" t="s">
        <v>13720</v>
      </c>
      <c r="F8517" s="3" t="s">
        <v>399</v>
      </c>
      <c r="I8517" s="3" t="s">
        <v>16572</v>
      </c>
    </row>
    <row r="8518" spans="4:9" hidden="1" x14ac:dyDescent="0.4">
      <c r="D8518" s="3" t="s">
        <v>13721</v>
      </c>
      <c r="F8518" s="3" t="s">
        <v>399</v>
      </c>
      <c r="I8518" s="3" t="s">
        <v>16572</v>
      </c>
    </row>
    <row r="8519" spans="4:9" hidden="1" x14ac:dyDescent="0.4">
      <c r="D8519" s="3" t="s">
        <v>13722</v>
      </c>
      <c r="F8519" s="3" t="s">
        <v>399</v>
      </c>
      <c r="I8519" s="3" t="s">
        <v>16572</v>
      </c>
    </row>
    <row r="8520" spans="4:9" hidden="1" x14ac:dyDescent="0.4">
      <c r="D8520" s="3" t="s">
        <v>13723</v>
      </c>
      <c r="F8520" s="3" t="s">
        <v>399</v>
      </c>
      <c r="I8520" s="3" t="s">
        <v>16572</v>
      </c>
    </row>
    <row r="8521" spans="4:9" hidden="1" x14ac:dyDescent="0.4">
      <c r="D8521" s="3" t="s">
        <v>13724</v>
      </c>
      <c r="F8521" s="3" t="s">
        <v>399</v>
      </c>
      <c r="I8521" s="3" t="s">
        <v>16572</v>
      </c>
    </row>
    <row r="8522" spans="4:9" hidden="1" x14ac:dyDescent="0.4">
      <c r="D8522" s="3" t="s">
        <v>13725</v>
      </c>
      <c r="F8522" s="3" t="s">
        <v>399</v>
      </c>
      <c r="I8522" s="3" t="s">
        <v>16572</v>
      </c>
    </row>
    <row r="8523" spans="4:9" hidden="1" x14ac:dyDescent="0.4">
      <c r="D8523" s="3" t="s">
        <v>13726</v>
      </c>
      <c r="F8523" s="3" t="s">
        <v>399</v>
      </c>
      <c r="I8523" s="3" t="s">
        <v>16572</v>
      </c>
    </row>
    <row r="8524" spans="4:9" hidden="1" x14ac:dyDescent="0.4">
      <c r="D8524" s="3" t="s">
        <v>13727</v>
      </c>
      <c r="F8524" s="3" t="s">
        <v>399</v>
      </c>
      <c r="I8524" s="3" t="s">
        <v>16572</v>
      </c>
    </row>
    <row r="8525" spans="4:9" hidden="1" x14ac:dyDescent="0.4">
      <c r="D8525" s="3" t="s">
        <v>13728</v>
      </c>
      <c r="F8525" s="3" t="s">
        <v>399</v>
      </c>
      <c r="I8525" s="3" t="s">
        <v>16572</v>
      </c>
    </row>
    <row r="8526" spans="4:9" hidden="1" x14ac:dyDescent="0.4">
      <c r="D8526" s="3" t="s">
        <v>13729</v>
      </c>
      <c r="F8526" s="3" t="s">
        <v>399</v>
      </c>
      <c r="I8526" s="3" t="s">
        <v>16572</v>
      </c>
    </row>
    <row r="8527" spans="4:9" hidden="1" x14ac:dyDescent="0.4">
      <c r="D8527" s="3" t="s">
        <v>13730</v>
      </c>
      <c r="F8527" s="3" t="s">
        <v>399</v>
      </c>
      <c r="I8527" s="3" t="s">
        <v>16572</v>
      </c>
    </row>
    <row r="8528" spans="4:9" hidden="1" x14ac:dyDescent="0.4">
      <c r="D8528" s="3" t="s">
        <v>13731</v>
      </c>
      <c r="F8528" s="3" t="s">
        <v>399</v>
      </c>
      <c r="I8528" s="3" t="s">
        <v>16572</v>
      </c>
    </row>
    <row r="8529" spans="4:9" hidden="1" x14ac:dyDescent="0.4">
      <c r="D8529" s="3" t="s">
        <v>13732</v>
      </c>
      <c r="F8529" s="3" t="s">
        <v>399</v>
      </c>
      <c r="I8529" s="3" t="s">
        <v>16572</v>
      </c>
    </row>
    <row r="8530" spans="4:9" hidden="1" x14ac:dyDescent="0.4">
      <c r="D8530" s="3" t="s">
        <v>13733</v>
      </c>
      <c r="F8530" s="3" t="s">
        <v>399</v>
      </c>
      <c r="I8530" s="3" t="s">
        <v>16572</v>
      </c>
    </row>
    <row r="8531" spans="4:9" hidden="1" x14ac:dyDescent="0.4">
      <c r="D8531" s="3" t="s">
        <v>13734</v>
      </c>
      <c r="F8531" s="3" t="s">
        <v>399</v>
      </c>
      <c r="I8531" s="3" t="s">
        <v>16572</v>
      </c>
    </row>
    <row r="8532" spans="4:9" hidden="1" x14ac:dyDescent="0.4">
      <c r="D8532" s="3" t="s">
        <v>13406</v>
      </c>
      <c r="F8532" s="3" t="s">
        <v>399</v>
      </c>
      <c r="I8532" s="3" t="s">
        <v>16572</v>
      </c>
    </row>
    <row r="8533" spans="4:9" hidden="1" x14ac:dyDescent="0.4">
      <c r="D8533" s="3" t="s">
        <v>13735</v>
      </c>
      <c r="F8533" s="3" t="s">
        <v>399</v>
      </c>
      <c r="I8533" s="3" t="s">
        <v>16572</v>
      </c>
    </row>
    <row r="8534" spans="4:9" hidden="1" x14ac:dyDescent="0.4">
      <c r="D8534" s="3" t="s">
        <v>13736</v>
      </c>
      <c r="F8534" s="3" t="s">
        <v>399</v>
      </c>
      <c r="I8534" s="3" t="s">
        <v>16572</v>
      </c>
    </row>
    <row r="8535" spans="4:9" hidden="1" x14ac:dyDescent="0.4">
      <c r="D8535" s="3" t="s">
        <v>13737</v>
      </c>
      <c r="F8535" s="3" t="s">
        <v>399</v>
      </c>
      <c r="I8535" s="3" t="s">
        <v>16572</v>
      </c>
    </row>
    <row r="8536" spans="4:9" hidden="1" x14ac:dyDescent="0.4">
      <c r="D8536" s="3" t="s">
        <v>13738</v>
      </c>
      <c r="F8536" s="3" t="s">
        <v>399</v>
      </c>
      <c r="I8536" s="3" t="s">
        <v>16572</v>
      </c>
    </row>
    <row r="8537" spans="4:9" hidden="1" x14ac:dyDescent="0.4">
      <c r="D8537" s="3" t="s">
        <v>13739</v>
      </c>
      <c r="F8537" s="3" t="s">
        <v>399</v>
      </c>
      <c r="I8537" s="3" t="s">
        <v>16572</v>
      </c>
    </row>
    <row r="8538" spans="4:9" hidden="1" x14ac:dyDescent="0.4">
      <c r="D8538" s="3" t="s">
        <v>13740</v>
      </c>
      <c r="F8538" s="3" t="s">
        <v>399</v>
      </c>
      <c r="I8538" s="3" t="s">
        <v>16572</v>
      </c>
    </row>
    <row r="8539" spans="4:9" hidden="1" x14ac:dyDescent="0.4">
      <c r="D8539" s="3" t="s">
        <v>13741</v>
      </c>
      <c r="F8539" s="3" t="s">
        <v>399</v>
      </c>
      <c r="I8539" s="3" t="s">
        <v>16572</v>
      </c>
    </row>
    <row r="8540" spans="4:9" hidden="1" x14ac:dyDescent="0.4">
      <c r="D8540" s="3" t="s">
        <v>13742</v>
      </c>
      <c r="F8540" s="3" t="s">
        <v>399</v>
      </c>
      <c r="I8540" s="3" t="s">
        <v>16572</v>
      </c>
    </row>
    <row r="8541" spans="4:9" hidden="1" x14ac:dyDescent="0.4">
      <c r="D8541" s="3" t="s">
        <v>13743</v>
      </c>
      <c r="F8541" s="3" t="s">
        <v>399</v>
      </c>
      <c r="I8541" s="3" t="s">
        <v>16572</v>
      </c>
    </row>
    <row r="8542" spans="4:9" hidden="1" x14ac:dyDescent="0.4">
      <c r="D8542" s="3" t="s">
        <v>13744</v>
      </c>
      <c r="F8542" s="3" t="s">
        <v>399</v>
      </c>
      <c r="I8542" s="3" t="s">
        <v>16572</v>
      </c>
    </row>
    <row r="8543" spans="4:9" hidden="1" x14ac:dyDescent="0.4">
      <c r="D8543" s="3" t="s">
        <v>13745</v>
      </c>
      <c r="F8543" s="3" t="s">
        <v>399</v>
      </c>
      <c r="I8543" s="3" t="s">
        <v>16572</v>
      </c>
    </row>
    <row r="8544" spans="4:9" hidden="1" x14ac:dyDescent="0.4">
      <c r="D8544" s="3" t="s">
        <v>13746</v>
      </c>
      <c r="F8544" s="3" t="s">
        <v>399</v>
      </c>
      <c r="I8544" s="3" t="s">
        <v>16572</v>
      </c>
    </row>
    <row r="8545" spans="4:9" hidden="1" x14ac:dyDescent="0.4">
      <c r="D8545" s="3" t="s">
        <v>13747</v>
      </c>
      <c r="F8545" s="3" t="s">
        <v>399</v>
      </c>
      <c r="I8545" s="3" t="s">
        <v>16572</v>
      </c>
    </row>
    <row r="8546" spans="4:9" hidden="1" x14ac:dyDescent="0.4">
      <c r="D8546" s="3" t="s">
        <v>13748</v>
      </c>
      <c r="F8546" s="3" t="s">
        <v>399</v>
      </c>
      <c r="I8546" s="3" t="s">
        <v>16572</v>
      </c>
    </row>
    <row r="8547" spans="4:9" hidden="1" x14ac:dyDescent="0.4">
      <c r="D8547" s="3" t="s">
        <v>13749</v>
      </c>
      <c r="F8547" s="3" t="s">
        <v>399</v>
      </c>
      <c r="I8547" s="3" t="s">
        <v>16572</v>
      </c>
    </row>
    <row r="8548" spans="4:9" hidden="1" x14ac:dyDescent="0.4">
      <c r="D8548" s="3" t="s">
        <v>13750</v>
      </c>
      <c r="F8548" s="3" t="s">
        <v>399</v>
      </c>
      <c r="I8548" s="3" t="s">
        <v>16572</v>
      </c>
    </row>
    <row r="8549" spans="4:9" hidden="1" x14ac:dyDescent="0.4">
      <c r="D8549" s="3" t="s">
        <v>13751</v>
      </c>
      <c r="F8549" s="3" t="s">
        <v>399</v>
      </c>
      <c r="I8549" s="3" t="s">
        <v>16572</v>
      </c>
    </row>
    <row r="8550" spans="4:9" hidden="1" x14ac:dyDescent="0.4">
      <c r="D8550" s="3" t="s">
        <v>13752</v>
      </c>
      <c r="F8550" s="3" t="s">
        <v>399</v>
      </c>
      <c r="I8550" s="3" t="s">
        <v>16572</v>
      </c>
    </row>
    <row r="8551" spans="4:9" hidden="1" x14ac:dyDescent="0.4">
      <c r="D8551" s="3" t="s">
        <v>13753</v>
      </c>
      <c r="F8551" s="3" t="s">
        <v>399</v>
      </c>
      <c r="I8551" s="3" t="s">
        <v>16572</v>
      </c>
    </row>
    <row r="8552" spans="4:9" hidden="1" x14ac:dyDescent="0.4">
      <c r="D8552" s="3" t="s">
        <v>13754</v>
      </c>
      <c r="F8552" s="3" t="s">
        <v>399</v>
      </c>
      <c r="I8552" s="3" t="s">
        <v>16572</v>
      </c>
    </row>
    <row r="8553" spans="4:9" hidden="1" x14ac:dyDescent="0.4">
      <c r="D8553" s="3" t="s">
        <v>13755</v>
      </c>
      <c r="F8553" s="3" t="s">
        <v>399</v>
      </c>
      <c r="I8553" s="3" t="s">
        <v>16572</v>
      </c>
    </row>
    <row r="8554" spans="4:9" hidden="1" x14ac:dyDescent="0.4">
      <c r="D8554" s="3" t="s">
        <v>13756</v>
      </c>
      <c r="F8554" s="3" t="s">
        <v>399</v>
      </c>
      <c r="I8554" s="3" t="s">
        <v>16572</v>
      </c>
    </row>
    <row r="8555" spans="4:9" hidden="1" x14ac:dyDescent="0.4">
      <c r="D8555" s="3" t="s">
        <v>13757</v>
      </c>
      <c r="F8555" s="3" t="s">
        <v>399</v>
      </c>
      <c r="I8555" s="3" t="s">
        <v>16572</v>
      </c>
    </row>
    <row r="8556" spans="4:9" hidden="1" x14ac:dyDescent="0.4">
      <c r="D8556" s="3" t="s">
        <v>13758</v>
      </c>
      <c r="F8556" s="3" t="s">
        <v>399</v>
      </c>
      <c r="I8556" s="3" t="s">
        <v>16572</v>
      </c>
    </row>
    <row r="8557" spans="4:9" hidden="1" x14ac:dyDescent="0.4">
      <c r="D8557" s="3" t="s">
        <v>13759</v>
      </c>
      <c r="F8557" s="3" t="s">
        <v>399</v>
      </c>
      <c r="I8557" s="3" t="s">
        <v>16572</v>
      </c>
    </row>
    <row r="8558" spans="4:9" hidden="1" x14ac:dyDescent="0.4">
      <c r="D8558" s="3" t="s">
        <v>13760</v>
      </c>
      <c r="F8558" s="3" t="s">
        <v>399</v>
      </c>
      <c r="I8558" s="3" t="s">
        <v>16572</v>
      </c>
    </row>
    <row r="8559" spans="4:9" hidden="1" x14ac:dyDescent="0.4">
      <c r="D8559" s="3" t="s">
        <v>13761</v>
      </c>
      <c r="F8559" s="3" t="s">
        <v>399</v>
      </c>
      <c r="I8559" s="3" t="s">
        <v>16572</v>
      </c>
    </row>
    <row r="8560" spans="4:9" hidden="1" x14ac:dyDescent="0.4">
      <c r="D8560" s="3" t="s">
        <v>13762</v>
      </c>
      <c r="F8560" s="3" t="s">
        <v>399</v>
      </c>
      <c r="I8560" s="3" t="s">
        <v>16572</v>
      </c>
    </row>
    <row r="8561" spans="4:9" hidden="1" x14ac:dyDescent="0.4">
      <c r="D8561" s="3" t="s">
        <v>13763</v>
      </c>
      <c r="F8561" s="3" t="s">
        <v>399</v>
      </c>
      <c r="I8561" s="3" t="s">
        <v>16572</v>
      </c>
    </row>
    <row r="8562" spans="4:9" hidden="1" x14ac:dyDescent="0.4">
      <c r="D8562" s="3" t="s">
        <v>13764</v>
      </c>
      <c r="F8562" s="3" t="s">
        <v>399</v>
      </c>
      <c r="I8562" s="3" t="s">
        <v>16572</v>
      </c>
    </row>
    <row r="8563" spans="4:9" hidden="1" x14ac:dyDescent="0.4">
      <c r="D8563" s="3" t="s">
        <v>13765</v>
      </c>
      <c r="F8563" s="3" t="s">
        <v>399</v>
      </c>
      <c r="I8563" s="3" t="s">
        <v>16572</v>
      </c>
    </row>
    <row r="8564" spans="4:9" hidden="1" x14ac:dyDescent="0.4">
      <c r="D8564" s="3" t="s">
        <v>13766</v>
      </c>
      <c r="F8564" s="3" t="s">
        <v>399</v>
      </c>
      <c r="I8564" s="3" t="s">
        <v>16572</v>
      </c>
    </row>
    <row r="8565" spans="4:9" hidden="1" x14ac:dyDescent="0.4">
      <c r="D8565" s="3" t="s">
        <v>13767</v>
      </c>
      <c r="F8565" s="3" t="s">
        <v>399</v>
      </c>
      <c r="I8565" s="3" t="s">
        <v>16572</v>
      </c>
    </row>
    <row r="8566" spans="4:9" hidden="1" x14ac:dyDescent="0.4">
      <c r="D8566" s="3" t="s">
        <v>13768</v>
      </c>
      <c r="F8566" s="3" t="s">
        <v>399</v>
      </c>
      <c r="I8566" s="3" t="s">
        <v>16572</v>
      </c>
    </row>
    <row r="8567" spans="4:9" hidden="1" x14ac:dyDescent="0.4">
      <c r="D8567" s="3" t="s">
        <v>13769</v>
      </c>
      <c r="F8567" s="3" t="s">
        <v>399</v>
      </c>
      <c r="I8567" s="3" t="s">
        <v>16572</v>
      </c>
    </row>
    <row r="8568" spans="4:9" hidden="1" x14ac:dyDescent="0.4">
      <c r="D8568" s="3" t="s">
        <v>13770</v>
      </c>
      <c r="F8568" s="3" t="s">
        <v>399</v>
      </c>
      <c r="I8568" s="3" t="s">
        <v>16572</v>
      </c>
    </row>
    <row r="8569" spans="4:9" hidden="1" x14ac:dyDescent="0.4">
      <c r="D8569" s="3" t="s">
        <v>13771</v>
      </c>
      <c r="F8569" s="3" t="s">
        <v>399</v>
      </c>
      <c r="I8569" s="3" t="s">
        <v>16572</v>
      </c>
    </row>
    <row r="8570" spans="4:9" hidden="1" x14ac:dyDescent="0.4">
      <c r="D8570" s="3" t="s">
        <v>13772</v>
      </c>
      <c r="F8570" s="3" t="s">
        <v>399</v>
      </c>
      <c r="I8570" s="3" t="s">
        <v>16572</v>
      </c>
    </row>
    <row r="8571" spans="4:9" hidden="1" x14ac:dyDescent="0.4">
      <c r="D8571" s="3" t="s">
        <v>13773</v>
      </c>
      <c r="F8571" s="3" t="s">
        <v>399</v>
      </c>
      <c r="I8571" s="3" t="s">
        <v>16572</v>
      </c>
    </row>
    <row r="8572" spans="4:9" hidden="1" x14ac:dyDescent="0.4">
      <c r="D8572" s="3" t="s">
        <v>13774</v>
      </c>
      <c r="F8572" s="3" t="s">
        <v>399</v>
      </c>
      <c r="I8572" s="3" t="s">
        <v>16572</v>
      </c>
    </row>
    <row r="8573" spans="4:9" hidden="1" x14ac:dyDescent="0.4">
      <c r="D8573" s="3" t="s">
        <v>13775</v>
      </c>
      <c r="F8573" s="3" t="s">
        <v>399</v>
      </c>
      <c r="I8573" s="3" t="s">
        <v>16572</v>
      </c>
    </row>
    <row r="8574" spans="4:9" hidden="1" x14ac:dyDescent="0.4">
      <c r="D8574" s="3" t="s">
        <v>13776</v>
      </c>
      <c r="F8574" s="3" t="s">
        <v>399</v>
      </c>
      <c r="I8574" s="3" t="s">
        <v>16572</v>
      </c>
    </row>
    <row r="8575" spans="4:9" hidden="1" x14ac:dyDescent="0.4">
      <c r="D8575" s="3" t="s">
        <v>13777</v>
      </c>
      <c r="F8575" s="3" t="s">
        <v>399</v>
      </c>
      <c r="I8575" s="3" t="s">
        <v>16572</v>
      </c>
    </row>
    <row r="8576" spans="4:9" hidden="1" x14ac:dyDescent="0.4">
      <c r="D8576" s="3" t="s">
        <v>13778</v>
      </c>
      <c r="F8576" s="3" t="s">
        <v>399</v>
      </c>
      <c r="I8576" s="3" t="s">
        <v>16572</v>
      </c>
    </row>
    <row r="8577" spans="4:9" hidden="1" x14ac:dyDescent="0.4">
      <c r="D8577" s="3" t="s">
        <v>13779</v>
      </c>
      <c r="F8577" s="3" t="s">
        <v>399</v>
      </c>
      <c r="I8577" s="3" t="s">
        <v>16572</v>
      </c>
    </row>
    <row r="8578" spans="4:9" hidden="1" x14ac:dyDescent="0.4">
      <c r="D8578" s="3" t="s">
        <v>13780</v>
      </c>
      <c r="F8578" s="3" t="s">
        <v>399</v>
      </c>
      <c r="I8578" s="3" t="s">
        <v>16572</v>
      </c>
    </row>
    <row r="8579" spans="4:9" hidden="1" x14ac:dyDescent="0.4">
      <c r="D8579" s="3" t="s">
        <v>13781</v>
      </c>
      <c r="F8579" s="3" t="s">
        <v>399</v>
      </c>
      <c r="I8579" s="3" t="s">
        <v>16572</v>
      </c>
    </row>
    <row r="8580" spans="4:9" hidden="1" x14ac:dyDescent="0.4">
      <c r="D8580" s="3" t="s">
        <v>13782</v>
      </c>
      <c r="F8580" s="3" t="s">
        <v>399</v>
      </c>
      <c r="I8580" s="3" t="s">
        <v>16572</v>
      </c>
    </row>
    <row r="8581" spans="4:9" hidden="1" x14ac:dyDescent="0.4">
      <c r="D8581" s="3" t="s">
        <v>13783</v>
      </c>
      <c r="F8581" s="3" t="s">
        <v>399</v>
      </c>
      <c r="I8581" s="3" t="s">
        <v>16572</v>
      </c>
    </row>
    <row r="8582" spans="4:9" hidden="1" x14ac:dyDescent="0.4">
      <c r="D8582" s="3" t="s">
        <v>13669</v>
      </c>
      <c r="F8582" s="3" t="s">
        <v>399</v>
      </c>
      <c r="I8582" s="3" t="s">
        <v>16572</v>
      </c>
    </row>
    <row r="8583" spans="4:9" hidden="1" x14ac:dyDescent="0.4">
      <c r="D8583" s="3" t="s">
        <v>13784</v>
      </c>
      <c r="F8583" s="3" t="s">
        <v>399</v>
      </c>
      <c r="I8583" s="3" t="s">
        <v>16572</v>
      </c>
    </row>
    <row r="8584" spans="4:9" hidden="1" x14ac:dyDescent="0.4">
      <c r="D8584" s="3" t="s">
        <v>13785</v>
      </c>
      <c r="F8584" s="3" t="s">
        <v>399</v>
      </c>
      <c r="I8584" s="3" t="s">
        <v>16572</v>
      </c>
    </row>
    <row r="8585" spans="4:9" hidden="1" x14ac:dyDescent="0.4">
      <c r="D8585" s="3" t="s">
        <v>13786</v>
      </c>
      <c r="F8585" s="3" t="s">
        <v>399</v>
      </c>
      <c r="I8585" s="3" t="s">
        <v>16572</v>
      </c>
    </row>
    <row r="8586" spans="4:9" hidden="1" x14ac:dyDescent="0.4">
      <c r="D8586" s="3" t="s">
        <v>13787</v>
      </c>
      <c r="F8586" s="3" t="s">
        <v>399</v>
      </c>
      <c r="I8586" s="3" t="s">
        <v>16572</v>
      </c>
    </row>
    <row r="8587" spans="4:9" hidden="1" x14ac:dyDescent="0.4">
      <c r="D8587" s="3" t="s">
        <v>13788</v>
      </c>
      <c r="F8587" s="3" t="s">
        <v>399</v>
      </c>
      <c r="I8587" s="3" t="s">
        <v>16572</v>
      </c>
    </row>
    <row r="8588" spans="4:9" hidden="1" x14ac:dyDescent="0.4">
      <c r="D8588" s="3" t="s">
        <v>13789</v>
      </c>
      <c r="F8588" s="3" t="s">
        <v>399</v>
      </c>
      <c r="I8588" s="3" t="s">
        <v>16572</v>
      </c>
    </row>
    <row r="8589" spans="4:9" hidden="1" x14ac:dyDescent="0.4">
      <c r="D8589" s="3" t="s">
        <v>13667</v>
      </c>
      <c r="F8589" s="3" t="s">
        <v>399</v>
      </c>
      <c r="I8589" s="3" t="s">
        <v>16572</v>
      </c>
    </row>
    <row r="8590" spans="4:9" hidden="1" x14ac:dyDescent="0.4">
      <c r="D8590" s="3" t="s">
        <v>13790</v>
      </c>
      <c r="F8590" s="3" t="s">
        <v>399</v>
      </c>
      <c r="I8590" s="3" t="s">
        <v>16572</v>
      </c>
    </row>
    <row r="8591" spans="4:9" hidden="1" x14ac:dyDescent="0.4">
      <c r="D8591" s="3" t="s">
        <v>13791</v>
      </c>
      <c r="F8591" s="3" t="s">
        <v>399</v>
      </c>
      <c r="I8591" s="3" t="s">
        <v>16572</v>
      </c>
    </row>
    <row r="8592" spans="4:9" hidden="1" x14ac:dyDescent="0.4">
      <c r="D8592" s="3" t="s">
        <v>13792</v>
      </c>
      <c r="F8592" s="3" t="s">
        <v>399</v>
      </c>
      <c r="I8592" s="3" t="s">
        <v>16572</v>
      </c>
    </row>
    <row r="8593" spans="4:9" hidden="1" x14ac:dyDescent="0.4">
      <c r="D8593" s="3" t="s">
        <v>13238</v>
      </c>
      <c r="F8593" s="3" t="s">
        <v>399</v>
      </c>
      <c r="I8593" s="3" t="s">
        <v>16572</v>
      </c>
    </row>
    <row r="8594" spans="4:9" hidden="1" x14ac:dyDescent="0.4">
      <c r="D8594" s="3" t="s">
        <v>13793</v>
      </c>
      <c r="F8594" s="3" t="s">
        <v>399</v>
      </c>
      <c r="I8594" s="3" t="s">
        <v>16572</v>
      </c>
    </row>
    <row r="8595" spans="4:9" hidden="1" x14ac:dyDescent="0.4">
      <c r="D8595" s="3" t="s">
        <v>13794</v>
      </c>
      <c r="F8595" s="3" t="s">
        <v>399</v>
      </c>
      <c r="I8595" s="3" t="s">
        <v>16572</v>
      </c>
    </row>
    <row r="8596" spans="4:9" hidden="1" x14ac:dyDescent="0.4">
      <c r="D8596" s="3" t="s">
        <v>13795</v>
      </c>
      <c r="F8596" s="3" t="s">
        <v>399</v>
      </c>
      <c r="I8596" s="3" t="s">
        <v>16572</v>
      </c>
    </row>
    <row r="8597" spans="4:9" hidden="1" x14ac:dyDescent="0.4">
      <c r="D8597" s="3" t="s">
        <v>13796</v>
      </c>
      <c r="F8597" s="3" t="s">
        <v>399</v>
      </c>
      <c r="I8597" s="3" t="s">
        <v>16572</v>
      </c>
    </row>
    <row r="8598" spans="4:9" hidden="1" x14ac:dyDescent="0.4">
      <c r="D8598" s="3" t="s">
        <v>13797</v>
      </c>
      <c r="F8598" s="3" t="s">
        <v>399</v>
      </c>
      <c r="I8598" s="3" t="s">
        <v>16572</v>
      </c>
    </row>
    <row r="8599" spans="4:9" hidden="1" x14ac:dyDescent="0.4">
      <c r="D8599" s="3" t="s">
        <v>13798</v>
      </c>
      <c r="F8599" s="3" t="s">
        <v>399</v>
      </c>
      <c r="I8599" s="3" t="s">
        <v>16572</v>
      </c>
    </row>
    <row r="8600" spans="4:9" hidden="1" x14ac:dyDescent="0.4">
      <c r="D8600" s="3" t="s">
        <v>13799</v>
      </c>
      <c r="F8600" s="3" t="s">
        <v>399</v>
      </c>
      <c r="I8600" s="3" t="s">
        <v>16572</v>
      </c>
    </row>
    <row r="8601" spans="4:9" hidden="1" x14ac:dyDescent="0.4">
      <c r="D8601" s="3" t="s">
        <v>13800</v>
      </c>
      <c r="F8601" s="3" t="s">
        <v>399</v>
      </c>
      <c r="I8601" s="3" t="s">
        <v>16572</v>
      </c>
    </row>
    <row r="8602" spans="4:9" hidden="1" x14ac:dyDescent="0.4">
      <c r="D8602" s="3" t="s">
        <v>13801</v>
      </c>
      <c r="F8602" s="3" t="s">
        <v>399</v>
      </c>
      <c r="I8602" s="3" t="s">
        <v>16572</v>
      </c>
    </row>
    <row r="8603" spans="4:9" hidden="1" x14ac:dyDescent="0.4">
      <c r="D8603" s="3" t="s">
        <v>13802</v>
      </c>
      <c r="F8603" s="3" t="s">
        <v>399</v>
      </c>
      <c r="I8603" s="3" t="s">
        <v>16572</v>
      </c>
    </row>
    <row r="8604" spans="4:9" hidden="1" x14ac:dyDescent="0.4">
      <c r="D8604" s="3" t="s">
        <v>13803</v>
      </c>
      <c r="F8604" s="3" t="s">
        <v>399</v>
      </c>
      <c r="I8604" s="3" t="s">
        <v>16572</v>
      </c>
    </row>
    <row r="8605" spans="4:9" hidden="1" x14ac:dyDescent="0.4">
      <c r="D8605" s="3" t="s">
        <v>13804</v>
      </c>
      <c r="F8605" s="3" t="s">
        <v>399</v>
      </c>
      <c r="I8605" s="3" t="s">
        <v>16572</v>
      </c>
    </row>
    <row r="8606" spans="4:9" hidden="1" x14ac:dyDescent="0.4">
      <c r="D8606" s="3" t="s">
        <v>13805</v>
      </c>
      <c r="F8606" s="3" t="s">
        <v>399</v>
      </c>
      <c r="I8606" s="3" t="s">
        <v>16572</v>
      </c>
    </row>
    <row r="8607" spans="4:9" hidden="1" x14ac:dyDescent="0.4">
      <c r="D8607" s="3" t="s">
        <v>13806</v>
      </c>
      <c r="F8607" s="3" t="s">
        <v>399</v>
      </c>
      <c r="I8607" s="3" t="s">
        <v>16572</v>
      </c>
    </row>
    <row r="8608" spans="4:9" hidden="1" x14ac:dyDescent="0.4">
      <c r="D8608" s="3" t="s">
        <v>13807</v>
      </c>
      <c r="F8608" s="3" t="s">
        <v>399</v>
      </c>
      <c r="I8608" s="3" t="s">
        <v>16572</v>
      </c>
    </row>
    <row r="8609" spans="4:9" hidden="1" x14ac:dyDescent="0.4">
      <c r="D8609" s="3" t="s">
        <v>13808</v>
      </c>
      <c r="F8609" s="3" t="s">
        <v>399</v>
      </c>
      <c r="I8609" s="3" t="s">
        <v>16572</v>
      </c>
    </row>
    <row r="8610" spans="4:9" hidden="1" x14ac:dyDescent="0.4">
      <c r="D8610" s="3" t="s">
        <v>13809</v>
      </c>
      <c r="F8610" s="3" t="s">
        <v>399</v>
      </c>
      <c r="I8610" s="3" t="s">
        <v>16572</v>
      </c>
    </row>
    <row r="8611" spans="4:9" hidden="1" x14ac:dyDescent="0.4">
      <c r="D8611" s="3" t="s">
        <v>13810</v>
      </c>
      <c r="F8611" s="3" t="s">
        <v>399</v>
      </c>
      <c r="I8611" s="3" t="s">
        <v>16572</v>
      </c>
    </row>
    <row r="8612" spans="4:9" hidden="1" x14ac:dyDescent="0.4">
      <c r="D8612" s="3" t="s">
        <v>13811</v>
      </c>
      <c r="F8612" s="3" t="s">
        <v>399</v>
      </c>
      <c r="I8612" s="3" t="s">
        <v>16572</v>
      </c>
    </row>
    <row r="8613" spans="4:9" hidden="1" x14ac:dyDescent="0.4">
      <c r="D8613" s="3" t="s">
        <v>13812</v>
      </c>
      <c r="F8613" s="3" t="s">
        <v>399</v>
      </c>
      <c r="I8613" s="3" t="s">
        <v>16572</v>
      </c>
    </row>
    <row r="8614" spans="4:9" hidden="1" x14ac:dyDescent="0.4">
      <c r="D8614" s="3" t="s">
        <v>13813</v>
      </c>
      <c r="F8614" s="3" t="s">
        <v>399</v>
      </c>
      <c r="I8614" s="3" t="s">
        <v>16572</v>
      </c>
    </row>
    <row r="8615" spans="4:9" hidden="1" x14ac:dyDescent="0.4">
      <c r="D8615" s="3" t="s">
        <v>13814</v>
      </c>
      <c r="F8615" s="3" t="s">
        <v>399</v>
      </c>
      <c r="I8615" s="3" t="s">
        <v>16572</v>
      </c>
    </row>
    <row r="8616" spans="4:9" hidden="1" x14ac:dyDescent="0.4">
      <c r="D8616" s="3" t="s">
        <v>13815</v>
      </c>
      <c r="F8616" s="3" t="s">
        <v>399</v>
      </c>
      <c r="I8616" s="3" t="s">
        <v>16572</v>
      </c>
    </row>
    <row r="8617" spans="4:9" hidden="1" x14ac:dyDescent="0.4">
      <c r="D8617" s="3" t="s">
        <v>13816</v>
      </c>
      <c r="F8617" s="3" t="s">
        <v>399</v>
      </c>
      <c r="I8617" s="3" t="s">
        <v>16572</v>
      </c>
    </row>
    <row r="8618" spans="4:9" hidden="1" x14ac:dyDescent="0.4">
      <c r="D8618" s="3" t="s">
        <v>13817</v>
      </c>
      <c r="F8618" s="3" t="s">
        <v>399</v>
      </c>
      <c r="I8618" s="3" t="s">
        <v>16572</v>
      </c>
    </row>
    <row r="8619" spans="4:9" hidden="1" x14ac:dyDescent="0.4">
      <c r="D8619" s="3" t="s">
        <v>13818</v>
      </c>
      <c r="F8619" s="3" t="s">
        <v>399</v>
      </c>
      <c r="I8619" s="3" t="s">
        <v>16572</v>
      </c>
    </row>
    <row r="8620" spans="4:9" hidden="1" x14ac:dyDescent="0.4">
      <c r="D8620" s="3" t="s">
        <v>13819</v>
      </c>
      <c r="F8620" s="3" t="s">
        <v>399</v>
      </c>
      <c r="I8620" s="3" t="s">
        <v>16572</v>
      </c>
    </row>
    <row r="8621" spans="4:9" hidden="1" x14ac:dyDescent="0.4">
      <c r="D8621" s="3" t="s">
        <v>13820</v>
      </c>
      <c r="F8621" s="3" t="s">
        <v>399</v>
      </c>
      <c r="I8621" s="3" t="s">
        <v>16572</v>
      </c>
    </row>
    <row r="8622" spans="4:9" hidden="1" x14ac:dyDescent="0.4">
      <c r="D8622" s="3" t="s">
        <v>13821</v>
      </c>
      <c r="F8622" s="3" t="s">
        <v>399</v>
      </c>
      <c r="I8622" s="3" t="s">
        <v>16572</v>
      </c>
    </row>
    <row r="8623" spans="4:9" hidden="1" x14ac:dyDescent="0.4">
      <c r="D8623" s="3" t="s">
        <v>13822</v>
      </c>
      <c r="F8623" s="3" t="s">
        <v>399</v>
      </c>
      <c r="I8623" s="3" t="s">
        <v>16572</v>
      </c>
    </row>
    <row r="8624" spans="4:9" hidden="1" x14ac:dyDescent="0.4">
      <c r="D8624" s="3" t="s">
        <v>13823</v>
      </c>
      <c r="F8624" s="3" t="s">
        <v>399</v>
      </c>
      <c r="I8624" s="3" t="s">
        <v>16572</v>
      </c>
    </row>
    <row r="8625" spans="4:9" hidden="1" x14ac:dyDescent="0.4">
      <c r="D8625" s="3" t="s">
        <v>13824</v>
      </c>
      <c r="F8625" s="3" t="s">
        <v>399</v>
      </c>
      <c r="I8625" s="3" t="s">
        <v>16572</v>
      </c>
    </row>
    <row r="8626" spans="4:9" hidden="1" x14ac:dyDescent="0.4">
      <c r="D8626" s="3" t="s">
        <v>13825</v>
      </c>
      <c r="F8626" s="3" t="s">
        <v>399</v>
      </c>
      <c r="I8626" s="3" t="s">
        <v>16572</v>
      </c>
    </row>
    <row r="8627" spans="4:9" hidden="1" x14ac:dyDescent="0.4">
      <c r="D8627" s="3" t="s">
        <v>13826</v>
      </c>
      <c r="F8627" s="3" t="s">
        <v>399</v>
      </c>
      <c r="I8627" s="3" t="s">
        <v>16572</v>
      </c>
    </row>
    <row r="8628" spans="4:9" hidden="1" x14ac:dyDescent="0.4">
      <c r="D8628" s="3" t="s">
        <v>13827</v>
      </c>
      <c r="F8628" s="3" t="s">
        <v>399</v>
      </c>
      <c r="I8628" s="3" t="s">
        <v>16572</v>
      </c>
    </row>
    <row r="8629" spans="4:9" hidden="1" x14ac:dyDescent="0.4">
      <c r="D8629" s="3" t="s">
        <v>13828</v>
      </c>
      <c r="F8629" s="3" t="s">
        <v>399</v>
      </c>
      <c r="I8629" s="3" t="s">
        <v>16572</v>
      </c>
    </row>
    <row r="8630" spans="4:9" hidden="1" x14ac:dyDescent="0.4">
      <c r="D8630" s="3" t="s">
        <v>13829</v>
      </c>
      <c r="F8630" s="3" t="s">
        <v>399</v>
      </c>
      <c r="I8630" s="3" t="s">
        <v>16572</v>
      </c>
    </row>
    <row r="8631" spans="4:9" hidden="1" x14ac:dyDescent="0.4">
      <c r="D8631" s="3" t="s">
        <v>13830</v>
      </c>
      <c r="F8631" s="3" t="s">
        <v>399</v>
      </c>
      <c r="I8631" s="3" t="s">
        <v>16572</v>
      </c>
    </row>
    <row r="8632" spans="4:9" hidden="1" x14ac:dyDescent="0.4">
      <c r="D8632" s="3" t="s">
        <v>13831</v>
      </c>
      <c r="F8632" s="3" t="s">
        <v>399</v>
      </c>
      <c r="I8632" s="3" t="s">
        <v>16572</v>
      </c>
    </row>
    <row r="8633" spans="4:9" hidden="1" x14ac:dyDescent="0.4">
      <c r="D8633" s="3" t="s">
        <v>13832</v>
      </c>
      <c r="F8633" s="3" t="s">
        <v>399</v>
      </c>
      <c r="I8633" s="3" t="s">
        <v>16572</v>
      </c>
    </row>
    <row r="8634" spans="4:9" hidden="1" x14ac:dyDescent="0.4">
      <c r="D8634" s="3" t="s">
        <v>13833</v>
      </c>
      <c r="F8634" s="3" t="s">
        <v>399</v>
      </c>
      <c r="I8634" s="3" t="s">
        <v>16572</v>
      </c>
    </row>
    <row r="8635" spans="4:9" hidden="1" x14ac:dyDescent="0.4">
      <c r="D8635" s="3" t="s">
        <v>13834</v>
      </c>
      <c r="F8635" s="3" t="s">
        <v>399</v>
      </c>
      <c r="I8635" s="3" t="s">
        <v>16572</v>
      </c>
    </row>
    <row r="8636" spans="4:9" hidden="1" x14ac:dyDescent="0.4">
      <c r="D8636" s="3" t="s">
        <v>13835</v>
      </c>
      <c r="F8636" s="3" t="s">
        <v>399</v>
      </c>
      <c r="I8636" s="3" t="s">
        <v>16572</v>
      </c>
    </row>
    <row r="8637" spans="4:9" hidden="1" x14ac:dyDescent="0.4">
      <c r="D8637" s="3" t="s">
        <v>13836</v>
      </c>
      <c r="F8637" s="3" t="s">
        <v>399</v>
      </c>
      <c r="I8637" s="3" t="s">
        <v>16572</v>
      </c>
    </row>
    <row r="8638" spans="4:9" hidden="1" x14ac:dyDescent="0.4">
      <c r="D8638" s="3" t="s">
        <v>13837</v>
      </c>
      <c r="F8638" s="3" t="s">
        <v>399</v>
      </c>
      <c r="I8638" s="3" t="s">
        <v>16572</v>
      </c>
    </row>
    <row r="8639" spans="4:9" hidden="1" x14ac:dyDescent="0.4">
      <c r="D8639" s="3" t="s">
        <v>13838</v>
      </c>
      <c r="F8639" s="3" t="s">
        <v>399</v>
      </c>
      <c r="I8639" s="3" t="s">
        <v>16572</v>
      </c>
    </row>
    <row r="8640" spans="4:9" hidden="1" x14ac:dyDescent="0.4">
      <c r="D8640" s="3" t="s">
        <v>13839</v>
      </c>
      <c r="F8640" s="3" t="s">
        <v>399</v>
      </c>
      <c r="I8640" s="3" t="s">
        <v>16572</v>
      </c>
    </row>
    <row r="8641" spans="4:9" hidden="1" x14ac:dyDescent="0.4">
      <c r="D8641" s="3" t="s">
        <v>13840</v>
      </c>
      <c r="F8641" s="3" t="s">
        <v>399</v>
      </c>
      <c r="I8641" s="3" t="s">
        <v>16572</v>
      </c>
    </row>
    <row r="8642" spans="4:9" hidden="1" x14ac:dyDescent="0.4">
      <c r="D8642" s="3" t="s">
        <v>13841</v>
      </c>
      <c r="F8642" s="3" t="s">
        <v>399</v>
      </c>
      <c r="I8642" s="3" t="s">
        <v>16572</v>
      </c>
    </row>
    <row r="8643" spans="4:9" hidden="1" x14ac:dyDescent="0.4">
      <c r="D8643" s="3" t="s">
        <v>13842</v>
      </c>
      <c r="F8643" s="3" t="s">
        <v>399</v>
      </c>
      <c r="I8643" s="3" t="s">
        <v>16572</v>
      </c>
    </row>
    <row r="8644" spans="4:9" hidden="1" x14ac:dyDescent="0.4">
      <c r="D8644" s="3" t="s">
        <v>13843</v>
      </c>
      <c r="F8644" s="3" t="s">
        <v>399</v>
      </c>
      <c r="I8644" s="3" t="s">
        <v>16572</v>
      </c>
    </row>
    <row r="8645" spans="4:9" hidden="1" x14ac:dyDescent="0.4">
      <c r="D8645" s="3" t="s">
        <v>13844</v>
      </c>
      <c r="F8645" s="3" t="s">
        <v>399</v>
      </c>
      <c r="I8645" s="3" t="s">
        <v>16572</v>
      </c>
    </row>
    <row r="8646" spans="4:9" hidden="1" x14ac:dyDescent="0.4">
      <c r="D8646" s="3" t="s">
        <v>13845</v>
      </c>
      <c r="F8646" s="3" t="s">
        <v>399</v>
      </c>
      <c r="I8646" s="3" t="s">
        <v>16572</v>
      </c>
    </row>
    <row r="8647" spans="4:9" hidden="1" x14ac:dyDescent="0.4">
      <c r="D8647" s="3" t="s">
        <v>13846</v>
      </c>
      <c r="F8647" s="3" t="s">
        <v>399</v>
      </c>
      <c r="I8647" s="3" t="s">
        <v>16572</v>
      </c>
    </row>
    <row r="8648" spans="4:9" hidden="1" x14ac:dyDescent="0.4">
      <c r="D8648" s="3" t="s">
        <v>13847</v>
      </c>
      <c r="F8648" s="3" t="s">
        <v>399</v>
      </c>
      <c r="I8648" s="3" t="s">
        <v>16572</v>
      </c>
    </row>
    <row r="8649" spans="4:9" hidden="1" x14ac:dyDescent="0.4">
      <c r="D8649" s="3" t="s">
        <v>13848</v>
      </c>
      <c r="F8649" s="3" t="s">
        <v>399</v>
      </c>
      <c r="I8649" s="3" t="s">
        <v>16572</v>
      </c>
    </row>
    <row r="8650" spans="4:9" hidden="1" x14ac:dyDescent="0.4">
      <c r="D8650" s="3" t="s">
        <v>13849</v>
      </c>
      <c r="F8650" s="3" t="s">
        <v>399</v>
      </c>
      <c r="I8650" s="3" t="s">
        <v>16572</v>
      </c>
    </row>
    <row r="8651" spans="4:9" hidden="1" x14ac:dyDescent="0.4">
      <c r="D8651" s="3" t="s">
        <v>13850</v>
      </c>
      <c r="F8651" s="3" t="s">
        <v>399</v>
      </c>
      <c r="I8651" s="3" t="s">
        <v>16572</v>
      </c>
    </row>
    <row r="8652" spans="4:9" hidden="1" x14ac:dyDescent="0.4">
      <c r="D8652" s="3" t="s">
        <v>13851</v>
      </c>
      <c r="F8652" s="3" t="s">
        <v>399</v>
      </c>
      <c r="I8652" s="3" t="s">
        <v>16572</v>
      </c>
    </row>
    <row r="8653" spans="4:9" hidden="1" x14ac:dyDescent="0.4">
      <c r="D8653" s="3" t="s">
        <v>13852</v>
      </c>
      <c r="F8653" s="3" t="s">
        <v>399</v>
      </c>
      <c r="I8653" s="3" t="s">
        <v>16572</v>
      </c>
    </row>
    <row r="8654" spans="4:9" hidden="1" x14ac:dyDescent="0.4">
      <c r="D8654" s="3" t="s">
        <v>13853</v>
      </c>
      <c r="F8654" s="3" t="s">
        <v>399</v>
      </c>
      <c r="I8654" s="3" t="s">
        <v>16572</v>
      </c>
    </row>
    <row r="8655" spans="4:9" hidden="1" x14ac:dyDescent="0.4">
      <c r="D8655" s="3" t="s">
        <v>13854</v>
      </c>
      <c r="F8655" s="3" t="s">
        <v>399</v>
      </c>
      <c r="I8655" s="3" t="s">
        <v>16572</v>
      </c>
    </row>
    <row r="8656" spans="4:9" hidden="1" x14ac:dyDescent="0.4">
      <c r="D8656" s="3" t="s">
        <v>13855</v>
      </c>
      <c r="F8656" s="3" t="s">
        <v>399</v>
      </c>
      <c r="I8656" s="3" t="s">
        <v>16572</v>
      </c>
    </row>
    <row r="8657" spans="4:9" hidden="1" x14ac:dyDescent="0.4">
      <c r="D8657" s="3" t="s">
        <v>13856</v>
      </c>
      <c r="F8657" s="3" t="s">
        <v>399</v>
      </c>
      <c r="I8657" s="3" t="s">
        <v>16572</v>
      </c>
    </row>
    <row r="8658" spans="4:9" hidden="1" x14ac:dyDescent="0.4">
      <c r="D8658" s="3" t="s">
        <v>13857</v>
      </c>
      <c r="F8658" s="3" t="s">
        <v>399</v>
      </c>
      <c r="I8658" s="3" t="s">
        <v>16572</v>
      </c>
    </row>
    <row r="8659" spans="4:9" hidden="1" x14ac:dyDescent="0.4">
      <c r="D8659" s="3" t="s">
        <v>13858</v>
      </c>
      <c r="F8659" s="3" t="s">
        <v>399</v>
      </c>
      <c r="I8659" s="3" t="s">
        <v>16572</v>
      </c>
    </row>
    <row r="8660" spans="4:9" hidden="1" x14ac:dyDescent="0.4">
      <c r="D8660" s="3" t="s">
        <v>13859</v>
      </c>
      <c r="F8660" s="3" t="s">
        <v>399</v>
      </c>
      <c r="I8660" s="3" t="s">
        <v>16572</v>
      </c>
    </row>
    <row r="8661" spans="4:9" hidden="1" x14ac:dyDescent="0.4">
      <c r="D8661" s="3" t="s">
        <v>13860</v>
      </c>
      <c r="F8661" s="3" t="s">
        <v>399</v>
      </c>
      <c r="I8661" s="3" t="s">
        <v>16572</v>
      </c>
    </row>
    <row r="8662" spans="4:9" hidden="1" x14ac:dyDescent="0.4">
      <c r="D8662" s="3" t="s">
        <v>13861</v>
      </c>
      <c r="F8662" s="3" t="s">
        <v>399</v>
      </c>
      <c r="I8662" s="3" t="s">
        <v>16572</v>
      </c>
    </row>
    <row r="8663" spans="4:9" hidden="1" x14ac:dyDescent="0.4">
      <c r="D8663" s="3" t="s">
        <v>13862</v>
      </c>
      <c r="F8663" s="3" t="s">
        <v>399</v>
      </c>
      <c r="I8663" s="3" t="s">
        <v>16572</v>
      </c>
    </row>
    <row r="8664" spans="4:9" hidden="1" x14ac:dyDescent="0.4">
      <c r="D8664" s="3" t="s">
        <v>13863</v>
      </c>
      <c r="F8664" s="3" t="s">
        <v>399</v>
      </c>
      <c r="I8664" s="3" t="s">
        <v>16572</v>
      </c>
    </row>
    <row r="8665" spans="4:9" hidden="1" x14ac:dyDescent="0.4">
      <c r="D8665" s="3" t="s">
        <v>13864</v>
      </c>
      <c r="F8665" s="3" t="s">
        <v>399</v>
      </c>
      <c r="I8665" s="3" t="s">
        <v>16572</v>
      </c>
    </row>
    <row r="8666" spans="4:9" hidden="1" x14ac:dyDescent="0.4">
      <c r="D8666" s="3" t="s">
        <v>13865</v>
      </c>
      <c r="F8666" s="3" t="s">
        <v>399</v>
      </c>
      <c r="I8666" s="3" t="s">
        <v>16572</v>
      </c>
    </row>
    <row r="8667" spans="4:9" hidden="1" x14ac:dyDescent="0.4">
      <c r="D8667" s="3" t="s">
        <v>13866</v>
      </c>
      <c r="F8667" s="3" t="s">
        <v>399</v>
      </c>
      <c r="I8667" s="3" t="s">
        <v>16572</v>
      </c>
    </row>
    <row r="8668" spans="4:9" hidden="1" x14ac:dyDescent="0.4">
      <c r="D8668" s="3" t="s">
        <v>13867</v>
      </c>
      <c r="F8668" s="3" t="s">
        <v>399</v>
      </c>
      <c r="I8668" s="3" t="s">
        <v>16572</v>
      </c>
    </row>
    <row r="8669" spans="4:9" hidden="1" x14ac:dyDescent="0.4">
      <c r="D8669" s="3" t="s">
        <v>13868</v>
      </c>
      <c r="F8669" s="3" t="s">
        <v>399</v>
      </c>
      <c r="I8669" s="3" t="s">
        <v>16572</v>
      </c>
    </row>
    <row r="8670" spans="4:9" hidden="1" x14ac:dyDescent="0.4">
      <c r="D8670" s="3" t="s">
        <v>13869</v>
      </c>
      <c r="F8670" s="3" t="s">
        <v>399</v>
      </c>
      <c r="I8670" s="3" t="s">
        <v>16572</v>
      </c>
    </row>
    <row r="8671" spans="4:9" hidden="1" x14ac:dyDescent="0.4">
      <c r="D8671" s="3" t="s">
        <v>13870</v>
      </c>
      <c r="F8671" s="3" t="s">
        <v>399</v>
      </c>
      <c r="I8671" s="3" t="s">
        <v>16572</v>
      </c>
    </row>
    <row r="8672" spans="4:9" hidden="1" x14ac:dyDescent="0.4">
      <c r="D8672" s="3" t="s">
        <v>13871</v>
      </c>
      <c r="F8672" s="3" t="s">
        <v>399</v>
      </c>
      <c r="I8672" s="3" t="s">
        <v>16572</v>
      </c>
    </row>
    <row r="8673" spans="4:9" hidden="1" x14ac:dyDescent="0.4">
      <c r="D8673" s="3" t="s">
        <v>13872</v>
      </c>
      <c r="F8673" s="3" t="s">
        <v>399</v>
      </c>
      <c r="I8673" s="3" t="s">
        <v>16572</v>
      </c>
    </row>
    <row r="8674" spans="4:9" hidden="1" x14ac:dyDescent="0.4">
      <c r="D8674" s="3" t="s">
        <v>13873</v>
      </c>
      <c r="F8674" s="3" t="s">
        <v>399</v>
      </c>
      <c r="I8674" s="3" t="s">
        <v>16572</v>
      </c>
    </row>
    <row r="8675" spans="4:9" hidden="1" x14ac:dyDescent="0.4">
      <c r="D8675" s="3" t="s">
        <v>13874</v>
      </c>
      <c r="F8675" s="3" t="s">
        <v>399</v>
      </c>
      <c r="I8675" s="3" t="s">
        <v>16572</v>
      </c>
    </row>
    <row r="8676" spans="4:9" hidden="1" x14ac:dyDescent="0.4">
      <c r="D8676" s="3" t="s">
        <v>13875</v>
      </c>
      <c r="F8676" s="3" t="s">
        <v>399</v>
      </c>
      <c r="I8676" s="3" t="s">
        <v>16572</v>
      </c>
    </row>
    <row r="8677" spans="4:9" hidden="1" x14ac:dyDescent="0.4">
      <c r="D8677" s="3" t="s">
        <v>13876</v>
      </c>
      <c r="F8677" s="3" t="s">
        <v>399</v>
      </c>
      <c r="I8677" s="3" t="s">
        <v>16572</v>
      </c>
    </row>
    <row r="8678" spans="4:9" hidden="1" x14ac:dyDescent="0.4">
      <c r="D8678" s="3" t="s">
        <v>13877</v>
      </c>
      <c r="F8678" s="3" t="s">
        <v>399</v>
      </c>
      <c r="I8678" s="3" t="s">
        <v>16572</v>
      </c>
    </row>
    <row r="8679" spans="4:9" hidden="1" x14ac:dyDescent="0.4">
      <c r="D8679" s="3" t="s">
        <v>13878</v>
      </c>
      <c r="F8679" s="3" t="s">
        <v>399</v>
      </c>
      <c r="I8679" s="3" t="s">
        <v>16572</v>
      </c>
    </row>
    <row r="8680" spans="4:9" hidden="1" x14ac:dyDescent="0.4">
      <c r="D8680" s="3" t="s">
        <v>13879</v>
      </c>
      <c r="F8680" s="3" t="s">
        <v>399</v>
      </c>
      <c r="I8680" s="3" t="s">
        <v>16572</v>
      </c>
    </row>
    <row r="8681" spans="4:9" hidden="1" x14ac:dyDescent="0.4">
      <c r="D8681" s="3" t="s">
        <v>13880</v>
      </c>
      <c r="F8681" s="3" t="s">
        <v>399</v>
      </c>
      <c r="I8681" s="3" t="s">
        <v>16572</v>
      </c>
    </row>
    <row r="8682" spans="4:9" hidden="1" x14ac:dyDescent="0.4">
      <c r="D8682" s="3" t="s">
        <v>13881</v>
      </c>
      <c r="F8682" s="3" t="s">
        <v>399</v>
      </c>
      <c r="I8682" s="3" t="s">
        <v>16572</v>
      </c>
    </row>
    <row r="8683" spans="4:9" hidden="1" x14ac:dyDescent="0.4">
      <c r="D8683" s="3" t="s">
        <v>13882</v>
      </c>
      <c r="F8683" s="3" t="s">
        <v>399</v>
      </c>
      <c r="I8683" s="3" t="s">
        <v>16572</v>
      </c>
    </row>
    <row r="8684" spans="4:9" hidden="1" x14ac:dyDescent="0.4">
      <c r="D8684" s="3" t="s">
        <v>13883</v>
      </c>
      <c r="F8684" s="3" t="s">
        <v>399</v>
      </c>
      <c r="I8684" s="3" t="s">
        <v>16572</v>
      </c>
    </row>
    <row r="8685" spans="4:9" hidden="1" x14ac:dyDescent="0.4">
      <c r="D8685" s="3" t="s">
        <v>13884</v>
      </c>
      <c r="F8685" s="3" t="s">
        <v>399</v>
      </c>
      <c r="I8685" s="3" t="s">
        <v>16572</v>
      </c>
    </row>
    <row r="8686" spans="4:9" hidden="1" x14ac:dyDescent="0.4">
      <c r="D8686" s="3" t="s">
        <v>13885</v>
      </c>
      <c r="F8686" s="3" t="s">
        <v>399</v>
      </c>
      <c r="I8686" s="3" t="s">
        <v>16572</v>
      </c>
    </row>
    <row r="8687" spans="4:9" hidden="1" x14ac:dyDescent="0.4">
      <c r="D8687" s="3" t="s">
        <v>13886</v>
      </c>
      <c r="F8687" s="3" t="s">
        <v>399</v>
      </c>
      <c r="I8687" s="3" t="s">
        <v>16572</v>
      </c>
    </row>
    <row r="8688" spans="4:9" hidden="1" x14ac:dyDescent="0.4">
      <c r="D8688" s="3" t="s">
        <v>13887</v>
      </c>
      <c r="F8688" s="3" t="s">
        <v>399</v>
      </c>
      <c r="I8688" s="3" t="s">
        <v>16572</v>
      </c>
    </row>
    <row r="8689" spans="4:9" hidden="1" x14ac:dyDescent="0.4">
      <c r="D8689" s="3" t="s">
        <v>13888</v>
      </c>
      <c r="F8689" s="3" t="s">
        <v>399</v>
      </c>
      <c r="I8689" s="3" t="s">
        <v>16572</v>
      </c>
    </row>
    <row r="8690" spans="4:9" hidden="1" x14ac:dyDescent="0.4">
      <c r="D8690" s="3" t="s">
        <v>13889</v>
      </c>
      <c r="F8690" s="3" t="s">
        <v>399</v>
      </c>
      <c r="I8690" s="3" t="s">
        <v>16572</v>
      </c>
    </row>
    <row r="8691" spans="4:9" hidden="1" x14ac:dyDescent="0.4">
      <c r="D8691" s="3" t="s">
        <v>13890</v>
      </c>
      <c r="F8691" s="3" t="s">
        <v>399</v>
      </c>
      <c r="I8691" s="3" t="s">
        <v>16572</v>
      </c>
    </row>
    <row r="8692" spans="4:9" hidden="1" x14ac:dyDescent="0.4">
      <c r="D8692" s="3" t="s">
        <v>13891</v>
      </c>
      <c r="F8692" s="3" t="s">
        <v>399</v>
      </c>
      <c r="I8692" s="3" t="s">
        <v>16572</v>
      </c>
    </row>
    <row r="8693" spans="4:9" hidden="1" x14ac:dyDescent="0.4">
      <c r="D8693" s="3" t="s">
        <v>13892</v>
      </c>
      <c r="F8693" s="3" t="s">
        <v>399</v>
      </c>
      <c r="I8693" s="3" t="s">
        <v>16572</v>
      </c>
    </row>
    <row r="8694" spans="4:9" hidden="1" x14ac:dyDescent="0.4">
      <c r="D8694" s="3" t="s">
        <v>13893</v>
      </c>
      <c r="F8694" s="3" t="s">
        <v>399</v>
      </c>
      <c r="I8694" s="3" t="s">
        <v>16572</v>
      </c>
    </row>
    <row r="8695" spans="4:9" hidden="1" x14ac:dyDescent="0.4">
      <c r="D8695" s="3" t="s">
        <v>13894</v>
      </c>
      <c r="F8695" s="3" t="s">
        <v>399</v>
      </c>
      <c r="I8695" s="3" t="s">
        <v>16572</v>
      </c>
    </row>
    <row r="8696" spans="4:9" hidden="1" x14ac:dyDescent="0.4">
      <c r="D8696" s="3" t="s">
        <v>13895</v>
      </c>
      <c r="F8696" s="3" t="s">
        <v>399</v>
      </c>
      <c r="I8696" s="3" t="s">
        <v>16572</v>
      </c>
    </row>
    <row r="8697" spans="4:9" hidden="1" x14ac:dyDescent="0.4">
      <c r="D8697" s="3" t="s">
        <v>13896</v>
      </c>
      <c r="F8697" s="3" t="s">
        <v>399</v>
      </c>
      <c r="I8697" s="3" t="s">
        <v>16572</v>
      </c>
    </row>
    <row r="8698" spans="4:9" hidden="1" x14ac:dyDescent="0.4">
      <c r="D8698" s="3" t="s">
        <v>13897</v>
      </c>
      <c r="F8698" s="3" t="s">
        <v>399</v>
      </c>
      <c r="I8698" s="3" t="s">
        <v>16572</v>
      </c>
    </row>
    <row r="8699" spans="4:9" hidden="1" x14ac:dyDescent="0.4">
      <c r="D8699" s="3" t="s">
        <v>13898</v>
      </c>
      <c r="F8699" s="3" t="s">
        <v>399</v>
      </c>
      <c r="I8699" s="3" t="s">
        <v>16572</v>
      </c>
    </row>
    <row r="8700" spans="4:9" hidden="1" x14ac:dyDescent="0.4">
      <c r="D8700" s="3" t="s">
        <v>13899</v>
      </c>
      <c r="F8700" s="3" t="s">
        <v>399</v>
      </c>
      <c r="I8700" s="3" t="s">
        <v>16572</v>
      </c>
    </row>
    <row r="8701" spans="4:9" hidden="1" x14ac:dyDescent="0.4">
      <c r="D8701" s="3" t="s">
        <v>13900</v>
      </c>
      <c r="F8701" s="3" t="s">
        <v>399</v>
      </c>
      <c r="I8701" s="3" t="s">
        <v>16572</v>
      </c>
    </row>
    <row r="8702" spans="4:9" hidden="1" x14ac:dyDescent="0.4">
      <c r="D8702" s="3" t="s">
        <v>13901</v>
      </c>
      <c r="F8702" s="3" t="s">
        <v>399</v>
      </c>
      <c r="I8702" s="3" t="s">
        <v>16572</v>
      </c>
    </row>
    <row r="8703" spans="4:9" hidden="1" x14ac:dyDescent="0.4">
      <c r="D8703" s="3" t="s">
        <v>13902</v>
      </c>
      <c r="F8703" s="3" t="s">
        <v>399</v>
      </c>
      <c r="I8703" s="3" t="s">
        <v>16572</v>
      </c>
    </row>
    <row r="8704" spans="4:9" hidden="1" x14ac:dyDescent="0.4">
      <c r="D8704" s="3" t="s">
        <v>13903</v>
      </c>
      <c r="F8704" s="3" t="s">
        <v>399</v>
      </c>
      <c r="I8704" s="3" t="s">
        <v>16572</v>
      </c>
    </row>
    <row r="8705" spans="4:9" hidden="1" x14ac:dyDescent="0.4">
      <c r="D8705" s="3" t="s">
        <v>13904</v>
      </c>
      <c r="F8705" s="3" t="s">
        <v>399</v>
      </c>
      <c r="I8705" s="3" t="s">
        <v>16572</v>
      </c>
    </row>
    <row r="8706" spans="4:9" hidden="1" x14ac:dyDescent="0.4">
      <c r="D8706" s="3" t="s">
        <v>13905</v>
      </c>
      <c r="F8706" s="3" t="s">
        <v>399</v>
      </c>
      <c r="I8706" s="3" t="s">
        <v>16572</v>
      </c>
    </row>
    <row r="8707" spans="4:9" hidden="1" x14ac:dyDescent="0.4">
      <c r="D8707" s="3" t="s">
        <v>13906</v>
      </c>
      <c r="F8707" s="3" t="s">
        <v>399</v>
      </c>
      <c r="I8707" s="3" t="s">
        <v>16572</v>
      </c>
    </row>
    <row r="8708" spans="4:9" hidden="1" x14ac:dyDescent="0.4">
      <c r="D8708" s="3" t="s">
        <v>13907</v>
      </c>
      <c r="F8708" s="3" t="s">
        <v>399</v>
      </c>
      <c r="I8708" s="3" t="s">
        <v>16572</v>
      </c>
    </row>
    <row r="8709" spans="4:9" hidden="1" x14ac:dyDescent="0.4">
      <c r="D8709" s="3" t="s">
        <v>13908</v>
      </c>
      <c r="F8709" s="3" t="s">
        <v>399</v>
      </c>
      <c r="I8709" s="3" t="s">
        <v>16572</v>
      </c>
    </row>
    <row r="8710" spans="4:9" hidden="1" x14ac:dyDescent="0.4">
      <c r="D8710" s="3" t="s">
        <v>13909</v>
      </c>
      <c r="F8710" s="3" t="s">
        <v>399</v>
      </c>
      <c r="I8710" s="3" t="s">
        <v>16572</v>
      </c>
    </row>
    <row r="8711" spans="4:9" hidden="1" x14ac:dyDescent="0.4">
      <c r="D8711" s="3" t="s">
        <v>13910</v>
      </c>
      <c r="F8711" s="3" t="s">
        <v>399</v>
      </c>
      <c r="I8711" s="3" t="s">
        <v>16572</v>
      </c>
    </row>
    <row r="8712" spans="4:9" hidden="1" x14ac:dyDescent="0.4">
      <c r="D8712" s="3" t="s">
        <v>13911</v>
      </c>
      <c r="F8712" s="3" t="s">
        <v>399</v>
      </c>
      <c r="I8712" s="3" t="s">
        <v>16572</v>
      </c>
    </row>
    <row r="8713" spans="4:9" hidden="1" x14ac:dyDescent="0.4">
      <c r="D8713" s="3" t="s">
        <v>13912</v>
      </c>
      <c r="F8713" s="3" t="s">
        <v>399</v>
      </c>
      <c r="I8713" s="3" t="s">
        <v>16572</v>
      </c>
    </row>
    <row r="8714" spans="4:9" hidden="1" x14ac:dyDescent="0.4">
      <c r="D8714" s="3" t="s">
        <v>13913</v>
      </c>
      <c r="F8714" s="3" t="s">
        <v>399</v>
      </c>
      <c r="I8714" s="3" t="s">
        <v>16572</v>
      </c>
    </row>
    <row r="8715" spans="4:9" hidden="1" x14ac:dyDescent="0.4">
      <c r="D8715" s="3" t="s">
        <v>13914</v>
      </c>
      <c r="F8715" s="3" t="s">
        <v>399</v>
      </c>
      <c r="I8715" s="3" t="s">
        <v>16572</v>
      </c>
    </row>
    <row r="8716" spans="4:9" hidden="1" x14ac:dyDescent="0.4">
      <c r="D8716" s="3" t="s">
        <v>13915</v>
      </c>
      <c r="F8716" s="3" t="s">
        <v>399</v>
      </c>
      <c r="I8716" s="3" t="s">
        <v>16572</v>
      </c>
    </row>
    <row r="8717" spans="4:9" hidden="1" x14ac:dyDescent="0.4">
      <c r="D8717" s="3" t="s">
        <v>13916</v>
      </c>
      <c r="F8717" s="3" t="s">
        <v>399</v>
      </c>
      <c r="I8717" s="3" t="s">
        <v>16572</v>
      </c>
    </row>
    <row r="8718" spans="4:9" hidden="1" x14ac:dyDescent="0.4">
      <c r="D8718" s="3" t="s">
        <v>13917</v>
      </c>
      <c r="F8718" s="3" t="s">
        <v>399</v>
      </c>
      <c r="I8718" s="3" t="s">
        <v>16572</v>
      </c>
    </row>
    <row r="8719" spans="4:9" hidden="1" x14ac:dyDescent="0.4">
      <c r="D8719" s="3" t="s">
        <v>13918</v>
      </c>
      <c r="F8719" s="3" t="s">
        <v>399</v>
      </c>
      <c r="I8719" s="3" t="s">
        <v>16572</v>
      </c>
    </row>
    <row r="8720" spans="4:9" hidden="1" x14ac:dyDescent="0.4">
      <c r="D8720" s="3" t="s">
        <v>13919</v>
      </c>
      <c r="F8720" s="3" t="s">
        <v>399</v>
      </c>
      <c r="I8720" s="3" t="s">
        <v>16572</v>
      </c>
    </row>
    <row r="8721" spans="4:9" hidden="1" x14ac:dyDescent="0.4">
      <c r="D8721" s="3" t="s">
        <v>13920</v>
      </c>
      <c r="F8721" s="3" t="s">
        <v>399</v>
      </c>
      <c r="I8721" s="3" t="s">
        <v>16572</v>
      </c>
    </row>
    <row r="8722" spans="4:9" hidden="1" x14ac:dyDescent="0.4">
      <c r="D8722" s="3" t="s">
        <v>13921</v>
      </c>
      <c r="F8722" s="3" t="s">
        <v>399</v>
      </c>
      <c r="I8722" s="3" t="s">
        <v>16572</v>
      </c>
    </row>
    <row r="8723" spans="4:9" hidden="1" x14ac:dyDescent="0.4">
      <c r="D8723" s="3" t="s">
        <v>13922</v>
      </c>
      <c r="F8723" s="3" t="s">
        <v>399</v>
      </c>
      <c r="I8723" s="3" t="s">
        <v>16572</v>
      </c>
    </row>
    <row r="8724" spans="4:9" hidden="1" x14ac:dyDescent="0.4">
      <c r="D8724" s="3" t="s">
        <v>13923</v>
      </c>
      <c r="F8724" s="3" t="s">
        <v>399</v>
      </c>
      <c r="I8724" s="3" t="s">
        <v>16572</v>
      </c>
    </row>
    <row r="8725" spans="4:9" hidden="1" x14ac:dyDescent="0.4">
      <c r="D8725" s="3" t="s">
        <v>13924</v>
      </c>
      <c r="F8725" s="3" t="s">
        <v>399</v>
      </c>
      <c r="I8725" s="3" t="s">
        <v>16572</v>
      </c>
    </row>
    <row r="8726" spans="4:9" hidden="1" x14ac:dyDescent="0.4">
      <c r="D8726" s="3" t="s">
        <v>13925</v>
      </c>
      <c r="F8726" s="3" t="s">
        <v>399</v>
      </c>
      <c r="I8726" s="3" t="s">
        <v>16572</v>
      </c>
    </row>
    <row r="8727" spans="4:9" hidden="1" x14ac:dyDescent="0.4">
      <c r="D8727" s="3" t="s">
        <v>13926</v>
      </c>
      <c r="F8727" s="3" t="s">
        <v>399</v>
      </c>
      <c r="I8727" s="3" t="s">
        <v>16572</v>
      </c>
    </row>
    <row r="8728" spans="4:9" hidden="1" x14ac:dyDescent="0.4">
      <c r="D8728" s="3" t="s">
        <v>13927</v>
      </c>
      <c r="F8728" s="3" t="s">
        <v>399</v>
      </c>
      <c r="I8728" s="3" t="s">
        <v>16572</v>
      </c>
    </row>
    <row r="8729" spans="4:9" hidden="1" x14ac:dyDescent="0.4">
      <c r="D8729" s="3" t="s">
        <v>13928</v>
      </c>
      <c r="F8729" s="3" t="s">
        <v>399</v>
      </c>
      <c r="I8729" s="3" t="s">
        <v>16572</v>
      </c>
    </row>
    <row r="8730" spans="4:9" hidden="1" x14ac:dyDescent="0.4">
      <c r="D8730" s="3" t="s">
        <v>13929</v>
      </c>
      <c r="F8730" s="3" t="s">
        <v>399</v>
      </c>
      <c r="I8730" s="3" t="s">
        <v>16572</v>
      </c>
    </row>
    <row r="8731" spans="4:9" hidden="1" x14ac:dyDescent="0.4">
      <c r="D8731" s="3" t="s">
        <v>13930</v>
      </c>
      <c r="F8731" s="3" t="s">
        <v>399</v>
      </c>
      <c r="I8731" s="3" t="s">
        <v>16572</v>
      </c>
    </row>
    <row r="8732" spans="4:9" hidden="1" x14ac:dyDescent="0.4">
      <c r="D8732" s="3" t="s">
        <v>13931</v>
      </c>
      <c r="F8732" s="3" t="s">
        <v>399</v>
      </c>
      <c r="I8732" s="3" t="s">
        <v>16572</v>
      </c>
    </row>
    <row r="8733" spans="4:9" hidden="1" x14ac:dyDescent="0.4">
      <c r="D8733" s="3" t="s">
        <v>13932</v>
      </c>
      <c r="F8733" s="3" t="s">
        <v>399</v>
      </c>
      <c r="I8733" s="3" t="s">
        <v>16572</v>
      </c>
    </row>
    <row r="8734" spans="4:9" hidden="1" x14ac:dyDescent="0.4">
      <c r="D8734" s="3" t="s">
        <v>13933</v>
      </c>
      <c r="F8734" s="3" t="s">
        <v>399</v>
      </c>
      <c r="I8734" s="3" t="s">
        <v>16572</v>
      </c>
    </row>
    <row r="8735" spans="4:9" hidden="1" x14ac:dyDescent="0.4">
      <c r="D8735" s="3" t="s">
        <v>13298</v>
      </c>
      <c r="F8735" s="3" t="s">
        <v>399</v>
      </c>
      <c r="I8735" s="3" t="s">
        <v>16572</v>
      </c>
    </row>
    <row r="8736" spans="4:9" hidden="1" x14ac:dyDescent="0.4">
      <c r="D8736" s="3" t="s">
        <v>13934</v>
      </c>
      <c r="F8736" s="3" t="s">
        <v>399</v>
      </c>
      <c r="I8736" s="3" t="s">
        <v>16572</v>
      </c>
    </row>
    <row r="8737" spans="4:9" hidden="1" x14ac:dyDescent="0.4">
      <c r="D8737" s="3" t="s">
        <v>13935</v>
      </c>
      <c r="F8737" s="3" t="s">
        <v>399</v>
      </c>
      <c r="I8737" s="3" t="s">
        <v>16572</v>
      </c>
    </row>
    <row r="8738" spans="4:9" hidden="1" x14ac:dyDescent="0.4">
      <c r="D8738" s="3" t="s">
        <v>13936</v>
      </c>
      <c r="F8738" s="3" t="s">
        <v>399</v>
      </c>
      <c r="I8738" s="3" t="s">
        <v>16572</v>
      </c>
    </row>
    <row r="8739" spans="4:9" hidden="1" x14ac:dyDescent="0.4">
      <c r="D8739" s="3" t="s">
        <v>13937</v>
      </c>
      <c r="F8739" s="3" t="s">
        <v>399</v>
      </c>
      <c r="I8739" s="3" t="s">
        <v>16572</v>
      </c>
    </row>
    <row r="8740" spans="4:9" hidden="1" x14ac:dyDescent="0.4">
      <c r="D8740" s="3" t="s">
        <v>13938</v>
      </c>
      <c r="F8740" s="3" t="s">
        <v>399</v>
      </c>
      <c r="I8740" s="3" t="s">
        <v>16572</v>
      </c>
    </row>
    <row r="8741" spans="4:9" hidden="1" x14ac:dyDescent="0.4">
      <c r="D8741" s="3" t="s">
        <v>13939</v>
      </c>
      <c r="F8741" s="3" t="s">
        <v>399</v>
      </c>
      <c r="I8741" s="3" t="s">
        <v>16572</v>
      </c>
    </row>
    <row r="8742" spans="4:9" hidden="1" x14ac:dyDescent="0.4">
      <c r="D8742" s="3" t="s">
        <v>13940</v>
      </c>
      <c r="F8742" s="3" t="s">
        <v>399</v>
      </c>
      <c r="I8742" s="3" t="s">
        <v>16572</v>
      </c>
    </row>
    <row r="8743" spans="4:9" hidden="1" x14ac:dyDescent="0.4">
      <c r="D8743" s="3" t="s">
        <v>13941</v>
      </c>
      <c r="F8743" s="3" t="s">
        <v>399</v>
      </c>
      <c r="I8743" s="3" t="s">
        <v>16572</v>
      </c>
    </row>
    <row r="8744" spans="4:9" hidden="1" x14ac:dyDescent="0.4">
      <c r="D8744" s="3" t="s">
        <v>13942</v>
      </c>
      <c r="F8744" s="3" t="s">
        <v>399</v>
      </c>
      <c r="I8744" s="3" t="s">
        <v>16572</v>
      </c>
    </row>
    <row r="8745" spans="4:9" hidden="1" x14ac:dyDescent="0.4">
      <c r="D8745" s="3" t="s">
        <v>13943</v>
      </c>
      <c r="F8745" s="3" t="s">
        <v>399</v>
      </c>
      <c r="I8745" s="3" t="s">
        <v>16572</v>
      </c>
    </row>
    <row r="8746" spans="4:9" hidden="1" x14ac:dyDescent="0.4">
      <c r="D8746" s="3" t="s">
        <v>13944</v>
      </c>
      <c r="F8746" s="3" t="s">
        <v>399</v>
      </c>
      <c r="I8746" s="3" t="s">
        <v>16572</v>
      </c>
    </row>
    <row r="8747" spans="4:9" hidden="1" x14ac:dyDescent="0.4">
      <c r="D8747" s="3" t="s">
        <v>13945</v>
      </c>
      <c r="F8747" s="3" t="s">
        <v>399</v>
      </c>
      <c r="I8747" s="3" t="s">
        <v>16572</v>
      </c>
    </row>
    <row r="8748" spans="4:9" hidden="1" x14ac:dyDescent="0.4">
      <c r="D8748" s="3" t="s">
        <v>13946</v>
      </c>
      <c r="F8748" s="3" t="s">
        <v>399</v>
      </c>
      <c r="I8748" s="3" t="s">
        <v>16572</v>
      </c>
    </row>
    <row r="8749" spans="4:9" hidden="1" x14ac:dyDescent="0.4">
      <c r="D8749" s="3" t="s">
        <v>13947</v>
      </c>
      <c r="F8749" s="3" t="s">
        <v>399</v>
      </c>
      <c r="I8749" s="3" t="s">
        <v>16572</v>
      </c>
    </row>
    <row r="8750" spans="4:9" hidden="1" x14ac:dyDescent="0.4">
      <c r="D8750" s="3" t="s">
        <v>13948</v>
      </c>
      <c r="F8750" s="3" t="s">
        <v>399</v>
      </c>
      <c r="I8750" s="3" t="s">
        <v>16572</v>
      </c>
    </row>
    <row r="8751" spans="4:9" hidden="1" x14ac:dyDescent="0.4">
      <c r="D8751" s="3" t="s">
        <v>13949</v>
      </c>
      <c r="F8751" s="3" t="s">
        <v>399</v>
      </c>
      <c r="I8751" s="3" t="s">
        <v>16572</v>
      </c>
    </row>
    <row r="8752" spans="4:9" hidden="1" x14ac:dyDescent="0.4">
      <c r="D8752" s="3" t="s">
        <v>13950</v>
      </c>
      <c r="F8752" s="3" t="s">
        <v>399</v>
      </c>
      <c r="I8752" s="3" t="s">
        <v>16572</v>
      </c>
    </row>
    <row r="8753" spans="4:9" hidden="1" x14ac:dyDescent="0.4">
      <c r="D8753" s="3" t="s">
        <v>13951</v>
      </c>
      <c r="F8753" s="3" t="s">
        <v>399</v>
      </c>
      <c r="I8753" s="3" t="s">
        <v>16572</v>
      </c>
    </row>
    <row r="8754" spans="4:9" hidden="1" x14ac:dyDescent="0.4">
      <c r="D8754" s="3" t="s">
        <v>13952</v>
      </c>
      <c r="F8754" s="3" t="s">
        <v>399</v>
      </c>
      <c r="I8754" s="3" t="s">
        <v>16572</v>
      </c>
    </row>
    <row r="8755" spans="4:9" hidden="1" x14ac:dyDescent="0.4">
      <c r="D8755" s="3" t="s">
        <v>13953</v>
      </c>
      <c r="F8755" s="3" t="s">
        <v>399</v>
      </c>
      <c r="I8755" s="3" t="s">
        <v>16572</v>
      </c>
    </row>
    <row r="8756" spans="4:9" hidden="1" x14ac:dyDescent="0.4">
      <c r="D8756" s="3" t="s">
        <v>13954</v>
      </c>
      <c r="F8756" s="3" t="s">
        <v>399</v>
      </c>
      <c r="I8756" s="3" t="s">
        <v>16572</v>
      </c>
    </row>
    <row r="8757" spans="4:9" hidden="1" x14ac:dyDescent="0.4">
      <c r="D8757" s="3" t="s">
        <v>13955</v>
      </c>
      <c r="F8757" s="3" t="s">
        <v>399</v>
      </c>
      <c r="I8757" s="3" t="s">
        <v>16572</v>
      </c>
    </row>
    <row r="8758" spans="4:9" hidden="1" x14ac:dyDescent="0.4">
      <c r="D8758" s="3" t="s">
        <v>13956</v>
      </c>
      <c r="F8758" s="3" t="s">
        <v>399</v>
      </c>
      <c r="I8758" s="3" t="s">
        <v>16572</v>
      </c>
    </row>
    <row r="8759" spans="4:9" hidden="1" x14ac:dyDescent="0.4">
      <c r="D8759" s="3" t="s">
        <v>13957</v>
      </c>
      <c r="F8759" s="3" t="s">
        <v>399</v>
      </c>
      <c r="I8759" s="3" t="s">
        <v>16572</v>
      </c>
    </row>
    <row r="8760" spans="4:9" hidden="1" x14ac:dyDescent="0.4">
      <c r="D8760" s="3" t="s">
        <v>13958</v>
      </c>
      <c r="F8760" s="3" t="s">
        <v>399</v>
      </c>
      <c r="I8760" s="3" t="s">
        <v>16572</v>
      </c>
    </row>
    <row r="8761" spans="4:9" hidden="1" x14ac:dyDescent="0.4">
      <c r="D8761" s="3" t="s">
        <v>13959</v>
      </c>
      <c r="F8761" s="3" t="s">
        <v>399</v>
      </c>
      <c r="I8761" s="3" t="s">
        <v>16572</v>
      </c>
    </row>
    <row r="8762" spans="4:9" hidden="1" x14ac:dyDescent="0.4">
      <c r="D8762" s="3" t="s">
        <v>13960</v>
      </c>
      <c r="F8762" s="3" t="s">
        <v>399</v>
      </c>
      <c r="I8762" s="3" t="s">
        <v>16572</v>
      </c>
    </row>
    <row r="8763" spans="4:9" hidden="1" x14ac:dyDescent="0.4">
      <c r="D8763" s="3" t="s">
        <v>13961</v>
      </c>
      <c r="F8763" s="3" t="s">
        <v>399</v>
      </c>
      <c r="I8763" s="3" t="s">
        <v>16572</v>
      </c>
    </row>
    <row r="8764" spans="4:9" hidden="1" x14ac:dyDescent="0.4">
      <c r="D8764" s="3" t="s">
        <v>13962</v>
      </c>
      <c r="F8764" s="3" t="s">
        <v>399</v>
      </c>
      <c r="I8764" s="3" t="s">
        <v>16572</v>
      </c>
    </row>
    <row r="8765" spans="4:9" hidden="1" x14ac:dyDescent="0.4">
      <c r="D8765" s="3" t="s">
        <v>13963</v>
      </c>
      <c r="F8765" s="3" t="s">
        <v>399</v>
      </c>
      <c r="I8765" s="3" t="s">
        <v>16572</v>
      </c>
    </row>
    <row r="8766" spans="4:9" hidden="1" x14ac:dyDescent="0.4">
      <c r="D8766" s="3" t="s">
        <v>13964</v>
      </c>
      <c r="F8766" s="3" t="s">
        <v>399</v>
      </c>
      <c r="I8766" s="3" t="s">
        <v>16572</v>
      </c>
    </row>
    <row r="8767" spans="4:9" hidden="1" x14ac:dyDescent="0.4">
      <c r="D8767" s="3" t="s">
        <v>13965</v>
      </c>
      <c r="F8767" s="3" t="s">
        <v>399</v>
      </c>
      <c r="I8767" s="3" t="s">
        <v>16572</v>
      </c>
    </row>
    <row r="8768" spans="4:9" hidden="1" x14ac:dyDescent="0.4">
      <c r="D8768" s="3" t="s">
        <v>13966</v>
      </c>
      <c r="F8768" s="3" t="s">
        <v>399</v>
      </c>
      <c r="I8768" s="3" t="s">
        <v>16572</v>
      </c>
    </row>
    <row r="8769" spans="2:9" hidden="1" x14ac:dyDescent="0.4">
      <c r="D8769" s="3" t="s">
        <v>13967</v>
      </c>
      <c r="F8769" s="3" t="s">
        <v>399</v>
      </c>
      <c r="I8769" s="3" t="s">
        <v>16572</v>
      </c>
    </row>
    <row r="8770" spans="2:9" hidden="1" x14ac:dyDescent="0.4">
      <c r="D8770" s="3" t="s">
        <v>13968</v>
      </c>
      <c r="F8770" s="3" t="s">
        <v>399</v>
      </c>
      <c r="I8770" s="3" t="s">
        <v>16572</v>
      </c>
    </row>
    <row r="8771" spans="2:9" hidden="1" x14ac:dyDescent="0.4">
      <c r="D8771" s="3" t="s">
        <v>13969</v>
      </c>
      <c r="F8771" s="3" t="s">
        <v>399</v>
      </c>
      <c r="I8771" s="3" t="s">
        <v>16572</v>
      </c>
    </row>
    <row r="8772" spans="2:9" hidden="1" x14ac:dyDescent="0.4">
      <c r="D8772" s="3" t="s">
        <v>13970</v>
      </c>
      <c r="F8772" s="3" t="s">
        <v>399</v>
      </c>
      <c r="I8772" s="3" t="s">
        <v>16572</v>
      </c>
    </row>
    <row r="8773" spans="2:9" hidden="1" x14ac:dyDescent="0.4">
      <c r="D8773" s="3" t="s">
        <v>13971</v>
      </c>
      <c r="F8773" s="3" t="s">
        <v>399</v>
      </c>
      <c r="I8773" s="3" t="s">
        <v>16572</v>
      </c>
    </row>
    <row r="8774" spans="2:9" hidden="1" x14ac:dyDescent="0.4">
      <c r="D8774" s="3" t="s">
        <v>13972</v>
      </c>
      <c r="F8774" s="3" t="s">
        <v>399</v>
      </c>
      <c r="I8774" s="3" t="s">
        <v>16572</v>
      </c>
    </row>
    <row r="8775" spans="2:9" hidden="1" x14ac:dyDescent="0.4">
      <c r="D8775" s="3" t="s">
        <v>13973</v>
      </c>
      <c r="F8775" s="3" t="s">
        <v>399</v>
      </c>
      <c r="I8775" s="3" t="s">
        <v>16572</v>
      </c>
    </row>
    <row r="8776" spans="2:9" hidden="1" x14ac:dyDescent="0.4">
      <c r="D8776" s="3" t="s">
        <v>13363</v>
      </c>
      <c r="F8776" s="3" t="s">
        <v>399</v>
      </c>
      <c r="I8776" s="3" t="s">
        <v>16572</v>
      </c>
    </row>
    <row r="8777" spans="2:9" hidden="1" x14ac:dyDescent="0.4">
      <c r="B8777" s="8" t="s">
        <v>4061</v>
      </c>
      <c r="C8777" s="3" t="s">
        <v>13594</v>
      </c>
      <c r="D8777" s="3" t="s">
        <v>13364</v>
      </c>
      <c r="F8777" s="3" t="s">
        <v>399</v>
      </c>
      <c r="I8777" s="3" t="s">
        <v>16572</v>
      </c>
    </row>
    <row r="8778" spans="2:9" hidden="1" x14ac:dyDescent="0.4">
      <c r="B8778" s="8" t="s">
        <v>13596</v>
      </c>
      <c r="C8778" s="3" t="s">
        <v>13595</v>
      </c>
      <c r="D8778" s="3" t="s">
        <v>13364</v>
      </c>
      <c r="F8778" s="3" t="s">
        <v>399</v>
      </c>
      <c r="I8778" s="3" t="s">
        <v>16572</v>
      </c>
    </row>
    <row r="8779" spans="2:9" hidden="1" x14ac:dyDescent="0.4">
      <c r="D8779" s="3" t="s">
        <v>12946</v>
      </c>
      <c r="F8779" s="3" t="s">
        <v>399</v>
      </c>
      <c r="I8779" s="3" t="s">
        <v>16572</v>
      </c>
    </row>
    <row r="8780" spans="2:9" hidden="1" x14ac:dyDescent="0.4">
      <c r="D8780" s="3" t="s">
        <v>13365</v>
      </c>
      <c r="F8780" s="3" t="s">
        <v>399</v>
      </c>
      <c r="I8780" s="3" t="s">
        <v>16572</v>
      </c>
    </row>
    <row r="8781" spans="2:9" hidden="1" x14ac:dyDescent="0.4">
      <c r="D8781" s="3" t="s">
        <v>13366</v>
      </c>
      <c r="F8781" s="3" t="s">
        <v>399</v>
      </c>
      <c r="I8781" s="3" t="s">
        <v>16572</v>
      </c>
    </row>
    <row r="8782" spans="2:9" hidden="1" x14ac:dyDescent="0.4">
      <c r="D8782" s="3" t="s">
        <v>13367</v>
      </c>
      <c r="F8782" s="3" t="s">
        <v>399</v>
      </c>
      <c r="I8782" s="3" t="s">
        <v>16572</v>
      </c>
    </row>
    <row r="8783" spans="2:9" hidden="1" x14ac:dyDescent="0.4">
      <c r="D8783" s="3" t="s">
        <v>13368</v>
      </c>
      <c r="F8783" s="3" t="s">
        <v>399</v>
      </c>
      <c r="I8783" s="3" t="s">
        <v>16572</v>
      </c>
    </row>
    <row r="8784" spans="2:9" hidden="1" x14ac:dyDescent="0.4">
      <c r="D8784" s="3" t="s">
        <v>13369</v>
      </c>
      <c r="F8784" s="3" t="s">
        <v>399</v>
      </c>
      <c r="I8784" s="3" t="s">
        <v>16572</v>
      </c>
    </row>
    <row r="8785" spans="4:9" hidden="1" x14ac:dyDescent="0.4">
      <c r="D8785" s="3" t="s">
        <v>13370</v>
      </c>
      <c r="F8785" s="3" t="s">
        <v>399</v>
      </c>
      <c r="I8785" s="3" t="s">
        <v>16572</v>
      </c>
    </row>
    <row r="8786" spans="4:9" hidden="1" x14ac:dyDescent="0.4">
      <c r="D8786" s="3" t="s">
        <v>13371</v>
      </c>
      <c r="F8786" s="3" t="s">
        <v>399</v>
      </c>
      <c r="I8786" s="3" t="s">
        <v>16572</v>
      </c>
    </row>
    <row r="8787" spans="4:9" hidden="1" x14ac:dyDescent="0.4">
      <c r="D8787" s="3" t="s">
        <v>13372</v>
      </c>
      <c r="F8787" s="3" t="s">
        <v>399</v>
      </c>
      <c r="I8787" s="3" t="s">
        <v>16572</v>
      </c>
    </row>
    <row r="8788" spans="4:9" hidden="1" x14ac:dyDescent="0.4">
      <c r="D8788" s="3" t="s">
        <v>13373</v>
      </c>
      <c r="F8788" s="3" t="s">
        <v>399</v>
      </c>
      <c r="I8788" s="3" t="s">
        <v>16572</v>
      </c>
    </row>
    <row r="8789" spans="4:9" hidden="1" x14ac:dyDescent="0.4">
      <c r="D8789" s="3" t="s">
        <v>13374</v>
      </c>
      <c r="F8789" s="3" t="s">
        <v>399</v>
      </c>
      <c r="I8789" s="3" t="s">
        <v>16572</v>
      </c>
    </row>
    <row r="8790" spans="4:9" hidden="1" x14ac:dyDescent="0.4">
      <c r="D8790" s="3" t="s">
        <v>13375</v>
      </c>
      <c r="F8790" s="3" t="s">
        <v>399</v>
      </c>
      <c r="I8790" s="3" t="s">
        <v>16572</v>
      </c>
    </row>
    <row r="8791" spans="4:9" hidden="1" x14ac:dyDescent="0.4">
      <c r="D8791" s="3" t="s">
        <v>13376</v>
      </c>
      <c r="F8791" s="3" t="s">
        <v>399</v>
      </c>
      <c r="I8791" s="3" t="s">
        <v>16572</v>
      </c>
    </row>
    <row r="8792" spans="4:9" hidden="1" x14ac:dyDescent="0.4">
      <c r="D8792" s="3" t="s">
        <v>13377</v>
      </c>
      <c r="F8792" s="3" t="s">
        <v>399</v>
      </c>
      <c r="I8792" s="3" t="s">
        <v>16572</v>
      </c>
    </row>
    <row r="8793" spans="4:9" hidden="1" x14ac:dyDescent="0.4">
      <c r="D8793" s="3" t="s">
        <v>13378</v>
      </c>
      <c r="F8793" s="3" t="s">
        <v>399</v>
      </c>
      <c r="I8793" s="3" t="s">
        <v>16572</v>
      </c>
    </row>
    <row r="8794" spans="4:9" hidden="1" x14ac:dyDescent="0.4">
      <c r="D8794" s="3" t="s">
        <v>13379</v>
      </c>
      <c r="F8794" s="3" t="s">
        <v>399</v>
      </c>
      <c r="I8794" s="3" t="s">
        <v>16572</v>
      </c>
    </row>
    <row r="8795" spans="4:9" hidden="1" x14ac:dyDescent="0.4">
      <c r="D8795" s="3" t="s">
        <v>13380</v>
      </c>
      <c r="F8795" s="3" t="s">
        <v>399</v>
      </c>
      <c r="I8795" s="3" t="s">
        <v>16572</v>
      </c>
    </row>
    <row r="8796" spans="4:9" hidden="1" x14ac:dyDescent="0.4">
      <c r="D8796" s="3" t="s">
        <v>13381</v>
      </c>
      <c r="F8796" s="3" t="s">
        <v>399</v>
      </c>
      <c r="I8796" s="3" t="s">
        <v>16572</v>
      </c>
    </row>
    <row r="8797" spans="4:9" hidden="1" x14ac:dyDescent="0.4">
      <c r="D8797" s="3" t="s">
        <v>13382</v>
      </c>
      <c r="F8797" s="3" t="s">
        <v>399</v>
      </c>
      <c r="I8797" s="3" t="s">
        <v>16572</v>
      </c>
    </row>
    <row r="8798" spans="4:9" hidden="1" x14ac:dyDescent="0.4">
      <c r="D8798" s="3" t="s">
        <v>13383</v>
      </c>
      <c r="F8798" s="3" t="s">
        <v>399</v>
      </c>
      <c r="I8798" s="3" t="s">
        <v>16572</v>
      </c>
    </row>
    <row r="8799" spans="4:9" hidden="1" x14ac:dyDescent="0.4">
      <c r="D8799" s="3" t="s">
        <v>13384</v>
      </c>
      <c r="F8799" s="3" t="s">
        <v>399</v>
      </c>
      <c r="I8799" s="3" t="s">
        <v>16572</v>
      </c>
    </row>
    <row r="8800" spans="4:9" hidden="1" x14ac:dyDescent="0.4">
      <c r="D8800" s="3" t="s">
        <v>13385</v>
      </c>
      <c r="F8800" s="3" t="s">
        <v>399</v>
      </c>
      <c r="I8800" s="3" t="s">
        <v>16572</v>
      </c>
    </row>
    <row r="8801" spans="4:9" hidden="1" x14ac:dyDescent="0.4">
      <c r="D8801" s="3" t="s">
        <v>13386</v>
      </c>
      <c r="F8801" s="3" t="s">
        <v>399</v>
      </c>
      <c r="I8801" s="3" t="s">
        <v>16572</v>
      </c>
    </row>
    <row r="8802" spans="4:9" hidden="1" x14ac:dyDescent="0.4">
      <c r="D8802" s="3" t="s">
        <v>13387</v>
      </c>
      <c r="F8802" s="3" t="s">
        <v>399</v>
      </c>
      <c r="I8802" s="3" t="s">
        <v>16572</v>
      </c>
    </row>
    <row r="8803" spans="4:9" hidden="1" x14ac:dyDescent="0.4">
      <c r="D8803" s="3" t="s">
        <v>13388</v>
      </c>
      <c r="F8803" s="3" t="s">
        <v>399</v>
      </c>
      <c r="I8803" s="3" t="s">
        <v>16572</v>
      </c>
    </row>
    <row r="8804" spans="4:9" hidden="1" x14ac:dyDescent="0.4">
      <c r="D8804" s="3" t="s">
        <v>13389</v>
      </c>
      <c r="F8804" s="3" t="s">
        <v>399</v>
      </c>
      <c r="I8804" s="3" t="s">
        <v>16572</v>
      </c>
    </row>
    <row r="8805" spans="4:9" hidden="1" x14ac:dyDescent="0.4">
      <c r="D8805" s="3" t="s">
        <v>13390</v>
      </c>
      <c r="F8805" s="3" t="s">
        <v>399</v>
      </c>
      <c r="I8805" s="3" t="s">
        <v>16572</v>
      </c>
    </row>
    <row r="8806" spans="4:9" hidden="1" x14ac:dyDescent="0.4">
      <c r="D8806" s="3" t="s">
        <v>13391</v>
      </c>
      <c r="F8806" s="3" t="s">
        <v>399</v>
      </c>
      <c r="I8806" s="3" t="s">
        <v>16572</v>
      </c>
    </row>
    <row r="8807" spans="4:9" hidden="1" x14ac:dyDescent="0.4">
      <c r="D8807" s="3" t="s">
        <v>13392</v>
      </c>
      <c r="F8807" s="3" t="s">
        <v>399</v>
      </c>
      <c r="I8807" s="3" t="s">
        <v>16572</v>
      </c>
    </row>
    <row r="8808" spans="4:9" hidden="1" x14ac:dyDescent="0.4">
      <c r="D8808" s="3" t="s">
        <v>13393</v>
      </c>
      <c r="F8808" s="3" t="s">
        <v>399</v>
      </c>
      <c r="I8808" s="3" t="s">
        <v>16572</v>
      </c>
    </row>
    <row r="8809" spans="4:9" hidden="1" x14ac:dyDescent="0.4">
      <c r="D8809" s="3" t="s">
        <v>13394</v>
      </c>
      <c r="F8809" s="3" t="s">
        <v>399</v>
      </c>
      <c r="I8809" s="3" t="s">
        <v>16572</v>
      </c>
    </row>
    <row r="8810" spans="4:9" hidden="1" x14ac:dyDescent="0.4">
      <c r="D8810" s="3" t="s">
        <v>13395</v>
      </c>
      <c r="F8810" s="3" t="s">
        <v>399</v>
      </c>
      <c r="I8810" s="3" t="s">
        <v>16572</v>
      </c>
    </row>
    <row r="8811" spans="4:9" hidden="1" x14ac:dyDescent="0.4">
      <c r="D8811" s="3" t="s">
        <v>13396</v>
      </c>
      <c r="F8811" s="3" t="s">
        <v>399</v>
      </c>
      <c r="I8811" s="3" t="s">
        <v>16572</v>
      </c>
    </row>
    <row r="8812" spans="4:9" hidden="1" x14ac:dyDescent="0.4">
      <c r="D8812" s="3" t="s">
        <v>13397</v>
      </c>
      <c r="F8812" s="3" t="s">
        <v>399</v>
      </c>
      <c r="I8812" s="3" t="s">
        <v>16572</v>
      </c>
    </row>
    <row r="8813" spans="4:9" hidden="1" x14ac:dyDescent="0.4">
      <c r="D8813" s="3" t="s">
        <v>13398</v>
      </c>
      <c r="F8813" s="3" t="s">
        <v>399</v>
      </c>
      <c r="I8813" s="3" t="s">
        <v>16572</v>
      </c>
    </row>
    <row r="8814" spans="4:9" hidden="1" x14ac:dyDescent="0.4">
      <c r="D8814" s="3" t="s">
        <v>13399</v>
      </c>
      <c r="F8814" s="3" t="s">
        <v>399</v>
      </c>
      <c r="I8814" s="3" t="s">
        <v>16572</v>
      </c>
    </row>
    <row r="8815" spans="4:9" hidden="1" x14ac:dyDescent="0.4">
      <c r="D8815" s="3" t="s">
        <v>13400</v>
      </c>
      <c r="F8815" s="3" t="s">
        <v>399</v>
      </c>
      <c r="I8815" s="3" t="s">
        <v>16572</v>
      </c>
    </row>
    <row r="8816" spans="4:9" hidden="1" x14ac:dyDescent="0.4">
      <c r="D8816" s="3" t="s">
        <v>13401</v>
      </c>
      <c r="F8816" s="3" t="s">
        <v>399</v>
      </c>
      <c r="I8816" s="3" t="s">
        <v>16572</v>
      </c>
    </row>
    <row r="8817" spans="2:9" hidden="1" x14ac:dyDescent="0.4">
      <c r="D8817" s="3" t="s">
        <v>13402</v>
      </c>
      <c r="F8817" s="3" t="s">
        <v>399</v>
      </c>
      <c r="I8817" s="3" t="s">
        <v>16572</v>
      </c>
    </row>
    <row r="8818" spans="2:9" hidden="1" x14ac:dyDescent="0.4">
      <c r="D8818" s="3" t="s">
        <v>13403</v>
      </c>
      <c r="F8818" s="3" t="s">
        <v>399</v>
      </c>
      <c r="I8818" s="3" t="s">
        <v>16572</v>
      </c>
    </row>
    <row r="8819" spans="2:9" hidden="1" x14ac:dyDescent="0.4">
      <c r="D8819" s="3" t="s">
        <v>13404</v>
      </c>
      <c r="F8819" s="3" t="s">
        <v>399</v>
      </c>
      <c r="I8819" s="3" t="s">
        <v>16572</v>
      </c>
    </row>
    <row r="8820" spans="2:9" hidden="1" x14ac:dyDescent="0.4">
      <c r="D8820" s="3" t="s">
        <v>13405</v>
      </c>
      <c r="F8820" s="3" t="s">
        <v>399</v>
      </c>
      <c r="I8820" s="3" t="s">
        <v>16572</v>
      </c>
    </row>
    <row r="8821" spans="2:9" hidden="1" x14ac:dyDescent="0.4">
      <c r="D8821" s="3" t="s">
        <v>13406</v>
      </c>
      <c r="F8821" s="3" t="s">
        <v>399</v>
      </c>
      <c r="I8821" s="3" t="s">
        <v>16572</v>
      </c>
    </row>
    <row r="8822" spans="2:9" hidden="1" x14ac:dyDescent="0.4">
      <c r="D8822" s="3" t="s">
        <v>13407</v>
      </c>
      <c r="F8822" s="3" t="s">
        <v>399</v>
      </c>
      <c r="I8822" s="3" t="s">
        <v>16572</v>
      </c>
    </row>
    <row r="8823" spans="2:9" hidden="1" x14ac:dyDescent="0.4">
      <c r="B8823" s="8" t="s">
        <v>531</v>
      </c>
      <c r="C8823" s="3" t="s">
        <v>13597</v>
      </c>
      <c r="D8823" s="3" t="s">
        <v>13408</v>
      </c>
      <c r="F8823" s="3" t="s">
        <v>399</v>
      </c>
      <c r="I8823" s="3" t="s">
        <v>16572</v>
      </c>
    </row>
    <row r="8824" spans="2:9" hidden="1" x14ac:dyDescent="0.4">
      <c r="B8824" s="8" t="s">
        <v>4056</v>
      </c>
      <c r="C8824" s="3" t="s">
        <v>13598</v>
      </c>
      <c r="D8824" s="3" t="s">
        <v>13408</v>
      </c>
      <c r="F8824" s="3" t="s">
        <v>399</v>
      </c>
      <c r="I8824" s="3" t="s">
        <v>16572</v>
      </c>
    </row>
    <row r="8825" spans="2:9" hidden="1" x14ac:dyDescent="0.4">
      <c r="D8825" s="3" t="s">
        <v>13179</v>
      </c>
      <c r="F8825" s="3" t="s">
        <v>399</v>
      </c>
      <c r="I8825" s="3" t="s">
        <v>16572</v>
      </c>
    </row>
    <row r="8826" spans="2:9" hidden="1" x14ac:dyDescent="0.4">
      <c r="D8826" s="3" t="s">
        <v>13409</v>
      </c>
      <c r="F8826" s="3" t="s">
        <v>399</v>
      </c>
      <c r="I8826" s="3" t="s">
        <v>16572</v>
      </c>
    </row>
    <row r="8827" spans="2:9" hidden="1" x14ac:dyDescent="0.4">
      <c r="D8827" s="3" t="s">
        <v>13410</v>
      </c>
      <c r="F8827" s="3" t="s">
        <v>399</v>
      </c>
      <c r="I8827" s="3" t="s">
        <v>16572</v>
      </c>
    </row>
    <row r="8828" spans="2:9" hidden="1" x14ac:dyDescent="0.4">
      <c r="D8828" s="3" t="s">
        <v>13411</v>
      </c>
      <c r="F8828" s="3" t="s">
        <v>399</v>
      </c>
      <c r="I8828" s="3" t="s">
        <v>16572</v>
      </c>
    </row>
    <row r="8829" spans="2:9" hidden="1" x14ac:dyDescent="0.4">
      <c r="D8829" s="3" t="s">
        <v>13412</v>
      </c>
      <c r="F8829" s="3" t="s">
        <v>399</v>
      </c>
      <c r="I8829" s="3" t="s">
        <v>16572</v>
      </c>
    </row>
    <row r="8830" spans="2:9" hidden="1" x14ac:dyDescent="0.4">
      <c r="D8830" s="3" t="s">
        <v>13413</v>
      </c>
      <c r="F8830" s="3" t="s">
        <v>399</v>
      </c>
      <c r="I8830" s="3" t="s">
        <v>16572</v>
      </c>
    </row>
    <row r="8831" spans="2:9" hidden="1" x14ac:dyDescent="0.4">
      <c r="D8831" s="3" t="s">
        <v>13974</v>
      </c>
      <c r="F8831" s="3" t="s">
        <v>399</v>
      </c>
      <c r="I8831" s="3" t="s">
        <v>16572</v>
      </c>
    </row>
    <row r="8832" spans="2:9" hidden="1" x14ac:dyDescent="0.4">
      <c r="D8832" s="3" t="s">
        <v>13975</v>
      </c>
      <c r="F8832" s="3" t="s">
        <v>399</v>
      </c>
      <c r="I8832" s="3" t="s">
        <v>16572</v>
      </c>
    </row>
    <row r="8833" spans="4:9" hidden="1" x14ac:dyDescent="0.4">
      <c r="D8833" s="3" t="s">
        <v>13976</v>
      </c>
      <c r="F8833" s="3" t="s">
        <v>399</v>
      </c>
      <c r="I8833" s="3" t="s">
        <v>16572</v>
      </c>
    </row>
    <row r="8834" spans="4:9" hidden="1" x14ac:dyDescent="0.4">
      <c r="D8834" s="3" t="s">
        <v>13977</v>
      </c>
      <c r="F8834" s="3" t="s">
        <v>399</v>
      </c>
      <c r="I8834" s="3" t="s">
        <v>16572</v>
      </c>
    </row>
    <row r="8835" spans="4:9" hidden="1" x14ac:dyDescent="0.4">
      <c r="D8835" s="3" t="s">
        <v>13978</v>
      </c>
      <c r="F8835" s="3" t="s">
        <v>399</v>
      </c>
      <c r="I8835" s="3" t="s">
        <v>16572</v>
      </c>
    </row>
    <row r="8836" spans="4:9" hidden="1" x14ac:dyDescent="0.4">
      <c r="D8836" s="3" t="s">
        <v>13979</v>
      </c>
      <c r="F8836" s="3" t="s">
        <v>399</v>
      </c>
      <c r="I8836" s="3" t="s">
        <v>16572</v>
      </c>
    </row>
    <row r="8837" spans="4:9" hidden="1" x14ac:dyDescent="0.4">
      <c r="D8837" s="3" t="s">
        <v>13980</v>
      </c>
      <c r="F8837" s="3" t="s">
        <v>399</v>
      </c>
      <c r="I8837" s="3" t="s">
        <v>16572</v>
      </c>
    </row>
    <row r="8838" spans="4:9" hidden="1" x14ac:dyDescent="0.4">
      <c r="D8838" s="3" t="s">
        <v>13981</v>
      </c>
      <c r="F8838" s="3" t="s">
        <v>399</v>
      </c>
      <c r="I8838" s="3" t="s">
        <v>16572</v>
      </c>
    </row>
    <row r="8839" spans="4:9" hidden="1" x14ac:dyDescent="0.4">
      <c r="D8839" s="3" t="s">
        <v>13982</v>
      </c>
      <c r="F8839" s="3" t="s">
        <v>399</v>
      </c>
      <c r="I8839" s="3" t="s">
        <v>16572</v>
      </c>
    </row>
    <row r="8840" spans="4:9" hidden="1" x14ac:dyDescent="0.4">
      <c r="D8840" s="3" t="s">
        <v>13983</v>
      </c>
      <c r="F8840" s="3" t="s">
        <v>399</v>
      </c>
      <c r="I8840" s="3" t="s">
        <v>16572</v>
      </c>
    </row>
    <row r="8841" spans="4:9" hidden="1" x14ac:dyDescent="0.4">
      <c r="D8841" s="3" t="s">
        <v>13984</v>
      </c>
      <c r="F8841" s="3" t="s">
        <v>399</v>
      </c>
      <c r="I8841" s="3" t="s">
        <v>16572</v>
      </c>
    </row>
    <row r="8842" spans="4:9" hidden="1" x14ac:dyDescent="0.4">
      <c r="D8842" s="3" t="s">
        <v>13985</v>
      </c>
      <c r="F8842" s="3" t="s">
        <v>399</v>
      </c>
      <c r="I8842" s="3" t="s">
        <v>16572</v>
      </c>
    </row>
    <row r="8843" spans="4:9" hidden="1" x14ac:dyDescent="0.4">
      <c r="D8843" s="3" t="s">
        <v>13986</v>
      </c>
      <c r="F8843" s="3" t="s">
        <v>399</v>
      </c>
      <c r="I8843" s="3" t="s">
        <v>16572</v>
      </c>
    </row>
    <row r="8844" spans="4:9" hidden="1" x14ac:dyDescent="0.4">
      <c r="D8844" s="3" t="s">
        <v>13987</v>
      </c>
      <c r="F8844" s="3" t="s">
        <v>399</v>
      </c>
      <c r="I8844" s="3" t="s">
        <v>16572</v>
      </c>
    </row>
    <row r="8845" spans="4:9" hidden="1" x14ac:dyDescent="0.4">
      <c r="D8845" s="3" t="s">
        <v>13988</v>
      </c>
      <c r="F8845" s="3" t="s">
        <v>399</v>
      </c>
      <c r="I8845" s="3" t="s">
        <v>16572</v>
      </c>
    </row>
    <row r="8846" spans="4:9" hidden="1" x14ac:dyDescent="0.4">
      <c r="D8846" s="3" t="s">
        <v>13989</v>
      </c>
      <c r="F8846" s="3" t="s">
        <v>399</v>
      </c>
      <c r="I8846" s="3" t="s">
        <v>16572</v>
      </c>
    </row>
    <row r="8847" spans="4:9" hidden="1" x14ac:dyDescent="0.4">
      <c r="D8847" s="3" t="s">
        <v>13990</v>
      </c>
      <c r="F8847" s="3" t="s">
        <v>399</v>
      </c>
      <c r="I8847" s="3" t="s">
        <v>16572</v>
      </c>
    </row>
    <row r="8848" spans="4:9" hidden="1" x14ac:dyDescent="0.4">
      <c r="D8848" s="3" t="s">
        <v>13991</v>
      </c>
      <c r="F8848" s="3" t="s">
        <v>399</v>
      </c>
      <c r="I8848" s="3" t="s">
        <v>16572</v>
      </c>
    </row>
    <row r="8849" spans="4:9" hidden="1" x14ac:dyDescent="0.4">
      <c r="D8849" s="3" t="s">
        <v>13271</v>
      </c>
      <c r="F8849" s="3" t="s">
        <v>399</v>
      </c>
      <c r="I8849" s="3" t="s">
        <v>16572</v>
      </c>
    </row>
    <row r="8850" spans="4:9" hidden="1" x14ac:dyDescent="0.4">
      <c r="D8850" s="3" t="s">
        <v>13992</v>
      </c>
      <c r="F8850" s="3" t="s">
        <v>399</v>
      </c>
      <c r="I8850" s="3" t="s">
        <v>16572</v>
      </c>
    </row>
    <row r="8851" spans="4:9" hidden="1" x14ac:dyDescent="0.4">
      <c r="D8851" s="3" t="s">
        <v>13993</v>
      </c>
      <c r="F8851" s="3" t="s">
        <v>399</v>
      </c>
      <c r="I8851" s="3" t="s">
        <v>16572</v>
      </c>
    </row>
    <row r="8852" spans="4:9" hidden="1" x14ac:dyDescent="0.4">
      <c r="D8852" s="3" t="s">
        <v>13994</v>
      </c>
      <c r="F8852" s="3" t="s">
        <v>399</v>
      </c>
      <c r="I8852" s="3" t="s">
        <v>16572</v>
      </c>
    </row>
    <row r="8853" spans="4:9" hidden="1" x14ac:dyDescent="0.4">
      <c r="D8853" s="3" t="s">
        <v>13995</v>
      </c>
      <c r="F8853" s="3" t="s">
        <v>399</v>
      </c>
      <c r="I8853" s="3" t="s">
        <v>16572</v>
      </c>
    </row>
    <row r="8854" spans="4:9" hidden="1" x14ac:dyDescent="0.4">
      <c r="D8854" s="3" t="s">
        <v>13996</v>
      </c>
      <c r="F8854" s="3" t="s">
        <v>399</v>
      </c>
      <c r="I8854" s="3" t="s">
        <v>16572</v>
      </c>
    </row>
    <row r="8855" spans="4:9" hidden="1" x14ac:dyDescent="0.4">
      <c r="D8855" s="3" t="s">
        <v>13997</v>
      </c>
      <c r="F8855" s="3" t="s">
        <v>399</v>
      </c>
      <c r="I8855" s="3" t="s">
        <v>16572</v>
      </c>
    </row>
    <row r="8856" spans="4:9" hidden="1" x14ac:dyDescent="0.4">
      <c r="D8856" s="3" t="s">
        <v>13998</v>
      </c>
      <c r="F8856" s="3" t="s">
        <v>399</v>
      </c>
      <c r="I8856" s="3" t="s">
        <v>16572</v>
      </c>
    </row>
    <row r="8857" spans="4:9" hidden="1" x14ac:dyDescent="0.4">
      <c r="D8857" s="3" t="s">
        <v>13999</v>
      </c>
      <c r="F8857" s="3" t="s">
        <v>399</v>
      </c>
      <c r="I8857" s="3" t="s">
        <v>16572</v>
      </c>
    </row>
    <row r="8858" spans="4:9" hidden="1" x14ac:dyDescent="0.4">
      <c r="D8858" s="3" t="s">
        <v>14000</v>
      </c>
      <c r="F8858" s="3" t="s">
        <v>399</v>
      </c>
      <c r="I8858" s="3" t="s">
        <v>16572</v>
      </c>
    </row>
    <row r="8859" spans="4:9" hidden="1" x14ac:dyDescent="0.4">
      <c r="D8859" s="3" t="s">
        <v>14001</v>
      </c>
      <c r="F8859" s="3" t="s">
        <v>399</v>
      </c>
      <c r="I8859" s="3" t="s">
        <v>16572</v>
      </c>
    </row>
    <row r="8860" spans="4:9" hidden="1" x14ac:dyDescent="0.4">
      <c r="D8860" s="3" t="s">
        <v>14002</v>
      </c>
      <c r="F8860" s="3" t="s">
        <v>399</v>
      </c>
      <c r="I8860" s="3" t="s">
        <v>16572</v>
      </c>
    </row>
    <row r="8861" spans="4:9" hidden="1" x14ac:dyDescent="0.4">
      <c r="D8861" s="3" t="s">
        <v>14003</v>
      </c>
      <c r="F8861" s="3" t="s">
        <v>399</v>
      </c>
      <c r="I8861" s="3" t="s">
        <v>16572</v>
      </c>
    </row>
    <row r="8862" spans="4:9" hidden="1" x14ac:dyDescent="0.4">
      <c r="D8862" s="3" t="s">
        <v>14004</v>
      </c>
      <c r="F8862" s="3" t="s">
        <v>399</v>
      </c>
      <c r="I8862" s="3" t="s">
        <v>16572</v>
      </c>
    </row>
    <row r="8863" spans="4:9" hidden="1" x14ac:dyDescent="0.4">
      <c r="D8863" s="3" t="s">
        <v>14005</v>
      </c>
      <c r="F8863" s="3" t="s">
        <v>399</v>
      </c>
      <c r="I8863" s="3" t="s">
        <v>16572</v>
      </c>
    </row>
    <row r="8864" spans="4:9" hidden="1" x14ac:dyDescent="0.4">
      <c r="D8864" s="3" t="s">
        <v>14006</v>
      </c>
      <c r="F8864" s="3" t="s">
        <v>399</v>
      </c>
      <c r="I8864" s="3" t="s">
        <v>16572</v>
      </c>
    </row>
    <row r="8865" spans="4:9" hidden="1" x14ac:dyDescent="0.4">
      <c r="D8865" s="3" t="s">
        <v>14007</v>
      </c>
      <c r="F8865" s="3" t="s">
        <v>399</v>
      </c>
      <c r="I8865" s="3" t="s">
        <v>16572</v>
      </c>
    </row>
    <row r="8866" spans="4:9" hidden="1" x14ac:dyDescent="0.4">
      <c r="D8866" s="3" t="s">
        <v>14008</v>
      </c>
      <c r="F8866" s="3" t="s">
        <v>399</v>
      </c>
      <c r="I8866" s="3" t="s">
        <v>16572</v>
      </c>
    </row>
    <row r="8867" spans="4:9" hidden="1" x14ac:dyDescent="0.4">
      <c r="D8867" s="3" t="s">
        <v>14009</v>
      </c>
      <c r="F8867" s="3" t="s">
        <v>399</v>
      </c>
      <c r="I8867" s="3" t="s">
        <v>16572</v>
      </c>
    </row>
    <row r="8868" spans="4:9" hidden="1" x14ac:dyDescent="0.4">
      <c r="D8868" s="3" t="s">
        <v>14010</v>
      </c>
      <c r="F8868" s="3" t="s">
        <v>399</v>
      </c>
      <c r="I8868" s="3" t="s">
        <v>16572</v>
      </c>
    </row>
    <row r="8869" spans="4:9" hidden="1" x14ac:dyDescent="0.4">
      <c r="D8869" s="3" t="s">
        <v>14011</v>
      </c>
      <c r="F8869" s="3" t="s">
        <v>399</v>
      </c>
      <c r="I8869" s="3" t="s">
        <v>16572</v>
      </c>
    </row>
    <row r="8870" spans="4:9" hidden="1" x14ac:dyDescent="0.4">
      <c r="D8870" s="3" t="s">
        <v>14012</v>
      </c>
      <c r="F8870" s="3" t="s">
        <v>399</v>
      </c>
      <c r="I8870" s="3" t="s">
        <v>16572</v>
      </c>
    </row>
    <row r="8871" spans="4:9" hidden="1" x14ac:dyDescent="0.4">
      <c r="D8871" s="3" t="s">
        <v>14013</v>
      </c>
      <c r="F8871" s="3" t="s">
        <v>399</v>
      </c>
      <c r="I8871" s="3" t="s">
        <v>16572</v>
      </c>
    </row>
    <row r="8872" spans="4:9" hidden="1" x14ac:dyDescent="0.4">
      <c r="D8872" s="3" t="s">
        <v>14014</v>
      </c>
      <c r="F8872" s="3" t="s">
        <v>399</v>
      </c>
      <c r="I8872" s="3" t="s">
        <v>16572</v>
      </c>
    </row>
    <row r="8873" spans="4:9" hidden="1" x14ac:dyDescent="0.4">
      <c r="D8873" s="3" t="s">
        <v>14015</v>
      </c>
      <c r="F8873" s="3" t="s">
        <v>399</v>
      </c>
      <c r="I8873" s="3" t="s">
        <v>16572</v>
      </c>
    </row>
    <row r="8874" spans="4:9" hidden="1" x14ac:dyDescent="0.4">
      <c r="D8874" s="3" t="s">
        <v>14016</v>
      </c>
      <c r="F8874" s="3" t="s">
        <v>399</v>
      </c>
      <c r="I8874" s="3" t="s">
        <v>16572</v>
      </c>
    </row>
    <row r="8875" spans="4:9" hidden="1" x14ac:dyDescent="0.4">
      <c r="D8875" s="3" t="s">
        <v>14017</v>
      </c>
      <c r="F8875" s="3" t="s">
        <v>399</v>
      </c>
      <c r="I8875" s="3" t="s">
        <v>16572</v>
      </c>
    </row>
    <row r="8876" spans="4:9" hidden="1" x14ac:dyDescent="0.4">
      <c r="D8876" s="3" t="s">
        <v>14018</v>
      </c>
      <c r="F8876" s="3" t="s">
        <v>399</v>
      </c>
      <c r="I8876" s="3" t="s">
        <v>16572</v>
      </c>
    </row>
    <row r="8877" spans="4:9" hidden="1" x14ac:dyDescent="0.4">
      <c r="D8877" s="3" t="s">
        <v>14019</v>
      </c>
      <c r="F8877" s="3" t="s">
        <v>399</v>
      </c>
      <c r="I8877" s="3" t="s">
        <v>16572</v>
      </c>
    </row>
    <row r="8878" spans="4:9" hidden="1" x14ac:dyDescent="0.4">
      <c r="D8878" s="3" t="s">
        <v>14020</v>
      </c>
      <c r="F8878" s="3" t="s">
        <v>399</v>
      </c>
      <c r="I8878" s="3" t="s">
        <v>16572</v>
      </c>
    </row>
    <row r="8879" spans="4:9" hidden="1" x14ac:dyDescent="0.4">
      <c r="D8879" s="3" t="s">
        <v>13170</v>
      </c>
      <c r="F8879" s="3" t="s">
        <v>399</v>
      </c>
      <c r="I8879" s="3" t="s">
        <v>16572</v>
      </c>
    </row>
    <row r="8880" spans="4:9" hidden="1" x14ac:dyDescent="0.4">
      <c r="D8880" s="3" t="s">
        <v>14021</v>
      </c>
      <c r="F8880" s="3" t="s">
        <v>399</v>
      </c>
      <c r="I8880" s="3" t="s">
        <v>16572</v>
      </c>
    </row>
    <row r="8881" spans="2:9" hidden="1" x14ac:dyDescent="0.4">
      <c r="D8881" s="3" t="s">
        <v>14022</v>
      </c>
      <c r="F8881" s="3" t="s">
        <v>399</v>
      </c>
      <c r="I8881" s="3" t="s">
        <v>16572</v>
      </c>
    </row>
    <row r="8882" spans="2:9" hidden="1" x14ac:dyDescent="0.4">
      <c r="D8882" s="3" t="s">
        <v>14023</v>
      </c>
      <c r="F8882" s="3" t="s">
        <v>399</v>
      </c>
      <c r="I8882" s="3" t="s">
        <v>16572</v>
      </c>
    </row>
    <row r="8883" spans="2:9" hidden="1" x14ac:dyDescent="0.4">
      <c r="D8883" s="3" t="s">
        <v>14024</v>
      </c>
      <c r="F8883" s="3" t="s">
        <v>399</v>
      </c>
      <c r="I8883" s="3" t="s">
        <v>16572</v>
      </c>
    </row>
    <row r="8884" spans="2:9" hidden="1" x14ac:dyDescent="0.4">
      <c r="D8884" s="3" t="s">
        <v>14025</v>
      </c>
      <c r="F8884" s="3" t="s">
        <v>399</v>
      </c>
      <c r="I8884" s="3" t="s">
        <v>16572</v>
      </c>
    </row>
    <row r="8885" spans="2:9" hidden="1" x14ac:dyDescent="0.4">
      <c r="D8885" s="3" t="s">
        <v>14026</v>
      </c>
      <c r="F8885" s="3" t="s">
        <v>399</v>
      </c>
      <c r="I8885" s="3" t="s">
        <v>16572</v>
      </c>
    </row>
    <row r="8886" spans="2:9" hidden="1" x14ac:dyDescent="0.4">
      <c r="D8886" s="3" t="s">
        <v>13414</v>
      </c>
      <c r="F8886" s="3" t="s">
        <v>399</v>
      </c>
      <c r="I8886" s="3" t="s">
        <v>16572</v>
      </c>
    </row>
    <row r="8887" spans="2:9" hidden="1" x14ac:dyDescent="0.4">
      <c r="B8887" s="8" t="s">
        <v>518</v>
      </c>
      <c r="C8887" s="3" t="s">
        <v>13599</v>
      </c>
      <c r="D8887" s="3" t="s">
        <v>13415</v>
      </c>
      <c r="F8887" s="3" t="s">
        <v>399</v>
      </c>
      <c r="I8887" s="3" t="s">
        <v>16572</v>
      </c>
    </row>
    <row r="8888" spans="2:9" hidden="1" x14ac:dyDescent="0.4">
      <c r="D8888" s="3" t="s">
        <v>13416</v>
      </c>
      <c r="F8888" s="3" t="s">
        <v>399</v>
      </c>
      <c r="I8888" s="3" t="s">
        <v>16572</v>
      </c>
    </row>
    <row r="8889" spans="2:9" hidden="1" x14ac:dyDescent="0.4">
      <c r="D8889" s="3" t="s">
        <v>12990</v>
      </c>
      <c r="F8889" s="3" t="s">
        <v>399</v>
      </c>
      <c r="I8889" s="3" t="s">
        <v>16572</v>
      </c>
    </row>
    <row r="8890" spans="2:9" hidden="1" x14ac:dyDescent="0.4">
      <c r="B8890" s="8" t="s">
        <v>529</v>
      </c>
      <c r="C8890" s="3" t="s">
        <v>13600</v>
      </c>
      <c r="D8890" s="3" t="s">
        <v>13417</v>
      </c>
      <c r="F8890" s="3" t="s">
        <v>399</v>
      </c>
      <c r="I8890" s="3" t="s">
        <v>16572</v>
      </c>
    </row>
    <row r="8891" spans="2:9" hidden="1" x14ac:dyDescent="0.4">
      <c r="B8891" s="8" t="s">
        <v>517</v>
      </c>
      <c r="C8891" s="3" t="s">
        <v>13601</v>
      </c>
      <c r="D8891" s="3" t="s">
        <v>13418</v>
      </c>
      <c r="F8891" s="3" t="s">
        <v>399</v>
      </c>
      <c r="I8891" s="3" t="s">
        <v>16572</v>
      </c>
    </row>
    <row r="8892" spans="2:9" hidden="1" x14ac:dyDescent="0.4">
      <c r="D8892" s="3" t="s">
        <v>13419</v>
      </c>
      <c r="F8892" s="3" t="s">
        <v>399</v>
      </c>
      <c r="I8892" s="3" t="s">
        <v>16572</v>
      </c>
    </row>
    <row r="8893" spans="2:9" hidden="1" x14ac:dyDescent="0.4">
      <c r="D8893" s="3" t="s">
        <v>13420</v>
      </c>
      <c r="F8893" s="3" t="s">
        <v>399</v>
      </c>
      <c r="I8893" s="3" t="s">
        <v>16572</v>
      </c>
    </row>
    <row r="8894" spans="2:9" hidden="1" x14ac:dyDescent="0.4">
      <c r="D8894" s="3" t="s">
        <v>13421</v>
      </c>
      <c r="F8894" s="3" t="s">
        <v>399</v>
      </c>
      <c r="I8894" s="3" t="s">
        <v>16572</v>
      </c>
    </row>
    <row r="8895" spans="2:9" hidden="1" x14ac:dyDescent="0.4">
      <c r="D8895" s="3" t="s">
        <v>13422</v>
      </c>
      <c r="F8895" s="3" t="s">
        <v>399</v>
      </c>
      <c r="I8895" s="3" t="s">
        <v>16572</v>
      </c>
    </row>
    <row r="8896" spans="2:9" hidden="1" x14ac:dyDescent="0.4">
      <c r="D8896" s="3" t="s">
        <v>13423</v>
      </c>
      <c r="F8896" s="3" t="s">
        <v>399</v>
      </c>
      <c r="I8896" s="3" t="s">
        <v>16572</v>
      </c>
    </row>
    <row r="8897" spans="4:9" hidden="1" x14ac:dyDescent="0.4">
      <c r="D8897" s="3" t="s">
        <v>13424</v>
      </c>
      <c r="F8897" s="3" t="s">
        <v>399</v>
      </c>
      <c r="I8897" s="3" t="s">
        <v>16572</v>
      </c>
    </row>
    <row r="8898" spans="4:9" hidden="1" x14ac:dyDescent="0.4">
      <c r="D8898" s="3" t="s">
        <v>13425</v>
      </c>
      <c r="F8898" s="3" t="s">
        <v>399</v>
      </c>
      <c r="I8898" s="3" t="s">
        <v>16572</v>
      </c>
    </row>
    <row r="8899" spans="4:9" hidden="1" x14ac:dyDescent="0.4">
      <c r="D8899" s="3" t="s">
        <v>13426</v>
      </c>
      <c r="F8899" s="3" t="s">
        <v>399</v>
      </c>
      <c r="I8899" s="3" t="s">
        <v>16572</v>
      </c>
    </row>
    <row r="8900" spans="4:9" hidden="1" x14ac:dyDescent="0.4">
      <c r="D8900" s="3" t="s">
        <v>13427</v>
      </c>
      <c r="F8900" s="3" t="s">
        <v>399</v>
      </c>
      <c r="I8900" s="3" t="s">
        <v>16572</v>
      </c>
    </row>
    <row r="8901" spans="4:9" hidden="1" x14ac:dyDescent="0.4">
      <c r="D8901" s="3" t="s">
        <v>13428</v>
      </c>
      <c r="F8901" s="3" t="s">
        <v>399</v>
      </c>
      <c r="I8901" s="3" t="s">
        <v>16572</v>
      </c>
    </row>
    <row r="8902" spans="4:9" hidden="1" x14ac:dyDescent="0.4">
      <c r="D8902" s="3" t="s">
        <v>13429</v>
      </c>
      <c r="F8902" s="3" t="s">
        <v>399</v>
      </c>
      <c r="I8902" s="3" t="s">
        <v>16572</v>
      </c>
    </row>
    <row r="8903" spans="4:9" hidden="1" x14ac:dyDescent="0.4">
      <c r="D8903" s="3" t="s">
        <v>13430</v>
      </c>
      <c r="F8903" s="3" t="s">
        <v>399</v>
      </c>
      <c r="I8903" s="3" t="s">
        <v>16572</v>
      </c>
    </row>
    <row r="8904" spans="4:9" hidden="1" x14ac:dyDescent="0.4">
      <c r="D8904" s="3" t="s">
        <v>13277</v>
      </c>
      <c r="F8904" s="3" t="s">
        <v>399</v>
      </c>
      <c r="I8904" s="3" t="s">
        <v>16572</v>
      </c>
    </row>
    <row r="8905" spans="4:9" hidden="1" x14ac:dyDescent="0.4">
      <c r="D8905" s="3" t="s">
        <v>13431</v>
      </c>
      <c r="F8905" s="3" t="s">
        <v>399</v>
      </c>
      <c r="I8905" s="3" t="s">
        <v>16572</v>
      </c>
    </row>
    <row r="8906" spans="4:9" hidden="1" x14ac:dyDescent="0.4">
      <c r="D8906" s="3" t="s">
        <v>13432</v>
      </c>
      <c r="F8906" s="3" t="s">
        <v>399</v>
      </c>
      <c r="I8906" s="3" t="s">
        <v>16572</v>
      </c>
    </row>
    <row r="8907" spans="4:9" hidden="1" x14ac:dyDescent="0.4">
      <c r="D8907" s="3" t="s">
        <v>13433</v>
      </c>
      <c r="F8907" s="3" t="s">
        <v>399</v>
      </c>
      <c r="I8907" s="3" t="s">
        <v>16572</v>
      </c>
    </row>
    <row r="8908" spans="4:9" hidden="1" x14ac:dyDescent="0.4">
      <c r="D8908" s="3" t="s">
        <v>13434</v>
      </c>
      <c r="F8908" s="3" t="s">
        <v>399</v>
      </c>
      <c r="I8908" s="3" t="s">
        <v>16572</v>
      </c>
    </row>
    <row r="8909" spans="4:9" hidden="1" x14ac:dyDescent="0.4">
      <c r="D8909" s="3" t="s">
        <v>13435</v>
      </c>
      <c r="F8909" s="3" t="s">
        <v>399</v>
      </c>
      <c r="I8909" s="3" t="s">
        <v>16572</v>
      </c>
    </row>
    <row r="8910" spans="4:9" hidden="1" x14ac:dyDescent="0.4">
      <c r="D8910" s="3" t="s">
        <v>13436</v>
      </c>
      <c r="F8910" s="3" t="s">
        <v>399</v>
      </c>
      <c r="I8910" s="3" t="s">
        <v>16572</v>
      </c>
    </row>
    <row r="8911" spans="4:9" hidden="1" x14ac:dyDescent="0.4">
      <c r="D8911" s="3" t="s">
        <v>13437</v>
      </c>
      <c r="F8911" s="3" t="s">
        <v>399</v>
      </c>
      <c r="I8911" s="3" t="s">
        <v>16572</v>
      </c>
    </row>
    <row r="8912" spans="4:9" hidden="1" x14ac:dyDescent="0.4">
      <c r="D8912" s="3" t="s">
        <v>13438</v>
      </c>
      <c r="F8912" s="3" t="s">
        <v>399</v>
      </c>
      <c r="I8912" s="3" t="s">
        <v>16572</v>
      </c>
    </row>
    <row r="8913" spans="4:9" hidden="1" x14ac:dyDescent="0.4">
      <c r="D8913" s="3" t="s">
        <v>13439</v>
      </c>
      <c r="F8913" s="3" t="s">
        <v>399</v>
      </c>
      <c r="I8913" s="3" t="s">
        <v>16572</v>
      </c>
    </row>
    <row r="8914" spans="4:9" hidden="1" x14ac:dyDescent="0.4">
      <c r="D8914" s="3" t="s">
        <v>13440</v>
      </c>
      <c r="F8914" s="3" t="s">
        <v>399</v>
      </c>
      <c r="I8914" s="3" t="s">
        <v>16572</v>
      </c>
    </row>
    <row r="8915" spans="4:9" hidden="1" x14ac:dyDescent="0.4">
      <c r="D8915" s="3" t="s">
        <v>14027</v>
      </c>
      <c r="F8915" s="3" t="s">
        <v>399</v>
      </c>
      <c r="I8915" s="3" t="s">
        <v>16572</v>
      </c>
    </row>
    <row r="8916" spans="4:9" hidden="1" x14ac:dyDescent="0.4">
      <c r="D8916" s="3" t="s">
        <v>14028</v>
      </c>
      <c r="F8916" s="3" t="s">
        <v>399</v>
      </c>
      <c r="I8916" s="3" t="s">
        <v>16572</v>
      </c>
    </row>
    <row r="8917" spans="4:9" hidden="1" x14ac:dyDescent="0.4">
      <c r="D8917" s="3" t="s">
        <v>14029</v>
      </c>
      <c r="F8917" s="3" t="s">
        <v>399</v>
      </c>
      <c r="I8917" s="3" t="s">
        <v>16572</v>
      </c>
    </row>
    <row r="8918" spans="4:9" hidden="1" x14ac:dyDescent="0.4">
      <c r="D8918" s="3" t="s">
        <v>14030</v>
      </c>
      <c r="F8918" s="3" t="s">
        <v>399</v>
      </c>
      <c r="I8918" s="3" t="s">
        <v>16572</v>
      </c>
    </row>
    <row r="8919" spans="4:9" hidden="1" x14ac:dyDescent="0.4">
      <c r="D8919" s="3" t="s">
        <v>14031</v>
      </c>
      <c r="F8919" s="3" t="s">
        <v>399</v>
      </c>
      <c r="I8919" s="3" t="s">
        <v>16572</v>
      </c>
    </row>
    <row r="8920" spans="4:9" hidden="1" x14ac:dyDescent="0.4">
      <c r="D8920" s="3" t="s">
        <v>14032</v>
      </c>
      <c r="F8920" s="3" t="s">
        <v>399</v>
      </c>
      <c r="I8920" s="3" t="s">
        <v>16572</v>
      </c>
    </row>
    <row r="8921" spans="4:9" hidden="1" x14ac:dyDescent="0.4">
      <c r="D8921" s="3" t="s">
        <v>14033</v>
      </c>
      <c r="F8921" s="3" t="s">
        <v>399</v>
      </c>
      <c r="I8921" s="3" t="s">
        <v>16572</v>
      </c>
    </row>
    <row r="8922" spans="4:9" hidden="1" x14ac:dyDescent="0.4">
      <c r="D8922" s="3" t="s">
        <v>14034</v>
      </c>
      <c r="F8922" s="3" t="s">
        <v>399</v>
      </c>
      <c r="I8922" s="3" t="s">
        <v>16572</v>
      </c>
    </row>
    <row r="8923" spans="4:9" hidden="1" x14ac:dyDescent="0.4">
      <c r="D8923" s="3" t="s">
        <v>14035</v>
      </c>
      <c r="F8923" s="3" t="s">
        <v>399</v>
      </c>
      <c r="I8923" s="3" t="s">
        <v>16572</v>
      </c>
    </row>
    <row r="8924" spans="4:9" hidden="1" x14ac:dyDescent="0.4">
      <c r="D8924" s="3" t="s">
        <v>14036</v>
      </c>
      <c r="F8924" s="3" t="s">
        <v>399</v>
      </c>
      <c r="I8924" s="3" t="s">
        <v>16572</v>
      </c>
    </row>
    <row r="8925" spans="4:9" hidden="1" x14ac:dyDescent="0.4">
      <c r="D8925" s="3" t="s">
        <v>14037</v>
      </c>
      <c r="F8925" s="3" t="s">
        <v>399</v>
      </c>
      <c r="I8925" s="3" t="s">
        <v>16572</v>
      </c>
    </row>
    <row r="8926" spans="4:9" hidden="1" x14ac:dyDescent="0.4">
      <c r="D8926" s="3" t="s">
        <v>14038</v>
      </c>
      <c r="F8926" s="3" t="s">
        <v>399</v>
      </c>
      <c r="I8926" s="3" t="s">
        <v>16572</v>
      </c>
    </row>
    <row r="8927" spans="4:9" hidden="1" x14ac:dyDescent="0.4">
      <c r="D8927" s="3" t="s">
        <v>14039</v>
      </c>
      <c r="F8927" s="3" t="s">
        <v>399</v>
      </c>
      <c r="I8927" s="3" t="s">
        <v>16572</v>
      </c>
    </row>
    <row r="8928" spans="4:9" hidden="1" x14ac:dyDescent="0.4">
      <c r="D8928" s="3" t="s">
        <v>14040</v>
      </c>
      <c r="F8928" s="3" t="s">
        <v>399</v>
      </c>
      <c r="I8928" s="3" t="s">
        <v>16572</v>
      </c>
    </row>
    <row r="8929" spans="4:9" hidden="1" x14ac:dyDescent="0.4">
      <c r="D8929" s="3" t="s">
        <v>14041</v>
      </c>
      <c r="F8929" s="3" t="s">
        <v>399</v>
      </c>
      <c r="I8929" s="3" t="s">
        <v>16572</v>
      </c>
    </row>
    <row r="8930" spans="4:9" hidden="1" x14ac:dyDescent="0.4">
      <c r="D8930" s="3" t="s">
        <v>14042</v>
      </c>
      <c r="F8930" s="3" t="s">
        <v>399</v>
      </c>
      <c r="I8930" s="3" t="s">
        <v>16572</v>
      </c>
    </row>
    <row r="8931" spans="4:9" hidden="1" x14ac:dyDescent="0.4">
      <c r="D8931" s="3" t="s">
        <v>14043</v>
      </c>
      <c r="F8931" s="3" t="s">
        <v>399</v>
      </c>
      <c r="I8931" s="3" t="s">
        <v>16572</v>
      </c>
    </row>
    <row r="8932" spans="4:9" hidden="1" x14ac:dyDescent="0.4">
      <c r="D8932" s="3" t="s">
        <v>14026</v>
      </c>
      <c r="F8932" s="3" t="s">
        <v>399</v>
      </c>
      <c r="I8932" s="3" t="s">
        <v>16572</v>
      </c>
    </row>
    <row r="8933" spans="4:9" hidden="1" x14ac:dyDescent="0.4">
      <c r="D8933" s="3" t="s">
        <v>14044</v>
      </c>
      <c r="F8933" s="3" t="s">
        <v>399</v>
      </c>
      <c r="I8933" s="3" t="s">
        <v>16572</v>
      </c>
    </row>
    <row r="8934" spans="4:9" hidden="1" x14ac:dyDescent="0.4">
      <c r="D8934" s="3" t="s">
        <v>14045</v>
      </c>
      <c r="F8934" s="3" t="s">
        <v>399</v>
      </c>
      <c r="I8934" s="3" t="s">
        <v>16572</v>
      </c>
    </row>
    <row r="8935" spans="4:9" hidden="1" x14ac:dyDescent="0.4">
      <c r="D8935" s="3" t="s">
        <v>14046</v>
      </c>
      <c r="F8935" s="3" t="s">
        <v>399</v>
      </c>
      <c r="I8935" s="3" t="s">
        <v>16572</v>
      </c>
    </row>
    <row r="8936" spans="4:9" hidden="1" x14ac:dyDescent="0.4">
      <c r="D8936" s="3" t="s">
        <v>14047</v>
      </c>
      <c r="F8936" s="3" t="s">
        <v>399</v>
      </c>
      <c r="I8936" s="3" t="s">
        <v>16572</v>
      </c>
    </row>
    <row r="8937" spans="4:9" hidden="1" x14ac:dyDescent="0.4">
      <c r="D8937" s="3" t="s">
        <v>14048</v>
      </c>
      <c r="F8937" s="3" t="s">
        <v>399</v>
      </c>
      <c r="I8937" s="3" t="s">
        <v>16572</v>
      </c>
    </row>
    <row r="8938" spans="4:9" hidden="1" x14ac:dyDescent="0.4">
      <c r="D8938" s="3" t="s">
        <v>14049</v>
      </c>
      <c r="F8938" s="3" t="s">
        <v>399</v>
      </c>
      <c r="I8938" s="3" t="s">
        <v>16572</v>
      </c>
    </row>
    <row r="8939" spans="4:9" hidden="1" x14ac:dyDescent="0.4">
      <c r="D8939" s="3" t="s">
        <v>14050</v>
      </c>
      <c r="F8939" s="3" t="s">
        <v>399</v>
      </c>
      <c r="I8939" s="3" t="s">
        <v>16572</v>
      </c>
    </row>
    <row r="8940" spans="4:9" hidden="1" x14ac:dyDescent="0.4">
      <c r="D8940" s="3" t="s">
        <v>14051</v>
      </c>
      <c r="F8940" s="3" t="s">
        <v>399</v>
      </c>
      <c r="I8940" s="3" t="s">
        <v>16572</v>
      </c>
    </row>
    <row r="8941" spans="4:9" hidden="1" x14ac:dyDescent="0.4">
      <c r="D8941" s="3" t="s">
        <v>14052</v>
      </c>
      <c r="F8941" s="3" t="s">
        <v>399</v>
      </c>
      <c r="I8941" s="3" t="s">
        <v>16572</v>
      </c>
    </row>
    <row r="8942" spans="4:9" hidden="1" x14ac:dyDescent="0.4">
      <c r="D8942" s="3" t="s">
        <v>14053</v>
      </c>
      <c r="F8942" s="3" t="s">
        <v>399</v>
      </c>
      <c r="I8942" s="3" t="s">
        <v>16572</v>
      </c>
    </row>
    <row r="8943" spans="4:9" hidden="1" x14ac:dyDescent="0.4">
      <c r="D8943" s="3" t="s">
        <v>13441</v>
      </c>
      <c r="F8943" s="3" t="s">
        <v>399</v>
      </c>
      <c r="I8943" s="3" t="s">
        <v>16572</v>
      </c>
    </row>
    <row r="8944" spans="4:9" hidden="1" x14ac:dyDescent="0.4">
      <c r="D8944" s="3" t="s">
        <v>13442</v>
      </c>
      <c r="F8944" s="3" t="s">
        <v>399</v>
      </c>
      <c r="I8944" s="3" t="s">
        <v>16572</v>
      </c>
    </row>
    <row r="8945" spans="4:9" hidden="1" x14ac:dyDescent="0.4">
      <c r="D8945" s="3" t="s">
        <v>13443</v>
      </c>
      <c r="F8945" s="3" t="s">
        <v>399</v>
      </c>
      <c r="I8945" s="3" t="s">
        <v>16572</v>
      </c>
    </row>
    <row r="8946" spans="4:9" hidden="1" x14ac:dyDescent="0.4">
      <c r="D8946" s="3" t="s">
        <v>13444</v>
      </c>
      <c r="F8946" s="3" t="s">
        <v>399</v>
      </c>
      <c r="I8946" s="3" t="s">
        <v>16572</v>
      </c>
    </row>
    <row r="8947" spans="4:9" hidden="1" x14ac:dyDescent="0.4">
      <c r="D8947" s="3" t="s">
        <v>13445</v>
      </c>
      <c r="F8947" s="3" t="s">
        <v>399</v>
      </c>
      <c r="I8947" s="3" t="s">
        <v>16572</v>
      </c>
    </row>
    <row r="8948" spans="4:9" hidden="1" x14ac:dyDescent="0.4">
      <c r="D8948" s="3" t="s">
        <v>13446</v>
      </c>
      <c r="F8948" s="3" t="s">
        <v>399</v>
      </c>
      <c r="I8948" s="3" t="s">
        <v>16572</v>
      </c>
    </row>
    <row r="8949" spans="4:9" hidden="1" x14ac:dyDescent="0.4">
      <c r="D8949" s="3" t="s">
        <v>13447</v>
      </c>
      <c r="F8949" s="3" t="s">
        <v>399</v>
      </c>
      <c r="I8949" s="3" t="s">
        <v>16572</v>
      </c>
    </row>
    <row r="8950" spans="4:9" hidden="1" x14ac:dyDescent="0.4">
      <c r="D8950" s="3" t="s">
        <v>13448</v>
      </c>
      <c r="F8950" s="3" t="s">
        <v>399</v>
      </c>
      <c r="I8950" s="3" t="s">
        <v>16572</v>
      </c>
    </row>
    <row r="8951" spans="4:9" hidden="1" x14ac:dyDescent="0.4">
      <c r="D8951" s="3" t="s">
        <v>13449</v>
      </c>
      <c r="F8951" s="3" t="s">
        <v>399</v>
      </c>
      <c r="I8951" s="3" t="s">
        <v>16572</v>
      </c>
    </row>
    <row r="8952" spans="4:9" hidden="1" x14ac:dyDescent="0.4">
      <c r="D8952" s="3" t="s">
        <v>13450</v>
      </c>
      <c r="F8952" s="3" t="s">
        <v>399</v>
      </c>
      <c r="I8952" s="3" t="s">
        <v>16572</v>
      </c>
    </row>
    <row r="8953" spans="4:9" hidden="1" x14ac:dyDescent="0.4">
      <c r="D8953" s="3" t="s">
        <v>13451</v>
      </c>
      <c r="F8953" s="3" t="s">
        <v>399</v>
      </c>
      <c r="I8953" s="3" t="s">
        <v>16572</v>
      </c>
    </row>
    <row r="8954" spans="4:9" hidden="1" x14ac:dyDescent="0.4">
      <c r="D8954" s="3" t="s">
        <v>13452</v>
      </c>
      <c r="F8954" s="3" t="s">
        <v>399</v>
      </c>
      <c r="I8954" s="3" t="s">
        <v>16572</v>
      </c>
    </row>
    <row r="8955" spans="4:9" hidden="1" x14ac:dyDescent="0.4">
      <c r="D8955" s="3" t="s">
        <v>13453</v>
      </c>
      <c r="F8955" s="3" t="s">
        <v>399</v>
      </c>
      <c r="I8955" s="3" t="s">
        <v>16572</v>
      </c>
    </row>
    <row r="8956" spans="4:9" hidden="1" x14ac:dyDescent="0.4">
      <c r="D8956" s="3" t="s">
        <v>13454</v>
      </c>
      <c r="F8956" s="3" t="s">
        <v>399</v>
      </c>
      <c r="I8956" s="3" t="s">
        <v>16572</v>
      </c>
    </row>
    <row r="8957" spans="4:9" hidden="1" x14ac:dyDescent="0.4">
      <c r="D8957" s="3" t="s">
        <v>13455</v>
      </c>
      <c r="F8957" s="3" t="s">
        <v>399</v>
      </c>
      <c r="I8957" s="3" t="s">
        <v>16572</v>
      </c>
    </row>
    <row r="8958" spans="4:9" hidden="1" x14ac:dyDescent="0.4">
      <c r="D8958" s="3" t="s">
        <v>13456</v>
      </c>
      <c r="F8958" s="3" t="s">
        <v>399</v>
      </c>
      <c r="I8958" s="3" t="s">
        <v>16572</v>
      </c>
    </row>
    <row r="8959" spans="4:9" hidden="1" x14ac:dyDescent="0.4">
      <c r="D8959" s="3" t="s">
        <v>13457</v>
      </c>
      <c r="F8959" s="3" t="s">
        <v>399</v>
      </c>
      <c r="I8959" s="3" t="s">
        <v>16572</v>
      </c>
    </row>
    <row r="8960" spans="4:9" hidden="1" x14ac:dyDescent="0.4">
      <c r="D8960" s="3" t="s">
        <v>13458</v>
      </c>
      <c r="F8960" s="3" t="s">
        <v>399</v>
      </c>
      <c r="I8960" s="3" t="s">
        <v>16572</v>
      </c>
    </row>
    <row r="8961" spans="2:9" hidden="1" x14ac:dyDescent="0.4">
      <c r="D8961" s="3" t="s">
        <v>13459</v>
      </c>
      <c r="F8961" s="3" t="s">
        <v>399</v>
      </c>
      <c r="I8961" s="3" t="s">
        <v>16572</v>
      </c>
    </row>
    <row r="8962" spans="2:9" hidden="1" x14ac:dyDescent="0.4">
      <c r="D8962" s="3" t="s">
        <v>13460</v>
      </c>
      <c r="F8962" s="3" t="s">
        <v>399</v>
      </c>
      <c r="I8962" s="3" t="s">
        <v>16572</v>
      </c>
    </row>
    <row r="8963" spans="2:9" hidden="1" x14ac:dyDescent="0.4">
      <c r="D8963" s="3" t="s">
        <v>13461</v>
      </c>
      <c r="F8963" s="3" t="s">
        <v>399</v>
      </c>
      <c r="I8963" s="3" t="s">
        <v>16572</v>
      </c>
    </row>
    <row r="8964" spans="2:9" hidden="1" x14ac:dyDescent="0.4">
      <c r="D8964" s="3" t="s">
        <v>13462</v>
      </c>
      <c r="F8964" s="3" t="s">
        <v>399</v>
      </c>
      <c r="I8964" s="3" t="s">
        <v>16572</v>
      </c>
    </row>
    <row r="8965" spans="2:9" hidden="1" x14ac:dyDescent="0.4">
      <c r="D8965" s="3" t="s">
        <v>13463</v>
      </c>
      <c r="F8965" s="3" t="s">
        <v>399</v>
      </c>
      <c r="I8965" s="3" t="s">
        <v>16572</v>
      </c>
    </row>
    <row r="8966" spans="2:9" hidden="1" x14ac:dyDescent="0.4">
      <c r="D8966" s="3" t="s">
        <v>13464</v>
      </c>
      <c r="F8966" s="3" t="s">
        <v>399</v>
      </c>
      <c r="I8966" s="3" t="s">
        <v>16572</v>
      </c>
    </row>
    <row r="8967" spans="2:9" hidden="1" x14ac:dyDescent="0.4">
      <c r="B8967" s="8" t="s">
        <v>529</v>
      </c>
      <c r="C8967" s="3" t="s">
        <v>442</v>
      </c>
      <c r="D8967" s="3" t="s">
        <v>13465</v>
      </c>
      <c r="F8967" s="3" t="s">
        <v>399</v>
      </c>
      <c r="I8967" s="3" t="s">
        <v>16572</v>
      </c>
    </row>
    <row r="8968" spans="2:9" hidden="1" x14ac:dyDescent="0.4">
      <c r="D8968" s="3" t="s">
        <v>13466</v>
      </c>
      <c r="F8968" s="3" t="s">
        <v>399</v>
      </c>
      <c r="I8968" s="3" t="s">
        <v>16572</v>
      </c>
    </row>
    <row r="8969" spans="2:9" hidden="1" x14ac:dyDescent="0.4">
      <c r="D8969" s="3" t="s">
        <v>13467</v>
      </c>
      <c r="F8969" s="3" t="s">
        <v>399</v>
      </c>
      <c r="I8969" s="3" t="s">
        <v>16572</v>
      </c>
    </row>
    <row r="8970" spans="2:9" hidden="1" x14ac:dyDescent="0.4">
      <c r="D8970" s="3" t="s">
        <v>13468</v>
      </c>
      <c r="F8970" s="3" t="s">
        <v>399</v>
      </c>
      <c r="I8970" s="3" t="s">
        <v>16572</v>
      </c>
    </row>
    <row r="8971" spans="2:9" hidden="1" x14ac:dyDescent="0.4">
      <c r="D8971" s="3" t="s">
        <v>14054</v>
      </c>
      <c r="F8971" s="3" t="s">
        <v>399</v>
      </c>
      <c r="I8971" s="3" t="s">
        <v>16572</v>
      </c>
    </row>
    <row r="8972" spans="2:9" hidden="1" x14ac:dyDescent="0.4">
      <c r="D8972" s="3" t="s">
        <v>14055</v>
      </c>
      <c r="F8972" s="3" t="s">
        <v>399</v>
      </c>
      <c r="I8972" s="3" t="s">
        <v>16572</v>
      </c>
    </row>
    <row r="8973" spans="2:9" hidden="1" x14ac:dyDescent="0.4">
      <c r="D8973" s="3" t="s">
        <v>14056</v>
      </c>
      <c r="F8973" s="3" t="s">
        <v>399</v>
      </c>
      <c r="I8973" s="3" t="s">
        <v>16572</v>
      </c>
    </row>
    <row r="8974" spans="2:9" hidden="1" x14ac:dyDescent="0.4">
      <c r="D8974" s="3" t="s">
        <v>14057</v>
      </c>
      <c r="F8974" s="3" t="s">
        <v>399</v>
      </c>
      <c r="I8974" s="3" t="s">
        <v>16572</v>
      </c>
    </row>
    <row r="8975" spans="2:9" hidden="1" x14ac:dyDescent="0.4">
      <c r="D8975" s="3" t="s">
        <v>14058</v>
      </c>
      <c r="F8975" s="3" t="s">
        <v>399</v>
      </c>
      <c r="I8975" s="3" t="s">
        <v>16572</v>
      </c>
    </row>
    <row r="8976" spans="2:9" hidden="1" x14ac:dyDescent="0.4">
      <c r="D8976" s="3" t="s">
        <v>14059</v>
      </c>
      <c r="F8976" s="3" t="s">
        <v>399</v>
      </c>
      <c r="I8976" s="3" t="s">
        <v>16572</v>
      </c>
    </row>
    <row r="8977" spans="4:9" hidden="1" x14ac:dyDescent="0.4">
      <c r="D8977" s="3" t="s">
        <v>14060</v>
      </c>
      <c r="F8977" s="3" t="s">
        <v>399</v>
      </c>
      <c r="I8977" s="3" t="s">
        <v>16572</v>
      </c>
    </row>
    <row r="8978" spans="4:9" hidden="1" x14ac:dyDescent="0.4">
      <c r="D8978" s="3" t="s">
        <v>14061</v>
      </c>
      <c r="F8978" s="3" t="s">
        <v>399</v>
      </c>
      <c r="I8978" s="3" t="s">
        <v>16572</v>
      </c>
    </row>
    <row r="8979" spans="4:9" hidden="1" x14ac:dyDescent="0.4">
      <c r="D8979" s="3" t="s">
        <v>14062</v>
      </c>
      <c r="F8979" s="3" t="s">
        <v>399</v>
      </c>
      <c r="I8979" s="3" t="s">
        <v>16572</v>
      </c>
    </row>
    <row r="8980" spans="4:9" hidden="1" x14ac:dyDescent="0.4">
      <c r="D8980" s="3" t="s">
        <v>14063</v>
      </c>
      <c r="F8980" s="3" t="s">
        <v>399</v>
      </c>
      <c r="I8980" s="3" t="s">
        <v>16572</v>
      </c>
    </row>
    <row r="8981" spans="4:9" hidden="1" x14ac:dyDescent="0.4">
      <c r="D8981" s="3" t="s">
        <v>14064</v>
      </c>
      <c r="F8981" s="3" t="s">
        <v>399</v>
      </c>
      <c r="I8981" s="3" t="s">
        <v>16572</v>
      </c>
    </row>
    <row r="8982" spans="4:9" hidden="1" x14ac:dyDescent="0.4">
      <c r="D8982" s="3" t="s">
        <v>14065</v>
      </c>
      <c r="F8982" s="3" t="s">
        <v>399</v>
      </c>
      <c r="I8982" s="3" t="s">
        <v>16572</v>
      </c>
    </row>
    <row r="8983" spans="4:9" hidden="1" x14ac:dyDescent="0.4">
      <c r="D8983" s="3" t="s">
        <v>14066</v>
      </c>
      <c r="F8983" s="3" t="s">
        <v>399</v>
      </c>
      <c r="I8983" s="3" t="s">
        <v>16572</v>
      </c>
    </row>
    <row r="8984" spans="4:9" hidden="1" x14ac:dyDescent="0.4">
      <c r="D8984" s="3" t="s">
        <v>14067</v>
      </c>
      <c r="F8984" s="3" t="s">
        <v>399</v>
      </c>
      <c r="I8984" s="3" t="s">
        <v>16572</v>
      </c>
    </row>
    <row r="8985" spans="4:9" hidden="1" x14ac:dyDescent="0.4">
      <c r="D8985" s="3" t="s">
        <v>14068</v>
      </c>
      <c r="F8985" s="3" t="s">
        <v>399</v>
      </c>
      <c r="I8985" s="3" t="s">
        <v>16572</v>
      </c>
    </row>
    <row r="8986" spans="4:9" hidden="1" x14ac:dyDescent="0.4">
      <c r="D8986" s="3" t="s">
        <v>14069</v>
      </c>
      <c r="F8986" s="3" t="s">
        <v>399</v>
      </c>
      <c r="I8986" s="3" t="s">
        <v>16572</v>
      </c>
    </row>
    <row r="8987" spans="4:9" hidden="1" x14ac:dyDescent="0.4">
      <c r="D8987" s="3" t="s">
        <v>14070</v>
      </c>
      <c r="F8987" s="3" t="s">
        <v>399</v>
      </c>
      <c r="I8987" s="3" t="s">
        <v>16572</v>
      </c>
    </row>
    <row r="8988" spans="4:9" hidden="1" x14ac:dyDescent="0.4">
      <c r="D8988" s="3" t="s">
        <v>14071</v>
      </c>
      <c r="F8988" s="3" t="s">
        <v>399</v>
      </c>
      <c r="I8988" s="3" t="s">
        <v>16572</v>
      </c>
    </row>
    <row r="8989" spans="4:9" hidden="1" x14ac:dyDescent="0.4">
      <c r="D8989" s="3" t="s">
        <v>14072</v>
      </c>
      <c r="F8989" s="3" t="s">
        <v>399</v>
      </c>
      <c r="I8989" s="3" t="s">
        <v>16572</v>
      </c>
    </row>
    <row r="8990" spans="4:9" hidden="1" x14ac:dyDescent="0.4">
      <c r="D8990" s="3" t="s">
        <v>14073</v>
      </c>
      <c r="F8990" s="3" t="s">
        <v>399</v>
      </c>
      <c r="I8990" s="3" t="s">
        <v>16572</v>
      </c>
    </row>
    <row r="8991" spans="4:9" hidden="1" x14ac:dyDescent="0.4">
      <c r="D8991" s="3" t="s">
        <v>14074</v>
      </c>
      <c r="F8991" s="3" t="s">
        <v>399</v>
      </c>
      <c r="I8991" s="3" t="s">
        <v>16572</v>
      </c>
    </row>
    <row r="8992" spans="4:9" hidden="1" x14ac:dyDescent="0.4">
      <c r="D8992" s="3" t="s">
        <v>14075</v>
      </c>
      <c r="F8992" s="3" t="s">
        <v>399</v>
      </c>
      <c r="I8992" s="3" t="s">
        <v>16572</v>
      </c>
    </row>
    <row r="8993" spans="4:9" hidden="1" x14ac:dyDescent="0.4">
      <c r="D8993" s="3" t="s">
        <v>14076</v>
      </c>
      <c r="F8993" s="3" t="s">
        <v>399</v>
      </c>
      <c r="I8993" s="3" t="s">
        <v>16572</v>
      </c>
    </row>
    <row r="8994" spans="4:9" hidden="1" x14ac:dyDescent="0.4">
      <c r="D8994" s="3" t="s">
        <v>14077</v>
      </c>
      <c r="F8994" s="3" t="s">
        <v>399</v>
      </c>
      <c r="I8994" s="3" t="s">
        <v>16572</v>
      </c>
    </row>
    <row r="8995" spans="4:9" hidden="1" x14ac:dyDescent="0.4">
      <c r="D8995" s="3" t="s">
        <v>14078</v>
      </c>
      <c r="F8995" s="3" t="s">
        <v>399</v>
      </c>
      <c r="I8995" s="3" t="s">
        <v>16572</v>
      </c>
    </row>
    <row r="8996" spans="4:9" hidden="1" x14ac:dyDescent="0.4">
      <c r="D8996" s="3" t="s">
        <v>14079</v>
      </c>
      <c r="F8996" s="3" t="s">
        <v>399</v>
      </c>
      <c r="I8996" s="3" t="s">
        <v>16572</v>
      </c>
    </row>
    <row r="8997" spans="4:9" hidden="1" x14ac:dyDescent="0.4">
      <c r="D8997" s="3" t="s">
        <v>14080</v>
      </c>
      <c r="F8997" s="3" t="s">
        <v>399</v>
      </c>
      <c r="I8997" s="3" t="s">
        <v>16572</v>
      </c>
    </row>
    <row r="8998" spans="4:9" hidden="1" x14ac:dyDescent="0.4">
      <c r="D8998" s="3" t="s">
        <v>14081</v>
      </c>
      <c r="F8998" s="3" t="s">
        <v>399</v>
      </c>
      <c r="I8998" s="3" t="s">
        <v>16572</v>
      </c>
    </row>
    <row r="8999" spans="4:9" hidden="1" x14ac:dyDescent="0.4">
      <c r="D8999" s="3" t="s">
        <v>14082</v>
      </c>
      <c r="F8999" s="3" t="s">
        <v>399</v>
      </c>
      <c r="I8999" s="3" t="s">
        <v>16572</v>
      </c>
    </row>
    <row r="9000" spans="4:9" hidden="1" x14ac:dyDescent="0.4">
      <c r="D9000" s="3" t="s">
        <v>14083</v>
      </c>
      <c r="F9000" s="3" t="s">
        <v>399</v>
      </c>
      <c r="I9000" s="3" t="s">
        <v>16572</v>
      </c>
    </row>
    <row r="9001" spans="4:9" hidden="1" x14ac:dyDescent="0.4">
      <c r="D9001" s="3" t="s">
        <v>14084</v>
      </c>
      <c r="F9001" s="3" t="s">
        <v>399</v>
      </c>
      <c r="I9001" s="3" t="s">
        <v>16572</v>
      </c>
    </row>
    <row r="9002" spans="4:9" hidden="1" x14ac:dyDescent="0.4">
      <c r="D9002" s="3" t="s">
        <v>14085</v>
      </c>
      <c r="F9002" s="3" t="s">
        <v>399</v>
      </c>
      <c r="I9002" s="3" t="s">
        <v>16572</v>
      </c>
    </row>
    <row r="9003" spans="4:9" hidden="1" x14ac:dyDescent="0.4">
      <c r="D9003" s="3" t="s">
        <v>14086</v>
      </c>
      <c r="F9003" s="3" t="s">
        <v>399</v>
      </c>
      <c r="I9003" s="3" t="s">
        <v>16572</v>
      </c>
    </row>
    <row r="9004" spans="4:9" hidden="1" x14ac:dyDescent="0.4">
      <c r="D9004" s="3" t="s">
        <v>14087</v>
      </c>
      <c r="F9004" s="3" t="s">
        <v>399</v>
      </c>
      <c r="I9004" s="3" t="s">
        <v>16572</v>
      </c>
    </row>
    <row r="9005" spans="4:9" hidden="1" x14ac:dyDescent="0.4">
      <c r="D9005" s="3" t="s">
        <v>14088</v>
      </c>
      <c r="F9005" s="3" t="s">
        <v>399</v>
      </c>
      <c r="I9005" s="3" t="s">
        <v>16572</v>
      </c>
    </row>
    <row r="9006" spans="4:9" hidden="1" x14ac:dyDescent="0.4">
      <c r="D9006" s="3" t="s">
        <v>14089</v>
      </c>
      <c r="F9006" s="3" t="s">
        <v>399</v>
      </c>
      <c r="I9006" s="3" t="s">
        <v>16572</v>
      </c>
    </row>
    <row r="9007" spans="4:9" hidden="1" x14ac:dyDescent="0.4">
      <c r="D9007" s="3" t="s">
        <v>14090</v>
      </c>
      <c r="F9007" s="3" t="s">
        <v>399</v>
      </c>
      <c r="I9007" s="3" t="s">
        <v>16572</v>
      </c>
    </row>
    <row r="9008" spans="4:9" hidden="1" x14ac:dyDescent="0.4">
      <c r="D9008" s="3" t="s">
        <v>14091</v>
      </c>
      <c r="F9008" s="3" t="s">
        <v>399</v>
      </c>
      <c r="I9008" s="3" t="s">
        <v>16572</v>
      </c>
    </row>
    <row r="9009" spans="4:9" hidden="1" x14ac:dyDescent="0.4">
      <c r="D9009" s="3" t="s">
        <v>14092</v>
      </c>
      <c r="F9009" s="3" t="s">
        <v>399</v>
      </c>
      <c r="I9009" s="3" t="s">
        <v>16572</v>
      </c>
    </row>
    <row r="9010" spans="4:9" hidden="1" x14ac:dyDescent="0.4">
      <c r="D9010" s="3" t="s">
        <v>14093</v>
      </c>
      <c r="F9010" s="3" t="s">
        <v>399</v>
      </c>
      <c r="I9010" s="3" t="s">
        <v>16572</v>
      </c>
    </row>
    <row r="9011" spans="4:9" hidden="1" x14ac:dyDescent="0.4">
      <c r="D9011" s="3" t="s">
        <v>14094</v>
      </c>
      <c r="F9011" s="3" t="s">
        <v>399</v>
      </c>
      <c r="I9011" s="3" t="s">
        <v>16572</v>
      </c>
    </row>
    <row r="9012" spans="4:9" hidden="1" x14ac:dyDescent="0.4">
      <c r="D9012" s="3" t="s">
        <v>14095</v>
      </c>
      <c r="F9012" s="3" t="s">
        <v>399</v>
      </c>
      <c r="I9012" s="3" t="s">
        <v>16572</v>
      </c>
    </row>
    <row r="9013" spans="4:9" hidden="1" x14ac:dyDescent="0.4">
      <c r="D9013" s="3" t="s">
        <v>14096</v>
      </c>
      <c r="F9013" s="3" t="s">
        <v>399</v>
      </c>
      <c r="I9013" s="3" t="s">
        <v>16572</v>
      </c>
    </row>
    <row r="9014" spans="4:9" hidden="1" x14ac:dyDescent="0.4">
      <c r="D9014" s="3" t="s">
        <v>14097</v>
      </c>
      <c r="F9014" s="3" t="s">
        <v>399</v>
      </c>
      <c r="I9014" s="3" t="s">
        <v>16572</v>
      </c>
    </row>
    <row r="9015" spans="4:9" hidden="1" x14ac:dyDescent="0.4">
      <c r="D9015" s="3" t="s">
        <v>14098</v>
      </c>
      <c r="F9015" s="3" t="s">
        <v>399</v>
      </c>
      <c r="I9015" s="3" t="s">
        <v>16572</v>
      </c>
    </row>
    <row r="9016" spans="4:9" hidden="1" x14ac:dyDescent="0.4">
      <c r="D9016" s="3" t="s">
        <v>14099</v>
      </c>
      <c r="F9016" s="3" t="s">
        <v>399</v>
      </c>
      <c r="I9016" s="3" t="s">
        <v>16572</v>
      </c>
    </row>
    <row r="9017" spans="4:9" hidden="1" x14ac:dyDescent="0.4">
      <c r="D9017" s="3" t="s">
        <v>14100</v>
      </c>
      <c r="F9017" s="3" t="s">
        <v>399</v>
      </c>
      <c r="I9017" s="3" t="s">
        <v>16572</v>
      </c>
    </row>
    <row r="9018" spans="4:9" hidden="1" x14ac:dyDescent="0.4">
      <c r="D9018" s="3" t="s">
        <v>14101</v>
      </c>
      <c r="F9018" s="3" t="s">
        <v>399</v>
      </c>
      <c r="I9018" s="3" t="s">
        <v>16572</v>
      </c>
    </row>
    <row r="9019" spans="4:9" hidden="1" x14ac:dyDescent="0.4">
      <c r="D9019" s="3" t="s">
        <v>14102</v>
      </c>
      <c r="F9019" s="3" t="s">
        <v>399</v>
      </c>
      <c r="I9019" s="3" t="s">
        <v>16572</v>
      </c>
    </row>
    <row r="9020" spans="4:9" hidden="1" x14ac:dyDescent="0.4">
      <c r="D9020" s="3" t="s">
        <v>14103</v>
      </c>
      <c r="F9020" s="3" t="s">
        <v>399</v>
      </c>
      <c r="I9020" s="3" t="s">
        <v>16572</v>
      </c>
    </row>
    <row r="9021" spans="4:9" hidden="1" x14ac:dyDescent="0.4">
      <c r="D9021" s="3" t="s">
        <v>14104</v>
      </c>
      <c r="F9021" s="3" t="s">
        <v>399</v>
      </c>
      <c r="I9021" s="3" t="s">
        <v>16572</v>
      </c>
    </row>
    <row r="9022" spans="4:9" hidden="1" x14ac:dyDescent="0.4">
      <c r="D9022" s="3" t="s">
        <v>14105</v>
      </c>
      <c r="F9022" s="3" t="s">
        <v>399</v>
      </c>
      <c r="I9022" s="3" t="s">
        <v>16572</v>
      </c>
    </row>
    <row r="9023" spans="4:9" hidden="1" x14ac:dyDescent="0.4">
      <c r="D9023" s="3" t="s">
        <v>14106</v>
      </c>
      <c r="F9023" s="3" t="s">
        <v>399</v>
      </c>
      <c r="I9023" s="3" t="s">
        <v>16572</v>
      </c>
    </row>
    <row r="9024" spans="4:9" hidden="1" x14ac:dyDescent="0.4">
      <c r="D9024" s="3" t="s">
        <v>14107</v>
      </c>
      <c r="F9024" s="3" t="s">
        <v>399</v>
      </c>
      <c r="I9024" s="3" t="s">
        <v>16572</v>
      </c>
    </row>
    <row r="9025" spans="4:9" hidden="1" x14ac:dyDescent="0.4">
      <c r="D9025" s="3" t="s">
        <v>14108</v>
      </c>
      <c r="F9025" s="3" t="s">
        <v>399</v>
      </c>
      <c r="I9025" s="3" t="s">
        <v>16572</v>
      </c>
    </row>
    <row r="9026" spans="4:9" hidden="1" x14ac:dyDescent="0.4">
      <c r="D9026" s="3" t="s">
        <v>14109</v>
      </c>
      <c r="F9026" s="3" t="s">
        <v>399</v>
      </c>
      <c r="I9026" s="3" t="s">
        <v>16572</v>
      </c>
    </row>
    <row r="9027" spans="4:9" hidden="1" x14ac:dyDescent="0.4">
      <c r="D9027" s="3" t="s">
        <v>14110</v>
      </c>
      <c r="F9027" s="3" t="s">
        <v>399</v>
      </c>
      <c r="I9027" s="3" t="s">
        <v>16572</v>
      </c>
    </row>
    <row r="9028" spans="4:9" hidden="1" x14ac:dyDescent="0.4">
      <c r="D9028" s="3" t="s">
        <v>14111</v>
      </c>
      <c r="F9028" s="3" t="s">
        <v>399</v>
      </c>
      <c r="I9028" s="3" t="s">
        <v>16572</v>
      </c>
    </row>
    <row r="9029" spans="4:9" hidden="1" x14ac:dyDescent="0.4">
      <c r="D9029" s="3" t="s">
        <v>14112</v>
      </c>
      <c r="F9029" s="3" t="s">
        <v>399</v>
      </c>
      <c r="I9029" s="3" t="s">
        <v>16572</v>
      </c>
    </row>
    <row r="9030" spans="4:9" hidden="1" x14ac:dyDescent="0.4">
      <c r="D9030" s="3" t="s">
        <v>14113</v>
      </c>
      <c r="F9030" s="3" t="s">
        <v>399</v>
      </c>
      <c r="I9030" s="3" t="s">
        <v>16572</v>
      </c>
    </row>
    <row r="9031" spans="4:9" hidden="1" x14ac:dyDescent="0.4">
      <c r="D9031" s="3" t="s">
        <v>14114</v>
      </c>
      <c r="F9031" s="3" t="s">
        <v>399</v>
      </c>
      <c r="I9031" s="3" t="s">
        <v>16572</v>
      </c>
    </row>
    <row r="9032" spans="4:9" hidden="1" x14ac:dyDescent="0.4">
      <c r="D9032" s="3" t="s">
        <v>14115</v>
      </c>
      <c r="F9032" s="3" t="s">
        <v>399</v>
      </c>
      <c r="I9032" s="3" t="s">
        <v>16572</v>
      </c>
    </row>
    <row r="9033" spans="4:9" hidden="1" x14ac:dyDescent="0.4">
      <c r="D9033" s="3" t="s">
        <v>14116</v>
      </c>
      <c r="F9033" s="3" t="s">
        <v>399</v>
      </c>
      <c r="I9033" s="3" t="s">
        <v>16572</v>
      </c>
    </row>
    <row r="9034" spans="4:9" hidden="1" x14ac:dyDescent="0.4">
      <c r="D9034" s="3" t="s">
        <v>14117</v>
      </c>
      <c r="F9034" s="3" t="s">
        <v>399</v>
      </c>
      <c r="I9034" s="3" t="s">
        <v>16572</v>
      </c>
    </row>
    <row r="9035" spans="4:9" hidden="1" x14ac:dyDescent="0.4">
      <c r="D9035" s="3" t="s">
        <v>14118</v>
      </c>
      <c r="F9035" s="3" t="s">
        <v>399</v>
      </c>
      <c r="I9035" s="3" t="s">
        <v>16572</v>
      </c>
    </row>
    <row r="9036" spans="4:9" hidden="1" x14ac:dyDescent="0.4">
      <c r="D9036" s="3" t="s">
        <v>14119</v>
      </c>
      <c r="F9036" s="3" t="s">
        <v>399</v>
      </c>
      <c r="I9036" s="3" t="s">
        <v>16572</v>
      </c>
    </row>
    <row r="9037" spans="4:9" hidden="1" x14ac:dyDescent="0.4">
      <c r="D9037" s="3" t="s">
        <v>14120</v>
      </c>
      <c r="F9037" s="3" t="s">
        <v>399</v>
      </c>
      <c r="I9037" s="3" t="s">
        <v>16572</v>
      </c>
    </row>
    <row r="9038" spans="4:9" hidden="1" x14ac:dyDescent="0.4">
      <c r="D9038" s="3" t="s">
        <v>14121</v>
      </c>
      <c r="F9038" s="3" t="s">
        <v>399</v>
      </c>
      <c r="I9038" s="3" t="s">
        <v>16572</v>
      </c>
    </row>
    <row r="9039" spans="4:9" hidden="1" x14ac:dyDescent="0.4">
      <c r="D9039" s="3" t="s">
        <v>14122</v>
      </c>
      <c r="F9039" s="3" t="s">
        <v>399</v>
      </c>
      <c r="I9039" s="3" t="s">
        <v>16572</v>
      </c>
    </row>
    <row r="9040" spans="4:9" hidden="1" x14ac:dyDescent="0.4">
      <c r="D9040" s="3" t="s">
        <v>14123</v>
      </c>
      <c r="F9040" s="3" t="s">
        <v>399</v>
      </c>
      <c r="I9040" s="3" t="s">
        <v>16572</v>
      </c>
    </row>
    <row r="9041" spans="4:9" hidden="1" x14ac:dyDescent="0.4">
      <c r="D9041" s="3" t="s">
        <v>14124</v>
      </c>
      <c r="F9041" s="3" t="s">
        <v>399</v>
      </c>
      <c r="I9041" s="3" t="s">
        <v>16572</v>
      </c>
    </row>
    <row r="9042" spans="4:9" hidden="1" x14ac:dyDescent="0.4">
      <c r="D9042" s="3" t="s">
        <v>14125</v>
      </c>
      <c r="F9042" s="3" t="s">
        <v>399</v>
      </c>
      <c r="I9042" s="3" t="s">
        <v>16572</v>
      </c>
    </row>
    <row r="9043" spans="4:9" hidden="1" x14ac:dyDescent="0.4">
      <c r="D9043" s="3" t="s">
        <v>14126</v>
      </c>
      <c r="F9043" s="3" t="s">
        <v>399</v>
      </c>
      <c r="I9043" s="3" t="s">
        <v>16572</v>
      </c>
    </row>
    <row r="9044" spans="4:9" hidden="1" x14ac:dyDescent="0.4">
      <c r="D9044" s="3" t="s">
        <v>14127</v>
      </c>
      <c r="F9044" s="3" t="s">
        <v>399</v>
      </c>
      <c r="I9044" s="3" t="s">
        <v>16572</v>
      </c>
    </row>
    <row r="9045" spans="4:9" hidden="1" x14ac:dyDescent="0.4">
      <c r="D9045" s="3" t="s">
        <v>14128</v>
      </c>
      <c r="F9045" s="3" t="s">
        <v>399</v>
      </c>
      <c r="I9045" s="3" t="s">
        <v>16572</v>
      </c>
    </row>
    <row r="9046" spans="4:9" hidden="1" x14ac:dyDescent="0.4">
      <c r="D9046" s="3" t="s">
        <v>14129</v>
      </c>
      <c r="F9046" s="3" t="s">
        <v>399</v>
      </c>
      <c r="I9046" s="3" t="s">
        <v>16572</v>
      </c>
    </row>
    <row r="9047" spans="4:9" hidden="1" x14ac:dyDescent="0.4">
      <c r="D9047" s="3" t="s">
        <v>14130</v>
      </c>
      <c r="F9047" s="3" t="s">
        <v>399</v>
      </c>
      <c r="I9047" s="3" t="s">
        <v>16572</v>
      </c>
    </row>
    <row r="9048" spans="4:9" hidden="1" x14ac:dyDescent="0.4">
      <c r="D9048" s="3" t="s">
        <v>14131</v>
      </c>
      <c r="F9048" s="3" t="s">
        <v>399</v>
      </c>
      <c r="I9048" s="3" t="s">
        <v>16572</v>
      </c>
    </row>
    <row r="9049" spans="4:9" hidden="1" x14ac:dyDescent="0.4">
      <c r="D9049" s="3" t="s">
        <v>14132</v>
      </c>
      <c r="F9049" s="3" t="s">
        <v>399</v>
      </c>
      <c r="I9049" s="3" t="s">
        <v>16572</v>
      </c>
    </row>
    <row r="9050" spans="4:9" hidden="1" x14ac:dyDescent="0.4">
      <c r="D9050" s="3" t="s">
        <v>13462</v>
      </c>
      <c r="F9050" s="3" t="s">
        <v>399</v>
      </c>
      <c r="I9050" s="3" t="s">
        <v>16572</v>
      </c>
    </row>
    <row r="9051" spans="4:9" hidden="1" x14ac:dyDescent="0.4">
      <c r="D9051" s="3" t="s">
        <v>14133</v>
      </c>
      <c r="F9051" s="3" t="s">
        <v>399</v>
      </c>
      <c r="I9051" s="3" t="s">
        <v>16572</v>
      </c>
    </row>
    <row r="9052" spans="4:9" hidden="1" x14ac:dyDescent="0.4">
      <c r="D9052" s="3" t="s">
        <v>14134</v>
      </c>
      <c r="F9052" s="3" t="s">
        <v>399</v>
      </c>
      <c r="I9052" s="3" t="s">
        <v>16572</v>
      </c>
    </row>
    <row r="9053" spans="4:9" hidden="1" x14ac:dyDescent="0.4">
      <c r="D9053" s="3" t="s">
        <v>14135</v>
      </c>
      <c r="F9053" s="3" t="s">
        <v>399</v>
      </c>
      <c r="I9053" s="3" t="s">
        <v>16572</v>
      </c>
    </row>
    <row r="9054" spans="4:9" hidden="1" x14ac:dyDescent="0.4">
      <c r="D9054" s="3" t="s">
        <v>14136</v>
      </c>
      <c r="F9054" s="3" t="s">
        <v>399</v>
      </c>
      <c r="I9054" s="3" t="s">
        <v>16572</v>
      </c>
    </row>
    <row r="9055" spans="4:9" hidden="1" x14ac:dyDescent="0.4">
      <c r="D9055" s="3" t="s">
        <v>13469</v>
      </c>
      <c r="F9055" s="3" t="s">
        <v>399</v>
      </c>
      <c r="I9055" s="3" t="s">
        <v>16572</v>
      </c>
    </row>
    <row r="9056" spans="4:9" hidden="1" x14ac:dyDescent="0.4">
      <c r="D9056" s="3" t="s">
        <v>13470</v>
      </c>
      <c r="F9056" s="3" t="s">
        <v>399</v>
      </c>
      <c r="I9056" s="3" t="s">
        <v>16572</v>
      </c>
    </row>
    <row r="9057" spans="2:9" hidden="1" x14ac:dyDescent="0.4">
      <c r="D9057" s="3" t="s">
        <v>13471</v>
      </c>
      <c r="F9057" s="3" t="s">
        <v>399</v>
      </c>
      <c r="I9057" s="3" t="s">
        <v>16572</v>
      </c>
    </row>
    <row r="9058" spans="2:9" hidden="1" x14ac:dyDescent="0.4">
      <c r="D9058" s="3" t="s">
        <v>13472</v>
      </c>
      <c r="F9058" s="3" t="s">
        <v>399</v>
      </c>
      <c r="I9058" s="3" t="s">
        <v>16572</v>
      </c>
    </row>
    <row r="9059" spans="2:9" hidden="1" x14ac:dyDescent="0.4">
      <c r="D9059" s="3" t="s">
        <v>13473</v>
      </c>
      <c r="F9059" s="3" t="s">
        <v>399</v>
      </c>
      <c r="I9059" s="3" t="s">
        <v>16572</v>
      </c>
    </row>
    <row r="9060" spans="2:9" hidden="1" x14ac:dyDescent="0.4">
      <c r="D9060" s="3" t="s">
        <v>13474</v>
      </c>
      <c r="F9060" s="3" t="s">
        <v>399</v>
      </c>
      <c r="I9060" s="3" t="s">
        <v>16572</v>
      </c>
    </row>
    <row r="9061" spans="2:9" hidden="1" x14ac:dyDescent="0.4">
      <c r="D9061" s="3" t="s">
        <v>13475</v>
      </c>
      <c r="F9061" s="3" t="s">
        <v>399</v>
      </c>
      <c r="I9061" s="3" t="s">
        <v>16572</v>
      </c>
    </row>
    <row r="9062" spans="2:9" hidden="1" x14ac:dyDescent="0.4">
      <c r="D9062" s="3" t="s">
        <v>13476</v>
      </c>
      <c r="F9062" s="3" t="s">
        <v>399</v>
      </c>
      <c r="I9062" s="3" t="s">
        <v>16572</v>
      </c>
    </row>
    <row r="9063" spans="2:9" hidden="1" x14ac:dyDescent="0.4">
      <c r="D9063" s="3" t="s">
        <v>13477</v>
      </c>
      <c r="F9063" s="3" t="s">
        <v>399</v>
      </c>
      <c r="I9063" s="3" t="s">
        <v>16572</v>
      </c>
    </row>
    <row r="9064" spans="2:9" hidden="1" x14ac:dyDescent="0.4">
      <c r="D9064" s="3" t="s">
        <v>13478</v>
      </c>
      <c r="F9064" s="3" t="s">
        <v>399</v>
      </c>
      <c r="I9064" s="3" t="s">
        <v>16572</v>
      </c>
    </row>
    <row r="9065" spans="2:9" hidden="1" x14ac:dyDescent="0.4">
      <c r="D9065" s="3" t="s">
        <v>13479</v>
      </c>
      <c r="F9065" s="3" t="s">
        <v>399</v>
      </c>
      <c r="I9065" s="3" t="s">
        <v>16572</v>
      </c>
    </row>
    <row r="9066" spans="2:9" hidden="1" x14ac:dyDescent="0.4">
      <c r="D9066" s="3" t="s">
        <v>13480</v>
      </c>
      <c r="F9066" s="3" t="s">
        <v>399</v>
      </c>
      <c r="I9066" s="3" t="s">
        <v>16572</v>
      </c>
    </row>
    <row r="9067" spans="2:9" hidden="1" x14ac:dyDescent="0.4">
      <c r="D9067" s="3" t="s">
        <v>13481</v>
      </c>
      <c r="F9067" s="3" t="s">
        <v>399</v>
      </c>
      <c r="I9067" s="3" t="s">
        <v>16572</v>
      </c>
    </row>
    <row r="9068" spans="2:9" hidden="1" x14ac:dyDescent="0.4">
      <c r="D9068" s="3" t="s">
        <v>13482</v>
      </c>
      <c r="F9068" s="3" t="s">
        <v>399</v>
      </c>
      <c r="I9068" s="3" t="s">
        <v>16572</v>
      </c>
    </row>
    <row r="9069" spans="2:9" hidden="1" x14ac:dyDescent="0.4">
      <c r="D9069" s="3" t="s">
        <v>13483</v>
      </c>
      <c r="F9069" s="3" t="s">
        <v>399</v>
      </c>
      <c r="I9069" s="3" t="s">
        <v>16572</v>
      </c>
    </row>
    <row r="9070" spans="2:9" hidden="1" x14ac:dyDescent="0.4">
      <c r="B9070" s="8" t="s">
        <v>517</v>
      </c>
      <c r="C9070" s="3" t="s">
        <v>13620</v>
      </c>
      <c r="D9070" s="3" t="s">
        <v>13484</v>
      </c>
      <c r="F9070" s="3" t="s">
        <v>399</v>
      </c>
      <c r="I9070" s="3" t="s">
        <v>16572</v>
      </c>
    </row>
    <row r="9071" spans="2:9" hidden="1" x14ac:dyDescent="0.4">
      <c r="D9071" s="3" t="s">
        <v>13485</v>
      </c>
      <c r="F9071" s="3" t="s">
        <v>399</v>
      </c>
      <c r="I9071" s="3" t="s">
        <v>16572</v>
      </c>
    </row>
    <row r="9072" spans="2:9" hidden="1" x14ac:dyDescent="0.4">
      <c r="B9072" s="8" t="s">
        <v>517</v>
      </c>
      <c r="C9072" s="3" t="s">
        <v>13621</v>
      </c>
      <c r="D9072" s="3" t="s">
        <v>13486</v>
      </c>
      <c r="F9072" s="3" t="s">
        <v>399</v>
      </c>
      <c r="I9072" s="3" t="s">
        <v>16572</v>
      </c>
    </row>
    <row r="9073" spans="2:9" hidden="1" x14ac:dyDescent="0.4">
      <c r="B9073" s="8" t="s">
        <v>517</v>
      </c>
      <c r="C9073" s="3" t="s">
        <v>13622</v>
      </c>
      <c r="D9073" s="3" t="s">
        <v>13487</v>
      </c>
      <c r="F9073" s="3" t="s">
        <v>399</v>
      </c>
      <c r="I9073" s="3" t="s">
        <v>16572</v>
      </c>
    </row>
    <row r="9074" spans="2:9" hidden="1" x14ac:dyDescent="0.4">
      <c r="B9074" s="8" t="s">
        <v>517</v>
      </c>
      <c r="C9074" s="3" t="s">
        <v>13623</v>
      </c>
      <c r="D9074" s="3" t="s">
        <v>13488</v>
      </c>
      <c r="F9074" s="3" t="s">
        <v>399</v>
      </c>
      <c r="I9074" s="3" t="s">
        <v>16572</v>
      </c>
    </row>
    <row r="9075" spans="2:9" hidden="1" x14ac:dyDescent="0.4">
      <c r="B9075" s="8" t="s">
        <v>518</v>
      </c>
      <c r="C9075" s="3" t="s">
        <v>13624</v>
      </c>
      <c r="D9075" s="3" t="s">
        <v>13489</v>
      </c>
      <c r="F9075" s="3" t="s">
        <v>399</v>
      </c>
      <c r="I9075" s="3" t="s">
        <v>16572</v>
      </c>
    </row>
    <row r="9076" spans="2:9" hidden="1" x14ac:dyDescent="0.4">
      <c r="B9076" s="8" t="s">
        <v>532</v>
      </c>
      <c r="C9076" s="3" t="s">
        <v>13625</v>
      </c>
      <c r="D9076" s="3" t="s">
        <v>13490</v>
      </c>
      <c r="F9076" s="3" t="s">
        <v>399</v>
      </c>
      <c r="I9076" s="3" t="s">
        <v>16572</v>
      </c>
    </row>
    <row r="9077" spans="2:9" hidden="1" x14ac:dyDescent="0.4">
      <c r="D9077" s="3" t="s">
        <v>13491</v>
      </c>
      <c r="F9077" s="3" t="s">
        <v>399</v>
      </c>
      <c r="I9077" s="3" t="s">
        <v>16572</v>
      </c>
    </row>
    <row r="9078" spans="2:9" hidden="1" x14ac:dyDescent="0.4">
      <c r="D9078" s="3" t="s">
        <v>13492</v>
      </c>
      <c r="F9078" s="3" t="s">
        <v>399</v>
      </c>
      <c r="I9078" s="3" t="s">
        <v>16572</v>
      </c>
    </row>
    <row r="9079" spans="2:9" hidden="1" x14ac:dyDescent="0.4">
      <c r="D9079" s="3" t="s">
        <v>12973</v>
      </c>
      <c r="F9079" s="3" t="s">
        <v>399</v>
      </c>
      <c r="I9079" s="3" t="s">
        <v>16572</v>
      </c>
    </row>
    <row r="9080" spans="2:9" hidden="1" x14ac:dyDescent="0.4">
      <c r="D9080" s="3" t="s">
        <v>13493</v>
      </c>
      <c r="F9080" s="3" t="s">
        <v>399</v>
      </c>
      <c r="I9080" s="3" t="s">
        <v>16572</v>
      </c>
    </row>
    <row r="9081" spans="2:9" hidden="1" x14ac:dyDescent="0.4">
      <c r="D9081" s="3" t="s">
        <v>13494</v>
      </c>
      <c r="F9081" s="3" t="s">
        <v>399</v>
      </c>
      <c r="I9081" s="3" t="s">
        <v>16572</v>
      </c>
    </row>
    <row r="9082" spans="2:9" hidden="1" x14ac:dyDescent="0.4">
      <c r="D9082" s="3" t="s">
        <v>13495</v>
      </c>
      <c r="F9082" s="3" t="s">
        <v>399</v>
      </c>
      <c r="I9082" s="3" t="s">
        <v>16572</v>
      </c>
    </row>
    <row r="9083" spans="2:9" hidden="1" x14ac:dyDescent="0.4">
      <c r="D9083" s="3" t="s">
        <v>14137</v>
      </c>
      <c r="F9083" s="3" t="s">
        <v>399</v>
      </c>
      <c r="I9083" s="3" t="s">
        <v>16572</v>
      </c>
    </row>
    <row r="9084" spans="2:9" hidden="1" x14ac:dyDescent="0.4">
      <c r="D9084" s="3" t="s">
        <v>14138</v>
      </c>
      <c r="F9084" s="3" t="s">
        <v>399</v>
      </c>
      <c r="I9084" s="3" t="s">
        <v>16572</v>
      </c>
    </row>
    <row r="9085" spans="2:9" hidden="1" x14ac:dyDescent="0.4">
      <c r="D9085" s="3" t="s">
        <v>14139</v>
      </c>
      <c r="F9085" s="3" t="s">
        <v>399</v>
      </c>
      <c r="I9085" s="3" t="s">
        <v>16572</v>
      </c>
    </row>
    <row r="9086" spans="2:9" hidden="1" x14ac:dyDescent="0.4">
      <c r="D9086" s="3" t="s">
        <v>14140</v>
      </c>
      <c r="F9086" s="3" t="s">
        <v>399</v>
      </c>
      <c r="I9086" s="3" t="s">
        <v>16572</v>
      </c>
    </row>
    <row r="9087" spans="2:9" hidden="1" x14ac:dyDescent="0.4">
      <c r="D9087" s="3" t="s">
        <v>14141</v>
      </c>
      <c r="F9087" s="3" t="s">
        <v>399</v>
      </c>
      <c r="I9087" s="3" t="s">
        <v>16572</v>
      </c>
    </row>
    <row r="9088" spans="2:9" hidden="1" x14ac:dyDescent="0.4">
      <c r="D9088" s="3" t="s">
        <v>14142</v>
      </c>
      <c r="F9088" s="3" t="s">
        <v>399</v>
      </c>
      <c r="I9088" s="3" t="s">
        <v>16572</v>
      </c>
    </row>
    <row r="9089" spans="4:9" hidden="1" x14ac:dyDescent="0.4">
      <c r="D9089" s="3" t="s">
        <v>13090</v>
      </c>
      <c r="F9089" s="3" t="s">
        <v>399</v>
      </c>
      <c r="I9089" s="3" t="s">
        <v>16572</v>
      </c>
    </row>
    <row r="9090" spans="4:9" hidden="1" x14ac:dyDescent="0.4">
      <c r="D9090" s="3" t="s">
        <v>14143</v>
      </c>
      <c r="F9090" s="3" t="s">
        <v>399</v>
      </c>
      <c r="I9090" s="3" t="s">
        <v>16572</v>
      </c>
    </row>
    <row r="9091" spans="4:9" hidden="1" x14ac:dyDescent="0.4">
      <c r="D9091" s="3" t="s">
        <v>14144</v>
      </c>
      <c r="F9091" s="3" t="s">
        <v>399</v>
      </c>
      <c r="I9091" s="3" t="s">
        <v>16572</v>
      </c>
    </row>
    <row r="9092" spans="4:9" hidden="1" x14ac:dyDescent="0.4">
      <c r="D9092" s="3" t="s">
        <v>14145</v>
      </c>
      <c r="F9092" s="3" t="s">
        <v>399</v>
      </c>
      <c r="I9092" s="3" t="s">
        <v>16572</v>
      </c>
    </row>
    <row r="9093" spans="4:9" hidden="1" x14ac:dyDescent="0.4">
      <c r="D9093" s="3" t="s">
        <v>14146</v>
      </c>
      <c r="F9093" s="3" t="s">
        <v>399</v>
      </c>
      <c r="I9093" s="3" t="s">
        <v>16572</v>
      </c>
    </row>
    <row r="9094" spans="4:9" hidden="1" x14ac:dyDescent="0.4">
      <c r="D9094" s="3" t="s">
        <v>14147</v>
      </c>
      <c r="F9094" s="3" t="s">
        <v>399</v>
      </c>
      <c r="I9094" s="3" t="s">
        <v>16572</v>
      </c>
    </row>
    <row r="9095" spans="4:9" hidden="1" x14ac:dyDescent="0.4">
      <c r="D9095" s="3" t="s">
        <v>14148</v>
      </c>
      <c r="F9095" s="3" t="s">
        <v>399</v>
      </c>
      <c r="I9095" s="3" t="s">
        <v>16572</v>
      </c>
    </row>
    <row r="9096" spans="4:9" hidden="1" x14ac:dyDescent="0.4">
      <c r="D9096" s="3" t="s">
        <v>14149</v>
      </c>
      <c r="F9096" s="3" t="s">
        <v>399</v>
      </c>
      <c r="I9096" s="3" t="s">
        <v>16572</v>
      </c>
    </row>
    <row r="9097" spans="4:9" hidden="1" x14ac:dyDescent="0.4">
      <c r="D9097" s="3" t="s">
        <v>14150</v>
      </c>
      <c r="F9097" s="3" t="s">
        <v>399</v>
      </c>
      <c r="I9097" s="3" t="s">
        <v>16572</v>
      </c>
    </row>
    <row r="9098" spans="4:9" hidden="1" x14ac:dyDescent="0.4">
      <c r="D9098" s="3" t="s">
        <v>14151</v>
      </c>
      <c r="F9098" s="3" t="s">
        <v>399</v>
      </c>
      <c r="I9098" s="3" t="s">
        <v>16572</v>
      </c>
    </row>
    <row r="9099" spans="4:9" hidden="1" x14ac:dyDescent="0.4">
      <c r="D9099" s="3" t="s">
        <v>14152</v>
      </c>
      <c r="F9099" s="3" t="s">
        <v>399</v>
      </c>
      <c r="I9099" s="3" t="s">
        <v>16572</v>
      </c>
    </row>
    <row r="9100" spans="4:9" hidden="1" x14ac:dyDescent="0.4">
      <c r="D9100" s="3" t="s">
        <v>14153</v>
      </c>
      <c r="F9100" s="3" t="s">
        <v>399</v>
      </c>
      <c r="I9100" s="3" t="s">
        <v>16572</v>
      </c>
    </row>
    <row r="9101" spans="4:9" hidden="1" x14ac:dyDescent="0.4">
      <c r="D9101" s="3" t="s">
        <v>14154</v>
      </c>
      <c r="F9101" s="3" t="s">
        <v>399</v>
      </c>
      <c r="I9101" s="3" t="s">
        <v>16572</v>
      </c>
    </row>
    <row r="9102" spans="4:9" hidden="1" x14ac:dyDescent="0.4">
      <c r="D9102" s="3" t="s">
        <v>14155</v>
      </c>
      <c r="F9102" s="3" t="s">
        <v>399</v>
      </c>
      <c r="I9102" s="3" t="s">
        <v>16572</v>
      </c>
    </row>
    <row r="9103" spans="4:9" hidden="1" x14ac:dyDescent="0.4">
      <c r="D9103" s="3" t="s">
        <v>14156</v>
      </c>
      <c r="F9103" s="3" t="s">
        <v>399</v>
      </c>
      <c r="I9103" s="3" t="s">
        <v>16572</v>
      </c>
    </row>
    <row r="9104" spans="4:9" hidden="1" x14ac:dyDescent="0.4">
      <c r="D9104" s="3" t="s">
        <v>14157</v>
      </c>
      <c r="F9104" s="3" t="s">
        <v>399</v>
      </c>
      <c r="I9104" s="3" t="s">
        <v>16572</v>
      </c>
    </row>
    <row r="9105" spans="2:9" hidden="1" x14ac:dyDescent="0.4">
      <c r="D9105" s="3" t="s">
        <v>14158</v>
      </c>
      <c r="F9105" s="3" t="s">
        <v>399</v>
      </c>
      <c r="I9105" s="3" t="s">
        <v>16572</v>
      </c>
    </row>
    <row r="9106" spans="2:9" hidden="1" x14ac:dyDescent="0.4">
      <c r="D9106" s="3" t="s">
        <v>14159</v>
      </c>
      <c r="F9106" s="3" t="s">
        <v>399</v>
      </c>
      <c r="I9106" s="3" t="s">
        <v>16572</v>
      </c>
    </row>
    <row r="9107" spans="2:9" hidden="1" x14ac:dyDescent="0.4">
      <c r="D9107" s="3" t="s">
        <v>14160</v>
      </c>
      <c r="F9107" s="3" t="s">
        <v>399</v>
      </c>
      <c r="I9107" s="3" t="s">
        <v>16572</v>
      </c>
    </row>
    <row r="9108" spans="2:9" hidden="1" x14ac:dyDescent="0.4">
      <c r="D9108" s="3" t="s">
        <v>14161</v>
      </c>
      <c r="F9108" s="3" t="s">
        <v>399</v>
      </c>
      <c r="I9108" s="3" t="s">
        <v>16572</v>
      </c>
    </row>
    <row r="9109" spans="2:9" hidden="1" x14ac:dyDescent="0.4">
      <c r="D9109" s="3" t="s">
        <v>14162</v>
      </c>
      <c r="F9109" s="3" t="s">
        <v>399</v>
      </c>
      <c r="I9109" s="3" t="s">
        <v>16572</v>
      </c>
    </row>
    <row r="9110" spans="2:9" hidden="1" x14ac:dyDescent="0.4">
      <c r="D9110" s="3" t="s">
        <v>14163</v>
      </c>
      <c r="F9110" s="3" t="s">
        <v>399</v>
      </c>
      <c r="I9110" s="3" t="s">
        <v>16572</v>
      </c>
    </row>
    <row r="9111" spans="2:9" hidden="1" x14ac:dyDescent="0.4">
      <c r="B9111" s="8" t="s">
        <v>520</v>
      </c>
      <c r="C9111" s="3" t="s">
        <v>13626</v>
      </c>
      <c r="D9111" s="3" t="s">
        <v>13496</v>
      </c>
      <c r="F9111" s="3" t="s">
        <v>399</v>
      </c>
      <c r="I9111" s="3" t="s">
        <v>16572</v>
      </c>
    </row>
    <row r="9112" spans="2:9" hidden="1" x14ac:dyDescent="0.4">
      <c r="B9112" s="8" t="s">
        <v>517</v>
      </c>
      <c r="C9112" s="3" t="s">
        <v>13627</v>
      </c>
      <c r="D9112" s="3" t="s">
        <v>13497</v>
      </c>
      <c r="F9112" s="3" t="s">
        <v>399</v>
      </c>
      <c r="I9112" s="3" t="s">
        <v>16572</v>
      </c>
    </row>
    <row r="9113" spans="2:9" hidden="1" x14ac:dyDescent="0.4">
      <c r="B9113" s="8" t="s">
        <v>517</v>
      </c>
      <c r="C9113" s="3" t="s">
        <v>13628</v>
      </c>
      <c r="D9113" s="3" t="s">
        <v>13498</v>
      </c>
      <c r="F9113" s="3" t="s">
        <v>399</v>
      </c>
      <c r="I9113" s="3" t="s">
        <v>16572</v>
      </c>
    </row>
    <row r="9114" spans="2:9" hidden="1" x14ac:dyDescent="0.4">
      <c r="B9114" s="8" t="s">
        <v>532</v>
      </c>
      <c r="C9114" s="3" t="s">
        <v>13629</v>
      </c>
      <c r="D9114" s="3" t="s">
        <v>13499</v>
      </c>
      <c r="F9114" s="3" t="s">
        <v>399</v>
      </c>
      <c r="I9114" s="3" t="s">
        <v>16572</v>
      </c>
    </row>
    <row r="9115" spans="2:9" hidden="1" x14ac:dyDescent="0.4">
      <c r="B9115" s="8" t="s">
        <v>529</v>
      </c>
      <c r="C9115" s="3" t="s">
        <v>13630</v>
      </c>
      <c r="D9115" s="3" t="s">
        <v>13500</v>
      </c>
      <c r="F9115" s="3" t="s">
        <v>399</v>
      </c>
      <c r="I9115" s="3" t="s">
        <v>16572</v>
      </c>
    </row>
    <row r="9116" spans="2:9" hidden="1" x14ac:dyDescent="0.4">
      <c r="B9116" s="8" t="s">
        <v>529</v>
      </c>
      <c r="C9116" s="3" t="s">
        <v>13631</v>
      </c>
      <c r="D9116" s="3" t="s">
        <v>13501</v>
      </c>
      <c r="F9116" s="3" t="s">
        <v>399</v>
      </c>
      <c r="I9116" s="3" t="s">
        <v>16572</v>
      </c>
    </row>
    <row r="9117" spans="2:9" hidden="1" x14ac:dyDescent="0.4">
      <c r="B9117" s="8" t="s">
        <v>529</v>
      </c>
      <c r="C9117" s="3" t="s">
        <v>13632</v>
      </c>
      <c r="D9117" s="3" t="s">
        <v>13502</v>
      </c>
      <c r="F9117" s="3" t="s">
        <v>399</v>
      </c>
      <c r="I9117" s="3" t="s">
        <v>16572</v>
      </c>
    </row>
    <row r="9118" spans="2:9" hidden="1" x14ac:dyDescent="0.4">
      <c r="B9118" s="8" t="s">
        <v>529</v>
      </c>
      <c r="C9118" s="3" t="s">
        <v>13633</v>
      </c>
      <c r="D9118" s="3" t="s">
        <v>13503</v>
      </c>
      <c r="F9118" s="3" t="s">
        <v>399</v>
      </c>
      <c r="I9118" s="3" t="s">
        <v>16572</v>
      </c>
    </row>
    <row r="9119" spans="2:9" hidden="1" x14ac:dyDescent="0.4">
      <c r="B9119" s="8" t="s">
        <v>13651</v>
      </c>
      <c r="C9119" s="3" t="s">
        <v>13634</v>
      </c>
      <c r="D9119" s="3" t="s">
        <v>13503</v>
      </c>
      <c r="F9119" s="3" t="s">
        <v>399</v>
      </c>
      <c r="I9119" s="3" t="s">
        <v>16572</v>
      </c>
    </row>
    <row r="9120" spans="2:9" hidden="1" x14ac:dyDescent="0.4">
      <c r="B9120" s="8" t="s">
        <v>13652</v>
      </c>
      <c r="C9120" s="3" t="s">
        <v>13635</v>
      </c>
      <c r="D9120" s="3" t="s">
        <v>13503</v>
      </c>
      <c r="F9120" s="3" t="s">
        <v>399</v>
      </c>
      <c r="I9120" s="3" t="s">
        <v>16572</v>
      </c>
    </row>
    <row r="9121" spans="2:9" ht="29.25" hidden="1" x14ac:dyDescent="0.4">
      <c r="B9121" s="8" t="s">
        <v>13652</v>
      </c>
      <c r="C9121" s="3" t="s">
        <v>13636</v>
      </c>
      <c r="D9121" s="3" t="s">
        <v>13503</v>
      </c>
      <c r="F9121" s="3" t="s">
        <v>399</v>
      </c>
      <c r="I9121" s="3" t="s">
        <v>16572</v>
      </c>
    </row>
    <row r="9122" spans="2:9" hidden="1" x14ac:dyDescent="0.4">
      <c r="B9122" s="8" t="s">
        <v>532</v>
      </c>
      <c r="C9122" s="3" t="s">
        <v>13637</v>
      </c>
      <c r="D9122" s="3" t="s">
        <v>13504</v>
      </c>
      <c r="F9122" s="3" t="s">
        <v>399</v>
      </c>
      <c r="I9122" s="3" t="s">
        <v>16572</v>
      </c>
    </row>
    <row r="9123" spans="2:9" hidden="1" x14ac:dyDescent="0.4">
      <c r="B9123" s="8" t="s">
        <v>518</v>
      </c>
      <c r="C9123" s="3" t="s">
        <v>13638</v>
      </c>
      <c r="D9123" s="3" t="s">
        <v>13505</v>
      </c>
      <c r="F9123" s="3" t="s">
        <v>399</v>
      </c>
      <c r="I9123" s="3" t="s">
        <v>16572</v>
      </c>
    </row>
    <row r="9124" spans="2:9" hidden="1" x14ac:dyDescent="0.4">
      <c r="B9124" s="8" t="s">
        <v>518</v>
      </c>
      <c r="C9124" s="3" t="s">
        <v>13639</v>
      </c>
      <c r="D9124" s="3" t="s">
        <v>13506</v>
      </c>
      <c r="F9124" s="3" t="s">
        <v>399</v>
      </c>
      <c r="I9124" s="3" t="s">
        <v>16572</v>
      </c>
    </row>
    <row r="9125" spans="2:9" hidden="1" x14ac:dyDescent="0.4">
      <c r="B9125" s="8" t="s">
        <v>520</v>
      </c>
      <c r="C9125" s="3" t="s">
        <v>13640</v>
      </c>
      <c r="D9125" s="3" t="s">
        <v>13507</v>
      </c>
      <c r="F9125" s="3" t="s">
        <v>399</v>
      </c>
      <c r="I9125" s="3" t="s">
        <v>16572</v>
      </c>
    </row>
    <row r="9126" spans="2:9" hidden="1" x14ac:dyDescent="0.4">
      <c r="B9126" s="8" t="s">
        <v>532</v>
      </c>
      <c r="C9126" s="3" t="s">
        <v>13641</v>
      </c>
      <c r="D9126" s="3" t="s">
        <v>13508</v>
      </c>
      <c r="F9126" s="3" t="s">
        <v>399</v>
      </c>
      <c r="I9126" s="3" t="s">
        <v>16572</v>
      </c>
    </row>
    <row r="9127" spans="2:9" hidden="1" x14ac:dyDescent="0.4">
      <c r="B9127" s="8" t="s">
        <v>517</v>
      </c>
      <c r="C9127" s="3" t="s">
        <v>13642</v>
      </c>
      <c r="D9127" s="3" t="s">
        <v>13509</v>
      </c>
      <c r="F9127" s="3" t="s">
        <v>399</v>
      </c>
      <c r="I9127" s="3" t="s">
        <v>16572</v>
      </c>
    </row>
    <row r="9128" spans="2:9" hidden="1" x14ac:dyDescent="0.4">
      <c r="B9128" s="8" t="s">
        <v>518</v>
      </c>
      <c r="C9128" s="3" t="s">
        <v>13643</v>
      </c>
      <c r="D9128" s="3" t="s">
        <v>13510</v>
      </c>
      <c r="F9128" s="3" t="s">
        <v>399</v>
      </c>
      <c r="I9128" s="3" t="s">
        <v>16572</v>
      </c>
    </row>
    <row r="9129" spans="2:9" hidden="1" x14ac:dyDescent="0.4">
      <c r="B9129" s="8" t="s">
        <v>518</v>
      </c>
      <c r="C9129" s="3" t="s">
        <v>13644</v>
      </c>
      <c r="D9129" s="3" t="s">
        <v>13511</v>
      </c>
      <c r="F9129" s="3" t="s">
        <v>399</v>
      </c>
      <c r="I9129" s="3" t="s">
        <v>16572</v>
      </c>
    </row>
    <row r="9130" spans="2:9" hidden="1" x14ac:dyDescent="0.4">
      <c r="B9130" s="8" t="s">
        <v>517</v>
      </c>
      <c r="C9130" s="3" t="s">
        <v>13645</v>
      </c>
      <c r="D9130" s="3" t="s">
        <v>13512</v>
      </c>
      <c r="F9130" s="3" t="s">
        <v>399</v>
      </c>
      <c r="I9130" s="3" t="s">
        <v>16572</v>
      </c>
    </row>
    <row r="9131" spans="2:9" hidden="1" x14ac:dyDescent="0.4">
      <c r="B9131" s="8" t="s">
        <v>520</v>
      </c>
      <c r="C9131" s="3" t="s">
        <v>13646</v>
      </c>
      <c r="D9131" s="3" t="s">
        <v>13512</v>
      </c>
      <c r="F9131" s="3" t="s">
        <v>399</v>
      </c>
      <c r="I9131" s="3" t="s">
        <v>16572</v>
      </c>
    </row>
    <row r="9132" spans="2:9" hidden="1" x14ac:dyDescent="0.4">
      <c r="B9132" s="8" t="s">
        <v>530</v>
      </c>
      <c r="C9132" s="3" t="s">
        <v>13647</v>
      </c>
      <c r="D9132" s="3" t="s">
        <v>13512</v>
      </c>
      <c r="F9132" s="3" t="s">
        <v>399</v>
      </c>
      <c r="I9132" s="3" t="s">
        <v>16572</v>
      </c>
    </row>
    <row r="9133" spans="2:9" hidden="1" x14ac:dyDescent="0.4">
      <c r="B9133" s="8" t="s">
        <v>529</v>
      </c>
      <c r="C9133" s="3" t="s">
        <v>13648</v>
      </c>
      <c r="D9133" s="3" t="s">
        <v>13513</v>
      </c>
      <c r="F9133" s="3" t="s">
        <v>399</v>
      </c>
      <c r="I9133" s="3" t="s">
        <v>16572</v>
      </c>
    </row>
    <row r="9134" spans="2:9" hidden="1" x14ac:dyDescent="0.4">
      <c r="B9134" s="8" t="s">
        <v>517</v>
      </c>
      <c r="C9134" s="3" t="s">
        <v>13649</v>
      </c>
      <c r="D9134" s="3" t="s">
        <v>13513</v>
      </c>
      <c r="F9134" s="3" t="s">
        <v>399</v>
      </c>
      <c r="I9134" s="3" t="s">
        <v>16572</v>
      </c>
    </row>
    <row r="9135" spans="2:9" hidden="1" x14ac:dyDescent="0.4">
      <c r="B9135" s="8" t="s">
        <v>518</v>
      </c>
      <c r="C9135" s="3" t="s">
        <v>13650</v>
      </c>
      <c r="D9135" s="3" t="s">
        <v>13513</v>
      </c>
      <c r="F9135" s="3" t="s">
        <v>399</v>
      </c>
      <c r="I9135" s="3" t="s">
        <v>16572</v>
      </c>
    </row>
    <row r="9136" spans="2:9" hidden="1" x14ac:dyDescent="0.4">
      <c r="B9136" s="8" t="s">
        <v>529</v>
      </c>
      <c r="C9136" s="3" t="s">
        <v>13619</v>
      </c>
      <c r="D9136" s="3" t="s">
        <v>13514</v>
      </c>
      <c r="F9136" s="3" t="s">
        <v>399</v>
      </c>
      <c r="I9136" s="3" t="s">
        <v>16572</v>
      </c>
    </row>
    <row r="9137" spans="2:9" hidden="1" x14ac:dyDescent="0.4">
      <c r="B9137" s="8" t="s">
        <v>529</v>
      </c>
      <c r="C9137" s="3" t="s">
        <v>13618</v>
      </c>
      <c r="D9137" s="3" t="s">
        <v>13515</v>
      </c>
      <c r="F9137" s="3" t="s">
        <v>399</v>
      </c>
      <c r="I9137" s="3" t="s">
        <v>16572</v>
      </c>
    </row>
    <row r="9138" spans="2:9" hidden="1" x14ac:dyDescent="0.4">
      <c r="B9138" s="8" t="s">
        <v>518</v>
      </c>
      <c r="C9138" s="3" t="s">
        <v>13617</v>
      </c>
      <c r="D9138" s="3" t="s">
        <v>13516</v>
      </c>
      <c r="F9138" s="3" t="s">
        <v>399</v>
      </c>
      <c r="I9138" s="3" t="s">
        <v>16572</v>
      </c>
    </row>
    <row r="9139" spans="2:9" hidden="1" x14ac:dyDescent="0.4">
      <c r="B9139" s="8" t="s">
        <v>517</v>
      </c>
      <c r="C9139" s="3" t="s">
        <v>13616</v>
      </c>
      <c r="D9139" s="3" t="s">
        <v>13517</v>
      </c>
      <c r="F9139" s="3" t="s">
        <v>399</v>
      </c>
      <c r="I9139" s="3" t="s">
        <v>16572</v>
      </c>
    </row>
    <row r="9140" spans="2:9" hidden="1" x14ac:dyDescent="0.4">
      <c r="B9140" s="8" t="s">
        <v>517</v>
      </c>
      <c r="C9140" s="3" t="s">
        <v>13613</v>
      </c>
      <c r="D9140" s="3" t="s">
        <v>13518</v>
      </c>
      <c r="F9140" s="3" t="s">
        <v>399</v>
      </c>
      <c r="I9140" s="3" t="s">
        <v>16572</v>
      </c>
    </row>
    <row r="9141" spans="2:9" hidden="1" x14ac:dyDescent="0.4">
      <c r="B9141" s="8" t="s">
        <v>13615</v>
      </c>
      <c r="C9141" s="3" t="s">
        <v>13614</v>
      </c>
      <c r="D9141" s="3" t="s">
        <v>13518</v>
      </c>
      <c r="F9141" s="3" t="s">
        <v>399</v>
      </c>
      <c r="I9141" s="3" t="s">
        <v>16572</v>
      </c>
    </row>
    <row r="9142" spans="2:9" hidden="1" x14ac:dyDescent="0.4">
      <c r="B9142" s="8" t="s">
        <v>518</v>
      </c>
      <c r="C9142" s="3" t="s">
        <v>13612</v>
      </c>
      <c r="D9142" s="3" t="s">
        <v>13519</v>
      </c>
      <c r="F9142" s="3" t="s">
        <v>399</v>
      </c>
      <c r="I9142" s="3" t="s">
        <v>16572</v>
      </c>
    </row>
    <row r="9143" spans="2:9" hidden="1" x14ac:dyDescent="0.4">
      <c r="B9143" s="8" t="s">
        <v>529</v>
      </c>
      <c r="C9143" s="3" t="s">
        <v>13611</v>
      </c>
      <c r="D9143" s="3" t="s">
        <v>13520</v>
      </c>
      <c r="F9143" s="3" t="s">
        <v>399</v>
      </c>
      <c r="I9143" s="3" t="s">
        <v>16572</v>
      </c>
    </row>
    <row r="9144" spans="2:9" hidden="1" x14ac:dyDescent="0.4">
      <c r="B9144" s="8" t="s">
        <v>520</v>
      </c>
      <c r="C9144" s="3" t="s">
        <v>13610</v>
      </c>
      <c r="D9144" s="3" t="s">
        <v>13521</v>
      </c>
      <c r="F9144" s="3" t="s">
        <v>399</v>
      </c>
      <c r="I9144" s="3" t="s">
        <v>16572</v>
      </c>
    </row>
    <row r="9145" spans="2:9" hidden="1" x14ac:dyDescent="0.4">
      <c r="B9145" s="8" t="s">
        <v>529</v>
      </c>
      <c r="C9145" s="3" t="s">
        <v>13609</v>
      </c>
      <c r="D9145" s="3" t="s">
        <v>13522</v>
      </c>
      <c r="F9145" s="3" t="s">
        <v>399</v>
      </c>
      <c r="I9145" s="3" t="s">
        <v>16572</v>
      </c>
    </row>
    <row r="9146" spans="2:9" hidden="1" x14ac:dyDescent="0.4">
      <c r="B9146" s="8" t="s">
        <v>517</v>
      </c>
      <c r="C9146" s="3" t="s">
        <v>13606</v>
      </c>
      <c r="D9146" s="3" t="s">
        <v>13523</v>
      </c>
      <c r="F9146" s="3" t="s">
        <v>399</v>
      </c>
      <c r="I9146" s="3" t="s">
        <v>16572</v>
      </c>
    </row>
    <row r="9147" spans="2:9" hidden="1" x14ac:dyDescent="0.4">
      <c r="B9147" s="8" t="s">
        <v>516</v>
      </c>
      <c r="C9147" s="3" t="s">
        <v>13607</v>
      </c>
      <c r="D9147" s="3" t="s">
        <v>13523</v>
      </c>
      <c r="F9147" s="3" t="s">
        <v>399</v>
      </c>
      <c r="I9147" s="3" t="s">
        <v>16572</v>
      </c>
    </row>
    <row r="9148" spans="2:9" hidden="1" x14ac:dyDescent="0.4">
      <c r="B9148" s="8" t="s">
        <v>517</v>
      </c>
      <c r="C9148" s="3" t="s">
        <v>13608</v>
      </c>
      <c r="D9148" s="3" t="s">
        <v>13523</v>
      </c>
      <c r="F9148" s="3" t="s">
        <v>399</v>
      </c>
      <c r="I9148" s="3" t="s">
        <v>16572</v>
      </c>
    </row>
    <row r="9149" spans="2:9" hidden="1" x14ac:dyDescent="0.4">
      <c r="B9149" s="8" t="s">
        <v>529</v>
      </c>
      <c r="C9149" s="3" t="s">
        <v>13605</v>
      </c>
      <c r="D9149" s="3" t="s">
        <v>13524</v>
      </c>
      <c r="F9149" s="3" t="s">
        <v>399</v>
      </c>
      <c r="I9149" s="3" t="s">
        <v>16572</v>
      </c>
    </row>
    <row r="9150" spans="2:9" hidden="1" x14ac:dyDescent="0.4">
      <c r="B9150" s="8" t="s">
        <v>531</v>
      </c>
      <c r="C9150" s="3" t="s">
        <v>525</v>
      </c>
      <c r="D9150" s="3" t="s">
        <v>13525</v>
      </c>
      <c r="F9150" s="3" t="s">
        <v>399</v>
      </c>
      <c r="I9150" s="3" t="s">
        <v>16572</v>
      </c>
    </row>
    <row r="9151" spans="2:9" hidden="1" x14ac:dyDescent="0.4">
      <c r="B9151" s="8" t="s">
        <v>518</v>
      </c>
      <c r="C9151" s="3" t="s">
        <v>13604</v>
      </c>
      <c r="D9151" s="3" t="s">
        <v>13526</v>
      </c>
      <c r="F9151" s="3" t="s">
        <v>399</v>
      </c>
      <c r="I9151" s="3" t="s">
        <v>16572</v>
      </c>
    </row>
    <row r="9152" spans="2:9" hidden="1" x14ac:dyDescent="0.4">
      <c r="D9152" s="3" t="s">
        <v>13527</v>
      </c>
      <c r="F9152" s="3" t="s">
        <v>399</v>
      </c>
      <c r="I9152" s="3" t="s">
        <v>16572</v>
      </c>
    </row>
    <row r="9153" spans="2:9" hidden="1" x14ac:dyDescent="0.4">
      <c r="B9153" s="8" t="s">
        <v>517</v>
      </c>
      <c r="C9153" s="3" t="s">
        <v>13603</v>
      </c>
      <c r="D9153" s="3" t="s">
        <v>13528</v>
      </c>
      <c r="F9153" s="3" t="s">
        <v>399</v>
      </c>
      <c r="I9153" s="3" t="s">
        <v>16572</v>
      </c>
    </row>
    <row r="9154" spans="2:9" hidden="1" x14ac:dyDescent="0.4">
      <c r="B9154" s="8" t="s">
        <v>529</v>
      </c>
      <c r="C9154" s="3" t="s">
        <v>13602</v>
      </c>
      <c r="D9154" s="3" t="s">
        <v>13529</v>
      </c>
      <c r="F9154" s="3" t="s">
        <v>399</v>
      </c>
      <c r="I9154" s="3" t="s">
        <v>16572</v>
      </c>
    </row>
    <row r="9155" spans="2:9" hidden="1" x14ac:dyDescent="0.4">
      <c r="D9155" s="3" t="s">
        <v>13530</v>
      </c>
      <c r="F9155" s="3" t="s">
        <v>399</v>
      </c>
      <c r="I9155" s="3" t="s">
        <v>16572</v>
      </c>
    </row>
    <row r="9156" spans="2:9" hidden="1" x14ac:dyDescent="0.4">
      <c r="D9156" s="3" t="s">
        <v>13531</v>
      </c>
      <c r="F9156" s="3" t="s">
        <v>399</v>
      </c>
      <c r="I9156" s="3" t="s">
        <v>16572</v>
      </c>
    </row>
    <row r="9157" spans="2:9" hidden="1" x14ac:dyDescent="0.4">
      <c r="D9157" s="3" t="s">
        <v>13532</v>
      </c>
      <c r="F9157" s="3" t="s">
        <v>399</v>
      </c>
      <c r="I9157" s="3" t="s">
        <v>16572</v>
      </c>
    </row>
    <row r="9158" spans="2:9" hidden="1" x14ac:dyDescent="0.4">
      <c r="D9158" s="3" t="s">
        <v>13533</v>
      </c>
      <c r="F9158" s="3" t="s">
        <v>399</v>
      </c>
      <c r="I9158" s="3" t="s">
        <v>16572</v>
      </c>
    </row>
    <row r="9159" spans="2:9" hidden="1" x14ac:dyDescent="0.4">
      <c r="D9159" s="3" t="s">
        <v>13534</v>
      </c>
      <c r="F9159" s="3" t="s">
        <v>399</v>
      </c>
      <c r="I9159" s="3" t="s">
        <v>16572</v>
      </c>
    </row>
    <row r="9160" spans="2:9" hidden="1" x14ac:dyDescent="0.4">
      <c r="D9160" s="3" t="s">
        <v>13535</v>
      </c>
      <c r="F9160" s="3" t="s">
        <v>399</v>
      </c>
      <c r="I9160" s="3" t="s">
        <v>16572</v>
      </c>
    </row>
    <row r="9161" spans="2:9" hidden="1" x14ac:dyDescent="0.4">
      <c r="D9161" s="3" t="s">
        <v>13536</v>
      </c>
      <c r="F9161" s="3" t="s">
        <v>399</v>
      </c>
      <c r="I9161" s="3" t="s">
        <v>16572</v>
      </c>
    </row>
    <row r="9162" spans="2:9" hidden="1" x14ac:dyDescent="0.4">
      <c r="D9162" s="3" t="s">
        <v>13537</v>
      </c>
      <c r="F9162" s="3" t="s">
        <v>399</v>
      </c>
      <c r="I9162" s="3" t="s">
        <v>16572</v>
      </c>
    </row>
    <row r="9163" spans="2:9" hidden="1" x14ac:dyDescent="0.4">
      <c r="D9163" s="3" t="s">
        <v>13538</v>
      </c>
      <c r="F9163" s="3" t="s">
        <v>399</v>
      </c>
      <c r="I9163" s="3" t="s">
        <v>16572</v>
      </c>
    </row>
    <row r="9164" spans="2:9" hidden="1" x14ac:dyDescent="0.4">
      <c r="D9164" s="3" t="s">
        <v>13539</v>
      </c>
      <c r="F9164" s="3" t="s">
        <v>399</v>
      </c>
      <c r="I9164" s="3" t="s">
        <v>16572</v>
      </c>
    </row>
    <row r="9165" spans="2:9" hidden="1" x14ac:dyDescent="0.4">
      <c r="D9165" s="3" t="s">
        <v>13540</v>
      </c>
      <c r="F9165" s="3" t="s">
        <v>399</v>
      </c>
      <c r="I9165" s="3" t="s">
        <v>16572</v>
      </c>
    </row>
    <row r="9166" spans="2:9" hidden="1" x14ac:dyDescent="0.4">
      <c r="D9166" s="3" t="s">
        <v>13541</v>
      </c>
      <c r="F9166" s="3" t="s">
        <v>399</v>
      </c>
      <c r="I9166" s="3" t="s">
        <v>16572</v>
      </c>
    </row>
    <row r="9167" spans="2:9" hidden="1" x14ac:dyDescent="0.4">
      <c r="D9167" s="3" t="s">
        <v>13542</v>
      </c>
      <c r="F9167" s="3" t="s">
        <v>399</v>
      </c>
      <c r="I9167" s="3" t="s">
        <v>16572</v>
      </c>
    </row>
    <row r="9168" spans="2:9" hidden="1" x14ac:dyDescent="0.4">
      <c r="D9168" s="3" t="s">
        <v>13543</v>
      </c>
      <c r="F9168" s="3" t="s">
        <v>399</v>
      </c>
      <c r="I9168" s="3" t="s">
        <v>16572</v>
      </c>
    </row>
    <row r="9169" spans="2:9" hidden="1" x14ac:dyDescent="0.4">
      <c r="D9169" s="3" t="s">
        <v>13544</v>
      </c>
      <c r="F9169" s="3" t="s">
        <v>399</v>
      </c>
      <c r="I9169" s="3" t="s">
        <v>16572</v>
      </c>
    </row>
    <row r="9170" spans="2:9" hidden="1" x14ac:dyDescent="0.4">
      <c r="D9170" s="3" t="s">
        <v>13545</v>
      </c>
      <c r="F9170" s="3" t="s">
        <v>399</v>
      </c>
      <c r="I9170" s="3" t="s">
        <v>16572</v>
      </c>
    </row>
    <row r="9171" spans="2:9" hidden="1" x14ac:dyDescent="0.4">
      <c r="D9171" s="3" t="s">
        <v>13546</v>
      </c>
      <c r="F9171" s="3" t="s">
        <v>399</v>
      </c>
      <c r="I9171" s="3" t="s">
        <v>16572</v>
      </c>
    </row>
    <row r="9172" spans="2:9" hidden="1" x14ac:dyDescent="0.4">
      <c r="D9172" s="3" t="s">
        <v>13547</v>
      </c>
      <c r="F9172" s="3" t="s">
        <v>399</v>
      </c>
      <c r="I9172" s="3" t="s">
        <v>16572</v>
      </c>
    </row>
    <row r="9173" spans="2:9" hidden="1" x14ac:dyDescent="0.4">
      <c r="D9173" s="3" t="s">
        <v>13548</v>
      </c>
      <c r="F9173" s="3" t="s">
        <v>399</v>
      </c>
      <c r="I9173" s="3" t="s">
        <v>16572</v>
      </c>
    </row>
    <row r="9174" spans="2:9" x14ac:dyDescent="0.4">
      <c r="B9174" s="8" t="s">
        <v>517</v>
      </c>
      <c r="C9174" s="3" t="s">
        <v>14164</v>
      </c>
      <c r="D9174" s="3" t="s">
        <v>14170</v>
      </c>
      <c r="F9174" s="3" t="s">
        <v>1279</v>
      </c>
      <c r="I9174" s="3" t="s">
        <v>244</v>
      </c>
    </row>
    <row r="9175" spans="2:9" x14ac:dyDescent="0.4">
      <c r="B9175" s="8" t="s">
        <v>520</v>
      </c>
      <c r="C9175" s="3" t="s">
        <v>14165</v>
      </c>
      <c r="D9175" s="3" t="s">
        <v>14171</v>
      </c>
      <c r="F9175" s="3" t="s">
        <v>1279</v>
      </c>
      <c r="I9175" s="3" t="s">
        <v>244</v>
      </c>
    </row>
    <row r="9176" spans="2:9" x14ac:dyDescent="0.4">
      <c r="B9176" s="8" t="s">
        <v>518</v>
      </c>
      <c r="C9176" s="3" t="s">
        <v>14166</v>
      </c>
      <c r="D9176" s="3" t="s">
        <v>14172</v>
      </c>
      <c r="F9176" s="3" t="s">
        <v>1279</v>
      </c>
      <c r="I9176" s="3" t="s">
        <v>244</v>
      </c>
    </row>
    <row r="9177" spans="2:9" x14ac:dyDescent="0.4">
      <c r="B9177" s="8" t="s">
        <v>518</v>
      </c>
      <c r="C9177" s="3" t="s">
        <v>14167</v>
      </c>
      <c r="D9177" s="3" t="s">
        <v>14173</v>
      </c>
      <c r="F9177" s="3" t="s">
        <v>1279</v>
      </c>
      <c r="I9177" s="3" t="s">
        <v>244</v>
      </c>
    </row>
    <row r="9178" spans="2:9" x14ac:dyDescent="0.4">
      <c r="B9178" s="8" t="s">
        <v>517</v>
      </c>
      <c r="C9178" s="3" t="s">
        <v>14168</v>
      </c>
      <c r="D9178" s="3" t="s">
        <v>14174</v>
      </c>
      <c r="F9178" s="3" t="s">
        <v>1279</v>
      </c>
      <c r="I9178" s="3" t="s">
        <v>244</v>
      </c>
    </row>
    <row r="9179" spans="2:9" x14ac:dyDescent="0.4">
      <c r="B9179" s="8" t="s">
        <v>517</v>
      </c>
      <c r="C9179" s="3" t="s">
        <v>14169</v>
      </c>
      <c r="D9179" s="3" t="s">
        <v>14175</v>
      </c>
      <c r="F9179" s="3" t="s">
        <v>1279</v>
      </c>
      <c r="I9179" s="3" t="s">
        <v>244</v>
      </c>
    </row>
    <row r="9180" spans="2:9" x14ac:dyDescent="0.4">
      <c r="D9180" s="3" t="s">
        <v>14176</v>
      </c>
      <c r="F9180" s="3" t="s">
        <v>1279</v>
      </c>
      <c r="I9180" s="3" t="s">
        <v>244</v>
      </c>
    </row>
    <row r="9181" spans="2:9" x14ac:dyDescent="0.4">
      <c r="D9181" s="3" t="s">
        <v>14177</v>
      </c>
      <c r="F9181" s="3" t="s">
        <v>1279</v>
      </c>
      <c r="I9181" s="3" t="s">
        <v>244</v>
      </c>
    </row>
    <row r="9182" spans="2:9" x14ac:dyDescent="0.4">
      <c r="D9182" s="3" t="s">
        <v>14178</v>
      </c>
      <c r="F9182" s="3" t="s">
        <v>1279</v>
      </c>
      <c r="I9182" s="3" t="s">
        <v>244</v>
      </c>
    </row>
    <row r="9183" spans="2:9" x14ac:dyDescent="0.4">
      <c r="D9183" s="3" t="s">
        <v>14179</v>
      </c>
      <c r="F9183" s="3" t="s">
        <v>1279</v>
      </c>
      <c r="I9183" s="3" t="s">
        <v>244</v>
      </c>
    </row>
    <row r="9184" spans="2:9" x14ac:dyDescent="0.4">
      <c r="D9184" s="3" t="s">
        <v>14180</v>
      </c>
      <c r="F9184" s="3" t="s">
        <v>1279</v>
      </c>
      <c r="I9184" s="3" t="s">
        <v>244</v>
      </c>
    </row>
    <row r="9185" spans="2:9" x14ac:dyDescent="0.4">
      <c r="D9185" s="3" t="s">
        <v>11430</v>
      </c>
      <c r="F9185" s="3" t="s">
        <v>1279</v>
      </c>
      <c r="I9185" s="3" t="s">
        <v>244</v>
      </c>
    </row>
    <row r="9186" spans="2:9" x14ac:dyDescent="0.4">
      <c r="D9186" s="3" t="s">
        <v>14181</v>
      </c>
      <c r="F9186" s="3" t="s">
        <v>1279</v>
      </c>
      <c r="I9186" s="3" t="s">
        <v>244</v>
      </c>
    </row>
    <row r="9187" spans="2:9" x14ac:dyDescent="0.4">
      <c r="D9187" s="3" t="s">
        <v>14182</v>
      </c>
      <c r="F9187" s="3" t="s">
        <v>1279</v>
      </c>
      <c r="I9187" s="3" t="s">
        <v>244</v>
      </c>
    </row>
    <row r="9188" spans="2:9" x14ac:dyDescent="0.4">
      <c r="D9188" s="3" t="s">
        <v>14183</v>
      </c>
      <c r="F9188" s="3" t="s">
        <v>1279</v>
      </c>
      <c r="I9188" s="3" t="s">
        <v>244</v>
      </c>
    </row>
    <row r="9189" spans="2:9" x14ac:dyDescent="0.4">
      <c r="D9189" s="3" t="s">
        <v>14184</v>
      </c>
      <c r="F9189" s="3" t="s">
        <v>1279</v>
      </c>
      <c r="I9189" s="3" t="s">
        <v>244</v>
      </c>
    </row>
    <row r="9190" spans="2:9" x14ac:dyDescent="0.4">
      <c r="D9190" s="3" t="s">
        <v>14185</v>
      </c>
      <c r="F9190" s="3" t="s">
        <v>1279</v>
      </c>
      <c r="I9190" s="3" t="s">
        <v>244</v>
      </c>
    </row>
    <row r="9191" spans="2:9" x14ac:dyDescent="0.4">
      <c r="D9191" s="3" t="s">
        <v>14186</v>
      </c>
      <c r="F9191" s="3" t="s">
        <v>1279</v>
      </c>
      <c r="I9191" s="3" t="s">
        <v>244</v>
      </c>
    </row>
    <row r="9192" spans="2:9" x14ac:dyDescent="0.4">
      <c r="B9192" s="8" t="s">
        <v>518</v>
      </c>
      <c r="C9192" s="3" t="s">
        <v>12472</v>
      </c>
      <c r="D9192" s="3" t="s">
        <v>14187</v>
      </c>
      <c r="F9192" s="3" t="s">
        <v>1279</v>
      </c>
      <c r="I9192" s="3" t="s">
        <v>244</v>
      </c>
    </row>
    <row r="9193" spans="2:9" x14ac:dyDescent="0.4">
      <c r="B9193" s="8" t="s">
        <v>517</v>
      </c>
      <c r="C9193" s="3" t="s">
        <v>14598</v>
      </c>
      <c r="D9193" s="3" t="s">
        <v>14188</v>
      </c>
      <c r="F9193" s="3" t="s">
        <v>1279</v>
      </c>
      <c r="I9193" s="3" t="s">
        <v>244</v>
      </c>
    </row>
    <row r="9194" spans="2:9" x14ac:dyDescent="0.4">
      <c r="B9194" s="8" t="s">
        <v>531</v>
      </c>
      <c r="C9194" s="3" t="s">
        <v>14599</v>
      </c>
      <c r="D9194" s="3" t="s">
        <v>14189</v>
      </c>
      <c r="F9194" s="3" t="s">
        <v>1279</v>
      </c>
      <c r="I9194" s="3" t="s">
        <v>244</v>
      </c>
    </row>
    <row r="9195" spans="2:9" x14ac:dyDescent="0.4">
      <c r="B9195" s="8" t="s">
        <v>517</v>
      </c>
      <c r="C9195" s="3" t="s">
        <v>14600</v>
      </c>
      <c r="D9195" s="3" t="s">
        <v>14190</v>
      </c>
      <c r="F9195" s="3" t="s">
        <v>1279</v>
      </c>
      <c r="I9195" s="3" t="s">
        <v>244</v>
      </c>
    </row>
    <row r="9196" spans="2:9" x14ac:dyDescent="0.4">
      <c r="B9196" s="8" t="s">
        <v>517</v>
      </c>
      <c r="C9196" s="3" t="s">
        <v>14601</v>
      </c>
      <c r="D9196" s="3" t="s">
        <v>11017</v>
      </c>
      <c r="F9196" s="3" t="s">
        <v>1279</v>
      </c>
      <c r="I9196" s="3" t="s">
        <v>244</v>
      </c>
    </row>
    <row r="9197" spans="2:9" x14ac:dyDescent="0.4">
      <c r="B9197" s="8" t="s">
        <v>517</v>
      </c>
      <c r="C9197" s="3" t="s">
        <v>14602</v>
      </c>
      <c r="D9197" s="3" t="s">
        <v>11018</v>
      </c>
      <c r="F9197" s="3" t="s">
        <v>1279</v>
      </c>
      <c r="I9197" s="3" t="s">
        <v>244</v>
      </c>
    </row>
    <row r="9198" spans="2:9" x14ac:dyDescent="0.4">
      <c r="B9198" s="8" t="s">
        <v>517</v>
      </c>
      <c r="C9198" s="3" t="s">
        <v>14603</v>
      </c>
      <c r="D9198" s="3" t="s">
        <v>14191</v>
      </c>
      <c r="F9198" s="3" t="s">
        <v>1279</v>
      </c>
      <c r="I9198" s="3" t="s">
        <v>244</v>
      </c>
    </row>
    <row r="9199" spans="2:9" x14ac:dyDescent="0.4">
      <c r="B9199" s="8" t="s">
        <v>517</v>
      </c>
      <c r="C9199" s="3" t="s">
        <v>14604</v>
      </c>
      <c r="D9199" s="3" t="s">
        <v>14192</v>
      </c>
      <c r="F9199" s="3" t="s">
        <v>1279</v>
      </c>
      <c r="I9199" s="3" t="s">
        <v>244</v>
      </c>
    </row>
    <row r="9200" spans="2:9" x14ac:dyDescent="0.4">
      <c r="B9200" s="8" t="s">
        <v>517</v>
      </c>
      <c r="C9200" s="3" t="s">
        <v>14605</v>
      </c>
      <c r="D9200" s="3" t="s">
        <v>14193</v>
      </c>
      <c r="F9200" s="3" t="s">
        <v>1279</v>
      </c>
      <c r="I9200" s="3" t="s">
        <v>244</v>
      </c>
    </row>
    <row r="9201" spans="2:9" x14ac:dyDescent="0.4">
      <c r="B9201" s="8" t="s">
        <v>517</v>
      </c>
      <c r="C9201" s="3" t="s">
        <v>14606</v>
      </c>
      <c r="D9201" s="3" t="s">
        <v>14194</v>
      </c>
      <c r="F9201" s="3" t="s">
        <v>1279</v>
      </c>
      <c r="I9201" s="3" t="s">
        <v>244</v>
      </c>
    </row>
    <row r="9202" spans="2:9" x14ac:dyDescent="0.4">
      <c r="B9202" s="8" t="s">
        <v>517</v>
      </c>
      <c r="C9202" s="3" t="s">
        <v>14607</v>
      </c>
      <c r="D9202" s="3" t="s">
        <v>14195</v>
      </c>
      <c r="F9202" s="3" t="s">
        <v>1279</v>
      </c>
      <c r="I9202" s="3" t="s">
        <v>244</v>
      </c>
    </row>
    <row r="9203" spans="2:9" x14ac:dyDescent="0.4">
      <c r="B9203" s="8" t="s">
        <v>518</v>
      </c>
      <c r="C9203" s="3" t="s">
        <v>14608</v>
      </c>
      <c r="D9203" s="3" t="s">
        <v>14196</v>
      </c>
      <c r="F9203" s="3" t="s">
        <v>1279</v>
      </c>
      <c r="I9203" s="3" t="s">
        <v>244</v>
      </c>
    </row>
    <row r="9204" spans="2:9" x14ac:dyDescent="0.4">
      <c r="B9204" s="8" t="s">
        <v>520</v>
      </c>
      <c r="C9204" s="3" t="s">
        <v>11266</v>
      </c>
      <c r="D9204" s="3" t="s">
        <v>11459</v>
      </c>
      <c r="F9204" s="3" t="s">
        <v>1279</v>
      </c>
      <c r="I9204" s="3" t="s">
        <v>244</v>
      </c>
    </row>
    <row r="9205" spans="2:9" x14ac:dyDescent="0.4">
      <c r="B9205" s="8" t="s">
        <v>517</v>
      </c>
      <c r="C9205" s="3" t="s">
        <v>14609</v>
      </c>
      <c r="D9205" s="3" t="s">
        <v>14197</v>
      </c>
      <c r="F9205" s="3" t="s">
        <v>1279</v>
      </c>
      <c r="I9205" s="3" t="s">
        <v>244</v>
      </c>
    </row>
    <row r="9206" spans="2:9" x14ac:dyDescent="0.4">
      <c r="B9206" s="8" t="s">
        <v>531</v>
      </c>
      <c r="C9206" s="3" t="s">
        <v>14610</v>
      </c>
      <c r="D9206" s="3" t="s">
        <v>14198</v>
      </c>
      <c r="F9206" s="3" t="s">
        <v>1279</v>
      </c>
      <c r="I9206" s="3" t="s">
        <v>244</v>
      </c>
    </row>
    <row r="9207" spans="2:9" x14ac:dyDescent="0.4">
      <c r="B9207" s="8" t="s">
        <v>517</v>
      </c>
      <c r="C9207" s="3" t="s">
        <v>14611</v>
      </c>
      <c r="D9207" s="3" t="s">
        <v>14199</v>
      </c>
      <c r="F9207" s="3" t="s">
        <v>1279</v>
      </c>
      <c r="I9207" s="3" t="s">
        <v>244</v>
      </c>
    </row>
    <row r="9208" spans="2:9" x14ac:dyDescent="0.4">
      <c r="B9208" s="8" t="s">
        <v>517</v>
      </c>
      <c r="C9208" s="3" t="s">
        <v>14612</v>
      </c>
      <c r="D9208" s="3" t="s">
        <v>14199</v>
      </c>
      <c r="F9208" s="3" t="s">
        <v>1279</v>
      </c>
      <c r="I9208" s="3" t="s">
        <v>244</v>
      </c>
    </row>
    <row r="9209" spans="2:9" x14ac:dyDescent="0.4">
      <c r="B9209" s="8" t="s">
        <v>517</v>
      </c>
      <c r="C9209" s="3" t="s">
        <v>14613</v>
      </c>
      <c r="D9209" s="3" t="s">
        <v>14200</v>
      </c>
      <c r="F9209" s="3" t="s">
        <v>1279</v>
      </c>
      <c r="I9209" s="3" t="s">
        <v>244</v>
      </c>
    </row>
    <row r="9210" spans="2:9" x14ac:dyDescent="0.4">
      <c r="B9210" s="8" t="s">
        <v>518</v>
      </c>
      <c r="C9210" s="3" t="s">
        <v>14624</v>
      </c>
      <c r="D9210" s="3" t="s">
        <v>14201</v>
      </c>
      <c r="F9210" s="3" t="s">
        <v>1279</v>
      </c>
      <c r="I9210" s="3" t="s">
        <v>244</v>
      </c>
    </row>
    <row r="9211" spans="2:9" x14ac:dyDescent="0.4">
      <c r="B9211" s="8" t="s">
        <v>517</v>
      </c>
      <c r="C9211" s="3" t="s">
        <v>14614</v>
      </c>
      <c r="D9211" s="3" t="s">
        <v>14202</v>
      </c>
      <c r="F9211" s="3" t="s">
        <v>1279</v>
      </c>
      <c r="I9211" s="3" t="s">
        <v>244</v>
      </c>
    </row>
    <row r="9212" spans="2:9" x14ac:dyDescent="0.4">
      <c r="B9212" s="8" t="s">
        <v>520</v>
      </c>
      <c r="C9212" s="3" t="s">
        <v>14615</v>
      </c>
      <c r="D9212" s="3" t="s">
        <v>14202</v>
      </c>
      <c r="F9212" s="3" t="s">
        <v>1279</v>
      </c>
      <c r="I9212" s="3" t="s">
        <v>244</v>
      </c>
    </row>
    <row r="9213" spans="2:9" x14ac:dyDescent="0.4">
      <c r="B9213" s="8" t="s">
        <v>518</v>
      </c>
      <c r="C9213" s="3" t="s">
        <v>14616</v>
      </c>
      <c r="D9213" s="3" t="s">
        <v>14202</v>
      </c>
      <c r="F9213" s="3" t="s">
        <v>1279</v>
      </c>
      <c r="I9213" s="3" t="s">
        <v>244</v>
      </c>
    </row>
    <row r="9214" spans="2:9" x14ac:dyDescent="0.4">
      <c r="B9214" s="8" t="s">
        <v>529</v>
      </c>
      <c r="C9214" s="3" t="s">
        <v>14617</v>
      </c>
      <c r="D9214" s="3" t="s">
        <v>14203</v>
      </c>
      <c r="F9214" s="3" t="s">
        <v>1279</v>
      </c>
      <c r="I9214" s="3" t="s">
        <v>244</v>
      </c>
    </row>
    <row r="9215" spans="2:9" x14ac:dyDescent="0.4">
      <c r="B9215" s="8" t="s">
        <v>517</v>
      </c>
      <c r="C9215" s="3" t="s">
        <v>14618</v>
      </c>
      <c r="D9215" s="3" t="s">
        <v>14204</v>
      </c>
      <c r="F9215" s="3" t="s">
        <v>1279</v>
      </c>
      <c r="I9215" s="3" t="s">
        <v>244</v>
      </c>
    </row>
    <row r="9216" spans="2:9" x14ac:dyDescent="0.4">
      <c r="B9216" s="8" t="s">
        <v>529</v>
      </c>
      <c r="C9216" s="3" t="s">
        <v>14619</v>
      </c>
      <c r="D9216" s="3" t="s">
        <v>14205</v>
      </c>
      <c r="F9216" s="3" t="s">
        <v>1279</v>
      </c>
      <c r="I9216" s="3" t="s">
        <v>244</v>
      </c>
    </row>
    <row r="9217" spans="2:9" x14ac:dyDescent="0.4">
      <c r="B9217" s="8" t="s">
        <v>517</v>
      </c>
      <c r="C9217" s="3" t="s">
        <v>14620</v>
      </c>
      <c r="D9217" s="3" t="s">
        <v>14206</v>
      </c>
      <c r="F9217" s="3" t="s">
        <v>1279</v>
      </c>
      <c r="I9217" s="3" t="s">
        <v>244</v>
      </c>
    </row>
    <row r="9218" spans="2:9" x14ac:dyDescent="0.4">
      <c r="B9218" s="8" t="s">
        <v>517</v>
      </c>
      <c r="C9218" s="3" t="s">
        <v>14621</v>
      </c>
      <c r="D9218" s="3" t="s">
        <v>14206</v>
      </c>
      <c r="F9218" s="3" t="s">
        <v>1279</v>
      </c>
      <c r="I9218" s="3" t="s">
        <v>244</v>
      </c>
    </row>
    <row r="9219" spans="2:9" x14ac:dyDescent="0.4">
      <c r="B9219" s="8" t="s">
        <v>529</v>
      </c>
      <c r="C9219" s="3" t="s">
        <v>14622</v>
      </c>
      <c r="D9219" s="3" t="s">
        <v>14206</v>
      </c>
      <c r="F9219" s="3" t="s">
        <v>1279</v>
      </c>
      <c r="I9219" s="3" t="s">
        <v>244</v>
      </c>
    </row>
    <row r="9220" spans="2:9" x14ac:dyDescent="0.4">
      <c r="B9220" s="8" t="s">
        <v>529</v>
      </c>
      <c r="C9220" s="3" t="s">
        <v>14623</v>
      </c>
      <c r="D9220" s="3" t="s">
        <v>14206</v>
      </c>
      <c r="F9220" s="3" t="s">
        <v>1279</v>
      </c>
      <c r="I9220" s="3" t="s">
        <v>244</v>
      </c>
    </row>
    <row r="9221" spans="2:9" x14ac:dyDescent="0.4">
      <c r="B9221" s="8" t="s">
        <v>531</v>
      </c>
      <c r="C9221" s="3" t="s">
        <v>14625</v>
      </c>
      <c r="D9221" s="3" t="s">
        <v>14207</v>
      </c>
      <c r="F9221" s="3" t="s">
        <v>1279</v>
      </c>
      <c r="I9221" s="3" t="s">
        <v>244</v>
      </c>
    </row>
    <row r="9222" spans="2:9" x14ac:dyDescent="0.4">
      <c r="B9222" s="8" t="s">
        <v>529</v>
      </c>
      <c r="C9222" s="3" t="s">
        <v>16563</v>
      </c>
      <c r="D9222" s="3" t="s">
        <v>14207</v>
      </c>
      <c r="F9222" s="3" t="s">
        <v>1279</v>
      </c>
      <c r="I9222" s="3" t="s">
        <v>244</v>
      </c>
    </row>
    <row r="9223" spans="2:9" x14ac:dyDescent="0.4">
      <c r="B9223" s="8" t="s">
        <v>531</v>
      </c>
      <c r="C9223" s="3" t="s">
        <v>14626</v>
      </c>
      <c r="D9223" s="3" t="s">
        <v>14208</v>
      </c>
      <c r="F9223" s="3" t="s">
        <v>1279</v>
      </c>
      <c r="I9223" s="3" t="s">
        <v>244</v>
      </c>
    </row>
    <row r="9224" spans="2:9" x14ac:dyDescent="0.4">
      <c r="B9224" s="8" t="s">
        <v>517</v>
      </c>
      <c r="C9224" s="3" t="s">
        <v>14627</v>
      </c>
      <c r="D9224" s="3" t="s">
        <v>14208</v>
      </c>
      <c r="F9224" s="3" t="s">
        <v>1279</v>
      </c>
      <c r="I9224" s="3" t="s">
        <v>244</v>
      </c>
    </row>
    <row r="9225" spans="2:9" x14ac:dyDescent="0.4">
      <c r="B9225" s="8" t="s">
        <v>529</v>
      </c>
      <c r="C9225" s="3" t="s">
        <v>14628</v>
      </c>
      <c r="D9225" s="3" t="s">
        <v>14209</v>
      </c>
      <c r="F9225" s="3" t="s">
        <v>1279</v>
      </c>
      <c r="I9225" s="3" t="s">
        <v>244</v>
      </c>
    </row>
    <row r="9226" spans="2:9" x14ac:dyDescent="0.4">
      <c r="B9226" s="8" t="s">
        <v>518</v>
      </c>
      <c r="C9226" s="3" t="s">
        <v>14629</v>
      </c>
      <c r="D9226" s="3" t="s">
        <v>14210</v>
      </c>
      <c r="F9226" s="3" t="s">
        <v>1279</v>
      </c>
      <c r="I9226" s="3" t="s">
        <v>244</v>
      </c>
    </row>
    <row r="9227" spans="2:9" x14ac:dyDescent="0.4">
      <c r="B9227" s="8" t="s">
        <v>532</v>
      </c>
      <c r="C9227" s="3" t="s">
        <v>14630</v>
      </c>
      <c r="D9227" s="3" t="s">
        <v>14211</v>
      </c>
      <c r="F9227" s="3" t="s">
        <v>1279</v>
      </c>
      <c r="I9227" s="3" t="s">
        <v>244</v>
      </c>
    </row>
    <row r="9228" spans="2:9" x14ac:dyDescent="0.4">
      <c r="B9228" s="8" t="s">
        <v>531</v>
      </c>
      <c r="C9228" s="3" t="s">
        <v>14631</v>
      </c>
      <c r="D9228" s="3" t="s">
        <v>14212</v>
      </c>
      <c r="F9228" s="3" t="s">
        <v>1279</v>
      </c>
      <c r="I9228" s="3" t="s">
        <v>244</v>
      </c>
    </row>
    <row r="9229" spans="2:9" x14ac:dyDescent="0.4">
      <c r="B9229" s="8" t="s">
        <v>531</v>
      </c>
      <c r="C9229" s="3" t="s">
        <v>14632</v>
      </c>
      <c r="D9229" s="3" t="s">
        <v>14213</v>
      </c>
      <c r="F9229" s="3" t="s">
        <v>1279</v>
      </c>
      <c r="I9229" s="3" t="s">
        <v>244</v>
      </c>
    </row>
    <row r="9230" spans="2:9" x14ac:dyDescent="0.4">
      <c r="B9230" s="8" t="s">
        <v>520</v>
      </c>
      <c r="C9230" s="3" t="s">
        <v>14633</v>
      </c>
      <c r="D9230" s="3" t="s">
        <v>14214</v>
      </c>
      <c r="F9230" s="3" t="s">
        <v>1279</v>
      </c>
      <c r="I9230" s="3" t="s">
        <v>244</v>
      </c>
    </row>
    <row r="9231" spans="2:9" x14ac:dyDescent="0.4">
      <c r="B9231" s="8" t="s">
        <v>517</v>
      </c>
      <c r="C9231" s="3" t="s">
        <v>14634</v>
      </c>
      <c r="D9231" s="3" t="s">
        <v>14215</v>
      </c>
      <c r="F9231" s="3" t="s">
        <v>1279</v>
      </c>
      <c r="I9231" s="3" t="s">
        <v>244</v>
      </c>
    </row>
    <row r="9232" spans="2:9" x14ac:dyDescent="0.4">
      <c r="B9232" s="8" t="s">
        <v>532</v>
      </c>
      <c r="C9232" s="3" t="s">
        <v>14635</v>
      </c>
      <c r="D9232" s="3" t="s">
        <v>14216</v>
      </c>
      <c r="F9232" s="3" t="s">
        <v>1279</v>
      </c>
      <c r="I9232" s="3" t="s">
        <v>244</v>
      </c>
    </row>
    <row r="9233" spans="2:9" x14ac:dyDescent="0.4">
      <c r="B9233" s="8" t="s">
        <v>517</v>
      </c>
      <c r="C9233" s="3" t="s">
        <v>14636</v>
      </c>
      <c r="D9233" s="3" t="s">
        <v>14217</v>
      </c>
      <c r="F9233" s="3" t="s">
        <v>1279</v>
      </c>
      <c r="I9233" s="3" t="s">
        <v>244</v>
      </c>
    </row>
    <row r="9234" spans="2:9" x14ac:dyDescent="0.4">
      <c r="B9234" s="8" t="s">
        <v>529</v>
      </c>
      <c r="C9234" s="3" t="s">
        <v>14637</v>
      </c>
      <c r="D9234" s="3" t="s">
        <v>14218</v>
      </c>
      <c r="F9234" s="3" t="s">
        <v>1279</v>
      </c>
      <c r="I9234" s="3" t="s">
        <v>244</v>
      </c>
    </row>
    <row r="9235" spans="2:9" x14ac:dyDescent="0.4">
      <c r="B9235" s="8" t="s">
        <v>529</v>
      </c>
      <c r="C9235" s="3" t="s">
        <v>14638</v>
      </c>
      <c r="D9235" s="3" t="s">
        <v>14672</v>
      </c>
      <c r="F9235" s="3" t="s">
        <v>1279</v>
      </c>
      <c r="I9235" s="3" t="s">
        <v>244</v>
      </c>
    </row>
    <row r="9236" spans="2:9" x14ac:dyDescent="0.4">
      <c r="B9236" s="8" t="s">
        <v>517</v>
      </c>
      <c r="C9236" s="3" t="s">
        <v>14639</v>
      </c>
      <c r="D9236" s="3" t="s">
        <v>14219</v>
      </c>
      <c r="F9236" s="3" t="s">
        <v>1279</v>
      </c>
      <c r="I9236" s="3" t="s">
        <v>244</v>
      </c>
    </row>
    <row r="9237" spans="2:9" x14ac:dyDescent="0.4">
      <c r="B9237" s="8" t="s">
        <v>520</v>
      </c>
      <c r="C9237" s="3" t="s">
        <v>14640</v>
      </c>
      <c r="D9237" s="3" t="s">
        <v>14220</v>
      </c>
      <c r="F9237" s="3" t="s">
        <v>1279</v>
      </c>
      <c r="I9237" s="3" t="s">
        <v>244</v>
      </c>
    </row>
    <row r="9238" spans="2:9" x14ac:dyDescent="0.4">
      <c r="B9238" s="8" t="s">
        <v>531</v>
      </c>
      <c r="C9238" s="3" t="s">
        <v>14641</v>
      </c>
      <c r="D9238" s="3" t="s">
        <v>14221</v>
      </c>
      <c r="F9238" s="3" t="s">
        <v>1279</v>
      </c>
      <c r="I9238" s="3" t="s">
        <v>244</v>
      </c>
    </row>
    <row r="9239" spans="2:9" x14ac:dyDescent="0.4">
      <c r="B9239" s="8" t="s">
        <v>531</v>
      </c>
      <c r="C9239" s="3" t="s">
        <v>14642</v>
      </c>
      <c r="D9239" s="3" t="s">
        <v>14222</v>
      </c>
      <c r="F9239" s="3" t="s">
        <v>1279</v>
      </c>
      <c r="I9239" s="3" t="s">
        <v>244</v>
      </c>
    </row>
    <row r="9240" spans="2:9" x14ac:dyDescent="0.4">
      <c r="B9240" s="8" t="s">
        <v>531</v>
      </c>
      <c r="C9240" s="3" t="s">
        <v>14643</v>
      </c>
      <c r="D9240" s="3" t="s">
        <v>14223</v>
      </c>
      <c r="F9240" s="3" t="s">
        <v>1279</v>
      </c>
      <c r="I9240" s="3" t="s">
        <v>244</v>
      </c>
    </row>
    <row r="9241" spans="2:9" x14ac:dyDescent="0.4">
      <c r="B9241" s="8" t="s">
        <v>517</v>
      </c>
      <c r="C9241" s="3" t="s">
        <v>14644</v>
      </c>
      <c r="D9241" s="3" t="s">
        <v>14224</v>
      </c>
      <c r="F9241" s="3" t="s">
        <v>1279</v>
      </c>
      <c r="I9241" s="3" t="s">
        <v>244</v>
      </c>
    </row>
    <row r="9242" spans="2:9" x14ac:dyDescent="0.4">
      <c r="B9242" s="8" t="s">
        <v>529</v>
      </c>
      <c r="C9242" s="3" t="s">
        <v>14645</v>
      </c>
      <c r="D9242" s="3" t="s">
        <v>14225</v>
      </c>
      <c r="F9242" s="3" t="s">
        <v>1279</v>
      </c>
      <c r="I9242" s="3" t="s">
        <v>244</v>
      </c>
    </row>
    <row r="9243" spans="2:9" x14ac:dyDescent="0.4">
      <c r="B9243" s="8" t="s">
        <v>532</v>
      </c>
      <c r="C9243" s="3" t="s">
        <v>14646</v>
      </c>
      <c r="D9243" s="3" t="s">
        <v>14226</v>
      </c>
      <c r="F9243" s="3" t="s">
        <v>1279</v>
      </c>
      <c r="I9243" s="3" t="s">
        <v>244</v>
      </c>
    </row>
    <row r="9244" spans="2:9" x14ac:dyDescent="0.4">
      <c r="B9244" s="8" t="s">
        <v>531</v>
      </c>
      <c r="C9244" s="3" t="s">
        <v>14647</v>
      </c>
      <c r="D9244" s="3" t="s">
        <v>14227</v>
      </c>
      <c r="F9244" s="3" t="s">
        <v>1279</v>
      </c>
      <c r="I9244" s="3" t="s">
        <v>244</v>
      </c>
    </row>
    <row r="9245" spans="2:9" x14ac:dyDescent="0.4">
      <c r="B9245" s="8" t="s">
        <v>518</v>
      </c>
      <c r="C9245" s="3" t="s">
        <v>14648</v>
      </c>
      <c r="D9245" s="3" t="s">
        <v>14228</v>
      </c>
      <c r="F9245" s="3" t="s">
        <v>1279</v>
      </c>
      <c r="I9245" s="3" t="s">
        <v>244</v>
      </c>
    </row>
    <row r="9246" spans="2:9" x14ac:dyDescent="0.4">
      <c r="B9246" s="8" t="s">
        <v>517</v>
      </c>
      <c r="C9246" s="3" t="s">
        <v>14649</v>
      </c>
      <c r="D9246" s="3" t="s">
        <v>14229</v>
      </c>
      <c r="F9246" s="3" t="s">
        <v>1279</v>
      </c>
      <c r="I9246" s="3" t="s">
        <v>244</v>
      </c>
    </row>
    <row r="9247" spans="2:9" x14ac:dyDescent="0.4">
      <c r="B9247" s="8" t="s">
        <v>520</v>
      </c>
      <c r="C9247" s="3" t="s">
        <v>14650</v>
      </c>
      <c r="D9247" s="3" t="s">
        <v>14230</v>
      </c>
      <c r="F9247" s="3" t="s">
        <v>1279</v>
      </c>
      <c r="I9247" s="3" t="s">
        <v>244</v>
      </c>
    </row>
    <row r="9248" spans="2:9" x14ac:dyDescent="0.4">
      <c r="B9248" s="8" t="s">
        <v>518</v>
      </c>
      <c r="C9248" s="3" t="s">
        <v>14651</v>
      </c>
      <c r="D9248" s="3" t="s">
        <v>14231</v>
      </c>
      <c r="F9248" s="3" t="s">
        <v>1279</v>
      </c>
      <c r="I9248" s="3" t="s">
        <v>244</v>
      </c>
    </row>
    <row r="9249" spans="2:9" x14ac:dyDescent="0.4">
      <c r="B9249" s="8" t="s">
        <v>517</v>
      </c>
      <c r="C9249" s="3" t="s">
        <v>14652</v>
      </c>
      <c r="D9249" s="3" t="s">
        <v>14232</v>
      </c>
      <c r="F9249" s="3" t="s">
        <v>1279</v>
      </c>
      <c r="I9249" s="3" t="s">
        <v>244</v>
      </c>
    </row>
    <row r="9250" spans="2:9" x14ac:dyDescent="0.4">
      <c r="B9250" s="8" t="s">
        <v>520</v>
      </c>
      <c r="C9250" s="3" t="s">
        <v>14653</v>
      </c>
      <c r="D9250" s="3" t="s">
        <v>14233</v>
      </c>
      <c r="F9250" s="3" t="s">
        <v>1279</v>
      </c>
      <c r="I9250" s="3" t="s">
        <v>244</v>
      </c>
    </row>
    <row r="9251" spans="2:9" x14ac:dyDescent="0.4">
      <c r="D9251" s="3" t="s">
        <v>14234</v>
      </c>
      <c r="F9251" s="3" t="s">
        <v>1279</v>
      </c>
      <c r="I9251" s="3" t="s">
        <v>244</v>
      </c>
    </row>
    <row r="9252" spans="2:9" x14ac:dyDescent="0.4">
      <c r="B9252" s="8" t="s">
        <v>529</v>
      </c>
      <c r="C9252" s="3" t="s">
        <v>14654</v>
      </c>
      <c r="D9252" s="3" t="s">
        <v>14235</v>
      </c>
      <c r="F9252" s="3" t="s">
        <v>1279</v>
      </c>
      <c r="I9252" s="3" t="s">
        <v>244</v>
      </c>
    </row>
    <row r="9253" spans="2:9" x14ac:dyDescent="0.4">
      <c r="B9253" s="8" t="s">
        <v>517</v>
      </c>
      <c r="C9253" s="3" t="s">
        <v>436</v>
      </c>
      <c r="D9253" s="3" t="s">
        <v>14235</v>
      </c>
      <c r="F9253" s="3" t="s">
        <v>1279</v>
      </c>
      <c r="I9253" s="3" t="s">
        <v>244</v>
      </c>
    </row>
    <row r="9254" spans="2:9" x14ac:dyDescent="0.4">
      <c r="B9254" s="8" t="s">
        <v>517</v>
      </c>
      <c r="C9254" s="3" t="s">
        <v>14655</v>
      </c>
      <c r="D9254" s="3" t="s">
        <v>14236</v>
      </c>
      <c r="F9254" s="3" t="s">
        <v>1279</v>
      </c>
      <c r="I9254" s="3" t="s">
        <v>244</v>
      </c>
    </row>
    <row r="9255" spans="2:9" x14ac:dyDescent="0.4">
      <c r="B9255" s="8" t="s">
        <v>529</v>
      </c>
      <c r="C9255" s="3" t="s">
        <v>14656</v>
      </c>
      <c r="D9255" s="3" t="s">
        <v>14237</v>
      </c>
      <c r="F9255" s="3" t="s">
        <v>1279</v>
      </c>
      <c r="I9255" s="3" t="s">
        <v>244</v>
      </c>
    </row>
    <row r="9256" spans="2:9" x14ac:dyDescent="0.4">
      <c r="B9256" s="8" t="s">
        <v>520</v>
      </c>
      <c r="C9256" s="3" t="s">
        <v>14657</v>
      </c>
      <c r="D9256" s="3" t="s">
        <v>14238</v>
      </c>
      <c r="F9256" s="3" t="s">
        <v>1279</v>
      </c>
      <c r="I9256" s="3" t="s">
        <v>244</v>
      </c>
    </row>
    <row r="9257" spans="2:9" x14ac:dyDescent="0.4">
      <c r="B9257" s="8" t="s">
        <v>517</v>
      </c>
      <c r="C9257" s="3" t="s">
        <v>14658</v>
      </c>
      <c r="D9257" s="3" t="s">
        <v>14239</v>
      </c>
      <c r="F9257" s="3" t="s">
        <v>1279</v>
      </c>
      <c r="I9257" s="3" t="s">
        <v>244</v>
      </c>
    </row>
    <row r="9258" spans="2:9" x14ac:dyDescent="0.4">
      <c r="B9258" s="8" t="s">
        <v>518</v>
      </c>
      <c r="C9258" s="3" t="s">
        <v>14659</v>
      </c>
      <c r="D9258" s="3" t="s">
        <v>14240</v>
      </c>
      <c r="F9258" s="3" t="s">
        <v>1279</v>
      </c>
      <c r="I9258" s="3" t="s">
        <v>244</v>
      </c>
    </row>
    <row r="9259" spans="2:9" x14ac:dyDescent="0.4">
      <c r="B9259" s="8" t="s">
        <v>520</v>
      </c>
      <c r="C9259" s="3" t="s">
        <v>14660</v>
      </c>
      <c r="D9259" s="3" t="s">
        <v>14241</v>
      </c>
      <c r="F9259" s="3" t="s">
        <v>1279</v>
      </c>
      <c r="I9259" s="3" t="s">
        <v>244</v>
      </c>
    </row>
    <row r="9260" spans="2:9" x14ac:dyDescent="0.4">
      <c r="B9260" s="8" t="s">
        <v>520</v>
      </c>
      <c r="C9260" s="3" t="s">
        <v>14661</v>
      </c>
      <c r="D9260" s="3" t="s">
        <v>14242</v>
      </c>
      <c r="F9260" s="3" t="s">
        <v>1279</v>
      </c>
      <c r="I9260" s="3" t="s">
        <v>244</v>
      </c>
    </row>
    <row r="9261" spans="2:9" x14ac:dyDescent="0.4">
      <c r="B9261" s="8" t="s">
        <v>529</v>
      </c>
      <c r="C9261" s="3" t="s">
        <v>14662</v>
      </c>
      <c r="D9261" s="3" t="s">
        <v>14243</v>
      </c>
      <c r="F9261" s="3" t="s">
        <v>1279</v>
      </c>
      <c r="I9261" s="3" t="s">
        <v>244</v>
      </c>
    </row>
    <row r="9262" spans="2:9" x14ac:dyDescent="0.4">
      <c r="B9262" s="8" t="s">
        <v>532</v>
      </c>
      <c r="C9262" s="3" t="s">
        <v>14663</v>
      </c>
      <c r="D9262" s="3" t="s">
        <v>14673</v>
      </c>
      <c r="F9262" s="3" t="s">
        <v>1279</v>
      </c>
      <c r="I9262" s="3" t="s">
        <v>244</v>
      </c>
    </row>
    <row r="9263" spans="2:9" x14ac:dyDescent="0.4">
      <c r="B9263" s="8" t="s">
        <v>518</v>
      </c>
      <c r="C9263" s="3" t="s">
        <v>14664</v>
      </c>
      <c r="D9263" s="3" t="s">
        <v>14244</v>
      </c>
      <c r="F9263" s="3" t="s">
        <v>1279</v>
      </c>
      <c r="I9263" s="3" t="s">
        <v>244</v>
      </c>
    </row>
    <row r="9264" spans="2:9" x14ac:dyDescent="0.4">
      <c r="B9264" s="8" t="s">
        <v>531</v>
      </c>
      <c r="C9264" s="3" t="s">
        <v>14665</v>
      </c>
      <c r="D9264" s="3" t="s">
        <v>14245</v>
      </c>
      <c r="F9264" s="3" t="s">
        <v>1279</v>
      </c>
      <c r="I9264" s="3" t="s">
        <v>244</v>
      </c>
    </row>
    <row r="9265" spans="2:9" x14ac:dyDescent="0.4">
      <c r="B9265" s="8" t="s">
        <v>520</v>
      </c>
      <c r="C9265" s="3" t="s">
        <v>14666</v>
      </c>
      <c r="D9265" s="3" t="s">
        <v>14246</v>
      </c>
      <c r="F9265" s="3" t="s">
        <v>1279</v>
      </c>
      <c r="I9265" s="3" t="s">
        <v>244</v>
      </c>
    </row>
    <row r="9266" spans="2:9" x14ac:dyDescent="0.4">
      <c r="B9266" s="8" t="s">
        <v>518</v>
      </c>
      <c r="C9266" s="3" t="s">
        <v>14667</v>
      </c>
      <c r="D9266" s="3" t="s">
        <v>14246</v>
      </c>
      <c r="F9266" s="3" t="s">
        <v>1279</v>
      </c>
      <c r="I9266" s="3" t="s">
        <v>244</v>
      </c>
    </row>
    <row r="9267" spans="2:9" x14ac:dyDescent="0.4">
      <c r="B9267" s="8" t="s">
        <v>517</v>
      </c>
      <c r="C9267" s="3" t="s">
        <v>14668</v>
      </c>
      <c r="D9267" s="3" t="s">
        <v>14247</v>
      </c>
      <c r="F9267" s="3" t="s">
        <v>1279</v>
      </c>
      <c r="I9267" s="3" t="s">
        <v>244</v>
      </c>
    </row>
    <row r="9268" spans="2:9" x14ac:dyDescent="0.4">
      <c r="B9268" s="8" t="s">
        <v>531</v>
      </c>
      <c r="C9268" s="3" t="s">
        <v>14669</v>
      </c>
      <c r="D9268" s="3" t="s">
        <v>14247</v>
      </c>
      <c r="F9268" s="3" t="s">
        <v>1279</v>
      </c>
      <c r="I9268" s="3" t="s">
        <v>244</v>
      </c>
    </row>
    <row r="9269" spans="2:9" x14ac:dyDescent="0.4">
      <c r="B9269" s="8" t="s">
        <v>529</v>
      </c>
      <c r="C9269" s="3" t="s">
        <v>14670</v>
      </c>
      <c r="D9269" s="3" t="s">
        <v>14248</v>
      </c>
      <c r="F9269" s="3" t="s">
        <v>1279</v>
      </c>
      <c r="I9269" s="3" t="s">
        <v>244</v>
      </c>
    </row>
    <row r="9270" spans="2:9" x14ac:dyDescent="0.4">
      <c r="B9270" s="8" t="s">
        <v>520</v>
      </c>
      <c r="C9270" s="3" t="s">
        <v>14671</v>
      </c>
      <c r="D9270" s="3" t="s">
        <v>14249</v>
      </c>
      <c r="F9270" s="3" t="s">
        <v>1279</v>
      </c>
      <c r="I9270" s="3" t="s">
        <v>244</v>
      </c>
    </row>
    <row r="9271" spans="2:9" hidden="1" x14ac:dyDescent="0.4">
      <c r="B9271" s="8" t="s">
        <v>4062</v>
      </c>
      <c r="C9271" s="3" t="s">
        <v>14674</v>
      </c>
      <c r="D9271" s="3" t="s">
        <v>14250</v>
      </c>
      <c r="F9271" s="3" t="s">
        <v>1279</v>
      </c>
      <c r="I9271" s="3" t="s">
        <v>6427</v>
      </c>
    </row>
    <row r="9272" spans="2:9" x14ac:dyDescent="0.4">
      <c r="B9272" s="8" t="s">
        <v>531</v>
      </c>
      <c r="C9272" s="3" t="s">
        <v>14675</v>
      </c>
      <c r="D9272" s="3" t="s">
        <v>14251</v>
      </c>
      <c r="F9272" s="3" t="s">
        <v>1279</v>
      </c>
      <c r="I9272" s="3" t="s">
        <v>244</v>
      </c>
    </row>
    <row r="9273" spans="2:9" x14ac:dyDescent="0.4">
      <c r="B9273" s="8" t="s">
        <v>517</v>
      </c>
      <c r="C9273" s="3" t="s">
        <v>14676</v>
      </c>
      <c r="D9273" s="3" t="s">
        <v>14252</v>
      </c>
      <c r="F9273" s="3" t="s">
        <v>1279</v>
      </c>
      <c r="I9273" s="3" t="s">
        <v>244</v>
      </c>
    </row>
    <row r="9274" spans="2:9" x14ac:dyDescent="0.4">
      <c r="B9274" s="8" t="s">
        <v>517</v>
      </c>
      <c r="C9274" s="3" t="s">
        <v>14677</v>
      </c>
      <c r="D9274" s="3" t="s">
        <v>14253</v>
      </c>
      <c r="F9274" s="3" t="s">
        <v>1279</v>
      </c>
      <c r="I9274" s="3" t="s">
        <v>244</v>
      </c>
    </row>
    <row r="9275" spans="2:9" x14ac:dyDescent="0.4">
      <c r="B9275" s="8" t="s">
        <v>518</v>
      </c>
      <c r="C9275" s="3" t="s">
        <v>14678</v>
      </c>
      <c r="D9275" s="3" t="s">
        <v>14254</v>
      </c>
      <c r="F9275" s="3" t="s">
        <v>1279</v>
      </c>
      <c r="I9275" s="3" t="s">
        <v>244</v>
      </c>
    </row>
    <row r="9276" spans="2:9" x14ac:dyDescent="0.4">
      <c r="B9276" s="8" t="s">
        <v>518</v>
      </c>
      <c r="C9276" s="3" t="s">
        <v>14679</v>
      </c>
      <c r="D9276" s="3" t="s">
        <v>14255</v>
      </c>
      <c r="F9276" s="3" t="s">
        <v>1279</v>
      </c>
      <c r="I9276" s="3" t="s">
        <v>244</v>
      </c>
    </row>
    <row r="9277" spans="2:9" x14ac:dyDescent="0.4">
      <c r="B9277" s="8" t="s">
        <v>520</v>
      </c>
      <c r="C9277" s="3" t="s">
        <v>14680</v>
      </c>
      <c r="D9277" s="3" t="s">
        <v>14256</v>
      </c>
      <c r="F9277" s="3" t="s">
        <v>1279</v>
      </c>
      <c r="I9277" s="3" t="s">
        <v>244</v>
      </c>
    </row>
    <row r="9278" spans="2:9" x14ac:dyDescent="0.4">
      <c r="B9278" s="8" t="s">
        <v>532</v>
      </c>
      <c r="C9278" s="3" t="s">
        <v>14681</v>
      </c>
      <c r="D9278" s="3" t="s">
        <v>14257</v>
      </c>
      <c r="F9278" s="3" t="s">
        <v>1279</v>
      </c>
      <c r="I9278" s="3" t="s">
        <v>244</v>
      </c>
    </row>
    <row r="9279" spans="2:9" x14ac:dyDescent="0.4">
      <c r="B9279" s="8" t="s">
        <v>531</v>
      </c>
      <c r="C9279" s="3" t="s">
        <v>14682</v>
      </c>
      <c r="D9279" s="3" t="s">
        <v>14258</v>
      </c>
      <c r="F9279" s="3" t="s">
        <v>1279</v>
      </c>
      <c r="I9279" s="3" t="s">
        <v>244</v>
      </c>
    </row>
    <row r="9280" spans="2:9" x14ac:dyDescent="0.4">
      <c r="B9280" s="8" t="s">
        <v>529</v>
      </c>
      <c r="C9280" s="3" t="s">
        <v>14683</v>
      </c>
      <c r="D9280" s="3" t="s">
        <v>14259</v>
      </c>
      <c r="F9280" s="3" t="s">
        <v>1279</v>
      </c>
      <c r="I9280" s="3" t="s">
        <v>244</v>
      </c>
    </row>
    <row r="9281" spans="2:9" x14ac:dyDescent="0.4">
      <c r="B9281" s="8" t="s">
        <v>531</v>
      </c>
      <c r="C9281" s="3" t="s">
        <v>14684</v>
      </c>
      <c r="D9281" s="3" t="s">
        <v>14260</v>
      </c>
      <c r="F9281" s="3" t="s">
        <v>1279</v>
      </c>
      <c r="I9281" s="3" t="s">
        <v>244</v>
      </c>
    </row>
    <row r="9282" spans="2:9" x14ac:dyDescent="0.4">
      <c r="B9282" s="8" t="s">
        <v>531</v>
      </c>
      <c r="C9282" s="3" t="s">
        <v>14685</v>
      </c>
      <c r="D9282" s="3" t="s">
        <v>14261</v>
      </c>
      <c r="F9282" s="3" t="s">
        <v>1279</v>
      </c>
      <c r="I9282" s="3" t="s">
        <v>244</v>
      </c>
    </row>
    <row r="9283" spans="2:9" x14ac:dyDescent="0.4">
      <c r="B9283" s="8" t="s">
        <v>529</v>
      </c>
      <c r="C9283" s="3" t="s">
        <v>14686</v>
      </c>
      <c r="D9283" s="3" t="s">
        <v>14262</v>
      </c>
      <c r="F9283" s="3" t="s">
        <v>1279</v>
      </c>
      <c r="I9283" s="3" t="s">
        <v>244</v>
      </c>
    </row>
    <row r="9284" spans="2:9" x14ac:dyDescent="0.4">
      <c r="B9284" s="8" t="s">
        <v>517</v>
      </c>
      <c r="C9284" s="3" t="s">
        <v>14687</v>
      </c>
      <c r="D9284" s="3" t="s">
        <v>14263</v>
      </c>
      <c r="F9284" s="3" t="s">
        <v>1279</v>
      </c>
      <c r="I9284" s="3" t="s">
        <v>244</v>
      </c>
    </row>
    <row r="9285" spans="2:9" x14ac:dyDescent="0.4">
      <c r="B9285" s="8" t="s">
        <v>529</v>
      </c>
      <c r="C9285" s="3" t="s">
        <v>14688</v>
      </c>
      <c r="D9285" s="3" t="s">
        <v>14264</v>
      </c>
      <c r="F9285" s="3" t="s">
        <v>1279</v>
      </c>
      <c r="I9285" s="3" t="s">
        <v>244</v>
      </c>
    </row>
    <row r="9286" spans="2:9" x14ac:dyDescent="0.4">
      <c r="B9286" s="8" t="s">
        <v>518</v>
      </c>
      <c r="C9286" s="3" t="s">
        <v>14689</v>
      </c>
      <c r="D9286" s="3" t="s">
        <v>14265</v>
      </c>
      <c r="F9286" s="3" t="s">
        <v>1279</v>
      </c>
      <c r="I9286" s="3" t="s">
        <v>244</v>
      </c>
    </row>
    <row r="9287" spans="2:9" x14ac:dyDescent="0.4">
      <c r="B9287" s="8" t="s">
        <v>517</v>
      </c>
      <c r="C9287" s="3" t="s">
        <v>14690</v>
      </c>
      <c r="D9287" s="3" t="s">
        <v>14266</v>
      </c>
      <c r="F9287" s="3" t="s">
        <v>1279</v>
      </c>
      <c r="I9287" s="3" t="s">
        <v>244</v>
      </c>
    </row>
    <row r="9288" spans="2:9" x14ac:dyDescent="0.4">
      <c r="B9288" s="8" t="s">
        <v>517</v>
      </c>
      <c r="C9288" s="3" t="s">
        <v>14691</v>
      </c>
      <c r="D9288" s="3" t="s">
        <v>14267</v>
      </c>
      <c r="F9288" s="3" t="s">
        <v>1279</v>
      </c>
      <c r="I9288" s="3" t="s">
        <v>244</v>
      </c>
    </row>
    <row r="9289" spans="2:9" x14ac:dyDescent="0.4">
      <c r="B9289" s="8" t="s">
        <v>531</v>
      </c>
      <c r="C9289" s="3" t="s">
        <v>14692</v>
      </c>
      <c r="D9289" s="3" t="s">
        <v>14268</v>
      </c>
      <c r="F9289" s="3" t="s">
        <v>1279</v>
      </c>
      <c r="I9289" s="3" t="s">
        <v>244</v>
      </c>
    </row>
    <row r="9290" spans="2:9" x14ac:dyDescent="0.4">
      <c r="B9290" s="8" t="s">
        <v>529</v>
      </c>
      <c r="C9290" s="3" t="s">
        <v>14693</v>
      </c>
      <c r="D9290" s="3" t="s">
        <v>14269</v>
      </c>
      <c r="F9290" s="3" t="s">
        <v>1279</v>
      </c>
      <c r="I9290" s="3" t="s">
        <v>244</v>
      </c>
    </row>
    <row r="9291" spans="2:9" x14ac:dyDescent="0.4">
      <c r="B9291" s="8" t="s">
        <v>518</v>
      </c>
      <c r="C9291" s="3" t="s">
        <v>14694</v>
      </c>
      <c r="D9291" s="3" t="s">
        <v>14270</v>
      </c>
      <c r="F9291" s="3" t="s">
        <v>1279</v>
      </c>
      <c r="I9291" s="3" t="s">
        <v>244</v>
      </c>
    </row>
    <row r="9292" spans="2:9" x14ac:dyDescent="0.4">
      <c r="B9292" s="8" t="s">
        <v>520</v>
      </c>
      <c r="C9292" s="3" t="s">
        <v>14708</v>
      </c>
      <c r="D9292" s="3" t="s">
        <v>14271</v>
      </c>
      <c r="F9292" s="3" t="s">
        <v>1279</v>
      </c>
      <c r="I9292" s="3" t="s">
        <v>244</v>
      </c>
    </row>
    <row r="9293" spans="2:9" x14ac:dyDescent="0.4">
      <c r="B9293" s="8" t="s">
        <v>529</v>
      </c>
      <c r="C9293" s="3" t="s">
        <v>14709</v>
      </c>
      <c r="D9293" s="3" t="s">
        <v>14272</v>
      </c>
      <c r="F9293" s="3" t="s">
        <v>1279</v>
      </c>
      <c r="I9293" s="3" t="s">
        <v>244</v>
      </c>
    </row>
    <row r="9294" spans="2:9" x14ac:dyDescent="0.4">
      <c r="B9294" s="8" t="s">
        <v>520</v>
      </c>
      <c r="C9294" s="3" t="s">
        <v>14695</v>
      </c>
      <c r="D9294" s="3" t="s">
        <v>14272</v>
      </c>
      <c r="F9294" s="3" t="s">
        <v>1279</v>
      </c>
      <c r="I9294" s="3" t="s">
        <v>244</v>
      </c>
    </row>
    <row r="9295" spans="2:9" x14ac:dyDescent="0.4">
      <c r="B9295" s="8" t="s">
        <v>531</v>
      </c>
      <c r="C9295" s="3" t="s">
        <v>14696</v>
      </c>
      <c r="D9295" s="3" t="s">
        <v>14273</v>
      </c>
      <c r="F9295" s="3" t="s">
        <v>1279</v>
      </c>
      <c r="I9295" s="3" t="s">
        <v>244</v>
      </c>
    </row>
    <row r="9296" spans="2:9" x14ac:dyDescent="0.4">
      <c r="B9296" s="8" t="s">
        <v>529</v>
      </c>
      <c r="C9296" s="3" t="s">
        <v>14697</v>
      </c>
      <c r="D9296" s="3" t="s">
        <v>14274</v>
      </c>
      <c r="F9296" s="3" t="s">
        <v>1279</v>
      </c>
      <c r="I9296" s="3" t="s">
        <v>244</v>
      </c>
    </row>
    <row r="9297" spans="2:9" x14ac:dyDescent="0.4">
      <c r="B9297" s="8" t="s">
        <v>529</v>
      </c>
      <c r="C9297" s="3" t="s">
        <v>14698</v>
      </c>
      <c r="D9297" s="3" t="s">
        <v>14275</v>
      </c>
      <c r="F9297" s="3" t="s">
        <v>1279</v>
      </c>
      <c r="I9297" s="3" t="s">
        <v>244</v>
      </c>
    </row>
    <row r="9298" spans="2:9" x14ac:dyDescent="0.4">
      <c r="B9298" s="8" t="s">
        <v>517</v>
      </c>
      <c r="C9298" s="3" t="s">
        <v>14700</v>
      </c>
      <c r="D9298" s="3" t="s">
        <v>14276</v>
      </c>
      <c r="F9298" s="3" t="s">
        <v>1279</v>
      </c>
      <c r="I9298" s="3" t="s">
        <v>244</v>
      </c>
    </row>
    <row r="9299" spans="2:9" x14ac:dyDescent="0.4">
      <c r="B9299" s="8" t="s">
        <v>518</v>
      </c>
      <c r="C9299" s="3" t="s">
        <v>14699</v>
      </c>
      <c r="D9299" s="3" t="s">
        <v>14277</v>
      </c>
      <c r="F9299" s="3" t="s">
        <v>1279</v>
      </c>
      <c r="I9299" s="3" t="s">
        <v>244</v>
      </c>
    </row>
    <row r="9300" spans="2:9" x14ac:dyDescent="0.4">
      <c r="B9300" s="8" t="s">
        <v>532</v>
      </c>
      <c r="C9300" s="3" t="s">
        <v>14701</v>
      </c>
      <c r="D9300" s="3" t="s">
        <v>14278</v>
      </c>
      <c r="F9300" s="3" t="s">
        <v>1279</v>
      </c>
      <c r="I9300" s="3" t="s">
        <v>244</v>
      </c>
    </row>
    <row r="9301" spans="2:9" x14ac:dyDescent="0.4">
      <c r="B9301" s="8" t="s">
        <v>520</v>
      </c>
      <c r="C9301" s="3" t="s">
        <v>14702</v>
      </c>
      <c r="D9301" s="3" t="s">
        <v>14279</v>
      </c>
      <c r="F9301" s="3" t="s">
        <v>1279</v>
      </c>
      <c r="I9301" s="3" t="s">
        <v>244</v>
      </c>
    </row>
    <row r="9302" spans="2:9" x14ac:dyDescent="0.4">
      <c r="B9302" s="8" t="s">
        <v>530</v>
      </c>
      <c r="C9302" s="3" t="s">
        <v>14703</v>
      </c>
      <c r="D9302" s="3" t="s">
        <v>14280</v>
      </c>
      <c r="F9302" s="3" t="s">
        <v>1279</v>
      </c>
      <c r="I9302" s="3" t="s">
        <v>244</v>
      </c>
    </row>
    <row r="9303" spans="2:9" x14ac:dyDescent="0.4">
      <c r="B9303" s="8" t="s">
        <v>517</v>
      </c>
      <c r="C9303" s="3" t="s">
        <v>14704</v>
      </c>
      <c r="D9303" s="3" t="s">
        <v>14281</v>
      </c>
      <c r="F9303" s="3" t="s">
        <v>1279</v>
      </c>
      <c r="I9303" s="3" t="s">
        <v>244</v>
      </c>
    </row>
    <row r="9304" spans="2:9" x14ac:dyDescent="0.4">
      <c r="B9304" s="8" t="s">
        <v>518</v>
      </c>
      <c r="C9304" s="3" t="s">
        <v>14705</v>
      </c>
      <c r="D9304" s="3" t="s">
        <v>14282</v>
      </c>
      <c r="F9304" s="3" t="s">
        <v>1279</v>
      </c>
      <c r="I9304" s="3" t="s">
        <v>244</v>
      </c>
    </row>
    <row r="9305" spans="2:9" x14ac:dyDescent="0.4">
      <c r="B9305" s="8" t="s">
        <v>529</v>
      </c>
      <c r="C9305" s="3" t="s">
        <v>14706</v>
      </c>
      <c r="D9305" s="3" t="s">
        <v>14283</v>
      </c>
      <c r="F9305" s="3" t="s">
        <v>1279</v>
      </c>
      <c r="I9305" s="3" t="s">
        <v>244</v>
      </c>
    </row>
    <row r="9306" spans="2:9" x14ac:dyDescent="0.4">
      <c r="B9306" s="8" t="s">
        <v>518</v>
      </c>
      <c r="C9306" s="3" t="s">
        <v>14707</v>
      </c>
      <c r="D9306" s="3" t="s">
        <v>14284</v>
      </c>
      <c r="F9306" s="3" t="s">
        <v>1279</v>
      </c>
      <c r="I9306" s="3" t="s">
        <v>244</v>
      </c>
    </row>
    <row r="9307" spans="2:9" x14ac:dyDescent="0.4">
      <c r="B9307" s="8" t="s">
        <v>529</v>
      </c>
      <c r="C9307" s="3" t="s">
        <v>14710</v>
      </c>
      <c r="D9307" s="3" t="s">
        <v>14285</v>
      </c>
      <c r="F9307" s="3" t="s">
        <v>1279</v>
      </c>
      <c r="I9307" s="3" t="s">
        <v>244</v>
      </c>
    </row>
    <row r="9308" spans="2:9" x14ac:dyDescent="0.4">
      <c r="B9308" s="8" t="s">
        <v>532</v>
      </c>
      <c r="C9308" s="3" t="s">
        <v>14711</v>
      </c>
      <c r="D9308" s="3" t="s">
        <v>14286</v>
      </c>
      <c r="F9308" s="3" t="s">
        <v>1279</v>
      </c>
      <c r="I9308" s="3" t="s">
        <v>244</v>
      </c>
    </row>
    <row r="9309" spans="2:9" x14ac:dyDescent="0.4">
      <c r="B9309" s="8" t="s">
        <v>531</v>
      </c>
      <c r="C9309" s="3" t="s">
        <v>14712</v>
      </c>
      <c r="D9309" s="3" t="s">
        <v>14287</v>
      </c>
      <c r="F9309" s="3" t="s">
        <v>1279</v>
      </c>
      <c r="I9309" s="3" t="s">
        <v>244</v>
      </c>
    </row>
    <row r="9310" spans="2:9" x14ac:dyDescent="0.4">
      <c r="B9310" s="8" t="s">
        <v>529</v>
      </c>
      <c r="C9310" s="3" t="s">
        <v>14713</v>
      </c>
      <c r="D9310" s="3" t="s">
        <v>14288</v>
      </c>
      <c r="F9310" s="3" t="s">
        <v>1279</v>
      </c>
      <c r="I9310" s="3" t="s">
        <v>244</v>
      </c>
    </row>
    <row r="9311" spans="2:9" x14ac:dyDescent="0.4">
      <c r="B9311" s="8" t="s">
        <v>531</v>
      </c>
      <c r="C9311" s="3" t="s">
        <v>14714</v>
      </c>
      <c r="D9311" s="3" t="s">
        <v>14177</v>
      </c>
      <c r="F9311" s="3" t="s">
        <v>1279</v>
      </c>
      <c r="I9311" s="3" t="s">
        <v>244</v>
      </c>
    </row>
    <row r="9312" spans="2:9" x14ac:dyDescent="0.4">
      <c r="B9312" s="8" t="s">
        <v>530</v>
      </c>
      <c r="C9312" s="3" t="s">
        <v>14715</v>
      </c>
      <c r="D9312" s="3" t="s">
        <v>14289</v>
      </c>
      <c r="F9312" s="3" t="s">
        <v>1279</v>
      </c>
      <c r="I9312" s="3" t="s">
        <v>244</v>
      </c>
    </row>
    <row r="9313" spans="2:9" x14ac:dyDescent="0.4">
      <c r="B9313" s="8" t="s">
        <v>531</v>
      </c>
      <c r="C9313" s="3" t="s">
        <v>14716</v>
      </c>
      <c r="D9313" s="3" t="s">
        <v>14290</v>
      </c>
      <c r="F9313" s="3" t="s">
        <v>1279</v>
      </c>
      <c r="I9313" s="3" t="s">
        <v>244</v>
      </c>
    </row>
    <row r="9314" spans="2:9" x14ac:dyDescent="0.4">
      <c r="B9314" s="8" t="s">
        <v>517</v>
      </c>
      <c r="C9314" s="3" t="s">
        <v>14717</v>
      </c>
      <c r="D9314" s="3" t="s">
        <v>14291</v>
      </c>
      <c r="F9314" s="3" t="s">
        <v>1279</v>
      </c>
      <c r="I9314" s="3" t="s">
        <v>244</v>
      </c>
    </row>
    <row r="9315" spans="2:9" x14ac:dyDescent="0.4">
      <c r="B9315" s="8" t="s">
        <v>529</v>
      </c>
      <c r="C9315" s="3" t="s">
        <v>14718</v>
      </c>
      <c r="D9315" s="3" t="s">
        <v>14292</v>
      </c>
      <c r="F9315" s="3" t="s">
        <v>1279</v>
      </c>
      <c r="I9315" s="3" t="s">
        <v>244</v>
      </c>
    </row>
    <row r="9316" spans="2:9" x14ac:dyDescent="0.4">
      <c r="B9316" s="8" t="s">
        <v>520</v>
      </c>
      <c r="C9316" s="3" t="s">
        <v>14719</v>
      </c>
      <c r="D9316" s="3" t="s">
        <v>14293</v>
      </c>
      <c r="F9316" s="3" t="s">
        <v>1279</v>
      </c>
      <c r="I9316" s="3" t="s">
        <v>244</v>
      </c>
    </row>
    <row r="9317" spans="2:9" x14ac:dyDescent="0.4">
      <c r="B9317" s="8" t="s">
        <v>529</v>
      </c>
      <c r="C9317" s="3" t="s">
        <v>14720</v>
      </c>
      <c r="D9317" s="3" t="s">
        <v>14294</v>
      </c>
      <c r="F9317" s="3" t="s">
        <v>1279</v>
      </c>
      <c r="I9317" s="3" t="s">
        <v>244</v>
      </c>
    </row>
    <row r="9318" spans="2:9" x14ac:dyDescent="0.4">
      <c r="B9318" s="8" t="s">
        <v>518</v>
      </c>
      <c r="C9318" s="3" t="s">
        <v>14721</v>
      </c>
      <c r="D9318" s="3" t="s">
        <v>14295</v>
      </c>
      <c r="F9318" s="3" t="s">
        <v>1279</v>
      </c>
      <c r="I9318" s="3" t="s">
        <v>244</v>
      </c>
    </row>
    <row r="9319" spans="2:9" x14ac:dyDescent="0.4">
      <c r="B9319" s="8" t="s">
        <v>517</v>
      </c>
      <c r="C9319" s="3" t="s">
        <v>14722</v>
      </c>
      <c r="D9319" s="3" t="s">
        <v>14296</v>
      </c>
      <c r="F9319" s="3" t="s">
        <v>1279</v>
      </c>
      <c r="I9319" s="3" t="s">
        <v>244</v>
      </c>
    </row>
    <row r="9320" spans="2:9" x14ac:dyDescent="0.4">
      <c r="B9320" s="8" t="s">
        <v>517</v>
      </c>
      <c r="C9320" s="3" t="s">
        <v>14723</v>
      </c>
      <c r="D9320" s="3" t="s">
        <v>14297</v>
      </c>
      <c r="F9320" s="3" t="s">
        <v>1279</v>
      </c>
      <c r="I9320" s="3" t="s">
        <v>244</v>
      </c>
    </row>
    <row r="9321" spans="2:9" x14ac:dyDescent="0.4">
      <c r="B9321" s="8" t="s">
        <v>517</v>
      </c>
      <c r="C9321" s="3" t="s">
        <v>14724</v>
      </c>
      <c r="D9321" s="3" t="s">
        <v>14298</v>
      </c>
      <c r="F9321" s="3" t="s">
        <v>1279</v>
      </c>
      <c r="I9321" s="3" t="s">
        <v>244</v>
      </c>
    </row>
    <row r="9322" spans="2:9" x14ac:dyDescent="0.4">
      <c r="B9322" s="8" t="s">
        <v>518</v>
      </c>
      <c r="C9322" s="3" t="s">
        <v>14725</v>
      </c>
      <c r="D9322" s="3" t="s">
        <v>14299</v>
      </c>
      <c r="F9322" s="3" t="s">
        <v>1279</v>
      </c>
      <c r="I9322" s="3" t="s">
        <v>244</v>
      </c>
    </row>
    <row r="9323" spans="2:9" x14ac:dyDescent="0.4">
      <c r="B9323" s="8" t="s">
        <v>529</v>
      </c>
      <c r="C9323" s="3" t="s">
        <v>14726</v>
      </c>
      <c r="D9323" s="3" t="s">
        <v>14300</v>
      </c>
      <c r="F9323" s="3" t="s">
        <v>1279</v>
      </c>
      <c r="I9323" s="3" t="s">
        <v>244</v>
      </c>
    </row>
    <row r="9324" spans="2:9" x14ac:dyDescent="0.4">
      <c r="B9324" s="8" t="s">
        <v>517</v>
      </c>
      <c r="C9324" s="3" t="s">
        <v>14727</v>
      </c>
      <c r="D9324" s="3" t="s">
        <v>14301</v>
      </c>
      <c r="F9324" s="3" t="s">
        <v>1279</v>
      </c>
      <c r="I9324" s="3" t="s">
        <v>244</v>
      </c>
    </row>
    <row r="9325" spans="2:9" x14ac:dyDescent="0.4">
      <c r="B9325" s="8" t="s">
        <v>517</v>
      </c>
      <c r="C9325" s="3" t="s">
        <v>14728</v>
      </c>
      <c r="D9325" s="3" t="s">
        <v>14302</v>
      </c>
      <c r="F9325" s="3" t="s">
        <v>1279</v>
      </c>
      <c r="I9325" s="3" t="s">
        <v>244</v>
      </c>
    </row>
    <row r="9326" spans="2:9" x14ac:dyDescent="0.4">
      <c r="B9326" s="8" t="s">
        <v>532</v>
      </c>
      <c r="C9326" s="3" t="s">
        <v>14729</v>
      </c>
      <c r="D9326" s="3" t="s">
        <v>14303</v>
      </c>
      <c r="F9326" s="3" t="s">
        <v>1279</v>
      </c>
      <c r="I9326" s="3" t="s">
        <v>244</v>
      </c>
    </row>
    <row r="9327" spans="2:9" x14ac:dyDescent="0.4">
      <c r="B9327" s="8" t="s">
        <v>518</v>
      </c>
      <c r="C9327" s="3" t="s">
        <v>14730</v>
      </c>
      <c r="D9327" s="3" t="s">
        <v>14304</v>
      </c>
      <c r="F9327" s="3" t="s">
        <v>1279</v>
      </c>
      <c r="I9327" s="3" t="s">
        <v>244</v>
      </c>
    </row>
    <row r="9328" spans="2:9" x14ac:dyDescent="0.4">
      <c r="B9328" s="8" t="s">
        <v>518</v>
      </c>
      <c r="C9328" s="3" t="s">
        <v>14731</v>
      </c>
      <c r="D9328" s="3" t="s">
        <v>14305</v>
      </c>
      <c r="F9328" s="3" t="s">
        <v>1279</v>
      </c>
      <c r="I9328" s="3" t="s">
        <v>244</v>
      </c>
    </row>
    <row r="9329" spans="2:9" x14ac:dyDescent="0.4">
      <c r="B9329" s="8" t="s">
        <v>518</v>
      </c>
      <c r="C9329" s="3" t="s">
        <v>14732</v>
      </c>
      <c r="D9329" s="3" t="s">
        <v>14306</v>
      </c>
      <c r="F9329" s="3" t="s">
        <v>1279</v>
      </c>
      <c r="I9329" s="3" t="s">
        <v>244</v>
      </c>
    </row>
    <row r="9330" spans="2:9" x14ac:dyDescent="0.4">
      <c r="B9330" s="8" t="s">
        <v>518</v>
      </c>
      <c r="C9330" s="3" t="s">
        <v>14733</v>
      </c>
      <c r="D9330" s="3" t="s">
        <v>14307</v>
      </c>
      <c r="F9330" s="3" t="s">
        <v>1279</v>
      </c>
      <c r="I9330" s="3" t="s">
        <v>244</v>
      </c>
    </row>
    <row r="9331" spans="2:9" x14ac:dyDescent="0.4">
      <c r="B9331" s="8" t="s">
        <v>518</v>
      </c>
      <c r="C9331" s="3" t="s">
        <v>14734</v>
      </c>
      <c r="D9331" s="3" t="s">
        <v>14308</v>
      </c>
      <c r="F9331" s="3" t="s">
        <v>1279</v>
      </c>
      <c r="I9331" s="3" t="s">
        <v>244</v>
      </c>
    </row>
    <row r="9332" spans="2:9" x14ac:dyDescent="0.4">
      <c r="B9332" s="8" t="s">
        <v>532</v>
      </c>
      <c r="C9332" s="3" t="s">
        <v>14735</v>
      </c>
      <c r="D9332" s="3" t="s">
        <v>14309</v>
      </c>
      <c r="F9332" s="3" t="s">
        <v>1279</v>
      </c>
      <c r="I9332" s="3" t="s">
        <v>244</v>
      </c>
    </row>
    <row r="9333" spans="2:9" x14ac:dyDescent="0.4">
      <c r="B9333" s="8" t="s">
        <v>518</v>
      </c>
      <c r="C9333" s="3" t="s">
        <v>14736</v>
      </c>
      <c r="D9333" s="3" t="s">
        <v>14310</v>
      </c>
      <c r="F9333" s="3" t="s">
        <v>1279</v>
      </c>
      <c r="I9333" s="3" t="s">
        <v>244</v>
      </c>
    </row>
    <row r="9334" spans="2:9" x14ac:dyDescent="0.4">
      <c r="B9334" s="8" t="s">
        <v>529</v>
      </c>
      <c r="C9334" s="3" t="s">
        <v>14737</v>
      </c>
      <c r="D9334" s="3" t="s">
        <v>14311</v>
      </c>
      <c r="F9334" s="3" t="s">
        <v>1279</v>
      </c>
      <c r="I9334" s="3" t="s">
        <v>244</v>
      </c>
    </row>
    <row r="9335" spans="2:9" x14ac:dyDescent="0.4">
      <c r="B9335" s="8" t="s">
        <v>520</v>
      </c>
      <c r="C9335" s="3" t="s">
        <v>14738</v>
      </c>
      <c r="D9335" s="3" t="s">
        <v>14312</v>
      </c>
      <c r="F9335" s="3" t="s">
        <v>1279</v>
      </c>
      <c r="I9335" s="3" t="s">
        <v>244</v>
      </c>
    </row>
    <row r="9336" spans="2:9" x14ac:dyDescent="0.4">
      <c r="B9336" s="8" t="s">
        <v>518</v>
      </c>
      <c r="C9336" s="3" t="s">
        <v>14739</v>
      </c>
      <c r="D9336" s="3" t="s">
        <v>14313</v>
      </c>
      <c r="F9336" s="3" t="s">
        <v>1279</v>
      </c>
      <c r="I9336" s="3" t="s">
        <v>244</v>
      </c>
    </row>
    <row r="9337" spans="2:9" x14ac:dyDescent="0.4">
      <c r="B9337" s="8" t="s">
        <v>529</v>
      </c>
      <c r="C9337" s="3" t="s">
        <v>14740</v>
      </c>
      <c r="D9337" s="3" t="s">
        <v>14314</v>
      </c>
      <c r="F9337" s="3" t="s">
        <v>1279</v>
      </c>
      <c r="I9337" s="3" t="s">
        <v>244</v>
      </c>
    </row>
    <row r="9338" spans="2:9" x14ac:dyDescent="0.4">
      <c r="B9338" s="8" t="s">
        <v>531</v>
      </c>
      <c r="C9338" s="3" t="s">
        <v>14741</v>
      </c>
      <c r="D9338" s="3" t="s">
        <v>14315</v>
      </c>
      <c r="F9338" s="3" t="s">
        <v>1279</v>
      </c>
      <c r="I9338" s="3" t="s">
        <v>244</v>
      </c>
    </row>
    <row r="9339" spans="2:9" x14ac:dyDescent="0.4">
      <c r="B9339" s="8" t="s">
        <v>517</v>
      </c>
      <c r="C9339" s="3" t="s">
        <v>14742</v>
      </c>
      <c r="D9339" s="3" t="s">
        <v>14316</v>
      </c>
      <c r="F9339" s="3" t="s">
        <v>1279</v>
      </c>
      <c r="I9339" s="3" t="s">
        <v>244</v>
      </c>
    </row>
    <row r="9340" spans="2:9" x14ac:dyDescent="0.4">
      <c r="B9340" s="8" t="s">
        <v>529</v>
      </c>
      <c r="C9340" s="3" t="s">
        <v>14743</v>
      </c>
      <c r="D9340" s="3" t="s">
        <v>14317</v>
      </c>
      <c r="F9340" s="3" t="s">
        <v>1279</v>
      </c>
      <c r="I9340" s="3" t="s">
        <v>244</v>
      </c>
    </row>
    <row r="9341" spans="2:9" x14ac:dyDescent="0.4">
      <c r="B9341" s="8" t="s">
        <v>520</v>
      </c>
      <c r="C9341" s="3" t="s">
        <v>14744</v>
      </c>
      <c r="D9341" s="3" t="s">
        <v>14318</v>
      </c>
      <c r="F9341" s="3" t="s">
        <v>1279</v>
      </c>
      <c r="I9341" s="3" t="s">
        <v>244</v>
      </c>
    </row>
    <row r="9342" spans="2:9" x14ac:dyDescent="0.4">
      <c r="B9342" s="8" t="s">
        <v>531</v>
      </c>
      <c r="C9342" s="3" t="s">
        <v>14745</v>
      </c>
      <c r="D9342" s="3" t="s">
        <v>14319</v>
      </c>
      <c r="F9342" s="3" t="s">
        <v>1279</v>
      </c>
      <c r="I9342" s="3" t="s">
        <v>244</v>
      </c>
    </row>
    <row r="9343" spans="2:9" x14ac:dyDescent="0.4">
      <c r="B9343" s="8" t="s">
        <v>529</v>
      </c>
      <c r="C9343" s="3" t="s">
        <v>14746</v>
      </c>
      <c r="D9343" s="3" t="s">
        <v>14320</v>
      </c>
      <c r="F9343" s="3" t="s">
        <v>1279</v>
      </c>
      <c r="I9343" s="3" t="s">
        <v>244</v>
      </c>
    </row>
    <row r="9344" spans="2:9" x14ac:dyDescent="0.4">
      <c r="B9344" s="8" t="s">
        <v>529</v>
      </c>
      <c r="C9344" s="3" t="s">
        <v>14747</v>
      </c>
      <c r="D9344" s="3" t="s">
        <v>14321</v>
      </c>
      <c r="F9344" s="3" t="s">
        <v>1279</v>
      </c>
      <c r="I9344" s="3" t="s">
        <v>244</v>
      </c>
    </row>
    <row r="9345" spans="2:9" x14ac:dyDescent="0.4">
      <c r="B9345" s="8" t="s">
        <v>529</v>
      </c>
      <c r="C9345" s="3" t="s">
        <v>14748</v>
      </c>
      <c r="D9345" s="3" t="s">
        <v>14322</v>
      </c>
      <c r="F9345" s="3" t="s">
        <v>1279</v>
      </c>
      <c r="I9345" s="3" t="s">
        <v>244</v>
      </c>
    </row>
    <row r="9346" spans="2:9" x14ac:dyDescent="0.4">
      <c r="B9346" s="8" t="s">
        <v>529</v>
      </c>
      <c r="C9346" s="3" t="s">
        <v>14749</v>
      </c>
      <c r="D9346" s="3" t="s">
        <v>14323</v>
      </c>
      <c r="F9346" s="3" t="s">
        <v>1279</v>
      </c>
      <c r="I9346" s="3" t="s">
        <v>244</v>
      </c>
    </row>
    <row r="9347" spans="2:9" x14ac:dyDescent="0.4">
      <c r="B9347" s="8" t="s">
        <v>529</v>
      </c>
      <c r="C9347" s="3" t="s">
        <v>14750</v>
      </c>
      <c r="D9347" s="3" t="s">
        <v>14324</v>
      </c>
      <c r="F9347" s="3" t="s">
        <v>1279</v>
      </c>
      <c r="I9347" s="3" t="s">
        <v>244</v>
      </c>
    </row>
    <row r="9348" spans="2:9" x14ac:dyDescent="0.4">
      <c r="B9348" s="8" t="s">
        <v>518</v>
      </c>
      <c r="C9348" s="3" t="s">
        <v>14751</v>
      </c>
      <c r="D9348" s="3" t="s">
        <v>14325</v>
      </c>
      <c r="F9348" s="3" t="s">
        <v>1279</v>
      </c>
      <c r="I9348" s="3" t="s">
        <v>244</v>
      </c>
    </row>
    <row r="9349" spans="2:9" x14ac:dyDescent="0.4">
      <c r="B9349" s="8" t="s">
        <v>518</v>
      </c>
      <c r="C9349" s="3" t="s">
        <v>14752</v>
      </c>
      <c r="D9349" s="3" t="s">
        <v>14326</v>
      </c>
      <c r="F9349" s="3" t="s">
        <v>1279</v>
      </c>
      <c r="I9349" s="3" t="s">
        <v>244</v>
      </c>
    </row>
    <row r="9350" spans="2:9" x14ac:dyDescent="0.4">
      <c r="B9350" s="8" t="s">
        <v>518</v>
      </c>
      <c r="C9350" s="3" t="s">
        <v>14753</v>
      </c>
      <c r="D9350" s="3" t="s">
        <v>14327</v>
      </c>
      <c r="F9350" s="3" t="s">
        <v>1279</v>
      </c>
      <c r="I9350" s="3" t="s">
        <v>244</v>
      </c>
    </row>
    <row r="9351" spans="2:9" x14ac:dyDescent="0.4">
      <c r="B9351" s="8" t="s">
        <v>529</v>
      </c>
      <c r="C9351" s="3" t="s">
        <v>14754</v>
      </c>
      <c r="D9351" s="3" t="s">
        <v>14328</v>
      </c>
      <c r="F9351" s="3" t="s">
        <v>1279</v>
      </c>
      <c r="I9351" s="3" t="s">
        <v>244</v>
      </c>
    </row>
    <row r="9352" spans="2:9" x14ac:dyDescent="0.4">
      <c r="B9352" s="8" t="s">
        <v>532</v>
      </c>
      <c r="C9352" s="3" t="s">
        <v>14755</v>
      </c>
      <c r="D9352" s="3" t="s">
        <v>14329</v>
      </c>
      <c r="F9352" s="3" t="s">
        <v>1279</v>
      </c>
      <c r="I9352" s="3" t="s">
        <v>244</v>
      </c>
    </row>
    <row r="9353" spans="2:9" x14ac:dyDescent="0.4">
      <c r="B9353" s="8" t="s">
        <v>518</v>
      </c>
      <c r="C9353" s="3" t="s">
        <v>14756</v>
      </c>
      <c r="D9353" s="3" t="s">
        <v>14330</v>
      </c>
      <c r="F9353" s="3" t="s">
        <v>1279</v>
      </c>
      <c r="I9353" s="3" t="s">
        <v>244</v>
      </c>
    </row>
    <row r="9354" spans="2:9" x14ac:dyDescent="0.4">
      <c r="B9354" s="8" t="s">
        <v>520</v>
      </c>
      <c r="C9354" s="3" t="s">
        <v>14757</v>
      </c>
      <c r="D9354" s="3" t="s">
        <v>14331</v>
      </c>
      <c r="F9354" s="3" t="s">
        <v>1279</v>
      </c>
      <c r="I9354" s="3" t="s">
        <v>244</v>
      </c>
    </row>
    <row r="9355" spans="2:9" x14ac:dyDescent="0.4">
      <c r="B9355" s="8" t="s">
        <v>517</v>
      </c>
      <c r="C9355" s="3" t="s">
        <v>14758</v>
      </c>
      <c r="D9355" s="3" t="s">
        <v>14332</v>
      </c>
      <c r="F9355" s="3" t="s">
        <v>1279</v>
      </c>
      <c r="I9355" s="3" t="s">
        <v>244</v>
      </c>
    </row>
    <row r="9356" spans="2:9" x14ac:dyDescent="0.4">
      <c r="B9356" s="8" t="s">
        <v>520</v>
      </c>
      <c r="C9356" s="3" t="s">
        <v>14759</v>
      </c>
      <c r="D9356" s="3" t="s">
        <v>14333</v>
      </c>
      <c r="F9356" s="3" t="s">
        <v>1279</v>
      </c>
      <c r="I9356" s="3" t="s">
        <v>244</v>
      </c>
    </row>
    <row r="9357" spans="2:9" x14ac:dyDescent="0.4">
      <c r="B9357" s="8" t="s">
        <v>518</v>
      </c>
      <c r="C9357" s="3" t="s">
        <v>14760</v>
      </c>
      <c r="D9357" s="3" t="s">
        <v>14334</v>
      </c>
      <c r="F9357" s="3" t="s">
        <v>1279</v>
      </c>
      <c r="I9357" s="3" t="s">
        <v>244</v>
      </c>
    </row>
    <row r="9358" spans="2:9" x14ac:dyDescent="0.4">
      <c r="B9358" s="8" t="s">
        <v>532</v>
      </c>
      <c r="C9358" s="3" t="s">
        <v>14761</v>
      </c>
      <c r="D9358" s="3" t="s">
        <v>14335</v>
      </c>
      <c r="F9358" s="3" t="s">
        <v>1279</v>
      </c>
      <c r="I9358" s="3" t="s">
        <v>244</v>
      </c>
    </row>
    <row r="9359" spans="2:9" x14ac:dyDescent="0.4">
      <c r="B9359" s="8" t="s">
        <v>529</v>
      </c>
      <c r="C9359" s="3" t="s">
        <v>14762</v>
      </c>
      <c r="D9359" s="3" t="s">
        <v>14336</v>
      </c>
      <c r="F9359" s="3" t="s">
        <v>1279</v>
      </c>
      <c r="I9359" s="3" t="s">
        <v>244</v>
      </c>
    </row>
    <row r="9360" spans="2:9" x14ac:dyDescent="0.4">
      <c r="B9360" s="8" t="s">
        <v>529</v>
      </c>
      <c r="C9360" s="3" t="s">
        <v>14763</v>
      </c>
      <c r="D9360" s="3" t="s">
        <v>14337</v>
      </c>
      <c r="F9360" s="3" t="s">
        <v>1279</v>
      </c>
      <c r="I9360" s="3" t="s">
        <v>244</v>
      </c>
    </row>
    <row r="9361" spans="2:9" x14ac:dyDescent="0.4">
      <c r="B9361" s="8" t="s">
        <v>520</v>
      </c>
      <c r="C9361" s="3" t="s">
        <v>14764</v>
      </c>
      <c r="D9361" s="3" t="s">
        <v>14338</v>
      </c>
      <c r="F9361" s="3" t="s">
        <v>1279</v>
      </c>
      <c r="I9361" s="3" t="s">
        <v>244</v>
      </c>
    </row>
    <row r="9362" spans="2:9" x14ac:dyDescent="0.4">
      <c r="B9362" s="8" t="s">
        <v>518</v>
      </c>
      <c r="C9362" s="3" t="s">
        <v>14765</v>
      </c>
      <c r="D9362" s="3" t="s">
        <v>14339</v>
      </c>
      <c r="F9362" s="3" t="s">
        <v>1279</v>
      </c>
      <c r="I9362" s="3" t="s">
        <v>244</v>
      </c>
    </row>
    <row r="9363" spans="2:9" x14ac:dyDescent="0.4">
      <c r="B9363" s="8" t="s">
        <v>531</v>
      </c>
      <c r="C9363" s="3" t="s">
        <v>14766</v>
      </c>
      <c r="D9363" s="3" t="s">
        <v>14340</v>
      </c>
      <c r="F9363" s="3" t="s">
        <v>1279</v>
      </c>
      <c r="I9363" s="3" t="s">
        <v>244</v>
      </c>
    </row>
    <row r="9364" spans="2:9" x14ac:dyDescent="0.4">
      <c r="B9364" s="8" t="s">
        <v>518</v>
      </c>
      <c r="C9364" s="3" t="s">
        <v>14767</v>
      </c>
      <c r="D9364" s="3" t="s">
        <v>14341</v>
      </c>
      <c r="F9364" s="3" t="s">
        <v>1279</v>
      </c>
      <c r="I9364" s="3" t="s">
        <v>244</v>
      </c>
    </row>
    <row r="9365" spans="2:9" x14ac:dyDescent="0.4">
      <c r="B9365" s="8" t="s">
        <v>517</v>
      </c>
      <c r="C9365" s="3" t="s">
        <v>14768</v>
      </c>
      <c r="D9365" s="3" t="s">
        <v>14342</v>
      </c>
      <c r="F9365" s="3" t="s">
        <v>1279</v>
      </c>
      <c r="I9365" s="3" t="s">
        <v>244</v>
      </c>
    </row>
    <row r="9366" spans="2:9" x14ac:dyDescent="0.4">
      <c r="B9366" s="8" t="s">
        <v>531</v>
      </c>
      <c r="C9366" s="3" t="s">
        <v>14769</v>
      </c>
      <c r="D9366" s="3" t="s">
        <v>14343</v>
      </c>
      <c r="F9366" s="3" t="s">
        <v>1279</v>
      </c>
      <c r="I9366" s="3" t="s">
        <v>244</v>
      </c>
    </row>
    <row r="9367" spans="2:9" x14ac:dyDescent="0.4">
      <c r="B9367" s="8" t="s">
        <v>518</v>
      </c>
      <c r="C9367" s="3" t="s">
        <v>14770</v>
      </c>
      <c r="D9367" s="3" t="s">
        <v>14344</v>
      </c>
      <c r="F9367" s="3" t="s">
        <v>1279</v>
      </c>
      <c r="I9367" s="3" t="s">
        <v>244</v>
      </c>
    </row>
    <row r="9368" spans="2:9" x14ac:dyDescent="0.4">
      <c r="B9368" s="8" t="s">
        <v>517</v>
      </c>
      <c r="C9368" s="3" t="s">
        <v>14771</v>
      </c>
      <c r="D9368" s="3" t="s">
        <v>14345</v>
      </c>
      <c r="F9368" s="3" t="s">
        <v>1279</v>
      </c>
      <c r="I9368" s="3" t="s">
        <v>244</v>
      </c>
    </row>
    <row r="9369" spans="2:9" x14ac:dyDescent="0.4">
      <c r="B9369" s="8" t="s">
        <v>518</v>
      </c>
      <c r="C9369" s="3" t="s">
        <v>14779</v>
      </c>
      <c r="D9369" s="3" t="s">
        <v>14346</v>
      </c>
      <c r="F9369" s="3" t="s">
        <v>1279</v>
      </c>
      <c r="I9369" s="3" t="s">
        <v>244</v>
      </c>
    </row>
    <row r="9370" spans="2:9" x14ac:dyDescent="0.4">
      <c r="B9370" s="8" t="s">
        <v>520</v>
      </c>
      <c r="C9370" s="3" t="s">
        <v>14772</v>
      </c>
      <c r="D9370" s="3" t="s">
        <v>14347</v>
      </c>
      <c r="F9370" s="3" t="s">
        <v>1279</v>
      </c>
      <c r="I9370" s="3" t="s">
        <v>244</v>
      </c>
    </row>
    <row r="9371" spans="2:9" x14ac:dyDescent="0.4">
      <c r="B9371" s="8" t="s">
        <v>529</v>
      </c>
      <c r="C9371" s="3" t="s">
        <v>14773</v>
      </c>
      <c r="D9371" s="3" t="s">
        <v>14348</v>
      </c>
      <c r="F9371" s="3" t="s">
        <v>1279</v>
      </c>
      <c r="I9371" s="3" t="s">
        <v>244</v>
      </c>
    </row>
    <row r="9372" spans="2:9" x14ac:dyDescent="0.4">
      <c r="B9372" s="8" t="s">
        <v>518</v>
      </c>
      <c r="C9372" s="3" t="s">
        <v>12280</v>
      </c>
      <c r="D9372" s="3" t="s">
        <v>11936</v>
      </c>
      <c r="F9372" s="3" t="s">
        <v>1279</v>
      </c>
      <c r="I9372" s="3" t="s">
        <v>244</v>
      </c>
    </row>
    <row r="9373" spans="2:9" x14ac:dyDescent="0.4">
      <c r="B9373" s="8" t="s">
        <v>518</v>
      </c>
      <c r="C9373" s="3" t="s">
        <v>14774</v>
      </c>
      <c r="D9373" s="3" t="s">
        <v>14349</v>
      </c>
      <c r="F9373" s="3" t="s">
        <v>1279</v>
      </c>
      <c r="I9373" s="3" t="s">
        <v>244</v>
      </c>
    </row>
    <row r="9374" spans="2:9" x14ac:dyDescent="0.4">
      <c r="B9374" s="8" t="s">
        <v>518</v>
      </c>
      <c r="C9374" s="3" t="s">
        <v>14775</v>
      </c>
      <c r="D9374" s="3" t="s">
        <v>14350</v>
      </c>
      <c r="F9374" s="3" t="s">
        <v>1279</v>
      </c>
      <c r="I9374" s="3" t="s">
        <v>244</v>
      </c>
    </row>
    <row r="9375" spans="2:9" x14ac:dyDescent="0.4">
      <c r="B9375" s="8" t="s">
        <v>520</v>
      </c>
      <c r="C9375" s="3" t="s">
        <v>14776</v>
      </c>
      <c r="D9375" s="3" t="s">
        <v>14351</v>
      </c>
      <c r="F9375" s="3" t="s">
        <v>1279</v>
      </c>
      <c r="I9375" s="3" t="s">
        <v>244</v>
      </c>
    </row>
    <row r="9376" spans="2:9" x14ac:dyDescent="0.4">
      <c r="B9376" s="8" t="s">
        <v>530</v>
      </c>
      <c r="C9376" s="3" t="s">
        <v>12331</v>
      </c>
      <c r="D9376" s="3" t="s">
        <v>11998</v>
      </c>
      <c r="F9376" s="3" t="s">
        <v>1279</v>
      </c>
      <c r="I9376" s="3" t="s">
        <v>244</v>
      </c>
    </row>
    <row r="9377" spans="2:9" x14ac:dyDescent="0.4">
      <c r="B9377" s="8" t="s">
        <v>532</v>
      </c>
      <c r="C9377" s="3" t="s">
        <v>14777</v>
      </c>
      <c r="D9377" s="3" t="s">
        <v>14352</v>
      </c>
      <c r="F9377" s="3" t="s">
        <v>1279</v>
      </c>
      <c r="I9377" s="3" t="s">
        <v>244</v>
      </c>
    </row>
    <row r="9378" spans="2:9" x14ac:dyDescent="0.4">
      <c r="B9378" s="8" t="s">
        <v>531</v>
      </c>
      <c r="C9378" s="3" t="s">
        <v>14778</v>
      </c>
      <c r="D9378" s="3" t="s">
        <v>14353</v>
      </c>
      <c r="F9378" s="3" t="s">
        <v>1279</v>
      </c>
      <c r="I9378" s="3" t="s">
        <v>244</v>
      </c>
    </row>
    <row r="9379" spans="2:9" x14ac:dyDescent="0.4">
      <c r="B9379" s="8" t="s">
        <v>520</v>
      </c>
      <c r="C9379" s="3" t="s">
        <v>14780</v>
      </c>
      <c r="D9379" s="3" t="s">
        <v>14354</v>
      </c>
      <c r="F9379" s="3" t="s">
        <v>1279</v>
      </c>
      <c r="I9379" s="3" t="s">
        <v>244</v>
      </c>
    </row>
    <row r="9380" spans="2:9" x14ac:dyDescent="0.4">
      <c r="B9380" s="8" t="s">
        <v>532</v>
      </c>
      <c r="C9380" s="3" t="s">
        <v>14781</v>
      </c>
      <c r="D9380" s="3" t="s">
        <v>14355</v>
      </c>
      <c r="F9380" s="3" t="s">
        <v>1279</v>
      </c>
      <c r="I9380" s="3" t="s">
        <v>244</v>
      </c>
    </row>
    <row r="9381" spans="2:9" x14ac:dyDescent="0.4">
      <c r="B9381" s="8" t="s">
        <v>529</v>
      </c>
      <c r="C9381" s="3" t="s">
        <v>14782</v>
      </c>
      <c r="D9381" s="3" t="s">
        <v>14356</v>
      </c>
      <c r="F9381" s="3" t="s">
        <v>1279</v>
      </c>
      <c r="I9381" s="3" t="s">
        <v>244</v>
      </c>
    </row>
    <row r="9382" spans="2:9" x14ac:dyDescent="0.4">
      <c r="B9382" s="8" t="s">
        <v>517</v>
      </c>
      <c r="C9382" s="3" t="s">
        <v>14783</v>
      </c>
      <c r="D9382" s="3" t="s">
        <v>14357</v>
      </c>
      <c r="F9382" s="3" t="s">
        <v>1279</v>
      </c>
      <c r="I9382" s="3" t="s">
        <v>244</v>
      </c>
    </row>
    <row r="9383" spans="2:9" x14ac:dyDescent="0.4">
      <c r="B9383" s="8" t="s">
        <v>529</v>
      </c>
      <c r="C9383" s="3" t="s">
        <v>14784</v>
      </c>
      <c r="D9383" s="3" t="s">
        <v>14358</v>
      </c>
      <c r="F9383" s="3" t="s">
        <v>1279</v>
      </c>
      <c r="I9383" s="3" t="s">
        <v>244</v>
      </c>
    </row>
    <row r="9384" spans="2:9" x14ac:dyDescent="0.4">
      <c r="B9384" s="8" t="s">
        <v>520</v>
      </c>
      <c r="C9384" s="3" t="s">
        <v>14785</v>
      </c>
      <c r="D9384" s="3" t="s">
        <v>14359</v>
      </c>
      <c r="F9384" s="3" t="s">
        <v>1279</v>
      </c>
      <c r="I9384" s="3" t="s">
        <v>244</v>
      </c>
    </row>
    <row r="9385" spans="2:9" x14ac:dyDescent="0.4">
      <c r="B9385" s="8" t="s">
        <v>520</v>
      </c>
      <c r="C9385" s="3" t="s">
        <v>14786</v>
      </c>
      <c r="D9385" s="3" t="s">
        <v>14360</v>
      </c>
      <c r="F9385" s="3" t="s">
        <v>1279</v>
      </c>
      <c r="I9385" s="3" t="s">
        <v>244</v>
      </c>
    </row>
    <row r="9386" spans="2:9" x14ac:dyDescent="0.4">
      <c r="B9386" s="8" t="s">
        <v>518</v>
      </c>
      <c r="C9386" s="3" t="s">
        <v>14787</v>
      </c>
      <c r="D9386" s="3" t="s">
        <v>14361</v>
      </c>
      <c r="F9386" s="3" t="s">
        <v>1279</v>
      </c>
      <c r="I9386" s="3" t="s">
        <v>244</v>
      </c>
    </row>
    <row r="9387" spans="2:9" x14ac:dyDescent="0.4">
      <c r="B9387" s="8" t="s">
        <v>518</v>
      </c>
      <c r="C9387" s="3" t="s">
        <v>14788</v>
      </c>
      <c r="D9387" s="3" t="s">
        <v>14362</v>
      </c>
      <c r="F9387" s="3" t="s">
        <v>1279</v>
      </c>
      <c r="I9387" s="3" t="s">
        <v>244</v>
      </c>
    </row>
    <row r="9388" spans="2:9" x14ac:dyDescent="0.4">
      <c r="B9388" s="8" t="s">
        <v>518</v>
      </c>
      <c r="C9388" s="3" t="s">
        <v>14789</v>
      </c>
      <c r="D9388" s="3" t="s">
        <v>14363</v>
      </c>
      <c r="F9388" s="3" t="s">
        <v>1279</v>
      </c>
      <c r="I9388" s="3" t="s">
        <v>244</v>
      </c>
    </row>
    <row r="9389" spans="2:9" x14ac:dyDescent="0.4">
      <c r="B9389" s="8" t="s">
        <v>532</v>
      </c>
      <c r="C9389" s="3" t="s">
        <v>14790</v>
      </c>
      <c r="D9389" s="3" t="s">
        <v>14364</v>
      </c>
      <c r="F9389" s="3" t="s">
        <v>1279</v>
      </c>
      <c r="I9389" s="3" t="s">
        <v>244</v>
      </c>
    </row>
    <row r="9390" spans="2:9" x14ac:dyDescent="0.4">
      <c r="B9390" s="8" t="s">
        <v>518</v>
      </c>
      <c r="C9390" s="3" t="s">
        <v>14791</v>
      </c>
      <c r="D9390" s="3" t="s">
        <v>14365</v>
      </c>
      <c r="F9390" s="3" t="s">
        <v>1279</v>
      </c>
      <c r="I9390" s="3" t="s">
        <v>244</v>
      </c>
    </row>
    <row r="9391" spans="2:9" x14ac:dyDescent="0.4">
      <c r="B9391" s="8" t="s">
        <v>529</v>
      </c>
      <c r="C9391" s="3" t="s">
        <v>14792</v>
      </c>
      <c r="D9391" s="3" t="s">
        <v>14366</v>
      </c>
      <c r="F9391" s="3" t="s">
        <v>1279</v>
      </c>
      <c r="I9391" s="3" t="s">
        <v>244</v>
      </c>
    </row>
    <row r="9392" spans="2:9" x14ac:dyDescent="0.4">
      <c r="B9392" s="8" t="s">
        <v>531</v>
      </c>
      <c r="C9392" s="3" t="s">
        <v>14793</v>
      </c>
      <c r="D9392" s="3" t="s">
        <v>14367</v>
      </c>
      <c r="F9392" s="3" t="s">
        <v>1279</v>
      </c>
      <c r="I9392" s="3" t="s">
        <v>244</v>
      </c>
    </row>
    <row r="9393" spans="2:9" x14ac:dyDescent="0.4">
      <c r="B9393" s="8" t="s">
        <v>520</v>
      </c>
      <c r="C9393" s="3" t="s">
        <v>14794</v>
      </c>
      <c r="D9393" s="3" t="s">
        <v>14368</v>
      </c>
      <c r="F9393" s="3" t="s">
        <v>1279</v>
      </c>
      <c r="I9393" s="3" t="s">
        <v>244</v>
      </c>
    </row>
    <row r="9394" spans="2:9" x14ac:dyDescent="0.4">
      <c r="B9394" s="8" t="s">
        <v>518</v>
      </c>
      <c r="C9394" s="3" t="s">
        <v>14795</v>
      </c>
      <c r="D9394" s="3" t="s">
        <v>14369</v>
      </c>
      <c r="F9394" s="3" t="s">
        <v>1279</v>
      </c>
      <c r="I9394" s="3" t="s">
        <v>244</v>
      </c>
    </row>
    <row r="9395" spans="2:9" x14ac:dyDescent="0.4">
      <c r="B9395" s="8" t="s">
        <v>532</v>
      </c>
      <c r="C9395" s="3" t="s">
        <v>14796</v>
      </c>
      <c r="D9395" s="3" t="s">
        <v>14370</v>
      </c>
      <c r="F9395" s="3" t="s">
        <v>1279</v>
      </c>
      <c r="I9395" s="3" t="s">
        <v>244</v>
      </c>
    </row>
    <row r="9396" spans="2:9" x14ac:dyDescent="0.4">
      <c r="B9396" s="8" t="s">
        <v>520</v>
      </c>
      <c r="C9396" s="3" t="s">
        <v>14797</v>
      </c>
      <c r="D9396" s="3" t="s">
        <v>14371</v>
      </c>
      <c r="F9396" s="3" t="s">
        <v>1279</v>
      </c>
      <c r="I9396" s="3" t="s">
        <v>244</v>
      </c>
    </row>
    <row r="9397" spans="2:9" x14ac:dyDescent="0.4">
      <c r="B9397" s="8" t="s">
        <v>518</v>
      </c>
      <c r="C9397" s="3" t="s">
        <v>14798</v>
      </c>
      <c r="D9397" s="3" t="s">
        <v>14372</v>
      </c>
      <c r="F9397" s="3" t="s">
        <v>1279</v>
      </c>
      <c r="I9397" s="3" t="s">
        <v>244</v>
      </c>
    </row>
    <row r="9398" spans="2:9" x14ac:dyDescent="0.4">
      <c r="B9398" s="8" t="s">
        <v>518</v>
      </c>
      <c r="C9398" s="3" t="s">
        <v>14799</v>
      </c>
      <c r="D9398" s="3" t="s">
        <v>14373</v>
      </c>
      <c r="F9398" s="3" t="s">
        <v>1279</v>
      </c>
      <c r="I9398" s="3" t="s">
        <v>244</v>
      </c>
    </row>
    <row r="9399" spans="2:9" x14ac:dyDescent="0.4">
      <c r="B9399" s="8" t="s">
        <v>529</v>
      </c>
      <c r="C9399" s="3" t="s">
        <v>14800</v>
      </c>
      <c r="D9399" s="3" t="s">
        <v>14374</v>
      </c>
      <c r="F9399" s="3" t="s">
        <v>1279</v>
      </c>
      <c r="I9399" s="3" t="s">
        <v>244</v>
      </c>
    </row>
    <row r="9400" spans="2:9" x14ac:dyDescent="0.4">
      <c r="B9400" s="8" t="s">
        <v>529</v>
      </c>
      <c r="C9400" s="3" t="s">
        <v>14801</v>
      </c>
      <c r="D9400" s="3" t="s">
        <v>14375</v>
      </c>
      <c r="F9400" s="3" t="s">
        <v>1279</v>
      </c>
      <c r="I9400" s="3" t="s">
        <v>244</v>
      </c>
    </row>
    <row r="9401" spans="2:9" x14ac:dyDescent="0.4">
      <c r="B9401" s="8" t="s">
        <v>520</v>
      </c>
      <c r="C9401" s="3" t="s">
        <v>14802</v>
      </c>
      <c r="D9401" s="3" t="s">
        <v>14376</v>
      </c>
      <c r="F9401" s="3" t="s">
        <v>1279</v>
      </c>
      <c r="I9401" s="3" t="s">
        <v>244</v>
      </c>
    </row>
    <row r="9402" spans="2:9" x14ac:dyDescent="0.4">
      <c r="B9402" s="8" t="s">
        <v>532</v>
      </c>
      <c r="C9402" s="3" t="s">
        <v>14803</v>
      </c>
      <c r="D9402" s="3" t="s">
        <v>14377</v>
      </c>
      <c r="F9402" s="3" t="s">
        <v>1279</v>
      </c>
      <c r="I9402" s="3" t="s">
        <v>244</v>
      </c>
    </row>
    <row r="9403" spans="2:9" x14ac:dyDescent="0.4">
      <c r="B9403" s="8" t="s">
        <v>529</v>
      </c>
      <c r="C9403" s="3" t="s">
        <v>14804</v>
      </c>
      <c r="D9403" s="3" t="s">
        <v>14378</v>
      </c>
      <c r="F9403" s="3" t="s">
        <v>1279</v>
      </c>
      <c r="I9403" s="3" t="s">
        <v>244</v>
      </c>
    </row>
    <row r="9404" spans="2:9" x14ac:dyDescent="0.4">
      <c r="B9404" s="8" t="s">
        <v>517</v>
      </c>
      <c r="C9404" s="3" t="s">
        <v>14805</v>
      </c>
      <c r="D9404" s="3" t="s">
        <v>14379</v>
      </c>
      <c r="F9404" s="3" t="s">
        <v>1279</v>
      </c>
      <c r="I9404" s="3" t="s">
        <v>244</v>
      </c>
    </row>
    <row r="9405" spans="2:9" x14ac:dyDescent="0.4">
      <c r="B9405" s="8" t="s">
        <v>517</v>
      </c>
      <c r="C9405" s="3" t="s">
        <v>14806</v>
      </c>
      <c r="D9405" s="3" t="s">
        <v>14380</v>
      </c>
      <c r="F9405" s="3" t="s">
        <v>1279</v>
      </c>
      <c r="I9405" s="3" t="s">
        <v>244</v>
      </c>
    </row>
    <row r="9406" spans="2:9" x14ac:dyDescent="0.4">
      <c r="B9406" s="8" t="s">
        <v>517</v>
      </c>
      <c r="C9406" s="3" t="s">
        <v>14807</v>
      </c>
      <c r="D9406" s="3" t="s">
        <v>14381</v>
      </c>
      <c r="F9406" s="3" t="s">
        <v>1279</v>
      </c>
      <c r="I9406" s="3" t="s">
        <v>244</v>
      </c>
    </row>
    <row r="9407" spans="2:9" x14ac:dyDescent="0.4">
      <c r="B9407" s="8" t="s">
        <v>518</v>
      </c>
      <c r="C9407" s="3" t="s">
        <v>14808</v>
      </c>
      <c r="D9407" s="3" t="s">
        <v>14382</v>
      </c>
      <c r="F9407" s="3" t="s">
        <v>1279</v>
      </c>
      <c r="I9407" s="3" t="s">
        <v>244</v>
      </c>
    </row>
    <row r="9408" spans="2:9" x14ac:dyDescent="0.4">
      <c r="B9408" s="8" t="s">
        <v>518</v>
      </c>
      <c r="C9408" s="3" t="s">
        <v>14809</v>
      </c>
      <c r="D9408" s="3" t="s">
        <v>14383</v>
      </c>
      <c r="F9408" s="3" t="s">
        <v>1279</v>
      </c>
      <c r="I9408" s="3" t="s">
        <v>244</v>
      </c>
    </row>
    <row r="9409" spans="2:9" x14ac:dyDescent="0.4">
      <c r="B9409" s="8" t="s">
        <v>531</v>
      </c>
      <c r="C9409" s="3" t="s">
        <v>14810</v>
      </c>
      <c r="D9409" s="3" t="s">
        <v>14384</v>
      </c>
      <c r="F9409" s="3" t="s">
        <v>1279</v>
      </c>
      <c r="I9409" s="3" t="s">
        <v>244</v>
      </c>
    </row>
    <row r="9410" spans="2:9" x14ac:dyDescent="0.4">
      <c r="B9410" s="8" t="s">
        <v>529</v>
      </c>
      <c r="C9410" s="3" t="s">
        <v>14811</v>
      </c>
      <c r="D9410" s="3" t="s">
        <v>14385</v>
      </c>
      <c r="F9410" s="3" t="s">
        <v>1279</v>
      </c>
      <c r="I9410" s="3" t="s">
        <v>244</v>
      </c>
    </row>
    <row r="9411" spans="2:9" x14ac:dyDescent="0.4">
      <c r="B9411" s="8" t="s">
        <v>518</v>
      </c>
      <c r="C9411" s="3" t="s">
        <v>14812</v>
      </c>
      <c r="D9411" s="3" t="s">
        <v>14386</v>
      </c>
      <c r="F9411" s="3" t="s">
        <v>1279</v>
      </c>
      <c r="I9411" s="3" t="s">
        <v>244</v>
      </c>
    </row>
    <row r="9412" spans="2:9" x14ac:dyDescent="0.4">
      <c r="B9412" s="8" t="s">
        <v>529</v>
      </c>
      <c r="C9412" s="3" t="s">
        <v>14813</v>
      </c>
      <c r="D9412" s="3" t="s">
        <v>14387</v>
      </c>
      <c r="F9412" s="3" t="s">
        <v>1279</v>
      </c>
      <c r="I9412" s="3" t="s">
        <v>244</v>
      </c>
    </row>
    <row r="9413" spans="2:9" x14ac:dyDescent="0.4">
      <c r="B9413" s="8" t="s">
        <v>531</v>
      </c>
      <c r="C9413" s="3" t="s">
        <v>14814</v>
      </c>
      <c r="D9413" s="3" t="s">
        <v>14388</v>
      </c>
      <c r="F9413" s="3" t="s">
        <v>1279</v>
      </c>
      <c r="I9413" s="3" t="s">
        <v>244</v>
      </c>
    </row>
    <row r="9414" spans="2:9" x14ac:dyDescent="0.4">
      <c r="B9414" s="8" t="s">
        <v>531</v>
      </c>
      <c r="C9414" s="3" t="s">
        <v>14815</v>
      </c>
      <c r="D9414" s="3" t="s">
        <v>14389</v>
      </c>
      <c r="F9414" s="3" t="s">
        <v>1279</v>
      </c>
      <c r="I9414" s="3" t="s">
        <v>244</v>
      </c>
    </row>
    <row r="9415" spans="2:9" x14ac:dyDescent="0.4">
      <c r="B9415" s="8" t="s">
        <v>531</v>
      </c>
      <c r="C9415" s="3" t="s">
        <v>14816</v>
      </c>
      <c r="D9415" s="3" t="s">
        <v>14390</v>
      </c>
      <c r="F9415" s="3" t="s">
        <v>1279</v>
      </c>
      <c r="I9415" s="3" t="s">
        <v>244</v>
      </c>
    </row>
    <row r="9416" spans="2:9" x14ac:dyDescent="0.4">
      <c r="B9416" s="8" t="s">
        <v>517</v>
      </c>
      <c r="C9416" s="3" t="s">
        <v>14817</v>
      </c>
      <c r="D9416" s="3" t="s">
        <v>14391</v>
      </c>
      <c r="F9416" s="3" t="s">
        <v>1279</v>
      </c>
      <c r="I9416" s="3" t="s">
        <v>244</v>
      </c>
    </row>
    <row r="9417" spans="2:9" x14ac:dyDescent="0.4">
      <c r="B9417" s="8" t="s">
        <v>518</v>
      </c>
      <c r="C9417" s="3" t="s">
        <v>14818</v>
      </c>
      <c r="D9417" s="3" t="s">
        <v>14392</v>
      </c>
      <c r="F9417" s="3" t="s">
        <v>1279</v>
      </c>
      <c r="I9417" s="3" t="s">
        <v>244</v>
      </c>
    </row>
    <row r="9418" spans="2:9" x14ac:dyDescent="0.4">
      <c r="B9418" s="8" t="s">
        <v>531</v>
      </c>
      <c r="C9418" s="3" t="s">
        <v>14819</v>
      </c>
      <c r="D9418" s="3" t="s">
        <v>14393</v>
      </c>
      <c r="F9418" s="3" t="s">
        <v>1279</v>
      </c>
      <c r="I9418" s="3" t="s">
        <v>244</v>
      </c>
    </row>
    <row r="9419" spans="2:9" x14ac:dyDescent="0.4">
      <c r="B9419" s="8" t="s">
        <v>530</v>
      </c>
      <c r="C9419" s="3" t="s">
        <v>14820</v>
      </c>
      <c r="D9419" s="3" t="s">
        <v>14394</v>
      </c>
      <c r="F9419" s="3" t="s">
        <v>1279</v>
      </c>
      <c r="I9419" s="3" t="s">
        <v>244</v>
      </c>
    </row>
    <row r="9420" spans="2:9" x14ac:dyDescent="0.4">
      <c r="B9420" s="8" t="s">
        <v>531</v>
      </c>
      <c r="C9420" s="3" t="s">
        <v>14821</v>
      </c>
      <c r="D9420" s="3" t="s">
        <v>14395</v>
      </c>
      <c r="F9420" s="3" t="s">
        <v>1279</v>
      </c>
      <c r="I9420" s="3" t="s">
        <v>244</v>
      </c>
    </row>
    <row r="9421" spans="2:9" x14ac:dyDescent="0.4">
      <c r="B9421" s="8" t="s">
        <v>520</v>
      </c>
      <c r="C9421" s="3" t="s">
        <v>14822</v>
      </c>
      <c r="D9421" s="3" t="s">
        <v>14396</v>
      </c>
      <c r="F9421" s="3" t="s">
        <v>1279</v>
      </c>
      <c r="I9421" s="3" t="s">
        <v>244</v>
      </c>
    </row>
    <row r="9422" spans="2:9" x14ac:dyDescent="0.4">
      <c r="B9422" s="8" t="s">
        <v>518</v>
      </c>
      <c r="C9422" s="3" t="s">
        <v>14823</v>
      </c>
      <c r="D9422" s="3" t="s">
        <v>14397</v>
      </c>
      <c r="F9422" s="3" t="s">
        <v>1279</v>
      </c>
      <c r="I9422" s="3" t="s">
        <v>244</v>
      </c>
    </row>
    <row r="9423" spans="2:9" x14ac:dyDescent="0.4">
      <c r="B9423" s="8" t="s">
        <v>529</v>
      </c>
      <c r="C9423" s="3" t="s">
        <v>14824</v>
      </c>
      <c r="D9423" s="3" t="s">
        <v>14398</v>
      </c>
      <c r="F9423" s="3" t="s">
        <v>1279</v>
      </c>
      <c r="I9423" s="3" t="s">
        <v>244</v>
      </c>
    </row>
    <row r="9424" spans="2:9" x14ac:dyDescent="0.4">
      <c r="B9424" s="8" t="s">
        <v>530</v>
      </c>
      <c r="C9424" s="3" t="s">
        <v>14825</v>
      </c>
      <c r="D9424" s="3" t="s">
        <v>14399</v>
      </c>
      <c r="F9424" s="3" t="s">
        <v>1279</v>
      </c>
      <c r="I9424" s="3" t="s">
        <v>244</v>
      </c>
    </row>
    <row r="9425" spans="2:9" x14ac:dyDescent="0.4">
      <c r="B9425" s="8" t="s">
        <v>517</v>
      </c>
      <c r="C9425" s="3" t="s">
        <v>14826</v>
      </c>
      <c r="D9425" s="3" t="s">
        <v>14400</v>
      </c>
      <c r="F9425" s="3" t="s">
        <v>1279</v>
      </c>
      <c r="I9425" s="3" t="s">
        <v>244</v>
      </c>
    </row>
    <row r="9426" spans="2:9" x14ac:dyDescent="0.4">
      <c r="B9426" s="8" t="s">
        <v>532</v>
      </c>
      <c r="C9426" s="3" t="s">
        <v>14827</v>
      </c>
      <c r="D9426" s="3" t="s">
        <v>14401</v>
      </c>
      <c r="F9426" s="3" t="s">
        <v>1279</v>
      </c>
      <c r="I9426" s="3" t="s">
        <v>244</v>
      </c>
    </row>
    <row r="9427" spans="2:9" x14ac:dyDescent="0.4">
      <c r="B9427" s="8" t="s">
        <v>518</v>
      </c>
      <c r="C9427" s="3" t="s">
        <v>14828</v>
      </c>
      <c r="D9427" s="3" t="s">
        <v>14402</v>
      </c>
      <c r="F9427" s="3" t="s">
        <v>1279</v>
      </c>
      <c r="I9427" s="3" t="s">
        <v>244</v>
      </c>
    </row>
    <row r="9428" spans="2:9" x14ac:dyDescent="0.4">
      <c r="B9428" s="8" t="s">
        <v>518</v>
      </c>
      <c r="C9428" s="3" t="s">
        <v>14829</v>
      </c>
      <c r="D9428" s="3" t="s">
        <v>14402</v>
      </c>
      <c r="F9428" s="3" t="s">
        <v>1279</v>
      </c>
      <c r="I9428" s="3" t="s">
        <v>244</v>
      </c>
    </row>
    <row r="9429" spans="2:9" x14ac:dyDescent="0.4">
      <c r="B9429" s="8" t="s">
        <v>529</v>
      </c>
      <c r="C9429" s="3" t="s">
        <v>14830</v>
      </c>
      <c r="D9429" s="3" t="s">
        <v>14403</v>
      </c>
      <c r="F9429" s="3" t="s">
        <v>1279</v>
      </c>
      <c r="I9429" s="3" t="s">
        <v>244</v>
      </c>
    </row>
    <row r="9430" spans="2:9" x14ac:dyDescent="0.4">
      <c r="B9430" s="8" t="s">
        <v>529</v>
      </c>
      <c r="C9430" s="3" t="s">
        <v>14831</v>
      </c>
      <c r="D9430" s="3" t="s">
        <v>14404</v>
      </c>
      <c r="F9430" s="3" t="s">
        <v>1279</v>
      </c>
      <c r="I9430" s="3" t="s">
        <v>244</v>
      </c>
    </row>
    <row r="9431" spans="2:9" x14ac:dyDescent="0.4">
      <c r="B9431" s="8" t="s">
        <v>532</v>
      </c>
      <c r="C9431" s="3" t="s">
        <v>14832</v>
      </c>
      <c r="D9431" s="3" t="s">
        <v>14405</v>
      </c>
      <c r="F9431" s="3" t="s">
        <v>1279</v>
      </c>
      <c r="I9431" s="3" t="s">
        <v>244</v>
      </c>
    </row>
    <row r="9432" spans="2:9" x14ac:dyDescent="0.4">
      <c r="B9432" s="8" t="s">
        <v>530</v>
      </c>
      <c r="C9432" s="3" t="s">
        <v>14833</v>
      </c>
      <c r="D9432" s="3" t="s">
        <v>14406</v>
      </c>
      <c r="F9432" s="3" t="s">
        <v>1279</v>
      </c>
      <c r="I9432" s="3" t="s">
        <v>244</v>
      </c>
    </row>
    <row r="9433" spans="2:9" x14ac:dyDescent="0.4">
      <c r="B9433" s="8" t="s">
        <v>520</v>
      </c>
      <c r="C9433" s="3" t="s">
        <v>14834</v>
      </c>
      <c r="D9433" s="3" t="s">
        <v>14407</v>
      </c>
      <c r="F9433" s="3" t="s">
        <v>1279</v>
      </c>
      <c r="I9433" s="3" t="s">
        <v>244</v>
      </c>
    </row>
    <row r="9434" spans="2:9" x14ac:dyDescent="0.4">
      <c r="B9434" s="8" t="s">
        <v>529</v>
      </c>
      <c r="C9434" s="3" t="s">
        <v>14835</v>
      </c>
      <c r="D9434" s="3" t="s">
        <v>14408</v>
      </c>
      <c r="F9434" s="3" t="s">
        <v>1279</v>
      </c>
      <c r="I9434" s="3" t="s">
        <v>244</v>
      </c>
    </row>
    <row r="9435" spans="2:9" x14ac:dyDescent="0.4">
      <c r="B9435" s="8" t="s">
        <v>518</v>
      </c>
      <c r="C9435" s="3" t="s">
        <v>14836</v>
      </c>
      <c r="D9435" s="3" t="s">
        <v>14409</v>
      </c>
      <c r="F9435" s="3" t="s">
        <v>1279</v>
      </c>
      <c r="I9435" s="3" t="s">
        <v>244</v>
      </c>
    </row>
    <row r="9436" spans="2:9" x14ac:dyDescent="0.4">
      <c r="B9436" s="8" t="s">
        <v>518</v>
      </c>
      <c r="C9436" s="3" t="s">
        <v>14837</v>
      </c>
      <c r="D9436" s="3" t="s">
        <v>14410</v>
      </c>
      <c r="F9436" s="3" t="s">
        <v>1279</v>
      </c>
      <c r="I9436" s="3" t="s">
        <v>244</v>
      </c>
    </row>
    <row r="9437" spans="2:9" x14ac:dyDescent="0.4">
      <c r="B9437" s="8" t="s">
        <v>529</v>
      </c>
      <c r="C9437" s="3" t="s">
        <v>14838</v>
      </c>
      <c r="D9437" s="3" t="s">
        <v>14411</v>
      </c>
      <c r="F9437" s="3" t="s">
        <v>1279</v>
      </c>
      <c r="I9437" s="3" t="s">
        <v>244</v>
      </c>
    </row>
    <row r="9438" spans="2:9" x14ac:dyDescent="0.4">
      <c r="B9438" s="8" t="s">
        <v>518</v>
      </c>
      <c r="C9438" s="3" t="s">
        <v>14839</v>
      </c>
      <c r="D9438" s="3" t="s">
        <v>14412</v>
      </c>
      <c r="F9438" s="3" t="s">
        <v>1279</v>
      </c>
      <c r="I9438" s="3" t="s">
        <v>244</v>
      </c>
    </row>
    <row r="9439" spans="2:9" x14ac:dyDescent="0.4">
      <c r="B9439" s="8" t="s">
        <v>518</v>
      </c>
      <c r="C9439" s="3" t="s">
        <v>14840</v>
      </c>
      <c r="D9439" s="3" t="s">
        <v>14413</v>
      </c>
      <c r="F9439" s="3" t="s">
        <v>1279</v>
      </c>
      <c r="I9439" s="3" t="s">
        <v>244</v>
      </c>
    </row>
    <row r="9440" spans="2:9" x14ac:dyDescent="0.4">
      <c r="B9440" s="8" t="s">
        <v>529</v>
      </c>
      <c r="C9440" s="3" t="s">
        <v>14841</v>
      </c>
      <c r="D9440" s="3" t="s">
        <v>14414</v>
      </c>
      <c r="F9440" s="3" t="s">
        <v>1279</v>
      </c>
      <c r="I9440" s="3" t="s">
        <v>244</v>
      </c>
    </row>
    <row r="9441" spans="2:9" x14ac:dyDescent="0.4">
      <c r="B9441" s="8" t="s">
        <v>520</v>
      </c>
      <c r="C9441" s="3" t="s">
        <v>14842</v>
      </c>
      <c r="D9441" s="3" t="s">
        <v>14415</v>
      </c>
      <c r="F9441" s="3" t="s">
        <v>1279</v>
      </c>
      <c r="I9441" s="3" t="s">
        <v>244</v>
      </c>
    </row>
    <row r="9442" spans="2:9" x14ac:dyDescent="0.4">
      <c r="B9442" s="8" t="s">
        <v>531</v>
      </c>
      <c r="C9442" s="3" t="s">
        <v>14843</v>
      </c>
      <c r="D9442" s="3" t="s">
        <v>14416</v>
      </c>
      <c r="F9442" s="3" t="s">
        <v>1279</v>
      </c>
      <c r="I9442" s="3" t="s">
        <v>244</v>
      </c>
    </row>
    <row r="9443" spans="2:9" x14ac:dyDescent="0.4">
      <c r="B9443" s="8" t="s">
        <v>517</v>
      </c>
      <c r="C9443" s="3" t="s">
        <v>14844</v>
      </c>
      <c r="D9443" s="3" t="s">
        <v>14417</v>
      </c>
      <c r="F9443" s="3" t="s">
        <v>1279</v>
      </c>
      <c r="I9443" s="3" t="s">
        <v>244</v>
      </c>
    </row>
    <row r="9444" spans="2:9" x14ac:dyDescent="0.4">
      <c r="B9444" s="8" t="s">
        <v>529</v>
      </c>
      <c r="C9444" s="3" t="s">
        <v>14845</v>
      </c>
      <c r="D9444" s="3" t="s">
        <v>14418</v>
      </c>
      <c r="F9444" s="3" t="s">
        <v>1279</v>
      </c>
      <c r="I9444" s="3" t="s">
        <v>244</v>
      </c>
    </row>
    <row r="9445" spans="2:9" x14ac:dyDescent="0.4">
      <c r="B9445" s="8" t="s">
        <v>520</v>
      </c>
      <c r="C9445" s="3" t="s">
        <v>14846</v>
      </c>
      <c r="D9445" s="3" t="s">
        <v>14419</v>
      </c>
      <c r="F9445" s="3" t="s">
        <v>1279</v>
      </c>
      <c r="I9445" s="3" t="s">
        <v>244</v>
      </c>
    </row>
    <row r="9446" spans="2:9" x14ac:dyDescent="0.4">
      <c r="B9446" s="8" t="s">
        <v>517</v>
      </c>
      <c r="C9446" s="3" t="s">
        <v>14847</v>
      </c>
      <c r="D9446" s="3" t="s">
        <v>14420</v>
      </c>
      <c r="F9446" s="3" t="s">
        <v>1279</v>
      </c>
      <c r="I9446" s="3" t="s">
        <v>244</v>
      </c>
    </row>
    <row r="9447" spans="2:9" x14ac:dyDescent="0.4">
      <c r="B9447" s="8" t="s">
        <v>532</v>
      </c>
      <c r="C9447" s="3" t="s">
        <v>14848</v>
      </c>
      <c r="D9447" s="3" t="s">
        <v>14421</v>
      </c>
      <c r="F9447" s="3" t="s">
        <v>1279</v>
      </c>
      <c r="I9447" s="3" t="s">
        <v>244</v>
      </c>
    </row>
    <row r="9448" spans="2:9" x14ac:dyDescent="0.4">
      <c r="B9448" s="8" t="s">
        <v>530</v>
      </c>
      <c r="C9448" s="3" t="s">
        <v>14849</v>
      </c>
      <c r="D9448" s="3" t="s">
        <v>14422</v>
      </c>
      <c r="F9448" s="3" t="s">
        <v>1279</v>
      </c>
      <c r="I9448" s="3" t="s">
        <v>244</v>
      </c>
    </row>
    <row r="9449" spans="2:9" x14ac:dyDescent="0.4">
      <c r="B9449" s="8" t="s">
        <v>531</v>
      </c>
      <c r="C9449" s="3" t="s">
        <v>14850</v>
      </c>
      <c r="D9449" s="3" t="s">
        <v>14423</v>
      </c>
      <c r="F9449" s="3" t="s">
        <v>1279</v>
      </c>
      <c r="I9449" s="3" t="s">
        <v>244</v>
      </c>
    </row>
    <row r="9450" spans="2:9" x14ac:dyDescent="0.4">
      <c r="B9450" s="8" t="s">
        <v>529</v>
      </c>
      <c r="C9450" s="3" t="s">
        <v>14851</v>
      </c>
      <c r="D9450" s="3" t="s">
        <v>14424</v>
      </c>
      <c r="F9450" s="3" t="s">
        <v>1279</v>
      </c>
      <c r="I9450" s="3" t="s">
        <v>244</v>
      </c>
    </row>
    <row r="9451" spans="2:9" x14ac:dyDescent="0.4">
      <c r="B9451" s="8" t="s">
        <v>517</v>
      </c>
      <c r="C9451" s="3" t="s">
        <v>12333</v>
      </c>
      <c r="D9451" s="3" t="s">
        <v>14425</v>
      </c>
      <c r="F9451" s="3" t="s">
        <v>1279</v>
      </c>
      <c r="I9451" s="3" t="s">
        <v>244</v>
      </c>
    </row>
    <row r="9452" spans="2:9" x14ac:dyDescent="0.4">
      <c r="B9452" s="8" t="s">
        <v>518</v>
      </c>
      <c r="C9452" s="3" t="s">
        <v>14852</v>
      </c>
      <c r="D9452" s="3" t="s">
        <v>14426</v>
      </c>
      <c r="F9452" s="3" t="s">
        <v>1279</v>
      </c>
      <c r="I9452" s="3" t="s">
        <v>244</v>
      </c>
    </row>
    <row r="9453" spans="2:9" x14ac:dyDescent="0.4">
      <c r="B9453" s="8" t="s">
        <v>531</v>
      </c>
      <c r="C9453" s="3" t="s">
        <v>14853</v>
      </c>
      <c r="D9453" s="3" t="s">
        <v>14427</v>
      </c>
      <c r="F9453" s="3" t="s">
        <v>1279</v>
      </c>
      <c r="I9453" s="3" t="s">
        <v>244</v>
      </c>
    </row>
    <row r="9454" spans="2:9" x14ac:dyDescent="0.4">
      <c r="B9454" s="8" t="s">
        <v>531</v>
      </c>
      <c r="C9454" s="3" t="s">
        <v>14854</v>
      </c>
      <c r="D9454" s="3" t="s">
        <v>14428</v>
      </c>
      <c r="F9454" s="3" t="s">
        <v>1279</v>
      </c>
      <c r="I9454" s="3" t="s">
        <v>244</v>
      </c>
    </row>
    <row r="9455" spans="2:9" x14ac:dyDescent="0.4">
      <c r="B9455" s="8" t="s">
        <v>517</v>
      </c>
      <c r="C9455" s="3" t="s">
        <v>14855</v>
      </c>
      <c r="D9455" s="3" t="s">
        <v>14429</v>
      </c>
      <c r="F9455" s="3" t="s">
        <v>1279</v>
      </c>
      <c r="I9455" s="3" t="s">
        <v>244</v>
      </c>
    </row>
    <row r="9456" spans="2:9" x14ac:dyDescent="0.4">
      <c r="B9456" s="8" t="s">
        <v>518</v>
      </c>
      <c r="C9456" s="3" t="s">
        <v>280</v>
      </c>
      <c r="D9456" s="3" t="s">
        <v>14430</v>
      </c>
      <c r="F9456" s="3" t="s">
        <v>1279</v>
      </c>
      <c r="I9456" s="3" t="s">
        <v>244</v>
      </c>
    </row>
    <row r="9457" spans="2:9" x14ac:dyDescent="0.4">
      <c r="B9457" s="8" t="s">
        <v>531</v>
      </c>
      <c r="C9457" s="3" t="s">
        <v>14856</v>
      </c>
      <c r="D9457" s="3" t="s">
        <v>14431</v>
      </c>
      <c r="F9457" s="3" t="s">
        <v>1279</v>
      </c>
      <c r="I9457" s="3" t="s">
        <v>244</v>
      </c>
    </row>
    <row r="9458" spans="2:9" x14ac:dyDescent="0.4">
      <c r="B9458" s="8" t="s">
        <v>531</v>
      </c>
      <c r="C9458" s="3" t="s">
        <v>9754</v>
      </c>
      <c r="D9458" s="3" t="s">
        <v>14432</v>
      </c>
      <c r="F9458" s="3" t="s">
        <v>1279</v>
      </c>
      <c r="I9458" s="3" t="s">
        <v>244</v>
      </c>
    </row>
    <row r="9459" spans="2:9" x14ac:dyDescent="0.4">
      <c r="B9459" s="8" t="s">
        <v>518</v>
      </c>
      <c r="C9459" s="3" t="s">
        <v>9240</v>
      </c>
      <c r="D9459" s="3" t="s">
        <v>14433</v>
      </c>
      <c r="F9459" s="3" t="s">
        <v>1279</v>
      </c>
      <c r="I9459" s="3" t="s">
        <v>244</v>
      </c>
    </row>
    <row r="9460" spans="2:9" x14ac:dyDescent="0.4">
      <c r="B9460" s="8" t="s">
        <v>529</v>
      </c>
      <c r="C9460" s="3" t="s">
        <v>14857</v>
      </c>
      <c r="D9460" s="3" t="s">
        <v>14434</v>
      </c>
      <c r="F9460" s="3" t="s">
        <v>1279</v>
      </c>
      <c r="I9460" s="3" t="s">
        <v>244</v>
      </c>
    </row>
    <row r="9461" spans="2:9" x14ac:dyDescent="0.4">
      <c r="B9461" s="8" t="s">
        <v>529</v>
      </c>
      <c r="C9461" s="3" t="s">
        <v>14858</v>
      </c>
      <c r="D9461" s="3" t="s">
        <v>14435</v>
      </c>
      <c r="F9461" s="3" t="s">
        <v>1279</v>
      </c>
      <c r="I9461" s="3" t="s">
        <v>244</v>
      </c>
    </row>
    <row r="9462" spans="2:9" x14ac:dyDescent="0.4">
      <c r="B9462" s="8" t="s">
        <v>518</v>
      </c>
      <c r="C9462" s="3" t="s">
        <v>9753</v>
      </c>
      <c r="D9462" s="3" t="s">
        <v>14436</v>
      </c>
      <c r="F9462" s="3" t="s">
        <v>1279</v>
      </c>
      <c r="I9462" s="3" t="s">
        <v>244</v>
      </c>
    </row>
    <row r="9463" spans="2:9" x14ac:dyDescent="0.4">
      <c r="B9463" s="8" t="s">
        <v>518</v>
      </c>
      <c r="C9463" s="3" t="s">
        <v>14859</v>
      </c>
      <c r="D9463" s="3" t="s">
        <v>14437</v>
      </c>
      <c r="F9463" s="3" t="s">
        <v>1279</v>
      </c>
      <c r="I9463" s="3" t="s">
        <v>244</v>
      </c>
    </row>
    <row r="9464" spans="2:9" x14ac:dyDescent="0.4">
      <c r="B9464" s="8" t="s">
        <v>518</v>
      </c>
      <c r="C9464" s="3" t="s">
        <v>14860</v>
      </c>
      <c r="D9464" s="3" t="s">
        <v>14438</v>
      </c>
      <c r="F9464" s="3" t="s">
        <v>1279</v>
      </c>
      <c r="I9464" s="3" t="s">
        <v>244</v>
      </c>
    </row>
    <row r="9465" spans="2:9" x14ac:dyDescent="0.4">
      <c r="B9465" s="8" t="s">
        <v>529</v>
      </c>
      <c r="C9465" s="3" t="s">
        <v>14861</v>
      </c>
      <c r="D9465" s="3" t="s">
        <v>14439</v>
      </c>
      <c r="F9465" s="3" t="s">
        <v>1279</v>
      </c>
      <c r="I9465" s="3" t="s">
        <v>244</v>
      </c>
    </row>
    <row r="9466" spans="2:9" x14ac:dyDescent="0.4">
      <c r="B9466" s="8" t="s">
        <v>532</v>
      </c>
      <c r="C9466" s="3" t="s">
        <v>14862</v>
      </c>
      <c r="D9466" s="3" t="s">
        <v>14439</v>
      </c>
      <c r="F9466" s="3" t="s">
        <v>1279</v>
      </c>
      <c r="I9466" s="3" t="s">
        <v>244</v>
      </c>
    </row>
    <row r="9467" spans="2:9" x14ac:dyDescent="0.4">
      <c r="B9467" s="8" t="s">
        <v>531</v>
      </c>
      <c r="C9467" s="3" t="s">
        <v>14863</v>
      </c>
      <c r="D9467" s="3" t="s">
        <v>14439</v>
      </c>
      <c r="F9467" s="3" t="s">
        <v>1279</v>
      </c>
      <c r="I9467" s="3" t="s">
        <v>244</v>
      </c>
    </row>
    <row r="9468" spans="2:9" x14ac:dyDescent="0.4">
      <c r="B9468" s="8" t="s">
        <v>529</v>
      </c>
      <c r="C9468" s="3" t="s">
        <v>14864</v>
      </c>
      <c r="D9468" s="3" t="s">
        <v>14440</v>
      </c>
      <c r="F9468" s="3" t="s">
        <v>1279</v>
      </c>
      <c r="I9468" s="3" t="s">
        <v>244</v>
      </c>
    </row>
    <row r="9469" spans="2:9" x14ac:dyDescent="0.4">
      <c r="B9469" s="8" t="s">
        <v>518</v>
      </c>
      <c r="C9469" s="3" t="s">
        <v>14865</v>
      </c>
      <c r="D9469" s="3" t="s">
        <v>14441</v>
      </c>
      <c r="F9469" s="3" t="s">
        <v>1279</v>
      </c>
      <c r="I9469" s="3" t="s">
        <v>244</v>
      </c>
    </row>
    <row r="9470" spans="2:9" x14ac:dyDescent="0.4">
      <c r="B9470" s="8" t="s">
        <v>532</v>
      </c>
      <c r="C9470" s="3" t="s">
        <v>14866</v>
      </c>
      <c r="D9470" s="3" t="s">
        <v>14442</v>
      </c>
      <c r="F9470" s="3" t="s">
        <v>1279</v>
      </c>
      <c r="I9470" s="3" t="s">
        <v>244</v>
      </c>
    </row>
    <row r="9471" spans="2:9" x14ac:dyDescent="0.4">
      <c r="B9471" s="8" t="s">
        <v>518</v>
      </c>
      <c r="C9471" s="3" t="s">
        <v>14867</v>
      </c>
      <c r="D9471" s="3" t="s">
        <v>14443</v>
      </c>
      <c r="F9471" s="3" t="s">
        <v>1279</v>
      </c>
      <c r="I9471" s="3" t="s">
        <v>244</v>
      </c>
    </row>
    <row r="9472" spans="2:9" x14ac:dyDescent="0.4">
      <c r="B9472" s="8" t="s">
        <v>529</v>
      </c>
      <c r="C9472" s="3" t="s">
        <v>14868</v>
      </c>
      <c r="D9472" s="3" t="s">
        <v>14444</v>
      </c>
      <c r="F9472" s="3" t="s">
        <v>1279</v>
      </c>
      <c r="I9472" s="3" t="s">
        <v>244</v>
      </c>
    </row>
    <row r="9473" spans="2:9" x14ac:dyDescent="0.4">
      <c r="B9473" s="8" t="s">
        <v>518</v>
      </c>
      <c r="C9473" s="3" t="s">
        <v>14869</v>
      </c>
      <c r="D9473" s="3" t="s">
        <v>14444</v>
      </c>
      <c r="F9473" s="3" t="s">
        <v>1279</v>
      </c>
      <c r="I9473" s="3" t="s">
        <v>244</v>
      </c>
    </row>
    <row r="9474" spans="2:9" x14ac:dyDescent="0.4">
      <c r="B9474" s="8" t="s">
        <v>529</v>
      </c>
      <c r="C9474" s="3" t="s">
        <v>14870</v>
      </c>
      <c r="D9474" s="3" t="s">
        <v>14444</v>
      </c>
      <c r="F9474" s="3" t="s">
        <v>1279</v>
      </c>
      <c r="I9474" s="3" t="s">
        <v>244</v>
      </c>
    </row>
    <row r="9475" spans="2:9" x14ac:dyDescent="0.4">
      <c r="B9475" s="8" t="s">
        <v>532</v>
      </c>
      <c r="C9475" s="3" t="s">
        <v>14871</v>
      </c>
      <c r="D9475" s="3" t="s">
        <v>14444</v>
      </c>
      <c r="F9475" s="3" t="s">
        <v>1279</v>
      </c>
      <c r="I9475" s="3" t="s">
        <v>244</v>
      </c>
    </row>
    <row r="9476" spans="2:9" x14ac:dyDescent="0.4">
      <c r="B9476" s="8" t="s">
        <v>518</v>
      </c>
      <c r="C9476" s="3" t="s">
        <v>14872</v>
      </c>
      <c r="D9476" s="3" t="s">
        <v>14444</v>
      </c>
      <c r="F9476" s="3" t="s">
        <v>1279</v>
      </c>
      <c r="I9476" s="3" t="s">
        <v>244</v>
      </c>
    </row>
    <row r="9477" spans="2:9" x14ac:dyDescent="0.4">
      <c r="B9477" s="8" t="s">
        <v>529</v>
      </c>
      <c r="C9477" s="3" t="s">
        <v>14873</v>
      </c>
      <c r="D9477" s="3" t="s">
        <v>14444</v>
      </c>
      <c r="F9477" s="3" t="s">
        <v>1279</v>
      </c>
      <c r="I9477" s="3" t="s">
        <v>244</v>
      </c>
    </row>
    <row r="9478" spans="2:9" x14ac:dyDescent="0.4">
      <c r="B9478" s="8" t="s">
        <v>532</v>
      </c>
      <c r="C9478" s="3" t="s">
        <v>14874</v>
      </c>
      <c r="D9478" s="3" t="s">
        <v>14444</v>
      </c>
      <c r="F9478" s="3" t="s">
        <v>1279</v>
      </c>
      <c r="I9478" s="3" t="s">
        <v>244</v>
      </c>
    </row>
    <row r="9479" spans="2:9" x14ac:dyDescent="0.4">
      <c r="B9479" s="8" t="s">
        <v>518</v>
      </c>
      <c r="C9479" s="3" t="s">
        <v>14875</v>
      </c>
      <c r="D9479" s="3" t="s">
        <v>14445</v>
      </c>
      <c r="F9479" s="3" t="s">
        <v>1279</v>
      </c>
      <c r="I9479" s="3" t="s">
        <v>244</v>
      </c>
    </row>
    <row r="9480" spans="2:9" x14ac:dyDescent="0.4">
      <c r="B9480" s="8" t="s">
        <v>529</v>
      </c>
      <c r="C9480" s="3" t="s">
        <v>14876</v>
      </c>
      <c r="D9480" s="3" t="s">
        <v>14446</v>
      </c>
      <c r="F9480" s="3" t="s">
        <v>1279</v>
      </c>
      <c r="I9480" s="3" t="s">
        <v>244</v>
      </c>
    </row>
    <row r="9481" spans="2:9" x14ac:dyDescent="0.4">
      <c r="B9481" s="8" t="s">
        <v>531</v>
      </c>
      <c r="C9481" s="3" t="s">
        <v>14877</v>
      </c>
      <c r="D9481" s="3" t="s">
        <v>14447</v>
      </c>
      <c r="F9481" s="3" t="s">
        <v>1279</v>
      </c>
      <c r="I9481" s="3" t="s">
        <v>244</v>
      </c>
    </row>
    <row r="9482" spans="2:9" x14ac:dyDescent="0.4">
      <c r="B9482" s="8" t="s">
        <v>517</v>
      </c>
      <c r="C9482" s="3" t="s">
        <v>14878</v>
      </c>
      <c r="D9482" s="3" t="s">
        <v>14448</v>
      </c>
      <c r="F9482" s="3" t="s">
        <v>1279</v>
      </c>
      <c r="I9482" s="3" t="s">
        <v>244</v>
      </c>
    </row>
    <row r="9483" spans="2:9" x14ac:dyDescent="0.4">
      <c r="B9483" s="8" t="s">
        <v>518</v>
      </c>
      <c r="C9483" s="3" t="s">
        <v>14879</v>
      </c>
      <c r="D9483" s="3" t="s">
        <v>14449</v>
      </c>
      <c r="F9483" s="3" t="s">
        <v>1279</v>
      </c>
      <c r="I9483" s="3" t="s">
        <v>244</v>
      </c>
    </row>
    <row r="9484" spans="2:9" x14ac:dyDescent="0.4">
      <c r="B9484" s="8" t="s">
        <v>517</v>
      </c>
      <c r="C9484" s="3" t="s">
        <v>14880</v>
      </c>
      <c r="D9484" s="3" t="s">
        <v>14450</v>
      </c>
      <c r="F9484" s="3" t="s">
        <v>1279</v>
      </c>
      <c r="I9484" s="3" t="s">
        <v>244</v>
      </c>
    </row>
    <row r="9485" spans="2:9" x14ac:dyDescent="0.4">
      <c r="B9485" s="8" t="s">
        <v>518</v>
      </c>
      <c r="C9485" s="3" t="s">
        <v>14881</v>
      </c>
      <c r="D9485" s="3" t="s">
        <v>14451</v>
      </c>
      <c r="F9485" s="3" t="s">
        <v>1279</v>
      </c>
      <c r="I9485" s="3" t="s">
        <v>244</v>
      </c>
    </row>
    <row r="9486" spans="2:9" x14ac:dyDescent="0.4">
      <c r="B9486" s="8" t="s">
        <v>529</v>
      </c>
      <c r="C9486" s="3" t="s">
        <v>14885</v>
      </c>
      <c r="D9486" s="3" t="s">
        <v>14452</v>
      </c>
      <c r="F9486" s="3" t="s">
        <v>1279</v>
      </c>
      <c r="I9486" s="3" t="s">
        <v>244</v>
      </c>
    </row>
    <row r="9487" spans="2:9" x14ac:dyDescent="0.4">
      <c r="B9487" s="8" t="s">
        <v>518</v>
      </c>
      <c r="C9487" s="3" t="s">
        <v>14886</v>
      </c>
      <c r="D9487" s="3" t="s">
        <v>14453</v>
      </c>
      <c r="F9487" s="3" t="s">
        <v>1279</v>
      </c>
      <c r="I9487" s="3" t="s">
        <v>244</v>
      </c>
    </row>
    <row r="9488" spans="2:9" x14ac:dyDescent="0.4">
      <c r="B9488" s="8" t="s">
        <v>531</v>
      </c>
      <c r="C9488" s="3" t="s">
        <v>14887</v>
      </c>
      <c r="D9488" s="3" t="s">
        <v>14454</v>
      </c>
      <c r="F9488" s="3" t="s">
        <v>1279</v>
      </c>
      <c r="I9488" s="3" t="s">
        <v>244</v>
      </c>
    </row>
    <row r="9489" spans="2:9" x14ac:dyDescent="0.4">
      <c r="B9489" s="8" t="s">
        <v>518</v>
      </c>
      <c r="C9489" s="3" t="s">
        <v>9124</v>
      </c>
      <c r="D9489" s="3" t="s">
        <v>14455</v>
      </c>
      <c r="F9489" s="3" t="s">
        <v>1279</v>
      </c>
      <c r="I9489" s="3" t="s">
        <v>244</v>
      </c>
    </row>
    <row r="9490" spans="2:9" x14ac:dyDescent="0.4">
      <c r="B9490" s="8" t="s">
        <v>529</v>
      </c>
      <c r="C9490" s="3" t="s">
        <v>14888</v>
      </c>
      <c r="D9490" s="3" t="s">
        <v>14901</v>
      </c>
      <c r="F9490" s="3" t="s">
        <v>1279</v>
      </c>
      <c r="I9490" s="3" t="s">
        <v>244</v>
      </c>
    </row>
    <row r="9491" spans="2:9" x14ac:dyDescent="0.4">
      <c r="B9491" s="8" t="s">
        <v>517</v>
      </c>
      <c r="C9491" s="3" t="s">
        <v>14889</v>
      </c>
      <c r="D9491" s="3" t="s">
        <v>14456</v>
      </c>
      <c r="F9491" s="3" t="s">
        <v>1279</v>
      </c>
      <c r="I9491" s="3" t="s">
        <v>244</v>
      </c>
    </row>
    <row r="9492" spans="2:9" x14ac:dyDescent="0.4">
      <c r="B9492" s="8" t="s">
        <v>531</v>
      </c>
      <c r="C9492" s="3" t="s">
        <v>14890</v>
      </c>
      <c r="D9492" s="3" t="s">
        <v>14457</v>
      </c>
      <c r="F9492" s="3" t="s">
        <v>1279</v>
      </c>
      <c r="I9492" s="3" t="s">
        <v>244</v>
      </c>
    </row>
    <row r="9493" spans="2:9" x14ac:dyDescent="0.4">
      <c r="B9493" s="8" t="s">
        <v>517</v>
      </c>
      <c r="C9493" s="3" t="s">
        <v>14891</v>
      </c>
      <c r="D9493" s="3" t="s">
        <v>14458</v>
      </c>
      <c r="F9493" s="3" t="s">
        <v>1279</v>
      </c>
      <c r="I9493" s="3" t="s">
        <v>244</v>
      </c>
    </row>
    <row r="9494" spans="2:9" x14ac:dyDescent="0.4">
      <c r="B9494" s="8" t="s">
        <v>520</v>
      </c>
      <c r="C9494" s="3" t="s">
        <v>14892</v>
      </c>
      <c r="D9494" s="3" t="s">
        <v>14459</v>
      </c>
      <c r="F9494" s="3" t="s">
        <v>1279</v>
      </c>
      <c r="I9494" s="3" t="s">
        <v>244</v>
      </c>
    </row>
    <row r="9495" spans="2:9" x14ac:dyDescent="0.4">
      <c r="B9495" s="8" t="s">
        <v>520</v>
      </c>
      <c r="C9495" s="3" t="s">
        <v>14893</v>
      </c>
      <c r="D9495" s="3" t="s">
        <v>14460</v>
      </c>
      <c r="F9495" s="3" t="s">
        <v>1279</v>
      </c>
      <c r="I9495" s="3" t="s">
        <v>244</v>
      </c>
    </row>
    <row r="9496" spans="2:9" x14ac:dyDescent="0.4">
      <c r="B9496" s="8" t="s">
        <v>518</v>
      </c>
      <c r="C9496" s="3" t="s">
        <v>14894</v>
      </c>
      <c r="D9496" s="3" t="s">
        <v>14461</v>
      </c>
      <c r="F9496" s="3" t="s">
        <v>1279</v>
      </c>
      <c r="I9496" s="3" t="s">
        <v>244</v>
      </c>
    </row>
    <row r="9497" spans="2:9" x14ac:dyDescent="0.4">
      <c r="B9497" s="8" t="s">
        <v>518</v>
      </c>
      <c r="C9497" s="3" t="s">
        <v>14895</v>
      </c>
      <c r="D9497" s="3" t="s">
        <v>14462</v>
      </c>
      <c r="F9497" s="3" t="s">
        <v>1279</v>
      </c>
      <c r="I9497" s="3" t="s">
        <v>244</v>
      </c>
    </row>
    <row r="9498" spans="2:9" x14ac:dyDescent="0.4">
      <c r="B9498" s="8" t="s">
        <v>532</v>
      </c>
      <c r="C9498" s="3" t="s">
        <v>14896</v>
      </c>
      <c r="D9498" s="3" t="s">
        <v>14463</v>
      </c>
      <c r="F9498" s="3" t="s">
        <v>1279</v>
      </c>
      <c r="I9498" s="3" t="s">
        <v>244</v>
      </c>
    </row>
    <row r="9499" spans="2:9" x14ac:dyDescent="0.4">
      <c r="B9499" s="8" t="s">
        <v>529</v>
      </c>
      <c r="C9499" s="3" t="s">
        <v>14897</v>
      </c>
      <c r="D9499" s="3" t="s">
        <v>14464</v>
      </c>
      <c r="F9499" s="3" t="s">
        <v>1279</v>
      </c>
      <c r="I9499" s="3" t="s">
        <v>244</v>
      </c>
    </row>
    <row r="9500" spans="2:9" x14ac:dyDescent="0.4">
      <c r="B9500" s="8" t="s">
        <v>531</v>
      </c>
      <c r="C9500" s="3" t="s">
        <v>14898</v>
      </c>
      <c r="D9500" s="3" t="s">
        <v>14465</v>
      </c>
      <c r="F9500" s="3" t="s">
        <v>1279</v>
      </c>
      <c r="I9500" s="3" t="s">
        <v>244</v>
      </c>
    </row>
    <row r="9501" spans="2:9" x14ac:dyDescent="0.4">
      <c r="B9501" s="8" t="s">
        <v>531</v>
      </c>
      <c r="C9501" s="3" t="s">
        <v>14899</v>
      </c>
      <c r="D9501" s="3" t="s">
        <v>14466</v>
      </c>
      <c r="F9501" s="3" t="s">
        <v>1279</v>
      </c>
      <c r="I9501" s="3" t="s">
        <v>244</v>
      </c>
    </row>
    <row r="9502" spans="2:9" x14ac:dyDescent="0.4">
      <c r="B9502" s="8" t="s">
        <v>530</v>
      </c>
      <c r="C9502" s="3" t="s">
        <v>14900</v>
      </c>
      <c r="D9502" s="3" t="s">
        <v>14467</v>
      </c>
      <c r="F9502" s="3" t="s">
        <v>1279</v>
      </c>
      <c r="I9502" s="3" t="s">
        <v>244</v>
      </c>
    </row>
    <row r="9503" spans="2:9" x14ac:dyDescent="0.4">
      <c r="B9503" s="8" t="s">
        <v>517</v>
      </c>
      <c r="C9503" s="3" t="s">
        <v>14902</v>
      </c>
      <c r="D9503" s="3" t="s">
        <v>14468</v>
      </c>
      <c r="F9503" s="3" t="s">
        <v>1279</v>
      </c>
      <c r="I9503" s="3" t="s">
        <v>244</v>
      </c>
    </row>
    <row r="9504" spans="2:9" x14ac:dyDescent="0.4">
      <c r="B9504" s="8" t="s">
        <v>518</v>
      </c>
      <c r="C9504" s="3" t="s">
        <v>14903</v>
      </c>
      <c r="D9504" s="3" t="s">
        <v>14469</v>
      </c>
      <c r="F9504" s="3" t="s">
        <v>1279</v>
      </c>
      <c r="I9504" s="3" t="s">
        <v>244</v>
      </c>
    </row>
    <row r="9505" spans="2:9" x14ac:dyDescent="0.4">
      <c r="B9505" s="8" t="s">
        <v>518</v>
      </c>
      <c r="C9505" s="3" t="s">
        <v>14904</v>
      </c>
      <c r="D9505" s="3" t="s">
        <v>14470</v>
      </c>
      <c r="F9505" s="3" t="s">
        <v>1279</v>
      </c>
      <c r="I9505" s="3" t="s">
        <v>244</v>
      </c>
    </row>
    <row r="9506" spans="2:9" x14ac:dyDescent="0.4">
      <c r="B9506" s="8" t="s">
        <v>531</v>
      </c>
      <c r="C9506" s="3" t="s">
        <v>14905</v>
      </c>
      <c r="D9506" s="3" t="s">
        <v>14471</v>
      </c>
      <c r="F9506" s="3" t="s">
        <v>1279</v>
      </c>
      <c r="I9506" s="3" t="s">
        <v>244</v>
      </c>
    </row>
    <row r="9507" spans="2:9" x14ac:dyDescent="0.4">
      <c r="B9507" s="8" t="s">
        <v>518</v>
      </c>
      <c r="C9507" s="3" t="s">
        <v>14906</v>
      </c>
      <c r="D9507" s="3" t="s">
        <v>14472</v>
      </c>
      <c r="F9507" s="3" t="s">
        <v>1279</v>
      </c>
      <c r="I9507" s="3" t="s">
        <v>244</v>
      </c>
    </row>
    <row r="9508" spans="2:9" x14ac:dyDescent="0.4">
      <c r="B9508" s="8" t="s">
        <v>520</v>
      </c>
      <c r="C9508" s="3" t="s">
        <v>14907</v>
      </c>
      <c r="D9508" s="3" t="s">
        <v>14473</v>
      </c>
      <c r="F9508" s="3" t="s">
        <v>1279</v>
      </c>
      <c r="I9508" s="3" t="s">
        <v>244</v>
      </c>
    </row>
    <row r="9509" spans="2:9" x14ac:dyDescent="0.4">
      <c r="B9509" s="8" t="s">
        <v>531</v>
      </c>
      <c r="C9509" s="3" t="s">
        <v>14882</v>
      </c>
      <c r="D9509" s="3" t="s">
        <v>14474</v>
      </c>
      <c r="F9509" s="3" t="s">
        <v>1279</v>
      </c>
      <c r="I9509" s="3" t="s">
        <v>244</v>
      </c>
    </row>
    <row r="9510" spans="2:9" x14ac:dyDescent="0.4">
      <c r="B9510" s="8" t="s">
        <v>518</v>
      </c>
      <c r="C9510" s="3" t="s">
        <v>14908</v>
      </c>
      <c r="D9510" s="3" t="s">
        <v>14475</v>
      </c>
      <c r="F9510" s="3" t="s">
        <v>1279</v>
      </c>
      <c r="I9510" s="3" t="s">
        <v>244</v>
      </c>
    </row>
    <row r="9511" spans="2:9" x14ac:dyDescent="0.4">
      <c r="B9511" s="8" t="s">
        <v>529</v>
      </c>
      <c r="C9511" s="3" t="s">
        <v>14909</v>
      </c>
      <c r="D9511" s="3" t="s">
        <v>14476</v>
      </c>
      <c r="F9511" s="3" t="s">
        <v>1279</v>
      </c>
      <c r="I9511" s="3" t="s">
        <v>244</v>
      </c>
    </row>
    <row r="9512" spans="2:9" x14ac:dyDescent="0.4">
      <c r="B9512" s="8" t="s">
        <v>518</v>
      </c>
      <c r="C9512" s="3" t="s">
        <v>14910</v>
      </c>
      <c r="D9512" s="3" t="s">
        <v>14477</v>
      </c>
      <c r="F9512" s="3" t="s">
        <v>1279</v>
      </c>
      <c r="I9512" s="3" t="s">
        <v>244</v>
      </c>
    </row>
    <row r="9513" spans="2:9" x14ac:dyDescent="0.4">
      <c r="B9513" s="8" t="s">
        <v>531</v>
      </c>
      <c r="C9513" s="3" t="s">
        <v>14911</v>
      </c>
      <c r="D9513" s="3" t="s">
        <v>14478</v>
      </c>
      <c r="F9513" s="3" t="s">
        <v>1279</v>
      </c>
      <c r="I9513" s="3" t="s">
        <v>244</v>
      </c>
    </row>
    <row r="9514" spans="2:9" x14ac:dyDescent="0.4">
      <c r="B9514" s="8" t="s">
        <v>517</v>
      </c>
      <c r="C9514" s="3" t="s">
        <v>14912</v>
      </c>
      <c r="D9514" s="3" t="s">
        <v>14479</v>
      </c>
      <c r="F9514" s="3" t="s">
        <v>1279</v>
      </c>
      <c r="I9514" s="3" t="s">
        <v>244</v>
      </c>
    </row>
    <row r="9515" spans="2:9" x14ac:dyDescent="0.4">
      <c r="B9515" s="8" t="s">
        <v>531</v>
      </c>
      <c r="C9515" s="3" t="s">
        <v>14913</v>
      </c>
      <c r="D9515" s="3" t="s">
        <v>14480</v>
      </c>
      <c r="F9515" s="3" t="s">
        <v>1279</v>
      </c>
      <c r="I9515" s="3" t="s">
        <v>244</v>
      </c>
    </row>
    <row r="9516" spans="2:9" x14ac:dyDescent="0.4">
      <c r="B9516" s="8" t="s">
        <v>529</v>
      </c>
      <c r="C9516" s="3" t="s">
        <v>14914</v>
      </c>
      <c r="D9516" s="3" t="s">
        <v>14481</v>
      </c>
      <c r="F9516" s="3" t="s">
        <v>1279</v>
      </c>
      <c r="I9516" s="3" t="s">
        <v>244</v>
      </c>
    </row>
    <row r="9517" spans="2:9" x14ac:dyDescent="0.4">
      <c r="B9517" s="8" t="s">
        <v>531</v>
      </c>
      <c r="C9517" s="3" t="s">
        <v>14915</v>
      </c>
      <c r="D9517" s="3" t="s">
        <v>14482</v>
      </c>
      <c r="F9517" s="3" t="s">
        <v>1279</v>
      </c>
      <c r="I9517" s="3" t="s">
        <v>244</v>
      </c>
    </row>
    <row r="9518" spans="2:9" x14ac:dyDescent="0.4">
      <c r="B9518" s="8" t="s">
        <v>520</v>
      </c>
      <c r="C9518" s="3" t="s">
        <v>14916</v>
      </c>
      <c r="D9518" s="3" t="s">
        <v>14483</v>
      </c>
      <c r="F9518" s="3" t="s">
        <v>1279</v>
      </c>
      <c r="I9518" s="3" t="s">
        <v>244</v>
      </c>
    </row>
    <row r="9519" spans="2:9" x14ac:dyDescent="0.4">
      <c r="B9519" s="8" t="s">
        <v>532</v>
      </c>
      <c r="C9519" s="3" t="s">
        <v>14917</v>
      </c>
      <c r="D9519" s="3" t="s">
        <v>14484</v>
      </c>
      <c r="F9519" s="3" t="s">
        <v>1279</v>
      </c>
      <c r="I9519" s="3" t="s">
        <v>244</v>
      </c>
    </row>
    <row r="9520" spans="2:9" x14ac:dyDescent="0.4">
      <c r="B9520" s="8" t="s">
        <v>518</v>
      </c>
      <c r="C9520" s="3" t="s">
        <v>14918</v>
      </c>
      <c r="D9520" s="3" t="s">
        <v>14485</v>
      </c>
      <c r="F9520" s="3" t="s">
        <v>1279</v>
      </c>
      <c r="I9520" s="3" t="s">
        <v>244</v>
      </c>
    </row>
    <row r="9521" spans="2:9" x14ac:dyDescent="0.4">
      <c r="B9521" s="8" t="s">
        <v>517</v>
      </c>
      <c r="C9521" s="3" t="s">
        <v>14919</v>
      </c>
      <c r="D9521" s="3" t="s">
        <v>14486</v>
      </c>
      <c r="F9521" s="3" t="s">
        <v>1279</v>
      </c>
      <c r="I9521" s="3" t="s">
        <v>244</v>
      </c>
    </row>
    <row r="9522" spans="2:9" x14ac:dyDescent="0.4">
      <c r="B9522" s="8" t="s">
        <v>531</v>
      </c>
      <c r="C9522" s="3" t="s">
        <v>14920</v>
      </c>
      <c r="D9522" s="3" t="s">
        <v>14487</v>
      </c>
      <c r="F9522" s="3" t="s">
        <v>1279</v>
      </c>
      <c r="I9522" s="3" t="s">
        <v>244</v>
      </c>
    </row>
    <row r="9523" spans="2:9" x14ac:dyDescent="0.4">
      <c r="B9523" s="8" t="s">
        <v>517</v>
      </c>
      <c r="C9523" s="3" t="s">
        <v>14921</v>
      </c>
      <c r="D9523" s="3" t="s">
        <v>14488</v>
      </c>
      <c r="F9523" s="3" t="s">
        <v>1279</v>
      </c>
      <c r="I9523" s="3" t="s">
        <v>244</v>
      </c>
    </row>
    <row r="9524" spans="2:9" x14ac:dyDescent="0.4">
      <c r="B9524" s="8" t="s">
        <v>530</v>
      </c>
      <c r="C9524" s="3" t="s">
        <v>14923</v>
      </c>
      <c r="D9524" s="3" t="s">
        <v>14922</v>
      </c>
      <c r="F9524" s="3" t="s">
        <v>1279</v>
      </c>
      <c r="I9524" s="3" t="s">
        <v>244</v>
      </c>
    </row>
    <row r="9525" spans="2:9" x14ac:dyDescent="0.4">
      <c r="B9525" s="8" t="s">
        <v>517</v>
      </c>
      <c r="C9525" s="3" t="s">
        <v>14927</v>
      </c>
      <c r="D9525" s="3" t="s">
        <v>14489</v>
      </c>
      <c r="F9525" s="3" t="s">
        <v>1279</v>
      </c>
      <c r="I9525" s="3" t="s">
        <v>244</v>
      </c>
    </row>
    <row r="9526" spans="2:9" x14ac:dyDescent="0.4">
      <c r="B9526" s="8" t="s">
        <v>518</v>
      </c>
      <c r="C9526" s="3" t="s">
        <v>14924</v>
      </c>
      <c r="D9526" s="3" t="s">
        <v>14490</v>
      </c>
      <c r="F9526" s="3" t="s">
        <v>1279</v>
      </c>
      <c r="I9526" s="3" t="s">
        <v>244</v>
      </c>
    </row>
    <row r="9527" spans="2:9" x14ac:dyDescent="0.4">
      <c r="B9527" s="8" t="s">
        <v>531</v>
      </c>
      <c r="C9527" s="3" t="s">
        <v>14925</v>
      </c>
      <c r="D9527" s="3" t="s">
        <v>14491</v>
      </c>
      <c r="F9527" s="3" t="s">
        <v>1279</v>
      </c>
      <c r="I9527" s="3" t="s">
        <v>244</v>
      </c>
    </row>
    <row r="9528" spans="2:9" x14ac:dyDescent="0.4">
      <c r="B9528" s="8" t="s">
        <v>531</v>
      </c>
      <c r="C9528" s="3" t="s">
        <v>14926</v>
      </c>
      <c r="D9528" s="3" t="s">
        <v>14492</v>
      </c>
      <c r="F9528" s="3" t="s">
        <v>1279</v>
      </c>
      <c r="I9528" s="3" t="s">
        <v>244</v>
      </c>
    </row>
    <row r="9529" spans="2:9" x14ac:dyDescent="0.4">
      <c r="B9529" s="8" t="s">
        <v>529</v>
      </c>
      <c r="C9529" s="3" t="s">
        <v>14883</v>
      </c>
      <c r="D9529" s="3" t="s">
        <v>14493</v>
      </c>
      <c r="F9529" s="3" t="s">
        <v>1279</v>
      </c>
      <c r="I9529" s="3" t="s">
        <v>244</v>
      </c>
    </row>
    <row r="9530" spans="2:9" x14ac:dyDescent="0.4">
      <c r="B9530" s="8" t="s">
        <v>531</v>
      </c>
      <c r="C9530" s="3" t="s">
        <v>14928</v>
      </c>
      <c r="D9530" s="3" t="s">
        <v>14494</v>
      </c>
      <c r="F9530" s="3" t="s">
        <v>1279</v>
      </c>
      <c r="I9530" s="3" t="s">
        <v>244</v>
      </c>
    </row>
    <row r="9531" spans="2:9" x14ac:dyDescent="0.4">
      <c r="B9531" s="8" t="s">
        <v>518</v>
      </c>
      <c r="C9531" s="3" t="s">
        <v>14929</v>
      </c>
      <c r="D9531" s="3" t="s">
        <v>14495</v>
      </c>
      <c r="F9531" s="3" t="s">
        <v>1279</v>
      </c>
      <c r="I9531" s="3" t="s">
        <v>244</v>
      </c>
    </row>
    <row r="9532" spans="2:9" x14ac:dyDescent="0.4">
      <c r="B9532" s="8" t="s">
        <v>529</v>
      </c>
      <c r="C9532" s="3" t="s">
        <v>14930</v>
      </c>
      <c r="D9532" s="3" t="s">
        <v>14496</v>
      </c>
      <c r="F9532" s="3" t="s">
        <v>1279</v>
      </c>
      <c r="I9532" s="3" t="s">
        <v>244</v>
      </c>
    </row>
    <row r="9533" spans="2:9" x14ac:dyDescent="0.4">
      <c r="B9533" s="8" t="s">
        <v>517</v>
      </c>
      <c r="C9533" s="3" t="s">
        <v>14931</v>
      </c>
      <c r="D9533" s="3" t="s">
        <v>14497</v>
      </c>
      <c r="F9533" s="3" t="s">
        <v>1279</v>
      </c>
      <c r="I9533" s="3" t="s">
        <v>244</v>
      </c>
    </row>
    <row r="9534" spans="2:9" x14ac:dyDescent="0.4">
      <c r="B9534" s="8" t="s">
        <v>520</v>
      </c>
      <c r="C9534" s="3" t="s">
        <v>14932</v>
      </c>
      <c r="D9534" s="3" t="s">
        <v>14498</v>
      </c>
      <c r="F9534" s="3" t="s">
        <v>1279</v>
      </c>
      <c r="I9534" s="3" t="s">
        <v>244</v>
      </c>
    </row>
    <row r="9535" spans="2:9" x14ac:dyDescent="0.4">
      <c r="B9535" s="8" t="s">
        <v>529</v>
      </c>
      <c r="C9535" s="3" t="s">
        <v>14933</v>
      </c>
      <c r="D9535" s="3" t="s">
        <v>14499</v>
      </c>
      <c r="F9535" s="3" t="s">
        <v>1279</v>
      </c>
      <c r="I9535" s="3" t="s">
        <v>244</v>
      </c>
    </row>
    <row r="9536" spans="2:9" x14ac:dyDescent="0.4">
      <c r="B9536" s="8" t="s">
        <v>520</v>
      </c>
      <c r="C9536" s="3" t="s">
        <v>14934</v>
      </c>
      <c r="D9536" s="3" t="s">
        <v>14500</v>
      </c>
      <c r="F9536" s="3" t="s">
        <v>1279</v>
      </c>
      <c r="I9536" s="3" t="s">
        <v>244</v>
      </c>
    </row>
    <row r="9537" spans="2:9" x14ac:dyDescent="0.4">
      <c r="B9537" s="8" t="s">
        <v>517</v>
      </c>
      <c r="C9537" s="3" t="s">
        <v>14884</v>
      </c>
      <c r="D9537" s="3" t="s">
        <v>14501</v>
      </c>
      <c r="F9537" s="3" t="s">
        <v>1279</v>
      </c>
      <c r="I9537" s="3" t="s">
        <v>244</v>
      </c>
    </row>
    <row r="9538" spans="2:9" x14ac:dyDescent="0.4">
      <c r="B9538" s="8" t="s">
        <v>517</v>
      </c>
      <c r="C9538" s="3" t="s">
        <v>14935</v>
      </c>
      <c r="D9538" s="3" t="s">
        <v>14502</v>
      </c>
      <c r="F9538" s="3" t="s">
        <v>1279</v>
      </c>
      <c r="I9538" s="3" t="s">
        <v>244</v>
      </c>
    </row>
    <row r="9539" spans="2:9" x14ac:dyDescent="0.4">
      <c r="B9539" s="8" t="s">
        <v>520</v>
      </c>
      <c r="C9539" s="3" t="s">
        <v>14936</v>
      </c>
      <c r="D9539" s="3" t="s">
        <v>14503</v>
      </c>
      <c r="F9539" s="3" t="s">
        <v>1279</v>
      </c>
      <c r="I9539" s="3" t="s">
        <v>244</v>
      </c>
    </row>
    <row r="9540" spans="2:9" x14ac:dyDescent="0.4">
      <c r="B9540" s="8" t="s">
        <v>531</v>
      </c>
      <c r="C9540" s="3" t="s">
        <v>14937</v>
      </c>
      <c r="D9540" s="3" t="s">
        <v>14504</v>
      </c>
      <c r="F9540" s="3" t="s">
        <v>1279</v>
      </c>
      <c r="I9540" s="3" t="s">
        <v>244</v>
      </c>
    </row>
    <row r="9541" spans="2:9" x14ac:dyDescent="0.4">
      <c r="B9541" s="8" t="s">
        <v>517</v>
      </c>
      <c r="C9541" s="3" t="s">
        <v>14938</v>
      </c>
      <c r="D9541" s="3" t="s">
        <v>14505</v>
      </c>
      <c r="F9541" s="3" t="s">
        <v>1279</v>
      </c>
      <c r="I9541" s="3" t="s">
        <v>244</v>
      </c>
    </row>
    <row r="9542" spans="2:9" x14ac:dyDescent="0.4">
      <c r="B9542" s="8" t="s">
        <v>531</v>
      </c>
      <c r="C9542" s="3" t="s">
        <v>14939</v>
      </c>
      <c r="D9542" s="3" t="s">
        <v>14506</v>
      </c>
      <c r="F9542" s="3" t="s">
        <v>1279</v>
      </c>
      <c r="I9542" s="3" t="s">
        <v>244</v>
      </c>
    </row>
    <row r="9543" spans="2:9" x14ac:dyDescent="0.4">
      <c r="B9543" s="8" t="s">
        <v>520</v>
      </c>
      <c r="C9543" s="3" t="s">
        <v>14940</v>
      </c>
      <c r="D9543" s="3" t="s">
        <v>14507</v>
      </c>
      <c r="F9543" s="3" t="s">
        <v>1279</v>
      </c>
      <c r="I9543" s="3" t="s">
        <v>244</v>
      </c>
    </row>
    <row r="9544" spans="2:9" x14ac:dyDescent="0.4">
      <c r="B9544" s="8" t="s">
        <v>517</v>
      </c>
      <c r="C9544" s="3" t="s">
        <v>14941</v>
      </c>
      <c r="D9544" s="3" t="s">
        <v>14508</v>
      </c>
      <c r="F9544" s="3" t="s">
        <v>1279</v>
      </c>
      <c r="I9544" s="3" t="s">
        <v>244</v>
      </c>
    </row>
    <row r="9545" spans="2:9" x14ac:dyDescent="0.4">
      <c r="B9545" s="8" t="s">
        <v>531</v>
      </c>
      <c r="C9545" s="3" t="s">
        <v>14942</v>
      </c>
      <c r="D9545" s="3" t="s">
        <v>14509</v>
      </c>
      <c r="F9545" s="3" t="s">
        <v>1279</v>
      </c>
      <c r="I9545" s="3" t="s">
        <v>244</v>
      </c>
    </row>
    <row r="9546" spans="2:9" x14ac:dyDescent="0.4">
      <c r="B9546" s="8" t="s">
        <v>517</v>
      </c>
      <c r="C9546" s="3" t="s">
        <v>14943</v>
      </c>
      <c r="D9546" s="3" t="s">
        <v>14510</v>
      </c>
      <c r="F9546" s="3" t="s">
        <v>1279</v>
      </c>
      <c r="I9546" s="3" t="s">
        <v>244</v>
      </c>
    </row>
    <row r="9547" spans="2:9" x14ac:dyDescent="0.4">
      <c r="B9547" s="8" t="s">
        <v>532</v>
      </c>
      <c r="C9547" s="3" t="s">
        <v>14944</v>
      </c>
      <c r="D9547" s="3" t="s">
        <v>14511</v>
      </c>
      <c r="F9547" s="3" t="s">
        <v>1279</v>
      </c>
      <c r="I9547" s="3" t="s">
        <v>244</v>
      </c>
    </row>
    <row r="9548" spans="2:9" x14ac:dyDescent="0.4">
      <c r="B9548" s="8" t="s">
        <v>518</v>
      </c>
      <c r="C9548" s="3" t="s">
        <v>14945</v>
      </c>
      <c r="D9548" s="3" t="s">
        <v>14512</v>
      </c>
      <c r="F9548" s="3" t="s">
        <v>1279</v>
      </c>
      <c r="I9548" s="3" t="s">
        <v>244</v>
      </c>
    </row>
    <row r="9549" spans="2:9" x14ac:dyDescent="0.4">
      <c r="B9549" s="8" t="s">
        <v>518</v>
      </c>
      <c r="C9549" s="3" t="s">
        <v>14946</v>
      </c>
      <c r="D9549" s="3" t="s">
        <v>14513</v>
      </c>
      <c r="F9549" s="3" t="s">
        <v>1279</v>
      </c>
      <c r="I9549" s="3" t="s">
        <v>244</v>
      </c>
    </row>
    <row r="9550" spans="2:9" x14ac:dyDescent="0.4">
      <c r="B9550" s="8" t="s">
        <v>529</v>
      </c>
      <c r="C9550" s="3" t="s">
        <v>14947</v>
      </c>
      <c r="D9550" s="3" t="s">
        <v>14514</v>
      </c>
      <c r="F9550" s="3" t="s">
        <v>1279</v>
      </c>
      <c r="I9550" s="3" t="s">
        <v>244</v>
      </c>
    </row>
    <row r="9551" spans="2:9" x14ac:dyDescent="0.4">
      <c r="B9551" s="8" t="s">
        <v>518</v>
      </c>
      <c r="C9551" s="3" t="s">
        <v>14948</v>
      </c>
      <c r="D9551" s="3" t="s">
        <v>14515</v>
      </c>
      <c r="F9551" s="3" t="s">
        <v>1279</v>
      </c>
      <c r="I9551" s="3" t="s">
        <v>244</v>
      </c>
    </row>
    <row r="9552" spans="2:9" x14ac:dyDescent="0.4">
      <c r="B9552" s="8" t="s">
        <v>531</v>
      </c>
      <c r="C9552" s="3" t="s">
        <v>14949</v>
      </c>
      <c r="D9552" s="3" t="s">
        <v>14516</v>
      </c>
      <c r="F9552" s="3" t="s">
        <v>1279</v>
      </c>
      <c r="I9552" s="3" t="s">
        <v>244</v>
      </c>
    </row>
    <row r="9553" spans="2:9" x14ac:dyDescent="0.4">
      <c r="B9553" s="8" t="s">
        <v>517</v>
      </c>
      <c r="C9553" s="3" t="s">
        <v>14950</v>
      </c>
      <c r="D9553" s="3" t="s">
        <v>14517</v>
      </c>
      <c r="F9553" s="3" t="s">
        <v>1279</v>
      </c>
      <c r="I9553" s="3" t="s">
        <v>244</v>
      </c>
    </row>
    <row r="9554" spans="2:9" x14ac:dyDescent="0.4">
      <c r="B9554" s="8" t="s">
        <v>518</v>
      </c>
      <c r="C9554" s="3" t="s">
        <v>14951</v>
      </c>
      <c r="D9554" s="3" t="s">
        <v>14518</v>
      </c>
      <c r="F9554" s="3" t="s">
        <v>1279</v>
      </c>
      <c r="I9554" s="3" t="s">
        <v>244</v>
      </c>
    </row>
    <row r="9555" spans="2:9" x14ac:dyDescent="0.4">
      <c r="B9555" s="8" t="s">
        <v>532</v>
      </c>
      <c r="C9555" s="3" t="s">
        <v>14952</v>
      </c>
      <c r="D9555" s="3" t="s">
        <v>14519</v>
      </c>
      <c r="F9555" s="3" t="s">
        <v>1279</v>
      </c>
      <c r="I9555" s="3" t="s">
        <v>244</v>
      </c>
    </row>
    <row r="9556" spans="2:9" x14ac:dyDescent="0.4">
      <c r="B9556" s="8" t="s">
        <v>531</v>
      </c>
      <c r="C9556" s="3" t="s">
        <v>14953</v>
      </c>
      <c r="D9556" s="3" t="s">
        <v>14520</v>
      </c>
      <c r="F9556" s="3" t="s">
        <v>1279</v>
      </c>
      <c r="I9556" s="3" t="s">
        <v>244</v>
      </c>
    </row>
    <row r="9557" spans="2:9" x14ac:dyDescent="0.4">
      <c r="B9557" s="8" t="s">
        <v>517</v>
      </c>
      <c r="C9557" s="3" t="s">
        <v>14954</v>
      </c>
      <c r="D9557" s="3" t="s">
        <v>14521</v>
      </c>
      <c r="F9557" s="3" t="s">
        <v>1279</v>
      </c>
      <c r="I9557" s="3" t="s">
        <v>244</v>
      </c>
    </row>
    <row r="9558" spans="2:9" x14ac:dyDescent="0.4">
      <c r="B9558" s="8" t="s">
        <v>529</v>
      </c>
      <c r="C9558" s="3" t="s">
        <v>14955</v>
      </c>
      <c r="D9558" s="3" t="s">
        <v>14956</v>
      </c>
      <c r="F9558" s="3" t="s">
        <v>1279</v>
      </c>
      <c r="I9558" s="3" t="s">
        <v>244</v>
      </c>
    </row>
    <row r="9559" spans="2:9" x14ac:dyDescent="0.4">
      <c r="B9559" s="8" t="s">
        <v>517</v>
      </c>
      <c r="C9559" s="3" t="s">
        <v>14957</v>
      </c>
      <c r="D9559" s="3" t="s">
        <v>14522</v>
      </c>
      <c r="F9559" s="3" t="s">
        <v>1279</v>
      </c>
      <c r="I9559" s="3" t="s">
        <v>244</v>
      </c>
    </row>
    <row r="9560" spans="2:9" x14ac:dyDescent="0.4">
      <c r="B9560" s="8" t="s">
        <v>518</v>
      </c>
      <c r="C9560" s="3" t="s">
        <v>14958</v>
      </c>
      <c r="D9560" s="3" t="s">
        <v>14523</v>
      </c>
      <c r="F9560" s="3" t="s">
        <v>1279</v>
      </c>
      <c r="I9560" s="3" t="s">
        <v>244</v>
      </c>
    </row>
    <row r="9561" spans="2:9" x14ac:dyDescent="0.4">
      <c r="B9561" s="8" t="s">
        <v>531</v>
      </c>
      <c r="C9561" s="3" t="s">
        <v>9755</v>
      </c>
      <c r="D9561" s="3" t="s">
        <v>14524</v>
      </c>
      <c r="F9561" s="3" t="s">
        <v>1279</v>
      </c>
      <c r="I9561" s="3" t="s">
        <v>244</v>
      </c>
    </row>
    <row r="9562" spans="2:9" x14ac:dyDescent="0.4">
      <c r="B9562" s="8" t="s">
        <v>520</v>
      </c>
      <c r="C9562" s="3" t="s">
        <v>14959</v>
      </c>
      <c r="D9562" s="3" t="s">
        <v>14525</v>
      </c>
      <c r="F9562" s="3" t="s">
        <v>1279</v>
      </c>
      <c r="I9562" s="3" t="s">
        <v>244</v>
      </c>
    </row>
    <row r="9563" spans="2:9" x14ac:dyDescent="0.4">
      <c r="B9563" s="8" t="s">
        <v>518</v>
      </c>
      <c r="C9563" s="3" t="s">
        <v>14960</v>
      </c>
      <c r="D9563" s="3" t="s">
        <v>14526</v>
      </c>
      <c r="F9563" s="3" t="s">
        <v>1279</v>
      </c>
      <c r="I9563" s="3" t="s">
        <v>244</v>
      </c>
    </row>
    <row r="9564" spans="2:9" x14ac:dyDescent="0.4">
      <c r="B9564" s="8" t="s">
        <v>529</v>
      </c>
      <c r="C9564" s="3" t="s">
        <v>14961</v>
      </c>
      <c r="D9564" s="3" t="s">
        <v>14527</v>
      </c>
      <c r="F9564" s="3" t="s">
        <v>1279</v>
      </c>
      <c r="I9564" s="3" t="s">
        <v>244</v>
      </c>
    </row>
    <row r="9565" spans="2:9" x14ac:dyDescent="0.4">
      <c r="B9565" s="8" t="s">
        <v>529</v>
      </c>
      <c r="C9565" s="3" t="s">
        <v>14962</v>
      </c>
      <c r="D9565" s="3" t="s">
        <v>14528</v>
      </c>
      <c r="F9565" s="3" t="s">
        <v>1279</v>
      </c>
      <c r="I9565" s="3" t="s">
        <v>244</v>
      </c>
    </row>
    <row r="9566" spans="2:9" x14ac:dyDescent="0.4">
      <c r="B9566" s="8" t="s">
        <v>517</v>
      </c>
      <c r="C9566" s="3" t="s">
        <v>14963</v>
      </c>
      <c r="D9566" s="3" t="s">
        <v>14529</v>
      </c>
      <c r="F9566" s="3" t="s">
        <v>1279</v>
      </c>
      <c r="I9566" s="3" t="s">
        <v>244</v>
      </c>
    </row>
    <row r="9567" spans="2:9" x14ac:dyDescent="0.4">
      <c r="B9567" s="8" t="s">
        <v>518</v>
      </c>
      <c r="C9567" s="3" t="s">
        <v>14964</v>
      </c>
      <c r="D9567" s="3" t="s">
        <v>14530</v>
      </c>
      <c r="F9567" s="3" t="s">
        <v>1279</v>
      </c>
      <c r="I9567" s="3" t="s">
        <v>244</v>
      </c>
    </row>
    <row r="9568" spans="2:9" x14ac:dyDescent="0.4">
      <c r="B9568" s="8" t="s">
        <v>532</v>
      </c>
      <c r="C9568" s="3" t="s">
        <v>14965</v>
      </c>
      <c r="D9568" s="3" t="s">
        <v>14531</v>
      </c>
      <c r="F9568" s="3" t="s">
        <v>1279</v>
      </c>
      <c r="I9568" s="3" t="s">
        <v>244</v>
      </c>
    </row>
    <row r="9569" spans="2:9" x14ac:dyDescent="0.4">
      <c r="B9569" s="8" t="s">
        <v>518</v>
      </c>
      <c r="C9569" s="3" t="s">
        <v>14966</v>
      </c>
      <c r="D9569" s="3" t="s">
        <v>14532</v>
      </c>
      <c r="F9569" s="3" t="s">
        <v>1279</v>
      </c>
      <c r="I9569" s="3" t="s">
        <v>244</v>
      </c>
    </row>
    <row r="9570" spans="2:9" x14ac:dyDescent="0.4">
      <c r="B9570" s="8" t="s">
        <v>517</v>
      </c>
      <c r="C9570" s="3" t="s">
        <v>364</v>
      </c>
      <c r="D9570" s="3" t="s">
        <v>14533</v>
      </c>
      <c r="F9570" s="3" t="s">
        <v>1279</v>
      </c>
      <c r="I9570" s="3" t="s">
        <v>244</v>
      </c>
    </row>
    <row r="9571" spans="2:9" x14ac:dyDescent="0.4">
      <c r="B9571" s="8" t="s">
        <v>520</v>
      </c>
      <c r="C9571" s="3" t="s">
        <v>14967</v>
      </c>
      <c r="D9571" s="3" t="s">
        <v>14534</v>
      </c>
      <c r="F9571" s="3" t="s">
        <v>1279</v>
      </c>
      <c r="I9571" s="3" t="s">
        <v>244</v>
      </c>
    </row>
    <row r="9572" spans="2:9" x14ac:dyDescent="0.4">
      <c r="B9572" s="8" t="s">
        <v>532</v>
      </c>
      <c r="C9572" s="3" t="s">
        <v>14968</v>
      </c>
      <c r="D9572" s="3" t="s">
        <v>14535</v>
      </c>
      <c r="F9572" s="3" t="s">
        <v>1279</v>
      </c>
      <c r="I9572" s="3" t="s">
        <v>244</v>
      </c>
    </row>
    <row r="9573" spans="2:9" x14ac:dyDescent="0.4">
      <c r="B9573" s="8" t="s">
        <v>529</v>
      </c>
      <c r="C9573" s="3" t="s">
        <v>14969</v>
      </c>
      <c r="D9573" s="3" t="s">
        <v>14536</v>
      </c>
      <c r="F9573" s="3" t="s">
        <v>1279</v>
      </c>
      <c r="I9573" s="3" t="s">
        <v>244</v>
      </c>
    </row>
    <row r="9574" spans="2:9" x14ac:dyDescent="0.4">
      <c r="B9574" s="8" t="s">
        <v>518</v>
      </c>
      <c r="C9574" s="3" t="s">
        <v>14970</v>
      </c>
      <c r="D9574" s="3" t="s">
        <v>14281</v>
      </c>
      <c r="F9574" s="3" t="s">
        <v>1279</v>
      </c>
      <c r="I9574" s="3" t="s">
        <v>244</v>
      </c>
    </row>
    <row r="9575" spans="2:9" x14ac:dyDescent="0.4">
      <c r="B9575" s="8" t="s">
        <v>531</v>
      </c>
      <c r="C9575" s="3" t="s">
        <v>14971</v>
      </c>
      <c r="D9575" s="3" t="s">
        <v>14537</v>
      </c>
      <c r="F9575" s="3" t="s">
        <v>1279</v>
      </c>
      <c r="I9575" s="3" t="s">
        <v>244</v>
      </c>
    </row>
    <row r="9576" spans="2:9" x14ac:dyDescent="0.4">
      <c r="B9576" s="8" t="s">
        <v>529</v>
      </c>
      <c r="C9576" s="3" t="s">
        <v>14972</v>
      </c>
      <c r="D9576" s="3" t="s">
        <v>14538</v>
      </c>
      <c r="F9576" s="3" t="s">
        <v>1279</v>
      </c>
      <c r="I9576" s="3" t="s">
        <v>244</v>
      </c>
    </row>
    <row r="9577" spans="2:9" x14ac:dyDescent="0.4">
      <c r="B9577" s="8" t="s">
        <v>529</v>
      </c>
      <c r="C9577" s="3" t="s">
        <v>14973</v>
      </c>
      <c r="D9577" s="3" t="s">
        <v>14539</v>
      </c>
      <c r="F9577" s="3" t="s">
        <v>1279</v>
      </c>
      <c r="I9577" s="3" t="s">
        <v>244</v>
      </c>
    </row>
    <row r="9578" spans="2:9" x14ac:dyDescent="0.4">
      <c r="B9578" s="8" t="s">
        <v>517</v>
      </c>
      <c r="C9578" s="3" t="s">
        <v>14974</v>
      </c>
      <c r="D9578" s="3" t="s">
        <v>14540</v>
      </c>
      <c r="F9578" s="3" t="s">
        <v>1279</v>
      </c>
      <c r="I9578" s="3" t="s">
        <v>244</v>
      </c>
    </row>
    <row r="9579" spans="2:9" x14ac:dyDescent="0.4">
      <c r="B9579" s="8" t="s">
        <v>520</v>
      </c>
      <c r="C9579" s="3" t="s">
        <v>14975</v>
      </c>
      <c r="D9579" s="3" t="s">
        <v>14541</v>
      </c>
      <c r="F9579" s="3" t="s">
        <v>1279</v>
      </c>
      <c r="I9579" s="3" t="s">
        <v>244</v>
      </c>
    </row>
    <row r="9580" spans="2:9" x14ac:dyDescent="0.4">
      <c r="B9580" s="8" t="s">
        <v>517</v>
      </c>
      <c r="C9580" s="3" t="s">
        <v>14976</v>
      </c>
      <c r="D9580" s="3" t="s">
        <v>14542</v>
      </c>
      <c r="F9580" s="3" t="s">
        <v>1279</v>
      </c>
      <c r="I9580" s="3" t="s">
        <v>244</v>
      </c>
    </row>
    <row r="9581" spans="2:9" x14ac:dyDescent="0.4">
      <c r="B9581" s="8" t="s">
        <v>517</v>
      </c>
      <c r="C9581" s="3" t="s">
        <v>14977</v>
      </c>
      <c r="D9581" s="3" t="s">
        <v>14543</v>
      </c>
      <c r="F9581" s="3" t="s">
        <v>1279</v>
      </c>
      <c r="I9581" s="3" t="s">
        <v>244</v>
      </c>
    </row>
    <row r="9582" spans="2:9" x14ac:dyDescent="0.4">
      <c r="B9582" s="8" t="s">
        <v>529</v>
      </c>
      <c r="C9582" s="3" t="s">
        <v>14978</v>
      </c>
      <c r="D9582" s="3" t="s">
        <v>14544</v>
      </c>
      <c r="F9582" s="3" t="s">
        <v>1279</v>
      </c>
      <c r="I9582" s="3" t="s">
        <v>244</v>
      </c>
    </row>
    <row r="9583" spans="2:9" x14ac:dyDescent="0.4">
      <c r="B9583" s="8" t="s">
        <v>518</v>
      </c>
      <c r="C9583" s="3" t="s">
        <v>14979</v>
      </c>
      <c r="D9583" s="3" t="s">
        <v>14545</v>
      </c>
      <c r="F9583" s="3" t="s">
        <v>1279</v>
      </c>
      <c r="I9583" s="3" t="s">
        <v>244</v>
      </c>
    </row>
    <row r="9584" spans="2:9" x14ac:dyDescent="0.4">
      <c r="B9584" s="8" t="s">
        <v>518</v>
      </c>
      <c r="C9584" s="3" t="s">
        <v>14980</v>
      </c>
      <c r="D9584" s="3" t="s">
        <v>14546</v>
      </c>
      <c r="F9584" s="3" t="s">
        <v>1279</v>
      </c>
      <c r="I9584" s="3" t="s">
        <v>244</v>
      </c>
    </row>
    <row r="9585" spans="2:9" x14ac:dyDescent="0.4">
      <c r="B9585" s="8" t="s">
        <v>517</v>
      </c>
      <c r="C9585" s="3" t="s">
        <v>14981</v>
      </c>
      <c r="D9585" s="3" t="s">
        <v>14547</v>
      </c>
      <c r="F9585" s="3" t="s">
        <v>1279</v>
      </c>
      <c r="I9585" s="3" t="s">
        <v>244</v>
      </c>
    </row>
    <row r="9586" spans="2:9" x14ac:dyDescent="0.4">
      <c r="B9586" s="8" t="s">
        <v>529</v>
      </c>
      <c r="C9586" s="3" t="s">
        <v>14984</v>
      </c>
      <c r="D9586" s="3" t="s">
        <v>14547</v>
      </c>
      <c r="F9586" s="3" t="s">
        <v>1279</v>
      </c>
      <c r="I9586" s="3" t="s">
        <v>244</v>
      </c>
    </row>
    <row r="9587" spans="2:9" x14ac:dyDescent="0.4">
      <c r="B9587" s="8" t="s">
        <v>518</v>
      </c>
      <c r="C9587" s="3" t="s">
        <v>14982</v>
      </c>
      <c r="D9587" s="3" t="s">
        <v>14547</v>
      </c>
      <c r="F9587" s="3" t="s">
        <v>1279</v>
      </c>
      <c r="I9587" s="3" t="s">
        <v>244</v>
      </c>
    </row>
    <row r="9588" spans="2:9" x14ac:dyDescent="0.4">
      <c r="B9588" s="8" t="s">
        <v>517</v>
      </c>
      <c r="C9588" s="3" t="s">
        <v>14983</v>
      </c>
      <c r="D9588" s="3" t="s">
        <v>14548</v>
      </c>
      <c r="F9588" s="3" t="s">
        <v>1279</v>
      </c>
      <c r="I9588" s="3" t="s">
        <v>244</v>
      </c>
    </row>
    <row r="9589" spans="2:9" x14ac:dyDescent="0.4">
      <c r="B9589" s="8" t="s">
        <v>518</v>
      </c>
      <c r="C9589" s="3" t="s">
        <v>14985</v>
      </c>
      <c r="D9589" s="3" t="s">
        <v>14549</v>
      </c>
      <c r="F9589" s="3" t="s">
        <v>1279</v>
      </c>
      <c r="I9589" s="3" t="s">
        <v>244</v>
      </c>
    </row>
    <row r="9590" spans="2:9" x14ac:dyDescent="0.4">
      <c r="B9590" s="8" t="s">
        <v>532</v>
      </c>
      <c r="C9590" s="3" t="s">
        <v>14986</v>
      </c>
      <c r="D9590" s="3" t="s">
        <v>14550</v>
      </c>
      <c r="F9590" s="3" t="s">
        <v>1279</v>
      </c>
      <c r="I9590" s="3" t="s">
        <v>244</v>
      </c>
    </row>
    <row r="9591" spans="2:9" x14ac:dyDescent="0.4">
      <c r="B9591" s="8" t="s">
        <v>529</v>
      </c>
      <c r="C9591" s="3" t="s">
        <v>14987</v>
      </c>
      <c r="D9591" s="3" t="s">
        <v>14551</v>
      </c>
      <c r="F9591" s="3" t="s">
        <v>1279</v>
      </c>
      <c r="I9591" s="3" t="s">
        <v>244</v>
      </c>
    </row>
    <row r="9592" spans="2:9" x14ac:dyDescent="0.4">
      <c r="B9592" s="8" t="s">
        <v>517</v>
      </c>
      <c r="C9592" s="3" t="s">
        <v>14988</v>
      </c>
      <c r="D9592" s="3" t="s">
        <v>14552</v>
      </c>
      <c r="F9592" s="3" t="s">
        <v>1279</v>
      </c>
      <c r="I9592" s="3" t="s">
        <v>244</v>
      </c>
    </row>
    <row r="9593" spans="2:9" x14ac:dyDescent="0.4">
      <c r="B9593" s="8" t="s">
        <v>518</v>
      </c>
      <c r="C9593" s="3" t="s">
        <v>14989</v>
      </c>
      <c r="D9593" s="3" t="s">
        <v>14553</v>
      </c>
      <c r="F9593" s="3" t="s">
        <v>1279</v>
      </c>
      <c r="I9593" s="3" t="s">
        <v>244</v>
      </c>
    </row>
    <row r="9594" spans="2:9" x14ac:dyDescent="0.4">
      <c r="B9594" s="8" t="s">
        <v>520</v>
      </c>
      <c r="C9594" s="3" t="s">
        <v>14990</v>
      </c>
      <c r="D9594" s="3" t="s">
        <v>14554</v>
      </c>
      <c r="F9594" s="3" t="s">
        <v>1279</v>
      </c>
      <c r="I9594" s="3" t="s">
        <v>244</v>
      </c>
    </row>
    <row r="9595" spans="2:9" x14ac:dyDescent="0.4">
      <c r="B9595" s="8" t="s">
        <v>529</v>
      </c>
      <c r="C9595" s="3" t="s">
        <v>14991</v>
      </c>
      <c r="D9595" s="3" t="s">
        <v>14555</v>
      </c>
      <c r="F9595" s="3" t="s">
        <v>1279</v>
      </c>
      <c r="I9595" s="3" t="s">
        <v>244</v>
      </c>
    </row>
    <row r="9596" spans="2:9" x14ac:dyDescent="0.4">
      <c r="B9596" s="8" t="s">
        <v>529</v>
      </c>
      <c r="C9596" s="3" t="s">
        <v>14997</v>
      </c>
      <c r="D9596" s="3" t="s">
        <v>14556</v>
      </c>
      <c r="F9596" s="3" t="s">
        <v>1279</v>
      </c>
      <c r="I9596" s="3" t="s">
        <v>244</v>
      </c>
    </row>
    <row r="9597" spans="2:9" x14ac:dyDescent="0.4">
      <c r="B9597" s="8" t="s">
        <v>532</v>
      </c>
      <c r="C9597" s="3" t="s">
        <v>14998</v>
      </c>
      <c r="D9597" s="3" t="s">
        <v>14557</v>
      </c>
      <c r="F9597" s="3" t="s">
        <v>1279</v>
      </c>
      <c r="I9597" s="3" t="s">
        <v>244</v>
      </c>
    </row>
    <row r="9598" spans="2:9" x14ac:dyDescent="0.4">
      <c r="B9598" s="8" t="s">
        <v>518</v>
      </c>
      <c r="C9598" s="3" t="s">
        <v>14999</v>
      </c>
      <c r="D9598" s="3" t="s">
        <v>14558</v>
      </c>
      <c r="F9598" s="3" t="s">
        <v>1279</v>
      </c>
      <c r="I9598" s="3" t="s">
        <v>244</v>
      </c>
    </row>
    <row r="9599" spans="2:9" x14ac:dyDescent="0.4">
      <c r="B9599" s="8" t="s">
        <v>518</v>
      </c>
      <c r="C9599" s="3" t="s">
        <v>15000</v>
      </c>
      <c r="D9599" s="3" t="s">
        <v>14559</v>
      </c>
      <c r="F9599" s="3" t="s">
        <v>1279</v>
      </c>
      <c r="I9599" s="3" t="s">
        <v>244</v>
      </c>
    </row>
    <row r="9600" spans="2:9" x14ac:dyDescent="0.4">
      <c r="B9600" s="8" t="s">
        <v>520</v>
      </c>
      <c r="C9600" s="3" t="s">
        <v>15001</v>
      </c>
      <c r="D9600" s="3" t="s">
        <v>14560</v>
      </c>
      <c r="F9600" s="3" t="s">
        <v>1279</v>
      </c>
      <c r="I9600" s="3" t="s">
        <v>244</v>
      </c>
    </row>
    <row r="9601" spans="2:9" x14ac:dyDescent="0.4">
      <c r="B9601" s="8" t="s">
        <v>518</v>
      </c>
      <c r="C9601" s="3" t="s">
        <v>15002</v>
      </c>
      <c r="D9601" s="3" t="s">
        <v>14561</v>
      </c>
      <c r="F9601" s="3" t="s">
        <v>1279</v>
      </c>
      <c r="I9601" s="3" t="s">
        <v>244</v>
      </c>
    </row>
    <row r="9602" spans="2:9" x14ac:dyDescent="0.4">
      <c r="B9602" s="8" t="s">
        <v>532</v>
      </c>
      <c r="C9602" s="3" t="s">
        <v>15003</v>
      </c>
      <c r="D9602" s="3" t="s">
        <v>14562</v>
      </c>
      <c r="F9602" s="3" t="s">
        <v>1279</v>
      </c>
      <c r="I9602" s="3" t="s">
        <v>244</v>
      </c>
    </row>
    <row r="9603" spans="2:9" x14ac:dyDescent="0.4">
      <c r="B9603" s="8" t="s">
        <v>529</v>
      </c>
      <c r="C9603" s="3" t="s">
        <v>15004</v>
      </c>
      <c r="D9603" s="3" t="s">
        <v>14238</v>
      </c>
      <c r="F9603" s="3" t="s">
        <v>1279</v>
      </c>
      <c r="I9603" s="3" t="s">
        <v>244</v>
      </c>
    </row>
    <row r="9604" spans="2:9" x14ac:dyDescent="0.4">
      <c r="B9604" s="8" t="s">
        <v>529</v>
      </c>
      <c r="C9604" s="3" t="s">
        <v>16564</v>
      </c>
      <c r="D9604" s="3" t="s">
        <v>14238</v>
      </c>
      <c r="F9604" s="3" t="s">
        <v>1279</v>
      </c>
      <c r="I9604" s="3" t="s">
        <v>244</v>
      </c>
    </row>
    <row r="9605" spans="2:9" x14ac:dyDescent="0.4">
      <c r="B9605" s="8" t="s">
        <v>517</v>
      </c>
      <c r="C9605" s="3" t="s">
        <v>15005</v>
      </c>
      <c r="D9605" s="3" t="s">
        <v>14563</v>
      </c>
      <c r="F9605" s="3" t="s">
        <v>1279</v>
      </c>
      <c r="I9605" s="3" t="s">
        <v>244</v>
      </c>
    </row>
    <row r="9606" spans="2:9" x14ac:dyDescent="0.4">
      <c r="B9606" s="8" t="s">
        <v>532</v>
      </c>
      <c r="C9606" s="3" t="s">
        <v>15006</v>
      </c>
      <c r="D9606" s="3" t="s">
        <v>14564</v>
      </c>
      <c r="F9606" s="3" t="s">
        <v>1279</v>
      </c>
      <c r="I9606" s="3" t="s">
        <v>244</v>
      </c>
    </row>
    <row r="9607" spans="2:9" x14ac:dyDescent="0.4">
      <c r="B9607" s="8" t="s">
        <v>517</v>
      </c>
      <c r="C9607" s="3" t="s">
        <v>15007</v>
      </c>
      <c r="D9607" s="3" t="s">
        <v>14565</v>
      </c>
      <c r="F9607" s="3" t="s">
        <v>1279</v>
      </c>
      <c r="I9607" s="3" t="s">
        <v>244</v>
      </c>
    </row>
    <row r="9608" spans="2:9" x14ac:dyDescent="0.4">
      <c r="B9608" s="8" t="s">
        <v>532</v>
      </c>
      <c r="C9608" s="3" t="s">
        <v>15008</v>
      </c>
      <c r="D9608" s="3" t="s">
        <v>14566</v>
      </c>
      <c r="F9608" s="3" t="s">
        <v>1279</v>
      </c>
      <c r="I9608" s="3" t="s">
        <v>244</v>
      </c>
    </row>
    <row r="9609" spans="2:9" x14ac:dyDescent="0.4">
      <c r="B9609" s="8" t="s">
        <v>520</v>
      </c>
      <c r="C9609" s="3" t="s">
        <v>15009</v>
      </c>
      <c r="D9609" s="3" t="s">
        <v>14567</v>
      </c>
      <c r="F9609" s="3" t="s">
        <v>1279</v>
      </c>
      <c r="I9609" s="3" t="s">
        <v>244</v>
      </c>
    </row>
    <row r="9610" spans="2:9" x14ac:dyDescent="0.4">
      <c r="B9610" s="8" t="s">
        <v>520</v>
      </c>
      <c r="C9610" s="3" t="s">
        <v>15010</v>
      </c>
      <c r="D9610" s="3" t="s">
        <v>14568</v>
      </c>
      <c r="F9610" s="3" t="s">
        <v>1279</v>
      </c>
      <c r="I9610" s="3" t="s">
        <v>244</v>
      </c>
    </row>
    <row r="9611" spans="2:9" x14ac:dyDescent="0.4">
      <c r="B9611" s="8" t="s">
        <v>529</v>
      </c>
      <c r="C9611" s="3" t="s">
        <v>15011</v>
      </c>
      <c r="D9611" s="3" t="s">
        <v>14569</v>
      </c>
      <c r="F9611" s="3" t="s">
        <v>1279</v>
      </c>
      <c r="I9611" s="3" t="s">
        <v>244</v>
      </c>
    </row>
    <row r="9612" spans="2:9" x14ac:dyDescent="0.4">
      <c r="B9612" s="8" t="s">
        <v>517</v>
      </c>
      <c r="C9612" s="3" t="s">
        <v>15012</v>
      </c>
      <c r="D9612" s="3" t="s">
        <v>14570</v>
      </c>
      <c r="F9612" s="3" t="s">
        <v>1279</v>
      </c>
      <c r="I9612" s="3" t="s">
        <v>244</v>
      </c>
    </row>
    <row r="9613" spans="2:9" x14ac:dyDescent="0.4">
      <c r="B9613" s="8" t="s">
        <v>517</v>
      </c>
      <c r="C9613" s="3" t="s">
        <v>14992</v>
      </c>
      <c r="D9613" s="3" t="s">
        <v>14571</v>
      </c>
      <c r="F9613" s="3" t="s">
        <v>1279</v>
      </c>
      <c r="I9613" s="3" t="s">
        <v>244</v>
      </c>
    </row>
    <row r="9614" spans="2:9" x14ac:dyDescent="0.4">
      <c r="B9614" s="8" t="s">
        <v>517</v>
      </c>
      <c r="C9614" s="3" t="s">
        <v>15013</v>
      </c>
      <c r="D9614" s="3" t="s">
        <v>14572</v>
      </c>
      <c r="F9614" s="3" t="s">
        <v>1279</v>
      </c>
      <c r="I9614" s="3" t="s">
        <v>244</v>
      </c>
    </row>
    <row r="9615" spans="2:9" x14ac:dyDescent="0.4">
      <c r="B9615" s="8" t="s">
        <v>520</v>
      </c>
      <c r="C9615" s="3" t="s">
        <v>15014</v>
      </c>
      <c r="D9615" s="3" t="s">
        <v>14573</v>
      </c>
      <c r="F9615" s="3" t="s">
        <v>1279</v>
      </c>
      <c r="I9615" s="3" t="s">
        <v>244</v>
      </c>
    </row>
    <row r="9616" spans="2:9" x14ac:dyDescent="0.4">
      <c r="B9616" s="8" t="s">
        <v>517</v>
      </c>
      <c r="C9616" s="3" t="s">
        <v>14993</v>
      </c>
      <c r="D9616" s="3" t="s">
        <v>14574</v>
      </c>
      <c r="F9616" s="3" t="s">
        <v>1279</v>
      </c>
      <c r="I9616" s="3" t="s">
        <v>244</v>
      </c>
    </row>
    <row r="9617" spans="2:9" x14ac:dyDescent="0.4">
      <c r="B9617" s="8" t="s">
        <v>517</v>
      </c>
      <c r="C9617" s="3" t="s">
        <v>15015</v>
      </c>
      <c r="D9617" s="3" t="s">
        <v>14575</v>
      </c>
      <c r="F9617" s="3" t="s">
        <v>1279</v>
      </c>
      <c r="I9617" s="3" t="s">
        <v>244</v>
      </c>
    </row>
    <row r="9618" spans="2:9" x14ac:dyDescent="0.4">
      <c r="B9618" s="8" t="s">
        <v>532</v>
      </c>
      <c r="C9618" s="3" t="s">
        <v>15016</v>
      </c>
      <c r="D9618" s="3" t="s">
        <v>14576</v>
      </c>
      <c r="F9618" s="3" t="s">
        <v>1279</v>
      </c>
      <c r="I9618" s="3" t="s">
        <v>244</v>
      </c>
    </row>
    <row r="9619" spans="2:9" x14ac:dyDescent="0.4">
      <c r="B9619" s="8" t="s">
        <v>532</v>
      </c>
      <c r="C9619" s="3" t="s">
        <v>11253</v>
      </c>
      <c r="D9619" s="3" t="s">
        <v>11430</v>
      </c>
      <c r="F9619" s="3" t="s">
        <v>1279</v>
      </c>
      <c r="I9619" s="3" t="s">
        <v>244</v>
      </c>
    </row>
    <row r="9620" spans="2:9" x14ac:dyDescent="0.4">
      <c r="B9620" s="8" t="s">
        <v>517</v>
      </c>
      <c r="C9620" s="3" t="s">
        <v>15017</v>
      </c>
      <c r="D9620" s="3" t="s">
        <v>14577</v>
      </c>
      <c r="F9620" s="3" t="s">
        <v>1279</v>
      </c>
      <c r="I9620" s="3" t="s">
        <v>244</v>
      </c>
    </row>
    <row r="9621" spans="2:9" x14ac:dyDescent="0.4">
      <c r="B9621" s="8" t="s">
        <v>520</v>
      </c>
      <c r="C9621" s="3" t="s">
        <v>15018</v>
      </c>
      <c r="D9621" s="3" t="s">
        <v>14578</v>
      </c>
      <c r="F9621" s="3" t="s">
        <v>1279</v>
      </c>
      <c r="I9621" s="3" t="s">
        <v>244</v>
      </c>
    </row>
    <row r="9622" spans="2:9" x14ac:dyDescent="0.4">
      <c r="B9622" s="8" t="s">
        <v>520</v>
      </c>
      <c r="C9622" s="3" t="s">
        <v>15019</v>
      </c>
      <c r="D9622" s="3" t="s">
        <v>14579</v>
      </c>
      <c r="F9622" s="3" t="s">
        <v>1279</v>
      </c>
      <c r="I9622" s="3" t="s">
        <v>244</v>
      </c>
    </row>
    <row r="9623" spans="2:9" x14ac:dyDescent="0.4">
      <c r="B9623" s="8" t="s">
        <v>517</v>
      </c>
      <c r="C9623" s="3" t="s">
        <v>14994</v>
      </c>
      <c r="D9623" s="3" t="s">
        <v>14580</v>
      </c>
      <c r="F9623" s="3" t="s">
        <v>1279</v>
      </c>
      <c r="I9623" s="3" t="s">
        <v>244</v>
      </c>
    </row>
    <row r="9624" spans="2:9" x14ac:dyDescent="0.4">
      <c r="B9624" s="8" t="s">
        <v>532</v>
      </c>
      <c r="C9624" s="3" t="s">
        <v>15020</v>
      </c>
      <c r="D9624" s="3" t="s">
        <v>14581</v>
      </c>
      <c r="F9624" s="3" t="s">
        <v>1279</v>
      </c>
      <c r="I9624" s="3" t="s">
        <v>244</v>
      </c>
    </row>
    <row r="9625" spans="2:9" x14ac:dyDescent="0.4">
      <c r="B9625" s="8" t="s">
        <v>532</v>
      </c>
      <c r="C9625" s="3" t="s">
        <v>15021</v>
      </c>
      <c r="D9625" s="3" t="s">
        <v>14582</v>
      </c>
      <c r="F9625" s="3" t="s">
        <v>1279</v>
      </c>
      <c r="I9625" s="3" t="s">
        <v>244</v>
      </c>
    </row>
    <row r="9626" spans="2:9" x14ac:dyDescent="0.4">
      <c r="B9626" s="8" t="s">
        <v>529</v>
      </c>
      <c r="C9626" s="3" t="s">
        <v>15022</v>
      </c>
      <c r="D9626" s="3" t="s">
        <v>14583</v>
      </c>
      <c r="F9626" s="3" t="s">
        <v>1279</v>
      </c>
      <c r="I9626" s="3" t="s">
        <v>244</v>
      </c>
    </row>
    <row r="9627" spans="2:9" x14ac:dyDescent="0.4">
      <c r="B9627" s="8" t="s">
        <v>517</v>
      </c>
      <c r="C9627" s="3" t="s">
        <v>15023</v>
      </c>
      <c r="D9627" s="3" t="s">
        <v>14579</v>
      </c>
      <c r="F9627" s="3" t="s">
        <v>1279</v>
      </c>
      <c r="I9627" s="3" t="s">
        <v>244</v>
      </c>
    </row>
    <row r="9628" spans="2:9" x14ac:dyDescent="0.4">
      <c r="B9628" s="8" t="s">
        <v>518</v>
      </c>
      <c r="C9628" s="3" t="s">
        <v>15024</v>
      </c>
      <c r="D9628" s="3" t="s">
        <v>14584</v>
      </c>
      <c r="F9628" s="3" t="s">
        <v>1279</v>
      </c>
      <c r="I9628" s="3" t="s">
        <v>244</v>
      </c>
    </row>
    <row r="9629" spans="2:9" x14ac:dyDescent="0.4">
      <c r="B9629" s="8" t="s">
        <v>518</v>
      </c>
      <c r="C9629" s="3" t="s">
        <v>15025</v>
      </c>
      <c r="D9629" s="3" t="s">
        <v>14585</v>
      </c>
      <c r="F9629" s="3" t="s">
        <v>1279</v>
      </c>
      <c r="I9629" s="3" t="s">
        <v>244</v>
      </c>
    </row>
    <row r="9630" spans="2:9" x14ac:dyDescent="0.4">
      <c r="B9630" s="8" t="s">
        <v>517</v>
      </c>
      <c r="C9630" s="3" t="s">
        <v>15026</v>
      </c>
      <c r="D9630" s="3" t="s">
        <v>14586</v>
      </c>
      <c r="F9630" s="3" t="s">
        <v>1279</v>
      </c>
      <c r="I9630" s="3" t="s">
        <v>244</v>
      </c>
    </row>
    <row r="9631" spans="2:9" x14ac:dyDescent="0.4">
      <c r="B9631" s="8" t="s">
        <v>531</v>
      </c>
      <c r="C9631" s="3" t="s">
        <v>15027</v>
      </c>
      <c r="D9631" s="3" t="s">
        <v>14587</v>
      </c>
      <c r="F9631" s="3" t="s">
        <v>1279</v>
      </c>
      <c r="I9631" s="3" t="s">
        <v>244</v>
      </c>
    </row>
    <row r="9632" spans="2:9" x14ac:dyDescent="0.4">
      <c r="B9632" s="8" t="s">
        <v>517</v>
      </c>
      <c r="C9632" s="3" t="s">
        <v>14995</v>
      </c>
      <c r="D9632" s="3" t="s">
        <v>14588</v>
      </c>
      <c r="F9632" s="3" t="s">
        <v>1279</v>
      </c>
      <c r="I9632" s="3" t="s">
        <v>244</v>
      </c>
    </row>
    <row r="9633" spans="2:9" x14ac:dyDescent="0.4">
      <c r="B9633" s="8" t="s">
        <v>517</v>
      </c>
      <c r="C9633" s="3" t="s">
        <v>15028</v>
      </c>
      <c r="D9633" s="3" t="s">
        <v>14589</v>
      </c>
      <c r="F9633" s="3" t="s">
        <v>1279</v>
      </c>
      <c r="I9633" s="3" t="s">
        <v>244</v>
      </c>
    </row>
    <row r="9634" spans="2:9" x14ac:dyDescent="0.4">
      <c r="B9634" s="8" t="s">
        <v>518</v>
      </c>
      <c r="C9634" s="3" t="s">
        <v>16565</v>
      </c>
      <c r="D9634" s="3" t="s">
        <v>14590</v>
      </c>
      <c r="F9634" s="3" t="s">
        <v>1279</v>
      </c>
      <c r="I9634" s="3" t="s">
        <v>244</v>
      </c>
    </row>
    <row r="9635" spans="2:9" x14ac:dyDescent="0.4">
      <c r="B9635" s="8" t="s">
        <v>517</v>
      </c>
      <c r="C9635" s="3" t="s">
        <v>15029</v>
      </c>
      <c r="D9635" s="3" t="s">
        <v>14591</v>
      </c>
      <c r="F9635" s="3" t="s">
        <v>1279</v>
      </c>
      <c r="I9635" s="3" t="s">
        <v>244</v>
      </c>
    </row>
    <row r="9636" spans="2:9" x14ac:dyDescent="0.4">
      <c r="B9636" s="8" t="s">
        <v>518</v>
      </c>
      <c r="C9636" s="3" t="s">
        <v>15030</v>
      </c>
      <c r="D9636" s="3" t="s">
        <v>14277</v>
      </c>
      <c r="F9636" s="3" t="s">
        <v>1279</v>
      </c>
      <c r="I9636" s="3" t="s">
        <v>244</v>
      </c>
    </row>
    <row r="9637" spans="2:9" x14ac:dyDescent="0.4">
      <c r="B9637" s="8" t="s">
        <v>520</v>
      </c>
      <c r="C9637" s="3" t="s">
        <v>15031</v>
      </c>
      <c r="D9637" s="3" t="s">
        <v>14592</v>
      </c>
      <c r="F9637" s="3" t="s">
        <v>1279</v>
      </c>
      <c r="I9637" s="3" t="s">
        <v>244</v>
      </c>
    </row>
    <row r="9638" spans="2:9" x14ac:dyDescent="0.4">
      <c r="B9638" s="8" t="s">
        <v>520</v>
      </c>
      <c r="C9638" s="3" t="s">
        <v>16566</v>
      </c>
      <c r="D9638" s="3" t="s">
        <v>14592</v>
      </c>
      <c r="F9638" s="3" t="s">
        <v>1279</v>
      </c>
      <c r="I9638" s="3" t="s">
        <v>244</v>
      </c>
    </row>
    <row r="9639" spans="2:9" x14ac:dyDescent="0.4">
      <c r="B9639" s="8" t="s">
        <v>517</v>
      </c>
      <c r="C9639" s="3" t="s">
        <v>15032</v>
      </c>
      <c r="D9639" s="3" t="s">
        <v>14593</v>
      </c>
      <c r="F9639" s="3" t="s">
        <v>1279</v>
      </c>
      <c r="I9639" s="3" t="s">
        <v>244</v>
      </c>
    </row>
    <row r="9640" spans="2:9" x14ac:dyDescent="0.4">
      <c r="B9640" s="8" t="s">
        <v>517</v>
      </c>
      <c r="C9640" s="3" t="s">
        <v>15033</v>
      </c>
      <c r="D9640" s="3" t="s">
        <v>14594</v>
      </c>
      <c r="F9640" s="3" t="s">
        <v>1279</v>
      </c>
      <c r="I9640" s="3" t="s">
        <v>244</v>
      </c>
    </row>
    <row r="9641" spans="2:9" x14ac:dyDescent="0.4">
      <c r="B9641" s="8" t="s">
        <v>517</v>
      </c>
      <c r="C9641" s="3" t="s">
        <v>15034</v>
      </c>
      <c r="D9641" s="3" t="s">
        <v>14595</v>
      </c>
      <c r="F9641" s="3" t="s">
        <v>1279</v>
      </c>
      <c r="I9641" s="3" t="s">
        <v>244</v>
      </c>
    </row>
    <row r="9642" spans="2:9" x14ac:dyDescent="0.4">
      <c r="B9642" s="8" t="s">
        <v>529</v>
      </c>
      <c r="C9642" s="3" t="s">
        <v>15035</v>
      </c>
      <c r="D9642" s="3" t="s">
        <v>14596</v>
      </c>
      <c r="F9642" s="3" t="s">
        <v>1279</v>
      </c>
      <c r="I9642" s="3" t="s">
        <v>244</v>
      </c>
    </row>
    <row r="9643" spans="2:9" x14ac:dyDescent="0.4">
      <c r="B9643" s="8" t="s">
        <v>532</v>
      </c>
      <c r="C9643" s="3" t="s">
        <v>15036</v>
      </c>
      <c r="D9643" s="3" t="s">
        <v>14597</v>
      </c>
      <c r="F9643" s="3" t="s">
        <v>1279</v>
      </c>
      <c r="I9643" s="3" t="s">
        <v>244</v>
      </c>
    </row>
    <row r="9644" spans="2:9" x14ac:dyDescent="0.4">
      <c r="B9644" s="8" t="s">
        <v>518</v>
      </c>
      <c r="C9644" s="3" t="s">
        <v>15037</v>
      </c>
      <c r="D9644" s="3" t="s">
        <v>15767</v>
      </c>
      <c r="F9644" s="3" t="s">
        <v>1279</v>
      </c>
      <c r="I9644" s="3" t="s">
        <v>244</v>
      </c>
    </row>
    <row r="9645" spans="2:9" x14ac:dyDescent="0.4">
      <c r="B9645" s="8" t="s">
        <v>518</v>
      </c>
      <c r="C9645" s="3" t="s">
        <v>15038</v>
      </c>
      <c r="D9645" s="3" t="s">
        <v>15768</v>
      </c>
      <c r="F9645" s="3" t="s">
        <v>1279</v>
      </c>
      <c r="I9645" s="3" t="s">
        <v>244</v>
      </c>
    </row>
    <row r="9646" spans="2:9" x14ac:dyDescent="0.4">
      <c r="B9646" s="8" t="s">
        <v>520</v>
      </c>
      <c r="C9646" s="3" t="s">
        <v>15039</v>
      </c>
      <c r="D9646" s="3" t="s">
        <v>15769</v>
      </c>
      <c r="F9646" s="3" t="s">
        <v>1279</v>
      </c>
      <c r="I9646" s="3" t="s">
        <v>244</v>
      </c>
    </row>
    <row r="9647" spans="2:9" x14ac:dyDescent="0.4">
      <c r="B9647" s="8" t="s">
        <v>520</v>
      </c>
      <c r="C9647" s="3" t="s">
        <v>14996</v>
      </c>
      <c r="D9647" s="3" t="s">
        <v>15770</v>
      </c>
      <c r="F9647" s="3" t="s">
        <v>1279</v>
      </c>
      <c r="I9647" s="3" t="s">
        <v>244</v>
      </c>
    </row>
    <row r="9648" spans="2:9" x14ac:dyDescent="0.4">
      <c r="B9648" s="8" t="s">
        <v>520</v>
      </c>
      <c r="C9648" s="3" t="s">
        <v>15040</v>
      </c>
      <c r="D9648" s="3" t="s">
        <v>15771</v>
      </c>
      <c r="F9648" s="3" t="s">
        <v>1279</v>
      </c>
      <c r="I9648" s="3" t="s">
        <v>244</v>
      </c>
    </row>
    <row r="9649" spans="2:9" x14ac:dyDescent="0.4">
      <c r="B9649" s="8" t="s">
        <v>532</v>
      </c>
      <c r="C9649" s="3" t="s">
        <v>15041</v>
      </c>
      <c r="D9649" s="3" t="s">
        <v>15772</v>
      </c>
      <c r="F9649" s="3" t="s">
        <v>1279</v>
      </c>
      <c r="I9649" s="3" t="s">
        <v>244</v>
      </c>
    </row>
    <row r="9650" spans="2:9" x14ac:dyDescent="0.4">
      <c r="B9650" s="8" t="s">
        <v>517</v>
      </c>
      <c r="C9650" s="3" t="s">
        <v>15042</v>
      </c>
      <c r="D9650" s="3" t="s">
        <v>15773</v>
      </c>
      <c r="F9650" s="3" t="s">
        <v>1279</v>
      </c>
      <c r="I9650" s="3" t="s">
        <v>244</v>
      </c>
    </row>
    <row r="9651" spans="2:9" x14ac:dyDescent="0.4">
      <c r="B9651" s="8" t="s">
        <v>517</v>
      </c>
      <c r="C9651" s="3" t="s">
        <v>15043</v>
      </c>
      <c r="D9651" s="3" t="s">
        <v>15774</v>
      </c>
      <c r="F9651" s="3" t="s">
        <v>1279</v>
      </c>
      <c r="I9651" s="3" t="s">
        <v>244</v>
      </c>
    </row>
    <row r="9652" spans="2:9" x14ac:dyDescent="0.4">
      <c r="B9652" s="8" t="s">
        <v>529</v>
      </c>
      <c r="C9652" s="3" t="s">
        <v>15044</v>
      </c>
      <c r="D9652" s="3" t="s">
        <v>15775</v>
      </c>
      <c r="F9652" s="3" t="s">
        <v>1279</v>
      </c>
      <c r="I9652" s="3" t="s">
        <v>244</v>
      </c>
    </row>
    <row r="9653" spans="2:9" x14ac:dyDescent="0.4">
      <c r="B9653" s="8" t="s">
        <v>518</v>
      </c>
      <c r="C9653" s="3" t="s">
        <v>15045</v>
      </c>
      <c r="D9653" s="3" t="s">
        <v>15776</v>
      </c>
      <c r="F9653" s="3" t="s">
        <v>1279</v>
      </c>
      <c r="I9653" s="3" t="s">
        <v>244</v>
      </c>
    </row>
    <row r="9654" spans="2:9" x14ac:dyDescent="0.4">
      <c r="B9654" s="8" t="s">
        <v>517</v>
      </c>
      <c r="C9654" s="3" t="s">
        <v>15046</v>
      </c>
      <c r="D9654" s="3" t="s">
        <v>14144</v>
      </c>
      <c r="F9654" s="3" t="s">
        <v>1279</v>
      </c>
      <c r="I9654" s="3" t="s">
        <v>244</v>
      </c>
    </row>
    <row r="9655" spans="2:9" x14ac:dyDescent="0.4">
      <c r="B9655" s="8" t="s">
        <v>520</v>
      </c>
      <c r="C9655" s="3" t="s">
        <v>15047</v>
      </c>
      <c r="D9655" s="3" t="s">
        <v>15777</v>
      </c>
      <c r="F9655" s="3" t="s">
        <v>1279</v>
      </c>
      <c r="I9655" s="3" t="s">
        <v>244</v>
      </c>
    </row>
    <row r="9656" spans="2:9" x14ac:dyDescent="0.4">
      <c r="B9656" s="8" t="s">
        <v>517</v>
      </c>
      <c r="C9656" s="3" t="s">
        <v>15048</v>
      </c>
      <c r="D9656" s="3" t="s">
        <v>14555</v>
      </c>
      <c r="F9656" s="3" t="s">
        <v>1279</v>
      </c>
      <c r="I9656" s="3" t="s">
        <v>244</v>
      </c>
    </row>
    <row r="9657" spans="2:9" x14ac:dyDescent="0.4">
      <c r="B9657" s="8" t="s">
        <v>520</v>
      </c>
      <c r="C9657" s="3" t="s">
        <v>15049</v>
      </c>
      <c r="D9657" s="3" t="s">
        <v>15778</v>
      </c>
      <c r="F9657" s="3" t="s">
        <v>1279</v>
      </c>
      <c r="I9657" s="3" t="s">
        <v>244</v>
      </c>
    </row>
    <row r="9658" spans="2:9" x14ac:dyDescent="0.4">
      <c r="B9658" s="8" t="s">
        <v>518</v>
      </c>
      <c r="C9658" s="3" t="s">
        <v>15050</v>
      </c>
      <c r="D9658" s="3" t="s">
        <v>15779</v>
      </c>
      <c r="F9658" s="3" t="s">
        <v>1279</v>
      </c>
      <c r="I9658" s="3" t="s">
        <v>244</v>
      </c>
    </row>
    <row r="9659" spans="2:9" x14ac:dyDescent="0.4">
      <c r="B9659" s="8" t="s">
        <v>520</v>
      </c>
      <c r="C9659" s="3" t="s">
        <v>15051</v>
      </c>
      <c r="D9659" s="3" t="s">
        <v>15780</v>
      </c>
      <c r="F9659" s="3" t="s">
        <v>1279</v>
      </c>
      <c r="I9659" s="3" t="s">
        <v>244</v>
      </c>
    </row>
    <row r="9660" spans="2:9" x14ac:dyDescent="0.4">
      <c r="B9660" s="8" t="s">
        <v>517</v>
      </c>
      <c r="C9660" s="3" t="s">
        <v>15052</v>
      </c>
      <c r="D9660" s="3" t="s">
        <v>15781</v>
      </c>
      <c r="F9660" s="3" t="s">
        <v>1279</v>
      </c>
      <c r="I9660" s="3" t="s">
        <v>244</v>
      </c>
    </row>
    <row r="9661" spans="2:9" x14ac:dyDescent="0.4">
      <c r="B9661" s="8" t="s">
        <v>529</v>
      </c>
      <c r="C9661" s="3" t="s">
        <v>15053</v>
      </c>
      <c r="D9661" s="3" t="s">
        <v>15782</v>
      </c>
      <c r="F9661" s="3" t="s">
        <v>1279</v>
      </c>
      <c r="I9661" s="3" t="s">
        <v>244</v>
      </c>
    </row>
    <row r="9662" spans="2:9" x14ac:dyDescent="0.4">
      <c r="B9662" s="8" t="s">
        <v>529</v>
      </c>
      <c r="C9662" s="3" t="s">
        <v>15054</v>
      </c>
      <c r="D9662" s="3" t="s">
        <v>15783</v>
      </c>
      <c r="F9662" s="3" t="s">
        <v>1279</v>
      </c>
      <c r="I9662" s="3" t="s">
        <v>244</v>
      </c>
    </row>
    <row r="9663" spans="2:9" x14ac:dyDescent="0.4">
      <c r="B9663" s="8" t="s">
        <v>529</v>
      </c>
      <c r="C9663" s="3" t="s">
        <v>15055</v>
      </c>
      <c r="D9663" s="3" t="s">
        <v>15784</v>
      </c>
      <c r="F9663" s="3" t="s">
        <v>1279</v>
      </c>
      <c r="I9663" s="3" t="s">
        <v>244</v>
      </c>
    </row>
    <row r="9664" spans="2:9" x14ac:dyDescent="0.4">
      <c r="B9664" s="8" t="s">
        <v>532</v>
      </c>
      <c r="C9664" s="3" t="s">
        <v>15056</v>
      </c>
      <c r="D9664" s="3" t="s">
        <v>15785</v>
      </c>
      <c r="F9664" s="3" t="s">
        <v>1279</v>
      </c>
      <c r="I9664" s="3" t="s">
        <v>244</v>
      </c>
    </row>
    <row r="9665" spans="2:9" x14ac:dyDescent="0.4">
      <c r="B9665" s="8" t="s">
        <v>529</v>
      </c>
      <c r="C9665" s="3" t="s">
        <v>15057</v>
      </c>
      <c r="D9665" s="3" t="s">
        <v>15786</v>
      </c>
      <c r="F9665" s="3" t="s">
        <v>1279</v>
      </c>
      <c r="I9665" s="3" t="s">
        <v>244</v>
      </c>
    </row>
    <row r="9666" spans="2:9" x14ac:dyDescent="0.4">
      <c r="B9666" s="8" t="s">
        <v>532</v>
      </c>
      <c r="C9666" s="3" t="s">
        <v>15058</v>
      </c>
      <c r="D9666" s="3" t="s">
        <v>15787</v>
      </c>
      <c r="F9666" s="3" t="s">
        <v>1279</v>
      </c>
      <c r="I9666" s="3" t="s">
        <v>244</v>
      </c>
    </row>
    <row r="9667" spans="2:9" x14ac:dyDescent="0.4">
      <c r="B9667" s="8" t="s">
        <v>532</v>
      </c>
      <c r="C9667" s="3" t="s">
        <v>15059</v>
      </c>
      <c r="D9667" s="3" t="s">
        <v>15788</v>
      </c>
      <c r="F9667" s="3" t="s">
        <v>1279</v>
      </c>
      <c r="I9667" s="3" t="s">
        <v>244</v>
      </c>
    </row>
    <row r="9668" spans="2:9" x14ac:dyDescent="0.4">
      <c r="B9668" s="8" t="s">
        <v>518</v>
      </c>
      <c r="C9668" s="3" t="s">
        <v>15060</v>
      </c>
      <c r="D9668" s="3" t="s">
        <v>15789</v>
      </c>
      <c r="F9668" s="3" t="s">
        <v>1279</v>
      </c>
      <c r="I9668" s="3" t="s">
        <v>244</v>
      </c>
    </row>
    <row r="9669" spans="2:9" x14ac:dyDescent="0.4">
      <c r="B9669" s="8" t="s">
        <v>520</v>
      </c>
      <c r="C9669" s="3" t="s">
        <v>16567</v>
      </c>
      <c r="D9669" s="3" t="s">
        <v>16568</v>
      </c>
      <c r="F9669" s="3" t="s">
        <v>1279</v>
      </c>
      <c r="I9669" s="3" t="s">
        <v>244</v>
      </c>
    </row>
    <row r="9670" spans="2:9" x14ac:dyDescent="0.4">
      <c r="B9670" s="8" t="s">
        <v>518</v>
      </c>
      <c r="C9670" s="3" t="s">
        <v>15061</v>
      </c>
      <c r="D9670" s="3" t="s">
        <v>15790</v>
      </c>
      <c r="F9670" s="3" t="s">
        <v>1279</v>
      </c>
      <c r="I9670" s="3" t="s">
        <v>244</v>
      </c>
    </row>
    <row r="9671" spans="2:9" x14ac:dyDescent="0.4">
      <c r="B9671" s="8" t="s">
        <v>518</v>
      </c>
      <c r="C9671" s="3" t="s">
        <v>15062</v>
      </c>
      <c r="D9671" s="3" t="s">
        <v>15791</v>
      </c>
      <c r="F9671" s="3" t="s">
        <v>1279</v>
      </c>
      <c r="I9671" s="3" t="s">
        <v>244</v>
      </c>
    </row>
    <row r="9672" spans="2:9" x14ac:dyDescent="0.4">
      <c r="B9672" s="8" t="s">
        <v>529</v>
      </c>
      <c r="C9672" s="3" t="s">
        <v>15063</v>
      </c>
      <c r="D9672" s="3" t="s">
        <v>15792</v>
      </c>
      <c r="F9672" s="3" t="s">
        <v>1279</v>
      </c>
      <c r="I9672" s="3" t="s">
        <v>244</v>
      </c>
    </row>
    <row r="9673" spans="2:9" x14ac:dyDescent="0.4">
      <c r="B9673" s="8" t="s">
        <v>531</v>
      </c>
      <c r="C9673" s="3" t="s">
        <v>15064</v>
      </c>
      <c r="D9673" s="3" t="s">
        <v>15793</v>
      </c>
      <c r="F9673" s="3" t="s">
        <v>1279</v>
      </c>
      <c r="I9673" s="3" t="s">
        <v>244</v>
      </c>
    </row>
    <row r="9674" spans="2:9" x14ac:dyDescent="0.4">
      <c r="B9674" s="8" t="s">
        <v>529</v>
      </c>
      <c r="C9674" s="3" t="s">
        <v>15065</v>
      </c>
      <c r="D9674" s="3" t="s">
        <v>15794</v>
      </c>
      <c r="F9674" s="3" t="s">
        <v>1279</v>
      </c>
      <c r="I9674" s="3" t="s">
        <v>244</v>
      </c>
    </row>
    <row r="9675" spans="2:9" x14ac:dyDescent="0.4">
      <c r="B9675" s="8" t="s">
        <v>517</v>
      </c>
      <c r="C9675" s="3" t="s">
        <v>15066</v>
      </c>
      <c r="D9675" s="3" t="s">
        <v>14312</v>
      </c>
      <c r="F9675" s="3" t="s">
        <v>1279</v>
      </c>
      <c r="I9675" s="3" t="s">
        <v>244</v>
      </c>
    </row>
    <row r="9676" spans="2:9" x14ac:dyDescent="0.4">
      <c r="B9676" s="8" t="s">
        <v>529</v>
      </c>
      <c r="C9676" s="3" t="s">
        <v>15067</v>
      </c>
      <c r="D9676" s="3" t="s">
        <v>15795</v>
      </c>
      <c r="F9676" s="3" t="s">
        <v>1279</v>
      </c>
      <c r="I9676" s="3" t="s">
        <v>244</v>
      </c>
    </row>
    <row r="9677" spans="2:9" x14ac:dyDescent="0.4">
      <c r="B9677" s="8" t="s">
        <v>529</v>
      </c>
      <c r="C9677" s="3" t="s">
        <v>15068</v>
      </c>
      <c r="D9677" s="3" t="s">
        <v>15796</v>
      </c>
      <c r="F9677" s="3" t="s">
        <v>1279</v>
      </c>
      <c r="I9677" s="3" t="s">
        <v>244</v>
      </c>
    </row>
    <row r="9678" spans="2:9" x14ac:dyDescent="0.4">
      <c r="B9678" s="8" t="s">
        <v>518</v>
      </c>
      <c r="C9678" s="3" t="s">
        <v>15069</v>
      </c>
      <c r="D9678" s="3" t="s">
        <v>15797</v>
      </c>
      <c r="F9678" s="3" t="s">
        <v>1279</v>
      </c>
      <c r="I9678" s="3" t="s">
        <v>244</v>
      </c>
    </row>
    <row r="9679" spans="2:9" x14ac:dyDescent="0.4">
      <c r="B9679" s="8" t="s">
        <v>531</v>
      </c>
      <c r="C9679" s="3" t="s">
        <v>15070</v>
      </c>
      <c r="D9679" s="3" t="s">
        <v>14504</v>
      </c>
      <c r="F9679" s="3" t="s">
        <v>1279</v>
      </c>
      <c r="I9679" s="3" t="s">
        <v>244</v>
      </c>
    </row>
    <row r="9680" spans="2:9" x14ac:dyDescent="0.4">
      <c r="B9680" s="8" t="s">
        <v>530</v>
      </c>
      <c r="C9680" s="3" t="s">
        <v>15071</v>
      </c>
      <c r="D9680" s="3" t="s">
        <v>15798</v>
      </c>
      <c r="F9680" s="3" t="s">
        <v>1279</v>
      </c>
      <c r="I9680" s="3" t="s">
        <v>244</v>
      </c>
    </row>
    <row r="9681" spans="2:9" x14ac:dyDescent="0.4">
      <c r="B9681" s="8" t="s">
        <v>520</v>
      </c>
      <c r="C9681" s="3" t="s">
        <v>15072</v>
      </c>
      <c r="D9681" s="3" t="s">
        <v>13542</v>
      </c>
      <c r="F9681" s="3" t="s">
        <v>1279</v>
      </c>
      <c r="I9681" s="3" t="s">
        <v>244</v>
      </c>
    </row>
    <row r="9682" spans="2:9" x14ac:dyDescent="0.4">
      <c r="B9682" s="8" t="s">
        <v>518</v>
      </c>
      <c r="C9682" s="3" t="s">
        <v>15073</v>
      </c>
      <c r="D9682" s="3" t="s">
        <v>13539</v>
      </c>
      <c r="F9682" s="3" t="s">
        <v>1279</v>
      </c>
      <c r="I9682" s="3" t="s">
        <v>244</v>
      </c>
    </row>
    <row r="9683" spans="2:9" x14ac:dyDescent="0.4">
      <c r="B9683" s="8" t="s">
        <v>532</v>
      </c>
      <c r="C9683" s="3" t="s">
        <v>15074</v>
      </c>
      <c r="D9683" s="3" t="s">
        <v>15799</v>
      </c>
      <c r="F9683" s="3" t="s">
        <v>1279</v>
      </c>
      <c r="I9683" s="3" t="s">
        <v>244</v>
      </c>
    </row>
    <row r="9684" spans="2:9" x14ac:dyDescent="0.4">
      <c r="B9684" s="8" t="s">
        <v>517</v>
      </c>
      <c r="C9684" s="3" t="s">
        <v>15075</v>
      </c>
      <c r="D9684" s="3" t="s">
        <v>15800</v>
      </c>
      <c r="F9684" s="3" t="s">
        <v>1279</v>
      </c>
      <c r="I9684" s="3" t="s">
        <v>244</v>
      </c>
    </row>
    <row r="9685" spans="2:9" x14ac:dyDescent="0.4">
      <c r="B9685" s="8" t="s">
        <v>532</v>
      </c>
      <c r="C9685" s="3" t="s">
        <v>15076</v>
      </c>
      <c r="D9685" s="3" t="s">
        <v>15801</v>
      </c>
      <c r="F9685" s="3" t="s">
        <v>1279</v>
      </c>
      <c r="I9685" s="3" t="s">
        <v>244</v>
      </c>
    </row>
    <row r="9686" spans="2:9" x14ac:dyDescent="0.4">
      <c r="B9686" s="8" t="s">
        <v>529</v>
      </c>
      <c r="C9686" s="3" t="s">
        <v>15077</v>
      </c>
      <c r="D9686" s="3" t="s">
        <v>15802</v>
      </c>
      <c r="F9686" s="3" t="s">
        <v>1279</v>
      </c>
      <c r="I9686" s="3" t="s">
        <v>244</v>
      </c>
    </row>
    <row r="9687" spans="2:9" x14ac:dyDescent="0.4">
      <c r="B9687" s="8" t="s">
        <v>520</v>
      </c>
      <c r="C9687" s="3" t="s">
        <v>15078</v>
      </c>
      <c r="D9687" s="3" t="s">
        <v>15803</v>
      </c>
      <c r="F9687" s="3" t="s">
        <v>1279</v>
      </c>
      <c r="I9687" s="3" t="s">
        <v>244</v>
      </c>
    </row>
    <row r="9688" spans="2:9" x14ac:dyDescent="0.4">
      <c r="B9688" s="8" t="s">
        <v>517</v>
      </c>
      <c r="C9688" s="3" t="s">
        <v>15079</v>
      </c>
      <c r="D9688" s="3" t="s">
        <v>15804</v>
      </c>
      <c r="F9688" s="3" t="s">
        <v>1279</v>
      </c>
      <c r="I9688" s="3" t="s">
        <v>244</v>
      </c>
    </row>
    <row r="9689" spans="2:9" x14ac:dyDescent="0.4">
      <c r="B9689" s="8" t="s">
        <v>520</v>
      </c>
      <c r="C9689" s="3" t="s">
        <v>15080</v>
      </c>
      <c r="D9689" s="3" t="s">
        <v>15805</v>
      </c>
      <c r="F9689" s="3" t="s">
        <v>1279</v>
      </c>
      <c r="I9689" s="3" t="s">
        <v>244</v>
      </c>
    </row>
    <row r="9690" spans="2:9" x14ac:dyDescent="0.4">
      <c r="B9690" s="8" t="s">
        <v>520</v>
      </c>
      <c r="C9690" s="3" t="s">
        <v>15081</v>
      </c>
      <c r="D9690" s="3" t="s">
        <v>15806</v>
      </c>
      <c r="F9690" s="3" t="s">
        <v>1279</v>
      </c>
      <c r="I9690" s="3" t="s">
        <v>244</v>
      </c>
    </row>
    <row r="9691" spans="2:9" x14ac:dyDescent="0.4">
      <c r="B9691" s="8" t="s">
        <v>517</v>
      </c>
      <c r="C9691" s="3" t="s">
        <v>15082</v>
      </c>
      <c r="D9691" s="3" t="s">
        <v>15807</v>
      </c>
      <c r="F9691" s="3" t="s">
        <v>1279</v>
      </c>
      <c r="I9691" s="3" t="s">
        <v>244</v>
      </c>
    </row>
    <row r="9692" spans="2:9" x14ac:dyDescent="0.4">
      <c r="B9692" s="8" t="s">
        <v>518</v>
      </c>
      <c r="C9692" s="3" t="s">
        <v>15953</v>
      </c>
      <c r="D9692" s="3" t="s">
        <v>15808</v>
      </c>
      <c r="F9692" s="3" t="s">
        <v>1279</v>
      </c>
      <c r="I9692" s="3" t="s">
        <v>244</v>
      </c>
    </row>
    <row r="9693" spans="2:9" x14ac:dyDescent="0.4">
      <c r="B9693" s="8" t="s">
        <v>529</v>
      </c>
      <c r="C9693" s="3" t="s">
        <v>15083</v>
      </c>
      <c r="D9693" s="3" t="s">
        <v>15809</v>
      </c>
      <c r="F9693" s="3" t="s">
        <v>1279</v>
      </c>
      <c r="I9693" s="3" t="s">
        <v>244</v>
      </c>
    </row>
    <row r="9694" spans="2:9" x14ac:dyDescent="0.4">
      <c r="B9694" s="8" t="s">
        <v>518</v>
      </c>
      <c r="C9694" s="3" t="s">
        <v>15084</v>
      </c>
      <c r="D9694" s="3" t="s">
        <v>15810</v>
      </c>
      <c r="F9694" s="3" t="s">
        <v>1279</v>
      </c>
      <c r="I9694" s="3" t="s">
        <v>244</v>
      </c>
    </row>
    <row r="9695" spans="2:9" x14ac:dyDescent="0.4">
      <c r="B9695" s="8" t="s">
        <v>518</v>
      </c>
      <c r="C9695" s="3" t="s">
        <v>15085</v>
      </c>
      <c r="D9695" s="3" t="s">
        <v>15811</v>
      </c>
      <c r="F9695" s="3" t="s">
        <v>1279</v>
      </c>
      <c r="I9695" s="3" t="s">
        <v>244</v>
      </c>
    </row>
    <row r="9696" spans="2:9" x14ac:dyDescent="0.4">
      <c r="B9696" s="8" t="s">
        <v>518</v>
      </c>
      <c r="C9696" s="3" t="s">
        <v>15086</v>
      </c>
      <c r="D9696" s="3" t="s">
        <v>15812</v>
      </c>
      <c r="F9696" s="3" t="s">
        <v>1279</v>
      </c>
      <c r="I9696" s="3" t="s">
        <v>244</v>
      </c>
    </row>
    <row r="9697" spans="2:9" x14ac:dyDescent="0.4">
      <c r="B9697" s="8" t="s">
        <v>517</v>
      </c>
      <c r="C9697" s="3" t="s">
        <v>15087</v>
      </c>
      <c r="D9697" s="3" t="s">
        <v>15813</v>
      </c>
      <c r="F9697" s="3" t="s">
        <v>1279</v>
      </c>
      <c r="I9697" s="3" t="s">
        <v>244</v>
      </c>
    </row>
    <row r="9698" spans="2:9" x14ac:dyDescent="0.4">
      <c r="B9698" s="8" t="s">
        <v>520</v>
      </c>
      <c r="C9698" s="3" t="s">
        <v>15088</v>
      </c>
      <c r="D9698" s="3" t="s">
        <v>15814</v>
      </c>
      <c r="F9698" s="3" t="s">
        <v>1279</v>
      </c>
      <c r="I9698" s="3" t="s">
        <v>244</v>
      </c>
    </row>
    <row r="9699" spans="2:9" x14ac:dyDescent="0.4">
      <c r="B9699" s="8" t="s">
        <v>520</v>
      </c>
      <c r="C9699" s="3" t="s">
        <v>15089</v>
      </c>
      <c r="D9699" s="3" t="s">
        <v>15815</v>
      </c>
      <c r="F9699" s="3" t="s">
        <v>1279</v>
      </c>
      <c r="I9699" s="3" t="s">
        <v>244</v>
      </c>
    </row>
    <row r="9700" spans="2:9" x14ac:dyDescent="0.4">
      <c r="B9700" s="8" t="s">
        <v>529</v>
      </c>
      <c r="C9700" s="3" t="s">
        <v>15090</v>
      </c>
      <c r="D9700" s="3" t="s">
        <v>15816</v>
      </c>
      <c r="F9700" s="3" t="s">
        <v>1279</v>
      </c>
      <c r="I9700" s="3" t="s">
        <v>244</v>
      </c>
    </row>
    <row r="9701" spans="2:9" x14ac:dyDescent="0.4">
      <c r="B9701" s="8" t="s">
        <v>518</v>
      </c>
      <c r="C9701" s="3" t="s">
        <v>15091</v>
      </c>
      <c r="D9701" s="3" t="s">
        <v>15817</v>
      </c>
      <c r="F9701" s="3" t="s">
        <v>1279</v>
      </c>
      <c r="I9701" s="3" t="s">
        <v>244</v>
      </c>
    </row>
    <row r="9702" spans="2:9" x14ac:dyDescent="0.4">
      <c r="B9702" s="8" t="s">
        <v>532</v>
      </c>
      <c r="C9702" s="3" t="s">
        <v>15092</v>
      </c>
      <c r="D9702" s="3" t="s">
        <v>15818</v>
      </c>
      <c r="F9702" s="3" t="s">
        <v>1279</v>
      </c>
      <c r="I9702" s="3" t="s">
        <v>244</v>
      </c>
    </row>
    <row r="9703" spans="2:9" x14ac:dyDescent="0.4">
      <c r="B9703" s="8" t="s">
        <v>532</v>
      </c>
      <c r="C9703" s="3" t="s">
        <v>15093</v>
      </c>
      <c r="D9703" s="3" t="s">
        <v>15819</v>
      </c>
      <c r="F9703" s="3" t="s">
        <v>1279</v>
      </c>
      <c r="I9703" s="3" t="s">
        <v>244</v>
      </c>
    </row>
    <row r="9704" spans="2:9" x14ac:dyDescent="0.4">
      <c r="B9704" s="8" t="s">
        <v>517</v>
      </c>
      <c r="C9704" s="3" t="s">
        <v>15094</v>
      </c>
      <c r="D9704" s="3" t="s">
        <v>15820</v>
      </c>
      <c r="F9704" s="3" t="s">
        <v>1279</v>
      </c>
      <c r="I9704" s="3" t="s">
        <v>244</v>
      </c>
    </row>
    <row r="9705" spans="2:9" x14ac:dyDescent="0.4">
      <c r="B9705" s="8" t="s">
        <v>517</v>
      </c>
      <c r="C9705" s="3" t="s">
        <v>15095</v>
      </c>
      <c r="D9705" s="3" t="s">
        <v>15821</v>
      </c>
      <c r="F9705" s="3" t="s">
        <v>1279</v>
      </c>
      <c r="I9705" s="3" t="s">
        <v>244</v>
      </c>
    </row>
    <row r="9706" spans="2:9" x14ac:dyDescent="0.4">
      <c r="B9706" s="8" t="s">
        <v>529</v>
      </c>
      <c r="C9706" s="3" t="s">
        <v>15096</v>
      </c>
      <c r="D9706" s="3" t="s">
        <v>15822</v>
      </c>
      <c r="F9706" s="3" t="s">
        <v>1279</v>
      </c>
      <c r="I9706" s="3" t="s">
        <v>244</v>
      </c>
    </row>
    <row r="9707" spans="2:9" x14ac:dyDescent="0.4">
      <c r="B9707" s="8" t="s">
        <v>517</v>
      </c>
      <c r="C9707" s="3" t="s">
        <v>15097</v>
      </c>
      <c r="D9707" s="3" t="s">
        <v>15823</v>
      </c>
      <c r="F9707" s="3" t="s">
        <v>1279</v>
      </c>
      <c r="I9707" s="3" t="s">
        <v>244</v>
      </c>
    </row>
    <row r="9708" spans="2:9" x14ac:dyDescent="0.4">
      <c r="B9708" s="8" t="s">
        <v>531</v>
      </c>
      <c r="C9708" s="3" t="s">
        <v>15098</v>
      </c>
      <c r="D9708" s="3" t="s">
        <v>15824</v>
      </c>
      <c r="F9708" s="3" t="s">
        <v>1279</v>
      </c>
      <c r="I9708" s="3" t="s">
        <v>244</v>
      </c>
    </row>
    <row r="9709" spans="2:9" x14ac:dyDescent="0.4">
      <c r="B9709" s="8" t="s">
        <v>520</v>
      </c>
      <c r="C9709" s="3" t="s">
        <v>15099</v>
      </c>
      <c r="D9709" s="3" t="s">
        <v>15825</v>
      </c>
      <c r="F9709" s="3" t="s">
        <v>1279</v>
      </c>
      <c r="I9709" s="3" t="s">
        <v>244</v>
      </c>
    </row>
    <row r="9710" spans="2:9" x14ac:dyDescent="0.4">
      <c r="B9710" s="8" t="s">
        <v>518</v>
      </c>
      <c r="C9710" s="3" t="s">
        <v>15100</v>
      </c>
      <c r="D9710" s="3" t="s">
        <v>15826</v>
      </c>
      <c r="F9710" s="3" t="s">
        <v>1279</v>
      </c>
      <c r="I9710" s="3" t="s">
        <v>244</v>
      </c>
    </row>
    <row r="9711" spans="2:9" x14ac:dyDescent="0.4">
      <c r="B9711" s="8" t="s">
        <v>518</v>
      </c>
      <c r="C9711" s="3" t="s">
        <v>15101</v>
      </c>
      <c r="D9711" s="3" t="s">
        <v>15827</v>
      </c>
      <c r="F9711" s="3" t="s">
        <v>1279</v>
      </c>
      <c r="I9711" s="3" t="s">
        <v>244</v>
      </c>
    </row>
    <row r="9712" spans="2:9" x14ac:dyDescent="0.4">
      <c r="B9712" s="8" t="s">
        <v>529</v>
      </c>
      <c r="C9712" s="3" t="s">
        <v>15102</v>
      </c>
      <c r="D9712" s="3" t="s">
        <v>15828</v>
      </c>
      <c r="F9712" s="3" t="s">
        <v>1279</v>
      </c>
      <c r="I9712" s="3" t="s">
        <v>244</v>
      </c>
    </row>
    <row r="9713" spans="2:9" x14ac:dyDescent="0.4">
      <c r="B9713" s="8" t="s">
        <v>518</v>
      </c>
      <c r="C9713" s="3" t="s">
        <v>15954</v>
      </c>
      <c r="D9713" s="3" t="s">
        <v>15829</v>
      </c>
      <c r="F9713" s="3" t="s">
        <v>1279</v>
      </c>
      <c r="I9713" s="3" t="s">
        <v>244</v>
      </c>
    </row>
    <row r="9714" spans="2:9" x14ac:dyDescent="0.4">
      <c r="B9714" s="8" t="s">
        <v>532</v>
      </c>
      <c r="C9714" s="3" t="s">
        <v>15103</v>
      </c>
      <c r="D9714" s="3" t="s">
        <v>15830</v>
      </c>
      <c r="F9714" s="3" t="s">
        <v>1279</v>
      </c>
      <c r="I9714" s="3" t="s">
        <v>244</v>
      </c>
    </row>
    <row r="9715" spans="2:9" x14ac:dyDescent="0.4">
      <c r="B9715" s="8" t="s">
        <v>532</v>
      </c>
      <c r="C9715" s="3" t="s">
        <v>15955</v>
      </c>
      <c r="D9715" s="3" t="s">
        <v>15831</v>
      </c>
      <c r="F9715" s="3" t="s">
        <v>1279</v>
      </c>
      <c r="I9715" s="3" t="s">
        <v>244</v>
      </c>
    </row>
    <row r="9716" spans="2:9" x14ac:dyDescent="0.4">
      <c r="B9716" s="8" t="s">
        <v>529</v>
      </c>
      <c r="C9716" s="3" t="s">
        <v>15104</v>
      </c>
      <c r="D9716" s="3" t="s">
        <v>15832</v>
      </c>
      <c r="F9716" s="3" t="s">
        <v>1279</v>
      </c>
      <c r="I9716" s="3" t="s">
        <v>244</v>
      </c>
    </row>
    <row r="9717" spans="2:9" x14ac:dyDescent="0.4">
      <c r="B9717" s="8" t="s">
        <v>529</v>
      </c>
      <c r="C9717" s="3" t="s">
        <v>15105</v>
      </c>
      <c r="D9717" s="3" t="s">
        <v>15833</v>
      </c>
      <c r="F9717" s="3" t="s">
        <v>1279</v>
      </c>
      <c r="I9717" s="3" t="s">
        <v>244</v>
      </c>
    </row>
    <row r="9718" spans="2:9" x14ac:dyDescent="0.4">
      <c r="B9718" s="8" t="s">
        <v>518</v>
      </c>
      <c r="C9718" s="3" t="s">
        <v>15106</v>
      </c>
      <c r="D9718" s="3" t="s">
        <v>15834</v>
      </c>
      <c r="F9718" s="3" t="s">
        <v>1279</v>
      </c>
      <c r="I9718" s="3" t="s">
        <v>244</v>
      </c>
    </row>
    <row r="9719" spans="2:9" x14ac:dyDescent="0.4">
      <c r="B9719" s="8" t="s">
        <v>518</v>
      </c>
      <c r="C9719" s="3" t="s">
        <v>15107</v>
      </c>
      <c r="D9719" s="3" t="s">
        <v>15835</v>
      </c>
      <c r="F9719" s="3" t="s">
        <v>1279</v>
      </c>
      <c r="I9719" s="3" t="s">
        <v>244</v>
      </c>
    </row>
    <row r="9720" spans="2:9" x14ac:dyDescent="0.4">
      <c r="B9720" s="8" t="s">
        <v>518</v>
      </c>
      <c r="C9720" s="3" t="s">
        <v>15108</v>
      </c>
      <c r="D9720" s="3" t="s">
        <v>15836</v>
      </c>
      <c r="F9720" s="3" t="s">
        <v>1279</v>
      </c>
      <c r="I9720" s="3" t="s">
        <v>244</v>
      </c>
    </row>
    <row r="9721" spans="2:9" x14ac:dyDescent="0.4">
      <c r="B9721" s="8" t="s">
        <v>518</v>
      </c>
      <c r="C9721" s="3" t="s">
        <v>15109</v>
      </c>
      <c r="D9721" s="3" t="s">
        <v>15837</v>
      </c>
      <c r="F9721" s="3" t="s">
        <v>1279</v>
      </c>
      <c r="I9721" s="3" t="s">
        <v>244</v>
      </c>
    </row>
    <row r="9722" spans="2:9" x14ac:dyDescent="0.4">
      <c r="B9722" s="8" t="s">
        <v>518</v>
      </c>
      <c r="C9722" s="3" t="s">
        <v>15110</v>
      </c>
      <c r="D9722" s="3" t="s">
        <v>15838</v>
      </c>
      <c r="F9722" s="3" t="s">
        <v>1279</v>
      </c>
      <c r="I9722" s="3" t="s">
        <v>244</v>
      </c>
    </row>
    <row r="9723" spans="2:9" x14ac:dyDescent="0.4">
      <c r="B9723" s="8" t="s">
        <v>532</v>
      </c>
      <c r="C9723" s="3" t="s">
        <v>15111</v>
      </c>
      <c r="D9723" s="3" t="s">
        <v>15839</v>
      </c>
      <c r="F9723" s="3" t="s">
        <v>1279</v>
      </c>
      <c r="I9723" s="3" t="s">
        <v>244</v>
      </c>
    </row>
    <row r="9724" spans="2:9" x14ac:dyDescent="0.4">
      <c r="B9724" s="8" t="s">
        <v>517</v>
      </c>
      <c r="C9724" s="3" t="s">
        <v>15112</v>
      </c>
      <c r="D9724" s="3" t="s">
        <v>15840</v>
      </c>
      <c r="F9724" s="3" t="s">
        <v>1279</v>
      </c>
      <c r="I9724" s="3" t="s">
        <v>244</v>
      </c>
    </row>
    <row r="9725" spans="2:9" x14ac:dyDescent="0.4">
      <c r="B9725" s="8" t="s">
        <v>529</v>
      </c>
      <c r="C9725" s="3" t="s">
        <v>15113</v>
      </c>
      <c r="D9725" s="3" t="s">
        <v>15841</v>
      </c>
      <c r="F9725" s="3" t="s">
        <v>1279</v>
      </c>
      <c r="I9725" s="3" t="s">
        <v>244</v>
      </c>
    </row>
    <row r="9726" spans="2:9" x14ac:dyDescent="0.4">
      <c r="B9726" s="8" t="s">
        <v>531</v>
      </c>
      <c r="C9726" s="3" t="s">
        <v>15114</v>
      </c>
      <c r="D9726" s="3" t="s">
        <v>15842</v>
      </c>
      <c r="F9726" s="3" t="s">
        <v>1279</v>
      </c>
      <c r="I9726" s="3" t="s">
        <v>244</v>
      </c>
    </row>
    <row r="9727" spans="2:9" x14ac:dyDescent="0.4">
      <c r="B9727" s="8" t="s">
        <v>517</v>
      </c>
      <c r="C9727" s="3" t="s">
        <v>15115</v>
      </c>
      <c r="D9727" s="3" t="s">
        <v>15843</v>
      </c>
      <c r="F9727" s="3" t="s">
        <v>1279</v>
      </c>
      <c r="I9727" s="3" t="s">
        <v>244</v>
      </c>
    </row>
    <row r="9728" spans="2:9" x14ac:dyDescent="0.4">
      <c r="B9728" s="8" t="s">
        <v>518</v>
      </c>
      <c r="C9728" s="3" t="s">
        <v>15116</v>
      </c>
      <c r="D9728" s="3" t="s">
        <v>15844</v>
      </c>
      <c r="F9728" s="3" t="s">
        <v>1279</v>
      </c>
      <c r="I9728" s="3" t="s">
        <v>244</v>
      </c>
    </row>
    <row r="9729" spans="2:9" x14ac:dyDescent="0.4">
      <c r="B9729" s="8" t="s">
        <v>531</v>
      </c>
      <c r="C9729" s="3" t="s">
        <v>15117</v>
      </c>
      <c r="D9729" s="3" t="s">
        <v>15845</v>
      </c>
      <c r="F9729" s="3" t="s">
        <v>1279</v>
      </c>
      <c r="I9729" s="3" t="s">
        <v>244</v>
      </c>
    </row>
    <row r="9730" spans="2:9" x14ac:dyDescent="0.4">
      <c r="B9730" s="8" t="s">
        <v>520</v>
      </c>
      <c r="C9730" s="3" t="s">
        <v>15118</v>
      </c>
      <c r="D9730" s="3" t="s">
        <v>15846</v>
      </c>
      <c r="F9730" s="3" t="s">
        <v>1279</v>
      </c>
      <c r="I9730" s="3" t="s">
        <v>244</v>
      </c>
    </row>
    <row r="9731" spans="2:9" x14ac:dyDescent="0.4">
      <c r="B9731" s="8" t="s">
        <v>517</v>
      </c>
      <c r="C9731" s="3" t="s">
        <v>15119</v>
      </c>
      <c r="D9731" s="3" t="s">
        <v>15847</v>
      </c>
      <c r="F9731" s="3" t="s">
        <v>1279</v>
      </c>
      <c r="I9731" s="3" t="s">
        <v>244</v>
      </c>
    </row>
    <row r="9732" spans="2:9" x14ac:dyDescent="0.4">
      <c r="B9732" s="8" t="s">
        <v>529</v>
      </c>
      <c r="C9732" s="3" t="s">
        <v>15120</v>
      </c>
      <c r="D9732" s="3" t="s">
        <v>15848</v>
      </c>
      <c r="F9732" s="3" t="s">
        <v>1279</v>
      </c>
      <c r="I9732" s="3" t="s">
        <v>244</v>
      </c>
    </row>
    <row r="9733" spans="2:9" x14ac:dyDescent="0.4">
      <c r="B9733" s="8" t="s">
        <v>532</v>
      </c>
      <c r="C9733" s="3" t="s">
        <v>15121</v>
      </c>
      <c r="D9733" s="3" t="s">
        <v>15849</v>
      </c>
      <c r="F9733" s="3" t="s">
        <v>1279</v>
      </c>
      <c r="I9733" s="3" t="s">
        <v>244</v>
      </c>
    </row>
    <row r="9734" spans="2:9" x14ac:dyDescent="0.4">
      <c r="B9734" s="8" t="s">
        <v>517</v>
      </c>
      <c r="C9734" s="3" t="s">
        <v>15122</v>
      </c>
      <c r="D9734" s="3" t="s">
        <v>15850</v>
      </c>
      <c r="F9734" s="3" t="s">
        <v>1279</v>
      </c>
      <c r="I9734" s="3" t="s">
        <v>244</v>
      </c>
    </row>
    <row r="9735" spans="2:9" x14ac:dyDescent="0.4">
      <c r="B9735" s="8" t="s">
        <v>517</v>
      </c>
      <c r="C9735" s="3" t="s">
        <v>15123</v>
      </c>
      <c r="D9735" s="3" t="s">
        <v>15851</v>
      </c>
      <c r="F9735" s="3" t="s">
        <v>1279</v>
      </c>
      <c r="I9735" s="3" t="s">
        <v>244</v>
      </c>
    </row>
    <row r="9736" spans="2:9" x14ac:dyDescent="0.4">
      <c r="B9736" s="8" t="s">
        <v>529</v>
      </c>
      <c r="C9736" s="3" t="s">
        <v>15124</v>
      </c>
      <c r="D9736" s="3" t="s">
        <v>15852</v>
      </c>
      <c r="F9736" s="3" t="s">
        <v>1279</v>
      </c>
      <c r="I9736" s="3" t="s">
        <v>244</v>
      </c>
    </row>
    <row r="9737" spans="2:9" x14ac:dyDescent="0.4">
      <c r="B9737" s="8" t="s">
        <v>520</v>
      </c>
      <c r="C9737" s="3" t="s">
        <v>15125</v>
      </c>
      <c r="D9737" s="3" t="s">
        <v>15853</v>
      </c>
      <c r="F9737" s="3" t="s">
        <v>1279</v>
      </c>
      <c r="I9737" s="3" t="s">
        <v>244</v>
      </c>
    </row>
    <row r="9738" spans="2:9" x14ac:dyDescent="0.4">
      <c r="B9738" s="8" t="s">
        <v>520</v>
      </c>
      <c r="C9738" s="3" t="s">
        <v>15126</v>
      </c>
      <c r="D9738" s="3" t="s">
        <v>15854</v>
      </c>
      <c r="F9738" s="3" t="s">
        <v>1279</v>
      </c>
      <c r="I9738" s="3" t="s">
        <v>244</v>
      </c>
    </row>
    <row r="9739" spans="2:9" x14ac:dyDescent="0.4">
      <c r="B9739" s="8" t="s">
        <v>517</v>
      </c>
      <c r="C9739" s="3" t="s">
        <v>15127</v>
      </c>
      <c r="D9739" s="3" t="s">
        <v>15855</v>
      </c>
      <c r="F9739" s="3" t="s">
        <v>1279</v>
      </c>
      <c r="I9739" s="3" t="s">
        <v>244</v>
      </c>
    </row>
    <row r="9740" spans="2:9" x14ac:dyDescent="0.4">
      <c r="B9740" s="8" t="s">
        <v>517</v>
      </c>
      <c r="C9740" s="3" t="s">
        <v>15128</v>
      </c>
      <c r="D9740" s="3" t="s">
        <v>15856</v>
      </c>
      <c r="F9740" s="3" t="s">
        <v>1279</v>
      </c>
      <c r="I9740" s="3" t="s">
        <v>244</v>
      </c>
    </row>
    <row r="9741" spans="2:9" x14ac:dyDescent="0.4">
      <c r="B9741" s="8" t="s">
        <v>531</v>
      </c>
      <c r="C9741" s="3" t="s">
        <v>15129</v>
      </c>
      <c r="D9741" s="3" t="s">
        <v>15857</v>
      </c>
      <c r="F9741" s="3" t="s">
        <v>1279</v>
      </c>
      <c r="I9741" s="3" t="s">
        <v>244</v>
      </c>
    </row>
    <row r="9742" spans="2:9" x14ac:dyDescent="0.4">
      <c r="B9742" s="8" t="s">
        <v>529</v>
      </c>
      <c r="C9742" s="3" t="s">
        <v>15130</v>
      </c>
      <c r="D9742" s="3" t="s">
        <v>15858</v>
      </c>
      <c r="F9742" s="3" t="s">
        <v>1279</v>
      </c>
      <c r="I9742" s="3" t="s">
        <v>244</v>
      </c>
    </row>
    <row r="9743" spans="2:9" x14ac:dyDescent="0.4">
      <c r="B9743" s="8" t="s">
        <v>520</v>
      </c>
      <c r="C9743" s="3" t="s">
        <v>15131</v>
      </c>
      <c r="D9743" s="3" t="s">
        <v>15859</v>
      </c>
      <c r="F9743" s="3" t="s">
        <v>1279</v>
      </c>
      <c r="I9743" s="3" t="s">
        <v>244</v>
      </c>
    </row>
    <row r="9744" spans="2:9" x14ac:dyDescent="0.4">
      <c r="B9744" s="8" t="s">
        <v>518</v>
      </c>
      <c r="C9744" s="3" t="s">
        <v>15132</v>
      </c>
      <c r="D9744" s="3" t="s">
        <v>15860</v>
      </c>
      <c r="F9744" s="3" t="s">
        <v>1279</v>
      </c>
      <c r="I9744" s="3" t="s">
        <v>244</v>
      </c>
    </row>
    <row r="9745" spans="2:9" x14ac:dyDescent="0.4">
      <c r="B9745" s="8" t="s">
        <v>531</v>
      </c>
      <c r="C9745" s="3" t="s">
        <v>15133</v>
      </c>
      <c r="D9745" s="3" t="s">
        <v>15861</v>
      </c>
      <c r="F9745" s="3" t="s">
        <v>1279</v>
      </c>
      <c r="I9745" s="3" t="s">
        <v>244</v>
      </c>
    </row>
    <row r="9746" spans="2:9" x14ac:dyDescent="0.4">
      <c r="B9746" s="8" t="s">
        <v>529</v>
      </c>
      <c r="C9746" s="3" t="s">
        <v>15134</v>
      </c>
      <c r="D9746" s="3" t="s">
        <v>15862</v>
      </c>
      <c r="F9746" s="3" t="s">
        <v>1279</v>
      </c>
      <c r="I9746" s="3" t="s">
        <v>244</v>
      </c>
    </row>
    <row r="9747" spans="2:9" x14ac:dyDescent="0.4">
      <c r="B9747" s="8" t="s">
        <v>532</v>
      </c>
      <c r="C9747" s="3" t="s">
        <v>15135</v>
      </c>
      <c r="D9747" s="3" t="s">
        <v>15863</v>
      </c>
      <c r="F9747" s="3" t="s">
        <v>1279</v>
      </c>
      <c r="I9747" s="3" t="s">
        <v>244</v>
      </c>
    </row>
    <row r="9748" spans="2:9" x14ac:dyDescent="0.4">
      <c r="B9748" s="8" t="s">
        <v>531</v>
      </c>
      <c r="C9748" s="3" t="s">
        <v>15136</v>
      </c>
      <c r="D9748" s="3" t="s">
        <v>15864</v>
      </c>
      <c r="F9748" s="3" t="s">
        <v>1279</v>
      </c>
      <c r="I9748" s="3" t="s">
        <v>244</v>
      </c>
    </row>
    <row r="9749" spans="2:9" x14ac:dyDescent="0.4">
      <c r="B9749" s="8" t="s">
        <v>520</v>
      </c>
      <c r="C9749" s="3" t="s">
        <v>15137</v>
      </c>
      <c r="D9749" s="3" t="s">
        <v>15865</v>
      </c>
      <c r="F9749" s="3" t="s">
        <v>1279</v>
      </c>
      <c r="I9749" s="3" t="s">
        <v>244</v>
      </c>
    </row>
    <row r="9750" spans="2:9" x14ac:dyDescent="0.4">
      <c r="B9750" s="8" t="s">
        <v>517</v>
      </c>
      <c r="C9750" s="3" t="s">
        <v>15138</v>
      </c>
      <c r="D9750" s="3" t="s">
        <v>15866</v>
      </c>
      <c r="F9750" s="3" t="s">
        <v>1279</v>
      </c>
      <c r="I9750" s="3" t="s">
        <v>244</v>
      </c>
    </row>
    <row r="9751" spans="2:9" x14ac:dyDescent="0.4">
      <c r="B9751" s="8" t="s">
        <v>532</v>
      </c>
      <c r="C9751" s="3" t="s">
        <v>15139</v>
      </c>
      <c r="D9751" s="3" t="s">
        <v>15867</v>
      </c>
      <c r="F9751" s="3" t="s">
        <v>1279</v>
      </c>
      <c r="I9751" s="3" t="s">
        <v>244</v>
      </c>
    </row>
    <row r="9752" spans="2:9" x14ac:dyDescent="0.4">
      <c r="B9752" s="8" t="s">
        <v>532</v>
      </c>
      <c r="C9752" s="3" t="s">
        <v>15140</v>
      </c>
      <c r="D9752" s="3" t="s">
        <v>15868</v>
      </c>
      <c r="F9752" s="3" t="s">
        <v>1279</v>
      </c>
      <c r="I9752" s="3" t="s">
        <v>244</v>
      </c>
    </row>
    <row r="9753" spans="2:9" x14ac:dyDescent="0.4">
      <c r="B9753" s="8" t="s">
        <v>518</v>
      </c>
      <c r="C9753" s="3" t="s">
        <v>15956</v>
      </c>
      <c r="D9753" s="3" t="s">
        <v>15869</v>
      </c>
      <c r="F9753" s="3" t="s">
        <v>1279</v>
      </c>
      <c r="I9753" s="3" t="s">
        <v>244</v>
      </c>
    </row>
    <row r="9754" spans="2:9" x14ac:dyDescent="0.4">
      <c r="B9754" s="8" t="s">
        <v>518</v>
      </c>
      <c r="C9754" s="3" t="s">
        <v>15141</v>
      </c>
      <c r="D9754" s="3" t="s">
        <v>15870</v>
      </c>
      <c r="F9754" s="3" t="s">
        <v>1279</v>
      </c>
      <c r="I9754" s="3" t="s">
        <v>244</v>
      </c>
    </row>
    <row r="9755" spans="2:9" x14ac:dyDescent="0.4">
      <c r="B9755" s="8" t="s">
        <v>520</v>
      </c>
      <c r="C9755" s="3" t="s">
        <v>15142</v>
      </c>
      <c r="D9755" s="3" t="s">
        <v>15871</v>
      </c>
      <c r="F9755" s="3" t="s">
        <v>1279</v>
      </c>
      <c r="I9755" s="3" t="s">
        <v>244</v>
      </c>
    </row>
    <row r="9756" spans="2:9" x14ac:dyDescent="0.4">
      <c r="B9756" s="8" t="s">
        <v>529</v>
      </c>
      <c r="C9756" s="3" t="s">
        <v>15143</v>
      </c>
      <c r="D9756" s="3" t="s">
        <v>15872</v>
      </c>
      <c r="F9756" s="3" t="s">
        <v>1279</v>
      </c>
      <c r="I9756" s="3" t="s">
        <v>244</v>
      </c>
    </row>
    <row r="9757" spans="2:9" x14ac:dyDescent="0.4">
      <c r="B9757" s="8" t="s">
        <v>531</v>
      </c>
      <c r="C9757" s="3" t="s">
        <v>15144</v>
      </c>
      <c r="D9757" s="3" t="s">
        <v>15873</v>
      </c>
      <c r="F9757" s="3" t="s">
        <v>1279</v>
      </c>
      <c r="I9757" s="3" t="s">
        <v>244</v>
      </c>
    </row>
    <row r="9758" spans="2:9" x14ac:dyDescent="0.4">
      <c r="B9758" s="8" t="s">
        <v>518</v>
      </c>
      <c r="C9758" s="3" t="s">
        <v>15145</v>
      </c>
      <c r="D9758" s="3" t="s">
        <v>15874</v>
      </c>
      <c r="F9758" s="3" t="s">
        <v>1279</v>
      </c>
      <c r="I9758" s="3" t="s">
        <v>244</v>
      </c>
    </row>
    <row r="9759" spans="2:9" x14ac:dyDescent="0.4">
      <c r="B9759" s="8" t="s">
        <v>520</v>
      </c>
      <c r="C9759" s="3" t="s">
        <v>15146</v>
      </c>
      <c r="D9759" s="3" t="s">
        <v>15875</v>
      </c>
      <c r="F9759" s="3" t="s">
        <v>1279</v>
      </c>
      <c r="I9759" s="3" t="s">
        <v>244</v>
      </c>
    </row>
    <row r="9760" spans="2:9" x14ac:dyDescent="0.4">
      <c r="B9760" s="8" t="s">
        <v>517</v>
      </c>
      <c r="C9760" s="3" t="s">
        <v>15147</v>
      </c>
      <c r="D9760" s="3" t="s">
        <v>15876</v>
      </c>
      <c r="F9760" s="3" t="s">
        <v>1279</v>
      </c>
      <c r="I9760" s="3" t="s">
        <v>244</v>
      </c>
    </row>
    <row r="9761" spans="2:9" x14ac:dyDescent="0.4">
      <c r="B9761" s="8" t="s">
        <v>517</v>
      </c>
      <c r="C9761" s="3" t="s">
        <v>15148</v>
      </c>
      <c r="D9761" s="3" t="s">
        <v>15877</v>
      </c>
      <c r="F9761" s="3" t="s">
        <v>1279</v>
      </c>
      <c r="I9761" s="3" t="s">
        <v>244</v>
      </c>
    </row>
    <row r="9762" spans="2:9" x14ac:dyDescent="0.4">
      <c r="B9762" s="8" t="s">
        <v>517</v>
      </c>
      <c r="C9762" s="3" t="s">
        <v>15149</v>
      </c>
      <c r="D9762" s="3" t="s">
        <v>15878</v>
      </c>
      <c r="F9762" s="3" t="s">
        <v>1279</v>
      </c>
      <c r="I9762" s="3" t="s">
        <v>244</v>
      </c>
    </row>
    <row r="9763" spans="2:9" x14ac:dyDescent="0.4">
      <c r="B9763" s="8" t="s">
        <v>520</v>
      </c>
      <c r="C9763" s="3" t="s">
        <v>15150</v>
      </c>
      <c r="D9763" s="3" t="s">
        <v>15879</v>
      </c>
      <c r="F9763" s="3" t="s">
        <v>1279</v>
      </c>
      <c r="I9763" s="3" t="s">
        <v>244</v>
      </c>
    </row>
    <row r="9764" spans="2:9" x14ac:dyDescent="0.4">
      <c r="B9764" s="8" t="s">
        <v>518</v>
      </c>
      <c r="C9764" s="3" t="s">
        <v>15151</v>
      </c>
      <c r="D9764" s="3" t="s">
        <v>15880</v>
      </c>
      <c r="F9764" s="3" t="s">
        <v>1279</v>
      </c>
      <c r="I9764" s="3" t="s">
        <v>244</v>
      </c>
    </row>
    <row r="9765" spans="2:9" x14ac:dyDescent="0.4">
      <c r="B9765" s="8" t="s">
        <v>532</v>
      </c>
      <c r="C9765" s="3" t="s">
        <v>15152</v>
      </c>
      <c r="D9765" s="3" t="s">
        <v>15881</v>
      </c>
      <c r="F9765" s="3" t="s">
        <v>1279</v>
      </c>
      <c r="I9765" s="3" t="s">
        <v>244</v>
      </c>
    </row>
    <row r="9766" spans="2:9" x14ac:dyDescent="0.4">
      <c r="B9766" s="8" t="s">
        <v>532</v>
      </c>
      <c r="C9766" s="3" t="s">
        <v>15153</v>
      </c>
      <c r="D9766" s="3" t="s">
        <v>15882</v>
      </c>
      <c r="F9766" s="3" t="s">
        <v>1279</v>
      </c>
      <c r="I9766" s="3" t="s">
        <v>244</v>
      </c>
    </row>
    <row r="9767" spans="2:9" x14ac:dyDescent="0.4">
      <c r="B9767" s="8" t="s">
        <v>529</v>
      </c>
      <c r="C9767" s="3" t="s">
        <v>15154</v>
      </c>
      <c r="D9767" s="3" t="s">
        <v>15883</v>
      </c>
      <c r="F9767" s="3" t="s">
        <v>1279</v>
      </c>
      <c r="I9767" s="3" t="s">
        <v>244</v>
      </c>
    </row>
    <row r="9768" spans="2:9" x14ac:dyDescent="0.4">
      <c r="B9768" s="8" t="s">
        <v>518</v>
      </c>
      <c r="C9768" s="3" t="s">
        <v>15155</v>
      </c>
      <c r="D9768" s="3" t="s">
        <v>15957</v>
      </c>
      <c r="F9768" s="3" t="s">
        <v>1279</v>
      </c>
      <c r="I9768" s="3" t="s">
        <v>244</v>
      </c>
    </row>
    <row r="9769" spans="2:9" x14ac:dyDescent="0.4">
      <c r="B9769" s="8" t="s">
        <v>529</v>
      </c>
      <c r="C9769" s="3" t="s">
        <v>15156</v>
      </c>
      <c r="D9769" s="3" t="s">
        <v>15884</v>
      </c>
      <c r="F9769" s="3" t="s">
        <v>1279</v>
      </c>
      <c r="I9769" s="3" t="s">
        <v>244</v>
      </c>
    </row>
    <row r="9770" spans="2:9" x14ac:dyDescent="0.4">
      <c r="B9770" s="8" t="s">
        <v>531</v>
      </c>
      <c r="C9770" s="3" t="s">
        <v>15157</v>
      </c>
      <c r="D9770" s="3" t="s">
        <v>15885</v>
      </c>
      <c r="F9770" s="3" t="s">
        <v>1279</v>
      </c>
      <c r="I9770" s="3" t="s">
        <v>244</v>
      </c>
    </row>
    <row r="9771" spans="2:9" x14ac:dyDescent="0.4">
      <c r="B9771" s="8" t="s">
        <v>530</v>
      </c>
      <c r="C9771" s="3" t="s">
        <v>15158</v>
      </c>
      <c r="D9771" s="3" t="s">
        <v>15886</v>
      </c>
      <c r="F9771" s="3" t="s">
        <v>1279</v>
      </c>
      <c r="I9771" s="3" t="s">
        <v>244</v>
      </c>
    </row>
    <row r="9772" spans="2:9" x14ac:dyDescent="0.4">
      <c r="B9772" s="8" t="s">
        <v>531</v>
      </c>
      <c r="C9772" s="3" t="s">
        <v>15159</v>
      </c>
      <c r="D9772" s="3" t="s">
        <v>15887</v>
      </c>
      <c r="F9772" s="3" t="s">
        <v>1279</v>
      </c>
      <c r="I9772" s="3" t="s">
        <v>244</v>
      </c>
    </row>
    <row r="9773" spans="2:9" x14ac:dyDescent="0.4">
      <c r="B9773" s="8" t="s">
        <v>529</v>
      </c>
      <c r="C9773" s="3" t="s">
        <v>15160</v>
      </c>
      <c r="D9773" s="3" t="s">
        <v>15888</v>
      </c>
      <c r="F9773" s="3" t="s">
        <v>1279</v>
      </c>
      <c r="I9773" s="3" t="s">
        <v>244</v>
      </c>
    </row>
    <row r="9774" spans="2:9" x14ac:dyDescent="0.4">
      <c r="B9774" s="8" t="s">
        <v>529</v>
      </c>
      <c r="C9774" s="3" t="s">
        <v>15161</v>
      </c>
      <c r="D9774" s="3" t="s">
        <v>15889</v>
      </c>
      <c r="F9774" s="3" t="s">
        <v>1279</v>
      </c>
      <c r="I9774" s="3" t="s">
        <v>244</v>
      </c>
    </row>
    <row r="9775" spans="2:9" x14ac:dyDescent="0.4">
      <c r="B9775" s="8" t="s">
        <v>520</v>
      </c>
      <c r="C9775" s="3" t="s">
        <v>15162</v>
      </c>
      <c r="D9775" s="3" t="s">
        <v>15890</v>
      </c>
      <c r="F9775" s="3" t="s">
        <v>1279</v>
      </c>
      <c r="I9775" s="3" t="s">
        <v>244</v>
      </c>
    </row>
    <row r="9776" spans="2:9" x14ac:dyDescent="0.4">
      <c r="B9776" s="8" t="s">
        <v>531</v>
      </c>
      <c r="C9776" s="3" t="s">
        <v>15163</v>
      </c>
      <c r="D9776" s="3" t="s">
        <v>15891</v>
      </c>
      <c r="F9776" s="3" t="s">
        <v>1279</v>
      </c>
      <c r="I9776" s="3" t="s">
        <v>244</v>
      </c>
    </row>
    <row r="9777" spans="2:9" x14ac:dyDescent="0.4">
      <c r="B9777" s="8" t="s">
        <v>520</v>
      </c>
      <c r="C9777" s="3" t="s">
        <v>15164</v>
      </c>
      <c r="D9777" s="3" t="s">
        <v>15892</v>
      </c>
      <c r="F9777" s="3" t="s">
        <v>1279</v>
      </c>
      <c r="I9777" s="3" t="s">
        <v>244</v>
      </c>
    </row>
    <row r="9778" spans="2:9" x14ac:dyDescent="0.4">
      <c r="B9778" s="8" t="s">
        <v>520</v>
      </c>
      <c r="C9778" s="3" t="s">
        <v>15165</v>
      </c>
      <c r="D9778" s="3" t="s">
        <v>15893</v>
      </c>
      <c r="F9778" s="3" t="s">
        <v>1279</v>
      </c>
      <c r="I9778" s="3" t="s">
        <v>244</v>
      </c>
    </row>
    <row r="9779" spans="2:9" x14ac:dyDescent="0.4">
      <c r="B9779" s="8" t="s">
        <v>529</v>
      </c>
      <c r="C9779" s="3" t="s">
        <v>15166</v>
      </c>
      <c r="D9779" s="3" t="s">
        <v>15894</v>
      </c>
      <c r="F9779" s="3" t="s">
        <v>1279</v>
      </c>
      <c r="I9779" s="3" t="s">
        <v>244</v>
      </c>
    </row>
    <row r="9780" spans="2:9" x14ac:dyDescent="0.4">
      <c r="B9780" s="8" t="s">
        <v>518</v>
      </c>
      <c r="C9780" s="3" t="s">
        <v>15167</v>
      </c>
      <c r="D9780" s="3" t="s">
        <v>15895</v>
      </c>
      <c r="F9780" s="3" t="s">
        <v>1279</v>
      </c>
      <c r="I9780" s="3" t="s">
        <v>244</v>
      </c>
    </row>
    <row r="9781" spans="2:9" x14ac:dyDescent="0.4">
      <c r="B9781" s="8" t="s">
        <v>532</v>
      </c>
      <c r="C9781" s="3" t="s">
        <v>15168</v>
      </c>
      <c r="D9781" s="3" t="s">
        <v>15896</v>
      </c>
      <c r="F9781" s="3" t="s">
        <v>1279</v>
      </c>
      <c r="I9781" s="3" t="s">
        <v>244</v>
      </c>
    </row>
    <row r="9782" spans="2:9" x14ac:dyDescent="0.4">
      <c r="B9782" s="8" t="s">
        <v>520</v>
      </c>
      <c r="C9782" s="3" t="s">
        <v>15169</v>
      </c>
      <c r="D9782" s="3" t="s">
        <v>15897</v>
      </c>
      <c r="F9782" s="3" t="s">
        <v>1279</v>
      </c>
      <c r="I9782" s="3" t="s">
        <v>244</v>
      </c>
    </row>
    <row r="9783" spans="2:9" x14ac:dyDescent="0.4">
      <c r="B9783" s="8" t="s">
        <v>531</v>
      </c>
      <c r="C9783" s="3" t="s">
        <v>15170</v>
      </c>
      <c r="D9783" s="3" t="s">
        <v>15898</v>
      </c>
      <c r="F9783" s="3" t="s">
        <v>1279</v>
      </c>
      <c r="I9783" s="3" t="s">
        <v>244</v>
      </c>
    </row>
    <row r="9784" spans="2:9" x14ac:dyDescent="0.4">
      <c r="B9784" s="8" t="s">
        <v>532</v>
      </c>
      <c r="C9784" s="3" t="s">
        <v>15171</v>
      </c>
      <c r="D9784" s="3" t="s">
        <v>15899</v>
      </c>
      <c r="F9784" s="3" t="s">
        <v>1279</v>
      </c>
      <c r="I9784" s="3" t="s">
        <v>244</v>
      </c>
    </row>
    <row r="9785" spans="2:9" x14ac:dyDescent="0.4">
      <c r="B9785" s="8" t="s">
        <v>518</v>
      </c>
      <c r="C9785" s="3" t="s">
        <v>15172</v>
      </c>
      <c r="D9785" s="3" t="s">
        <v>15900</v>
      </c>
      <c r="F9785" s="3" t="s">
        <v>1279</v>
      </c>
      <c r="I9785" s="3" t="s">
        <v>244</v>
      </c>
    </row>
    <row r="9786" spans="2:9" x14ac:dyDescent="0.4">
      <c r="B9786" s="8" t="s">
        <v>518</v>
      </c>
      <c r="C9786" s="3" t="s">
        <v>15173</v>
      </c>
      <c r="D9786" s="3" t="s">
        <v>15901</v>
      </c>
      <c r="F9786" s="3" t="s">
        <v>1279</v>
      </c>
      <c r="I9786" s="3" t="s">
        <v>244</v>
      </c>
    </row>
    <row r="9787" spans="2:9" x14ac:dyDescent="0.4">
      <c r="B9787" s="8" t="s">
        <v>520</v>
      </c>
      <c r="C9787" s="3" t="s">
        <v>15174</v>
      </c>
      <c r="D9787" s="3" t="s">
        <v>15902</v>
      </c>
      <c r="F9787" s="3" t="s">
        <v>1279</v>
      </c>
      <c r="I9787" s="3" t="s">
        <v>244</v>
      </c>
    </row>
    <row r="9788" spans="2:9" x14ac:dyDescent="0.4">
      <c r="B9788" s="8" t="s">
        <v>518</v>
      </c>
      <c r="C9788" s="3" t="s">
        <v>15175</v>
      </c>
      <c r="D9788" s="3" t="s">
        <v>15903</v>
      </c>
      <c r="F9788" s="3" t="s">
        <v>1279</v>
      </c>
      <c r="I9788" s="3" t="s">
        <v>244</v>
      </c>
    </row>
    <row r="9789" spans="2:9" x14ac:dyDescent="0.4">
      <c r="B9789" s="8" t="s">
        <v>529</v>
      </c>
      <c r="C9789" s="3" t="s">
        <v>15176</v>
      </c>
      <c r="D9789" s="3" t="s">
        <v>15904</v>
      </c>
      <c r="F9789" s="3" t="s">
        <v>1279</v>
      </c>
      <c r="I9789" s="3" t="s">
        <v>244</v>
      </c>
    </row>
    <row r="9790" spans="2:9" x14ac:dyDescent="0.4">
      <c r="B9790" s="8" t="s">
        <v>529</v>
      </c>
      <c r="C9790" s="3" t="s">
        <v>15177</v>
      </c>
      <c r="D9790" s="3" t="s">
        <v>15905</v>
      </c>
      <c r="F9790" s="3" t="s">
        <v>1279</v>
      </c>
      <c r="I9790" s="3" t="s">
        <v>244</v>
      </c>
    </row>
    <row r="9791" spans="2:9" x14ac:dyDescent="0.4">
      <c r="B9791" s="8" t="s">
        <v>532</v>
      </c>
      <c r="C9791" s="3" t="s">
        <v>15178</v>
      </c>
      <c r="D9791" s="3" t="s">
        <v>15906</v>
      </c>
      <c r="F9791" s="3" t="s">
        <v>1279</v>
      </c>
      <c r="I9791" s="3" t="s">
        <v>244</v>
      </c>
    </row>
    <row r="9792" spans="2:9" x14ac:dyDescent="0.4">
      <c r="B9792" s="8" t="s">
        <v>532</v>
      </c>
      <c r="C9792" s="3" t="s">
        <v>15179</v>
      </c>
      <c r="D9792" s="3" t="s">
        <v>15907</v>
      </c>
      <c r="F9792" s="3" t="s">
        <v>1279</v>
      </c>
      <c r="I9792" s="3" t="s">
        <v>244</v>
      </c>
    </row>
    <row r="9793" spans="2:9" x14ac:dyDescent="0.4">
      <c r="B9793" s="8" t="s">
        <v>517</v>
      </c>
      <c r="C9793" s="3" t="s">
        <v>15102</v>
      </c>
      <c r="D9793" s="3" t="s">
        <v>15908</v>
      </c>
      <c r="F9793" s="3" t="s">
        <v>1279</v>
      </c>
      <c r="I9793" s="3" t="s">
        <v>244</v>
      </c>
    </row>
    <row r="9794" spans="2:9" x14ac:dyDescent="0.4">
      <c r="B9794" s="8" t="s">
        <v>518</v>
      </c>
      <c r="C9794" s="3" t="s">
        <v>15180</v>
      </c>
      <c r="D9794" s="3" t="s">
        <v>15909</v>
      </c>
      <c r="F9794" s="3" t="s">
        <v>1279</v>
      </c>
      <c r="I9794" s="3" t="s">
        <v>244</v>
      </c>
    </row>
    <row r="9795" spans="2:9" x14ac:dyDescent="0.4">
      <c r="B9795" s="8" t="s">
        <v>518</v>
      </c>
      <c r="C9795" s="3" t="s">
        <v>15181</v>
      </c>
      <c r="D9795" s="3" t="s">
        <v>15910</v>
      </c>
      <c r="F9795" s="3" t="s">
        <v>1279</v>
      </c>
      <c r="I9795" s="3" t="s">
        <v>244</v>
      </c>
    </row>
    <row r="9796" spans="2:9" x14ac:dyDescent="0.4">
      <c r="B9796" s="8" t="s">
        <v>518</v>
      </c>
      <c r="C9796" s="3" t="s">
        <v>15182</v>
      </c>
      <c r="D9796" s="3" t="s">
        <v>15911</v>
      </c>
      <c r="F9796" s="3" t="s">
        <v>1279</v>
      </c>
      <c r="I9796" s="3" t="s">
        <v>244</v>
      </c>
    </row>
    <row r="9797" spans="2:9" x14ac:dyDescent="0.4">
      <c r="B9797" s="8" t="s">
        <v>518</v>
      </c>
      <c r="C9797" s="3" t="s">
        <v>15183</v>
      </c>
      <c r="D9797" s="3" t="s">
        <v>14184</v>
      </c>
      <c r="F9797" s="3" t="s">
        <v>1279</v>
      </c>
      <c r="I9797" s="3" t="s">
        <v>244</v>
      </c>
    </row>
    <row r="9798" spans="2:9" x14ac:dyDescent="0.4">
      <c r="B9798" s="8" t="s">
        <v>518</v>
      </c>
      <c r="C9798" s="3" t="s">
        <v>15184</v>
      </c>
      <c r="D9798" s="3" t="s">
        <v>15912</v>
      </c>
      <c r="F9798" s="3" t="s">
        <v>1279</v>
      </c>
      <c r="I9798" s="3" t="s">
        <v>244</v>
      </c>
    </row>
    <row r="9799" spans="2:9" x14ac:dyDescent="0.4">
      <c r="B9799" s="8" t="s">
        <v>517</v>
      </c>
      <c r="C9799" s="3" t="s">
        <v>15185</v>
      </c>
      <c r="D9799" s="3" t="s">
        <v>15913</v>
      </c>
      <c r="F9799" s="3" t="s">
        <v>1279</v>
      </c>
      <c r="I9799" s="3" t="s">
        <v>244</v>
      </c>
    </row>
    <row r="9800" spans="2:9" x14ac:dyDescent="0.4">
      <c r="B9800" s="8" t="s">
        <v>531</v>
      </c>
      <c r="C9800" s="3" t="s">
        <v>15186</v>
      </c>
      <c r="D9800" s="3" t="s">
        <v>15914</v>
      </c>
      <c r="F9800" s="3" t="s">
        <v>1279</v>
      </c>
      <c r="I9800" s="3" t="s">
        <v>244</v>
      </c>
    </row>
    <row r="9801" spans="2:9" x14ac:dyDescent="0.4">
      <c r="B9801" s="8" t="s">
        <v>517</v>
      </c>
      <c r="C9801" s="3" t="s">
        <v>15187</v>
      </c>
      <c r="D9801" s="3" t="s">
        <v>15915</v>
      </c>
      <c r="F9801" s="3" t="s">
        <v>1279</v>
      </c>
      <c r="I9801" s="3" t="s">
        <v>244</v>
      </c>
    </row>
    <row r="9802" spans="2:9" x14ac:dyDescent="0.4">
      <c r="B9802" s="8" t="s">
        <v>529</v>
      </c>
      <c r="C9802" s="3" t="s">
        <v>15188</v>
      </c>
      <c r="D9802" s="3" t="s">
        <v>15916</v>
      </c>
      <c r="F9802" s="3" t="s">
        <v>1279</v>
      </c>
      <c r="I9802" s="3" t="s">
        <v>244</v>
      </c>
    </row>
    <row r="9803" spans="2:9" x14ac:dyDescent="0.4">
      <c r="B9803" s="8" t="s">
        <v>518</v>
      </c>
      <c r="C9803" s="3" t="s">
        <v>15189</v>
      </c>
      <c r="D9803" s="3" t="s">
        <v>15917</v>
      </c>
      <c r="F9803" s="3" t="s">
        <v>1279</v>
      </c>
      <c r="I9803" s="3" t="s">
        <v>244</v>
      </c>
    </row>
    <row r="9804" spans="2:9" x14ac:dyDescent="0.4">
      <c r="B9804" s="8" t="s">
        <v>518</v>
      </c>
      <c r="C9804" s="3" t="s">
        <v>15190</v>
      </c>
      <c r="D9804" s="3" t="s">
        <v>15918</v>
      </c>
      <c r="F9804" s="3" t="s">
        <v>1279</v>
      </c>
      <c r="I9804" s="3" t="s">
        <v>244</v>
      </c>
    </row>
    <row r="9805" spans="2:9" x14ac:dyDescent="0.4">
      <c r="B9805" s="8" t="s">
        <v>517</v>
      </c>
      <c r="C9805" s="3" t="s">
        <v>15191</v>
      </c>
      <c r="D9805" s="3" t="s">
        <v>15919</v>
      </c>
      <c r="F9805" s="3" t="s">
        <v>1279</v>
      </c>
      <c r="I9805" s="3" t="s">
        <v>244</v>
      </c>
    </row>
    <row r="9806" spans="2:9" x14ac:dyDescent="0.4">
      <c r="B9806" s="8" t="s">
        <v>529</v>
      </c>
      <c r="C9806" s="3" t="s">
        <v>15192</v>
      </c>
      <c r="D9806" s="3" t="s">
        <v>15920</v>
      </c>
      <c r="F9806" s="3" t="s">
        <v>1279</v>
      </c>
      <c r="I9806" s="3" t="s">
        <v>244</v>
      </c>
    </row>
    <row r="9807" spans="2:9" x14ac:dyDescent="0.4">
      <c r="B9807" s="8" t="s">
        <v>529</v>
      </c>
      <c r="C9807" s="3" t="s">
        <v>15193</v>
      </c>
      <c r="D9807" s="3" t="s">
        <v>15921</v>
      </c>
      <c r="F9807" s="3" t="s">
        <v>1279</v>
      </c>
      <c r="I9807" s="3" t="s">
        <v>244</v>
      </c>
    </row>
    <row r="9808" spans="2:9" x14ac:dyDescent="0.4">
      <c r="B9808" s="8" t="s">
        <v>517</v>
      </c>
      <c r="C9808" s="3" t="s">
        <v>11248</v>
      </c>
      <c r="D9808" s="3" t="s">
        <v>15922</v>
      </c>
      <c r="F9808" s="3" t="s">
        <v>1279</v>
      </c>
      <c r="I9808" s="3" t="s">
        <v>244</v>
      </c>
    </row>
    <row r="9809" spans="2:9" x14ac:dyDescent="0.4">
      <c r="B9809" s="8" t="s">
        <v>532</v>
      </c>
      <c r="C9809" s="3" t="s">
        <v>15194</v>
      </c>
      <c r="D9809" s="3" t="s">
        <v>15923</v>
      </c>
      <c r="F9809" s="3" t="s">
        <v>1279</v>
      </c>
      <c r="I9809" s="3" t="s">
        <v>244</v>
      </c>
    </row>
    <row r="9810" spans="2:9" x14ac:dyDescent="0.4">
      <c r="B9810" s="8" t="s">
        <v>518</v>
      </c>
      <c r="C9810" s="3" t="s">
        <v>15195</v>
      </c>
      <c r="D9810" s="3" t="s">
        <v>15924</v>
      </c>
      <c r="F9810" s="3" t="s">
        <v>1279</v>
      </c>
      <c r="I9810" s="3" t="s">
        <v>244</v>
      </c>
    </row>
    <row r="9811" spans="2:9" x14ac:dyDescent="0.4">
      <c r="B9811" s="8" t="s">
        <v>517</v>
      </c>
      <c r="C9811" s="3" t="s">
        <v>15196</v>
      </c>
      <c r="D9811" s="3" t="s">
        <v>15925</v>
      </c>
      <c r="F9811" s="3" t="s">
        <v>1279</v>
      </c>
      <c r="I9811" s="3" t="s">
        <v>244</v>
      </c>
    </row>
    <row r="9812" spans="2:9" x14ac:dyDescent="0.4">
      <c r="B9812" s="8" t="s">
        <v>531</v>
      </c>
      <c r="C9812" s="3" t="s">
        <v>15197</v>
      </c>
      <c r="D9812" s="3" t="s">
        <v>15926</v>
      </c>
      <c r="F9812" s="3" t="s">
        <v>1279</v>
      </c>
      <c r="I9812" s="3" t="s">
        <v>244</v>
      </c>
    </row>
    <row r="9813" spans="2:9" x14ac:dyDescent="0.4">
      <c r="B9813" s="8" t="s">
        <v>518</v>
      </c>
      <c r="C9813" s="3" t="s">
        <v>15198</v>
      </c>
      <c r="D9813" s="3" t="s">
        <v>15927</v>
      </c>
      <c r="F9813" s="3" t="s">
        <v>1279</v>
      </c>
      <c r="I9813" s="3" t="s">
        <v>244</v>
      </c>
    </row>
    <row r="9814" spans="2:9" x14ac:dyDescent="0.4">
      <c r="B9814" s="8" t="s">
        <v>518</v>
      </c>
      <c r="C9814" s="3" t="s">
        <v>15199</v>
      </c>
      <c r="D9814" s="3" t="s">
        <v>15928</v>
      </c>
      <c r="F9814" s="3" t="s">
        <v>1279</v>
      </c>
      <c r="I9814" s="3" t="s">
        <v>244</v>
      </c>
    </row>
    <row r="9815" spans="2:9" x14ac:dyDescent="0.4">
      <c r="B9815" s="8" t="s">
        <v>529</v>
      </c>
      <c r="C9815" s="3" t="s">
        <v>15200</v>
      </c>
      <c r="D9815" s="3" t="s">
        <v>15929</v>
      </c>
      <c r="F9815" s="3" t="s">
        <v>1279</v>
      </c>
      <c r="I9815" s="3" t="s">
        <v>244</v>
      </c>
    </row>
    <row r="9816" spans="2:9" x14ac:dyDescent="0.4">
      <c r="B9816" s="8" t="s">
        <v>518</v>
      </c>
      <c r="C9816" s="3" t="s">
        <v>15201</v>
      </c>
      <c r="D9816" s="3" t="s">
        <v>15930</v>
      </c>
      <c r="F9816" s="3" t="s">
        <v>1279</v>
      </c>
      <c r="I9816" s="3" t="s">
        <v>244</v>
      </c>
    </row>
    <row r="9817" spans="2:9" x14ac:dyDescent="0.4">
      <c r="B9817" s="8" t="s">
        <v>531</v>
      </c>
      <c r="C9817" s="3" t="s">
        <v>15202</v>
      </c>
      <c r="D9817" s="3" t="s">
        <v>15931</v>
      </c>
      <c r="F9817" s="3" t="s">
        <v>1279</v>
      </c>
      <c r="I9817" s="3" t="s">
        <v>244</v>
      </c>
    </row>
    <row r="9818" spans="2:9" x14ac:dyDescent="0.4">
      <c r="B9818" s="8" t="s">
        <v>518</v>
      </c>
      <c r="C9818" s="3" t="s">
        <v>15203</v>
      </c>
      <c r="D9818" s="3" t="s">
        <v>15932</v>
      </c>
      <c r="F9818" s="3" t="s">
        <v>1279</v>
      </c>
      <c r="I9818" s="3" t="s">
        <v>244</v>
      </c>
    </row>
    <row r="9819" spans="2:9" x14ac:dyDescent="0.4">
      <c r="B9819" s="8" t="s">
        <v>518</v>
      </c>
      <c r="C9819" s="3" t="s">
        <v>15204</v>
      </c>
      <c r="D9819" s="3" t="s">
        <v>15933</v>
      </c>
      <c r="F9819" s="3" t="s">
        <v>1279</v>
      </c>
      <c r="I9819" s="3" t="s">
        <v>244</v>
      </c>
    </row>
    <row r="9820" spans="2:9" x14ac:dyDescent="0.4">
      <c r="B9820" s="8" t="s">
        <v>517</v>
      </c>
      <c r="C9820" s="3" t="s">
        <v>15205</v>
      </c>
      <c r="D9820" s="3" t="s">
        <v>15934</v>
      </c>
      <c r="F9820" s="3" t="s">
        <v>1279</v>
      </c>
      <c r="I9820" s="3" t="s">
        <v>244</v>
      </c>
    </row>
    <row r="9821" spans="2:9" x14ac:dyDescent="0.4">
      <c r="B9821" s="8" t="s">
        <v>518</v>
      </c>
      <c r="C9821" s="3" t="s">
        <v>15206</v>
      </c>
      <c r="D9821" s="3" t="s">
        <v>15935</v>
      </c>
      <c r="F9821" s="3" t="s">
        <v>1279</v>
      </c>
      <c r="I9821" s="3" t="s">
        <v>244</v>
      </c>
    </row>
    <row r="9822" spans="2:9" x14ac:dyDescent="0.4">
      <c r="B9822" s="8" t="s">
        <v>520</v>
      </c>
      <c r="C9822" s="3" t="s">
        <v>15207</v>
      </c>
      <c r="D9822" s="3" t="s">
        <v>15936</v>
      </c>
      <c r="F9822" s="3" t="s">
        <v>1279</v>
      </c>
      <c r="I9822" s="3" t="s">
        <v>244</v>
      </c>
    </row>
    <row r="9823" spans="2:9" x14ac:dyDescent="0.4">
      <c r="B9823" s="8" t="s">
        <v>532</v>
      </c>
      <c r="C9823" s="3" t="s">
        <v>15208</v>
      </c>
      <c r="D9823" s="3" t="s">
        <v>15937</v>
      </c>
      <c r="F9823" s="3" t="s">
        <v>1279</v>
      </c>
      <c r="I9823" s="3" t="s">
        <v>244</v>
      </c>
    </row>
    <row r="9824" spans="2:9" x14ac:dyDescent="0.4">
      <c r="B9824" s="8" t="s">
        <v>518</v>
      </c>
      <c r="C9824" s="3" t="s">
        <v>15209</v>
      </c>
      <c r="D9824" s="3" t="s">
        <v>15938</v>
      </c>
      <c r="F9824" s="3" t="s">
        <v>1279</v>
      </c>
      <c r="I9824" s="3" t="s">
        <v>244</v>
      </c>
    </row>
    <row r="9825" spans="2:9" x14ac:dyDescent="0.4">
      <c r="B9825" s="8" t="s">
        <v>529</v>
      </c>
      <c r="C9825" s="3" t="s">
        <v>15210</v>
      </c>
      <c r="D9825" s="3" t="s">
        <v>15939</v>
      </c>
      <c r="F9825" s="3" t="s">
        <v>1279</v>
      </c>
      <c r="I9825" s="3" t="s">
        <v>244</v>
      </c>
    </row>
    <row r="9826" spans="2:9" x14ac:dyDescent="0.4">
      <c r="B9826" s="8" t="s">
        <v>517</v>
      </c>
      <c r="C9826" s="3" t="s">
        <v>15211</v>
      </c>
      <c r="D9826" s="3" t="s">
        <v>15940</v>
      </c>
      <c r="F9826" s="3" t="s">
        <v>1279</v>
      </c>
      <c r="I9826" s="3" t="s">
        <v>244</v>
      </c>
    </row>
    <row r="9827" spans="2:9" x14ac:dyDescent="0.4">
      <c r="B9827" s="8" t="s">
        <v>532</v>
      </c>
      <c r="C9827" s="3" t="s">
        <v>15212</v>
      </c>
      <c r="D9827" s="3" t="s">
        <v>15941</v>
      </c>
      <c r="F9827" s="3" t="s">
        <v>1279</v>
      </c>
      <c r="I9827" s="3" t="s">
        <v>244</v>
      </c>
    </row>
    <row r="9828" spans="2:9" x14ac:dyDescent="0.4">
      <c r="B9828" s="8" t="s">
        <v>517</v>
      </c>
      <c r="C9828" s="3" t="s">
        <v>15213</v>
      </c>
      <c r="D9828" s="3" t="s">
        <v>15942</v>
      </c>
      <c r="F9828" s="3" t="s">
        <v>1279</v>
      </c>
      <c r="I9828" s="3" t="s">
        <v>244</v>
      </c>
    </row>
    <row r="9829" spans="2:9" x14ac:dyDescent="0.4">
      <c r="B9829" s="8" t="s">
        <v>531</v>
      </c>
      <c r="C9829" s="3" t="s">
        <v>15214</v>
      </c>
      <c r="D9829" s="3" t="s">
        <v>15943</v>
      </c>
      <c r="F9829" s="3" t="s">
        <v>1279</v>
      </c>
      <c r="I9829" s="3" t="s">
        <v>244</v>
      </c>
    </row>
    <row r="9830" spans="2:9" x14ac:dyDescent="0.4">
      <c r="B9830" s="8" t="s">
        <v>518</v>
      </c>
      <c r="C9830" s="3" t="s">
        <v>15215</v>
      </c>
      <c r="D9830" s="3" t="s">
        <v>15944</v>
      </c>
      <c r="F9830" s="3" t="s">
        <v>1279</v>
      </c>
      <c r="I9830" s="3" t="s">
        <v>244</v>
      </c>
    </row>
    <row r="9831" spans="2:9" x14ac:dyDescent="0.4">
      <c r="B9831" s="8" t="s">
        <v>518</v>
      </c>
      <c r="C9831" s="3" t="s">
        <v>15216</v>
      </c>
      <c r="D9831" s="3" t="s">
        <v>15945</v>
      </c>
      <c r="F9831" s="3" t="s">
        <v>1279</v>
      </c>
      <c r="I9831" s="3" t="s">
        <v>244</v>
      </c>
    </row>
    <row r="9832" spans="2:9" x14ac:dyDescent="0.4">
      <c r="B9832" s="8" t="s">
        <v>529</v>
      </c>
      <c r="C9832" s="3" t="s">
        <v>15217</v>
      </c>
      <c r="D9832" s="3" t="s">
        <v>15946</v>
      </c>
      <c r="F9832" s="3" t="s">
        <v>1279</v>
      </c>
      <c r="I9832" s="3" t="s">
        <v>244</v>
      </c>
    </row>
    <row r="9833" spans="2:9" x14ac:dyDescent="0.4">
      <c r="B9833" s="8" t="s">
        <v>531</v>
      </c>
      <c r="C9833" s="3" t="s">
        <v>15218</v>
      </c>
      <c r="D9833" s="3" t="s">
        <v>15947</v>
      </c>
      <c r="F9833" s="3" t="s">
        <v>1279</v>
      </c>
      <c r="I9833" s="3" t="s">
        <v>244</v>
      </c>
    </row>
    <row r="9834" spans="2:9" x14ac:dyDescent="0.4">
      <c r="B9834" s="8" t="s">
        <v>518</v>
      </c>
      <c r="C9834" s="3" t="s">
        <v>15219</v>
      </c>
      <c r="D9834" s="3" t="s">
        <v>15948</v>
      </c>
      <c r="F9834" s="3" t="s">
        <v>1279</v>
      </c>
      <c r="I9834" s="3" t="s">
        <v>244</v>
      </c>
    </row>
    <row r="9835" spans="2:9" x14ac:dyDescent="0.4">
      <c r="B9835" s="8" t="s">
        <v>532</v>
      </c>
      <c r="C9835" s="3" t="s">
        <v>15220</v>
      </c>
      <c r="D9835" s="3" t="s">
        <v>15949</v>
      </c>
      <c r="F9835" s="3" t="s">
        <v>1279</v>
      </c>
      <c r="I9835" s="3" t="s">
        <v>244</v>
      </c>
    </row>
    <row r="9836" spans="2:9" x14ac:dyDescent="0.4">
      <c r="B9836" s="8" t="s">
        <v>517</v>
      </c>
      <c r="C9836" s="3" t="s">
        <v>15221</v>
      </c>
      <c r="D9836" s="3" t="s">
        <v>15950</v>
      </c>
      <c r="F9836" s="3" t="s">
        <v>1279</v>
      </c>
      <c r="I9836" s="3" t="s">
        <v>244</v>
      </c>
    </row>
    <row r="9837" spans="2:9" x14ac:dyDescent="0.4">
      <c r="B9837" s="8" t="s">
        <v>517</v>
      </c>
      <c r="C9837" s="3" t="s">
        <v>15222</v>
      </c>
      <c r="D9837" s="3" t="s">
        <v>15951</v>
      </c>
      <c r="F9837" s="3" t="s">
        <v>1279</v>
      </c>
      <c r="I9837" s="3" t="s">
        <v>244</v>
      </c>
    </row>
    <row r="9838" spans="2:9" x14ac:dyDescent="0.4">
      <c r="B9838" s="8" t="s">
        <v>529</v>
      </c>
      <c r="C9838" s="3" t="s">
        <v>15223</v>
      </c>
      <c r="D9838" s="3" t="s">
        <v>15952</v>
      </c>
      <c r="F9838" s="3" t="s">
        <v>1279</v>
      </c>
      <c r="I9838" s="3" t="s">
        <v>244</v>
      </c>
    </row>
    <row r="9839" spans="2:9" x14ac:dyDescent="0.4">
      <c r="B9839" s="8" t="s">
        <v>518</v>
      </c>
      <c r="C9839" s="3" t="s">
        <v>15224</v>
      </c>
      <c r="D9839" s="3" t="s">
        <v>15958</v>
      </c>
      <c r="F9839" s="3" t="s">
        <v>1279</v>
      </c>
      <c r="I9839" s="3" t="s">
        <v>244</v>
      </c>
    </row>
    <row r="9840" spans="2:9" x14ac:dyDescent="0.4">
      <c r="B9840" s="8" t="s">
        <v>530</v>
      </c>
      <c r="C9840" s="3" t="s">
        <v>15225</v>
      </c>
      <c r="D9840" s="3" t="s">
        <v>15959</v>
      </c>
      <c r="F9840" s="3" t="s">
        <v>1279</v>
      </c>
      <c r="I9840" s="3" t="s">
        <v>244</v>
      </c>
    </row>
    <row r="9841" spans="2:9" x14ac:dyDescent="0.4">
      <c r="B9841" s="8" t="s">
        <v>529</v>
      </c>
      <c r="C9841" s="3" t="s">
        <v>15226</v>
      </c>
      <c r="D9841" s="3" t="s">
        <v>15960</v>
      </c>
      <c r="F9841" s="3" t="s">
        <v>1279</v>
      </c>
      <c r="I9841" s="3" t="s">
        <v>244</v>
      </c>
    </row>
    <row r="9842" spans="2:9" x14ac:dyDescent="0.4">
      <c r="B9842" s="8" t="s">
        <v>520</v>
      </c>
      <c r="C9842" s="3" t="s">
        <v>15227</v>
      </c>
      <c r="D9842" s="3" t="s">
        <v>15961</v>
      </c>
      <c r="F9842" s="3" t="s">
        <v>1279</v>
      </c>
      <c r="I9842" s="3" t="s">
        <v>244</v>
      </c>
    </row>
    <row r="9843" spans="2:9" x14ac:dyDescent="0.4">
      <c r="B9843" s="8" t="s">
        <v>529</v>
      </c>
      <c r="C9843" s="3" t="s">
        <v>15228</v>
      </c>
      <c r="D9843" s="3" t="s">
        <v>15961</v>
      </c>
      <c r="F9843" s="3" t="s">
        <v>1279</v>
      </c>
      <c r="I9843" s="3" t="s">
        <v>244</v>
      </c>
    </row>
    <row r="9844" spans="2:9" x14ac:dyDescent="0.4">
      <c r="B9844" s="8" t="s">
        <v>518</v>
      </c>
      <c r="C9844" s="3" t="s">
        <v>15229</v>
      </c>
      <c r="D9844" s="3" t="s">
        <v>15961</v>
      </c>
      <c r="F9844" s="3" t="s">
        <v>1279</v>
      </c>
      <c r="I9844" s="3" t="s">
        <v>244</v>
      </c>
    </row>
    <row r="9845" spans="2:9" x14ac:dyDescent="0.4">
      <c r="B9845" s="8" t="s">
        <v>531</v>
      </c>
      <c r="C9845" s="3" t="s">
        <v>15230</v>
      </c>
      <c r="D9845" s="3" t="s">
        <v>15962</v>
      </c>
      <c r="F9845" s="3" t="s">
        <v>1279</v>
      </c>
      <c r="I9845" s="3" t="s">
        <v>244</v>
      </c>
    </row>
    <row r="9846" spans="2:9" x14ac:dyDescent="0.4">
      <c r="B9846" s="8" t="s">
        <v>517</v>
      </c>
      <c r="C9846" s="3" t="s">
        <v>15231</v>
      </c>
      <c r="D9846" s="3" t="s">
        <v>15963</v>
      </c>
      <c r="F9846" s="3" t="s">
        <v>1279</v>
      </c>
      <c r="I9846" s="3" t="s">
        <v>244</v>
      </c>
    </row>
    <row r="9847" spans="2:9" x14ac:dyDescent="0.4">
      <c r="B9847" s="8" t="s">
        <v>518</v>
      </c>
      <c r="C9847" s="3" t="s">
        <v>15232</v>
      </c>
      <c r="D9847" s="3" t="s">
        <v>15964</v>
      </c>
      <c r="F9847" s="3" t="s">
        <v>1279</v>
      </c>
      <c r="I9847" s="3" t="s">
        <v>244</v>
      </c>
    </row>
    <row r="9848" spans="2:9" x14ac:dyDescent="0.4">
      <c r="B9848" s="8" t="s">
        <v>531</v>
      </c>
      <c r="C9848" s="3" t="s">
        <v>15233</v>
      </c>
      <c r="D9848" s="3" t="s">
        <v>15965</v>
      </c>
      <c r="F9848" s="3" t="s">
        <v>1279</v>
      </c>
      <c r="I9848" s="3" t="s">
        <v>244</v>
      </c>
    </row>
    <row r="9849" spans="2:9" x14ac:dyDescent="0.4">
      <c r="B9849" s="8" t="s">
        <v>530</v>
      </c>
      <c r="C9849" s="3" t="s">
        <v>15234</v>
      </c>
      <c r="D9849" s="3" t="s">
        <v>15966</v>
      </c>
      <c r="F9849" s="3" t="s">
        <v>1279</v>
      </c>
      <c r="I9849" s="3" t="s">
        <v>244</v>
      </c>
    </row>
    <row r="9850" spans="2:9" x14ac:dyDescent="0.4">
      <c r="B9850" s="8" t="s">
        <v>517</v>
      </c>
      <c r="C9850" s="3" t="s">
        <v>15235</v>
      </c>
      <c r="D9850" s="3" t="s">
        <v>15967</v>
      </c>
      <c r="F9850" s="3" t="s">
        <v>1279</v>
      </c>
      <c r="I9850" s="3" t="s">
        <v>244</v>
      </c>
    </row>
    <row r="9851" spans="2:9" x14ac:dyDescent="0.4">
      <c r="B9851" s="8" t="s">
        <v>518</v>
      </c>
      <c r="C9851" s="3" t="s">
        <v>15236</v>
      </c>
      <c r="D9851" s="3" t="s">
        <v>15968</v>
      </c>
      <c r="F9851" s="3" t="s">
        <v>1279</v>
      </c>
      <c r="I9851" s="3" t="s">
        <v>244</v>
      </c>
    </row>
    <row r="9852" spans="2:9" x14ac:dyDescent="0.4">
      <c r="B9852" s="8" t="s">
        <v>518</v>
      </c>
      <c r="C9852" s="3" t="s">
        <v>15237</v>
      </c>
      <c r="D9852" s="3" t="s">
        <v>15969</v>
      </c>
      <c r="F9852" s="3" t="s">
        <v>1279</v>
      </c>
      <c r="I9852" s="3" t="s">
        <v>244</v>
      </c>
    </row>
    <row r="9853" spans="2:9" x14ac:dyDescent="0.4">
      <c r="B9853" s="8" t="s">
        <v>518</v>
      </c>
      <c r="C9853" s="3" t="s">
        <v>15238</v>
      </c>
      <c r="D9853" s="3" t="s">
        <v>15970</v>
      </c>
      <c r="F9853" s="3" t="s">
        <v>1279</v>
      </c>
      <c r="I9853" s="3" t="s">
        <v>244</v>
      </c>
    </row>
    <row r="9854" spans="2:9" x14ac:dyDescent="0.4">
      <c r="B9854" s="8" t="s">
        <v>518</v>
      </c>
      <c r="C9854" s="3" t="s">
        <v>15239</v>
      </c>
      <c r="D9854" s="3" t="s">
        <v>15971</v>
      </c>
      <c r="F9854" s="3" t="s">
        <v>1279</v>
      </c>
      <c r="I9854" s="3" t="s">
        <v>244</v>
      </c>
    </row>
    <row r="9855" spans="2:9" x14ac:dyDescent="0.4">
      <c r="B9855" s="8" t="s">
        <v>531</v>
      </c>
      <c r="C9855" s="3" t="s">
        <v>15240</v>
      </c>
      <c r="D9855" s="3" t="s">
        <v>15972</v>
      </c>
      <c r="F9855" s="3" t="s">
        <v>1279</v>
      </c>
      <c r="I9855" s="3" t="s">
        <v>244</v>
      </c>
    </row>
    <row r="9856" spans="2:9" x14ac:dyDescent="0.4">
      <c r="B9856" s="8" t="s">
        <v>529</v>
      </c>
      <c r="C9856" s="3" t="s">
        <v>15249</v>
      </c>
      <c r="D9856" s="3" t="s">
        <v>15973</v>
      </c>
      <c r="F9856" s="3" t="s">
        <v>1279</v>
      </c>
      <c r="I9856" s="3" t="s">
        <v>244</v>
      </c>
    </row>
    <row r="9857" spans="2:9" x14ac:dyDescent="0.4">
      <c r="B9857" s="8" t="s">
        <v>517</v>
      </c>
      <c r="C9857" s="3" t="s">
        <v>15241</v>
      </c>
      <c r="D9857" s="3" t="s">
        <v>15974</v>
      </c>
      <c r="F9857" s="3" t="s">
        <v>1279</v>
      </c>
      <c r="I9857" s="3" t="s">
        <v>244</v>
      </c>
    </row>
    <row r="9858" spans="2:9" x14ac:dyDescent="0.4">
      <c r="B9858" s="8" t="s">
        <v>529</v>
      </c>
      <c r="C9858" s="3" t="s">
        <v>15242</v>
      </c>
      <c r="D9858" s="3" t="s">
        <v>15975</v>
      </c>
      <c r="F9858" s="3" t="s">
        <v>1279</v>
      </c>
      <c r="I9858" s="3" t="s">
        <v>244</v>
      </c>
    </row>
    <row r="9859" spans="2:9" x14ac:dyDescent="0.4">
      <c r="B9859" s="8" t="s">
        <v>531</v>
      </c>
      <c r="C9859" s="3" t="s">
        <v>15243</v>
      </c>
      <c r="D9859" s="3" t="s">
        <v>15976</v>
      </c>
      <c r="F9859" s="3" t="s">
        <v>1279</v>
      </c>
      <c r="I9859" s="3" t="s">
        <v>244</v>
      </c>
    </row>
    <row r="9860" spans="2:9" x14ac:dyDescent="0.4">
      <c r="B9860" s="8" t="s">
        <v>517</v>
      </c>
      <c r="C9860" s="3" t="s">
        <v>15244</v>
      </c>
      <c r="D9860" s="3" t="s">
        <v>15977</v>
      </c>
      <c r="F9860" s="3" t="s">
        <v>1279</v>
      </c>
      <c r="I9860" s="3" t="s">
        <v>244</v>
      </c>
    </row>
    <row r="9861" spans="2:9" x14ac:dyDescent="0.4">
      <c r="B9861" s="8" t="s">
        <v>517</v>
      </c>
      <c r="C9861" s="3" t="s">
        <v>15245</v>
      </c>
      <c r="D9861" s="3" t="s">
        <v>15978</v>
      </c>
      <c r="F9861" s="3" t="s">
        <v>1279</v>
      </c>
      <c r="I9861" s="3" t="s">
        <v>244</v>
      </c>
    </row>
    <row r="9862" spans="2:9" x14ac:dyDescent="0.4">
      <c r="B9862" s="8" t="s">
        <v>517</v>
      </c>
      <c r="C9862" s="3" t="s">
        <v>15246</v>
      </c>
      <c r="D9862" s="3" t="s">
        <v>15979</v>
      </c>
      <c r="F9862" s="3" t="s">
        <v>1279</v>
      </c>
      <c r="I9862" s="3" t="s">
        <v>244</v>
      </c>
    </row>
    <row r="9863" spans="2:9" x14ac:dyDescent="0.4">
      <c r="B9863" s="8" t="s">
        <v>518</v>
      </c>
      <c r="C9863" s="3" t="s">
        <v>15247</v>
      </c>
      <c r="D9863" s="3" t="s">
        <v>15980</v>
      </c>
      <c r="F9863" s="3" t="s">
        <v>1279</v>
      </c>
      <c r="I9863" s="3" t="s">
        <v>244</v>
      </c>
    </row>
    <row r="9864" spans="2:9" x14ac:dyDescent="0.4">
      <c r="B9864" s="8" t="s">
        <v>529</v>
      </c>
      <c r="C9864" s="3" t="s">
        <v>15248</v>
      </c>
      <c r="D9864" s="3" t="s">
        <v>15981</v>
      </c>
      <c r="F9864" s="3" t="s">
        <v>1279</v>
      </c>
      <c r="I9864" s="3" t="s">
        <v>244</v>
      </c>
    </row>
    <row r="9865" spans="2:9" x14ac:dyDescent="0.4">
      <c r="B9865" s="8" t="s">
        <v>517</v>
      </c>
      <c r="C9865" s="3" t="s">
        <v>15250</v>
      </c>
      <c r="D9865" s="3" t="s">
        <v>15982</v>
      </c>
      <c r="F9865" s="3" t="s">
        <v>1279</v>
      </c>
      <c r="I9865" s="3" t="s">
        <v>244</v>
      </c>
    </row>
    <row r="9866" spans="2:9" x14ac:dyDescent="0.4">
      <c r="B9866" s="8" t="s">
        <v>518</v>
      </c>
      <c r="C9866" s="3" t="s">
        <v>15251</v>
      </c>
      <c r="D9866" s="3" t="s">
        <v>15983</v>
      </c>
      <c r="F9866" s="3" t="s">
        <v>1279</v>
      </c>
      <c r="I9866" s="3" t="s">
        <v>244</v>
      </c>
    </row>
    <row r="9867" spans="2:9" x14ac:dyDescent="0.4">
      <c r="B9867" s="8" t="s">
        <v>529</v>
      </c>
      <c r="C9867" s="3" t="s">
        <v>15252</v>
      </c>
      <c r="D9867" s="3" t="s">
        <v>15984</v>
      </c>
      <c r="F9867" s="3" t="s">
        <v>1279</v>
      </c>
      <c r="I9867" s="3" t="s">
        <v>244</v>
      </c>
    </row>
    <row r="9868" spans="2:9" x14ac:dyDescent="0.4">
      <c r="B9868" s="8" t="s">
        <v>518</v>
      </c>
      <c r="C9868" s="3" t="s">
        <v>15253</v>
      </c>
      <c r="D9868" s="3" t="s">
        <v>15985</v>
      </c>
      <c r="F9868" s="3" t="s">
        <v>1279</v>
      </c>
      <c r="I9868" s="3" t="s">
        <v>244</v>
      </c>
    </row>
    <row r="9869" spans="2:9" x14ac:dyDescent="0.4">
      <c r="B9869" s="8" t="s">
        <v>517</v>
      </c>
      <c r="C9869" s="3" t="s">
        <v>15254</v>
      </c>
      <c r="D9869" s="3" t="s">
        <v>15986</v>
      </c>
      <c r="F9869" s="3" t="s">
        <v>1279</v>
      </c>
      <c r="I9869" s="3" t="s">
        <v>244</v>
      </c>
    </row>
    <row r="9870" spans="2:9" x14ac:dyDescent="0.4">
      <c r="B9870" s="8" t="s">
        <v>532</v>
      </c>
      <c r="C9870" s="3" t="s">
        <v>15255</v>
      </c>
      <c r="D9870" s="3" t="s">
        <v>15987</v>
      </c>
      <c r="F9870" s="3" t="s">
        <v>1279</v>
      </c>
      <c r="I9870" s="3" t="s">
        <v>244</v>
      </c>
    </row>
    <row r="9871" spans="2:9" x14ac:dyDescent="0.4">
      <c r="B9871" s="8" t="s">
        <v>529</v>
      </c>
      <c r="C9871" s="3" t="s">
        <v>15256</v>
      </c>
      <c r="D9871" s="3" t="s">
        <v>15988</v>
      </c>
      <c r="F9871" s="3" t="s">
        <v>1279</v>
      </c>
      <c r="I9871" s="3" t="s">
        <v>244</v>
      </c>
    </row>
    <row r="9872" spans="2:9" x14ac:dyDescent="0.4">
      <c r="B9872" s="8" t="s">
        <v>517</v>
      </c>
      <c r="C9872" s="3" t="s">
        <v>15257</v>
      </c>
      <c r="D9872" s="3" t="s">
        <v>15989</v>
      </c>
      <c r="F9872" s="3" t="s">
        <v>1279</v>
      </c>
      <c r="I9872" s="3" t="s">
        <v>244</v>
      </c>
    </row>
    <row r="9873" spans="2:9" x14ac:dyDescent="0.4">
      <c r="B9873" s="8" t="s">
        <v>517</v>
      </c>
      <c r="C9873" s="3" t="s">
        <v>15258</v>
      </c>
      <c r="D9873" s="3" t="s">
        <v>15990</v>
      </c>
      <c r="F9873" s="3" t="s">
        <v>1279</v>
      </c>
      <c r="I9873" s="3" t="s">
        <v>244</v>
      </c>
    </row>
    <row r="9874" spans="2:9" x14ac:dyDescent="0.4">
      <c r="B9874" s="8" t="s">
        <v>529</v>
      </c>
      <c r="C9874" s="3" t="s">
        <v>15259</v>
      </c>
      <c r="D9874" s="3" t="s">
        <v>14479</v>
      </c>
      <c r="F9874" s="3" t="s">
        <v>1279</v>
      </c>
      <c r="I9874" s="3" t="s">
        <v>244</v>
      </c>
    </row>
    <row r="9875" spans="2:9" x14ac:dyDescent="0.4">
      <c r="B9875" s="8" t="s">
        <v>517</v>
      </c>
      <c r="C9875" s="3" t="s">
        <v>15260</v>
      </c>
      <c r="D9875" s="3" t="s">
        <v>15991</v>
      </c>
      <c r="F9875" s="3" t="s">
        <v>1279</v>
      </c>
      <c r="I9875" s="3" t="s">
        <v>244</v>
      </c>
    </row>
    <row r="9876" spans="2:9" x14ac:dyDescent="0.4">
      <c r="B9876" s="8" t="s">
        <v>529</v>
      </c>
      <c r="C9876" s="3" t="s">
        <v>15261</v>
      </c>
      <c r="D9876" s="3" t="s">
        <v>15992</v>
      </c>
      <c r="F9876" s="3" t="s">
        <v>1279</v>
      </c>
      <c r="I9876" s="3" t="s">
        <v>244</v>
      </c>
    </row>
    <row r="9877" spans="2:9" x14ac:dyDescent="0.4">
      <c r="B9877" s="8" t="s">
        <v>529</v>
      </c>
      <c r="C9877" s="3" t="s">
        <v>15262</v>
      </c>
      <c r="D9877" s="3" t="s">
        <v>15993</v>
      </c>
      <c r="F9877" s="3" t="s">
        <v>1279</v>
      </c>
      <c r="I9877" s="3" t="s">
        <v>244</v>
      </c>
    </row>
    <row r="9878" spans="2:9" x14ac:dyDescent="0.4">
      <c r="B9878" s="8" t="s">
        <v>518</v>
      </c>
      <c r="C9878" s="3" t="s">
        <v>15263</v>
      </c>
      <c r="D9878" s="3" t="s">
        <v>15994</v>
      </c>
      <c r="F9878" s="3" t="s">
        <v>1279</v>
      </c>
      <c r="I9878" s="3" t="s">
        <v>244</v>
      </c>
    </row>
    <row r="9879" spans="2:9" x14ac:dyDescent="0.4">
      <c r="B9879" s="8" t="s">
        <v>529</v>
      </c>
      <c r="C9879" s="3" t="s">
        <v>15264</v>
      </c>
      <c r="D9879" s="3" t="s">
        <v>15995</v>
      </c>
      <c r="F9879" s="3" t="s">
        <v>1279</v>
      </c>
      <c r="I9879" s="3" t="s">
        <v>244</v>
      </c>
    </row>
    <row r="9880" spans="2:9" x14ac:dyDescent="0.4">
      <c r="B9880" s="8" t="s">
        <v>532</v>
      </c>
      <c r="C9880" s="3" t="s">
        <v>15265</v>
      </c>
      <c r="D9880" s="3" t="s">
        <v>15996</v>
      </c>
      <c r="F9880" s="3" t="s">
        <v>1279</v>
      </c>
      <c r="I9880" s="3" t="s">
        <v>244</v>
      </c>
    </row>
    <row r="9881" spans="2:9" x14ac:dyDescent="0.4">
      <c r="B9881" s="8" t="s">
        <v>520</v>
      </c>
      <c r="C9881" s="3" t="s">
        <v>15266</v>
      </c>
      <c r="D9881" s="3" t="s">
        <v>15997</v>
      </c>
      <c r="F9881" s="3" t="s">
        <v>1279</v>
      </c>
      <c r="I9881" s="3" t="s">
        <v>244</v>
      </c>
    </row>
    <row r="9882" spans="2:9" x14ac:dyDescent="0.4">
      <c r="B9882" s="8" t="s">
        <v>529</v>
      </c>
      <c r="C9882" s="3" t="s">
        <v>15267</v>
      </c>
      <c r="D9882" s="3" t="s">
        <v>15998</v>
      </c>
      <c r="F9882" s="3" t="s">
        <v>1279</v>
      </c>
      <c r="I9882" s="3" t="s">
        <v>244</v>
      </c>
    </row>
    <row r="9883" spans="2:9" x14ac:dyDescent="0.4">
      <c r="B9883" s="8" t="s">
        <v>517</v>
      </c>
      <c r="C9883" s="3" t="s">
        <v>15268</v>
      </c>
      <c r="D9883" s="3" t="s">
        <v>15999</v>
      </c>
      <c r="F9883" s="3" t="s">
        <v>1279</v>
      </c>
      <c r="I9883" s="3" t="s">
        <v>244</v>
      </c>
    </row>
    <row r="9884" spans="2:9" x14ac:dyDescent="0.4">
      <c r="B9884" s="8" t="s">
        <v>518</v>
      </c>
      <c r="C9884" s="3" t="s">
        <v>15269</v>
      </c>
      <c r="D9884" s="3" t="s">
        <v>16000</v>
      </c>
      <c r="F9884" s="3" t="s">
        <v>1279</v>
      </c>
      <c r="I9884" s="3" t="s">
        <v>244</v>
      </c>
    </row>
    <row r="9885" spans="2:9" x14ac:dyDescent="0.4">
      <c r="B9885" s="8" t="s">
        <v>531</v>
      </c>
      <c r="C9885" s="3" t="s">
        <v>15270</v>
      </c>
      <c r="D9885" s="3" t="s">
        <v>16001</v>
      </c>
      <c r="F9885" s="3" t="s">
        <v>1279</v>
      </c>
      <c r="I9885" s="3" t="s">
        <v>244</v>
      </c>
    </row>
    <row r="9886" spans="2:9" x14ac:dyDescent="0.4">
      <c r="B9886" s="8" t="s">
        <v>529</v>
      </c>
      <c r="C9886" s="3" t="s">
        <v>15271</v>
      </c>
      <c r="D9886" s="3" t="s">
        <v>16002</v>
      </c>
      <c r="F9886" s="3" t="s">
        <v>1279</v>
      </c>
      <c r="I9886" s="3" t="s">
        <v>244</v>
      </c>
    </row>
    <row r="9887" spans="2:9" x14ac:dyDescent="0.4">
      <c r="B9887" s="8" t="s">
        <v>532</v>
      </c>
      <c r="C9887" s="3" t="s">
        <v>15272</v>
      </c>
      <c r="D9887" s="3" t="s">
        <v>16003</v>
      </c>
      <c r="F9887" s="3" t="s">
        <v>1279</v>
      </c>
      <c r="I9887" s="3" t="s">
        <v>244</v>
      </c>
    </row>
    <row r="9888" spans="2:9" x14ac:dyDescent="0.4">
      <c r="B9888" s="8" t="s">
        <v>518</v>
      </c>
      <c r="C9888" s="3" t="s">
        <v>15273</v>
      </c>
      <c r="D9888" s="3" t="s">
        <v>16004</v>
      </c>
      <c r="F9888" s="3" t="s">
        <v>1279</v>
      </c>
      <c r="I9888" s="3" t="s">
        <v>244</v>
      </c>
    </row>
    <row r="9889" spans="2:9" x14ac:dyDescent="0.4">
      <c r="B9889" s="8" t="s">
        <v>532</v>
      </c>
      <c r="C9889" s="3" t="s">
        <v>15274</v>
      </c>
      <c r="D9889" s="3" t="s">
        <v>16005</v>
      </c>
      <c r="F9889" s="3" t="s">
        <v>1279</v>
      </c>
      <c r="I9889" s="3" t="s">
        <v>244</v>
      </c>
    </row>
    <row r="9890" spans="2:9" x14ac:dyDescent="0.4">
      <c r="B9890" s="8" t="s">
        <v>518</v>
      </c>
      <c r="C9890" s="3" t="s">
        <v>15275</v>
      </c>
      <c r="D9890" s="3" t="s">
        <v>16006</v>
      </c>
      <c r="F9890" s="3" t="s">
        <v>1279</v>
      </c>
      <c r="I9890" s="3" t="s">
        <v>244</v>
      </c>
    </row>
    <row r="9891" spans="2:9" x14ac:dyDescent="0.4">
      <c r="B9891" s="8" t="s">
        <v>529</v>
      </c>
      <c r="C9891" s="3" t="s">
        <v>15276</v>
      </c>
      <c r="D9891" s="3" t="s">
        <v>14506</v>
      </c>
      <c r="F9891" s="3" t="s">
        <v>1279</v>
      </c>
      <c r="I9891" s="3" t="s">
        <v>244</v>
      </c>
    </row>
    <row r="9892" spans="2:9" x14ac:dyDescent="0.4">
      <c r="B9892" s="8" t="s">
        <v>518</v>
      </c>
      <c r="C9892" s="3" t="s">
        <v>15277</v>
      </c>
      <c r="D9892" s="3" t="s">
        <v>16007</v>
      </c>
      <c r="F9892" s="3" t="s">
        <v>1279</v>
      </c>
      <c r="I9892" s="3" t="s">
        <v>244</v>
      </c>
    </row>
    <row r="9893" spans="2:9" x14ac:dyDescent="0.4">
      <c r="B9893" s="8" t="s">
        <v>518</v>
      </c>
      <c r="C9893" s="3" t="s">
        <v>15278</v>
      </c>
      <c r="D9893" s="3" t="s">
        <v>16008</v>
      </c>
      <c r="F9893" s="3" t="s">
        <v>1279</v>
      </c>
      <c r="I9893" s="3" t="s">
        <v>244</v>
      </c>
    </row>
    <row r="9894" spans="2:9" x14ac:dyDescent="0.4">
      <c r="B9894" s="8" t="s">
        <v>518</v>
      </c>
      <c r="C9894" s="3" t="s">
        <v>15279</v>
      </c>
      <c r="D9894" s="3" t="s">
        <v>16008</v>
      </c>
      <c r="F9894" s="3" t="s">
        <v>1279</v>
      </c>
      <c r="I9894" s="3" t="s">
        <v>244</v>
      </c>
    </row>
    <row r="9895" spans="2:9" x14ac:dyDescent="0.4">
      <c r="B9895" s="8" t="s">
        <v>531</v>
      </c>
      <c r="C9895" s="3" t="s">
        <v>15280</v>
      </c>
      <c r="D9895" s="3" t="s">
        <v>16009</v>
      </c>
      <c r="F9895" s="3" t="s">
        <v>1279</v>
      </c>
      <c r="I9895" s="3" t="s">
        <v>244</v>
      </c>
    </row>
    <row r="9896" spans="2:9" x14ac:dyDescent="0.4">
      <c r="B9896" s="8" t="s">
        <v>518</v>
      </c>
      <c r="C9896" s="3" t="s">
        <v>15281</v>
      </c>
      <c r="D9896" s="3" t="s">
        <v>16010</v>
      </c>
      <c r="F9896" s="3" t="s">
        <v>1279</v>
      </c>
      <c r="I9896" s="3" t="s">
        <v>244</v>
      </c>
    </row>
    <row r="9897" spans="2:9" x14ac:dyDescent="0.4">
      <c r="B9897" s="8" t="s">
        <v>531</v>
      </c>
      <c r="C9897" s="3" t="s">
        <v>15282</v>
      </c>
      <c r="D9897" s="3" t="s">
        <v>16011</v>
      </c>
      <c r="F9897" s="3" t="s">
        <v>1279</v>
      </c>
      <c r="I9897" s="3" t="s">
        <v>244</v>
      </c>
    </row>
    <row r="9898" spans="2:9" x14ac:dyDescent="0.4">
      <c r="B9898" s="8" t="s">
        <v>518</v>
      </c>
      <c r="C9898" s="3" t="s">
        <v>15283</v>
      </c>
      <c r="D9898" s="3" t="s">
        <v>16012</v>
      </c>
      <c r="F9898" s="3" t="s">
        <v>1279</v>
      </c>
      <c r="I9898" s="3" t="s">
        <v>244</v>
      </c>
    </row>
    <row r="9899" spans="2:9" x14ac:dyDescent="0.4">
      <c r="B9899" s="8" t="s">
        <v>518</v>
      </c>
      <c r="C9899" s="3" t="s">
        <v>15284</v>
      </c>
      <c r="D9899" s="3" t="s">
        <v>16013</v>
      </c>
      <c r="F9899" s="3" t="s">
        <v>1279</v>
      </c>
      <c r="I9899" s="3" t="s">
        <v>244</v>
      </c>
    </row>
    <row r="9900" spans="2:9" x14ac:dyDescent="0.4">
      <c r="B9900" s="8" t="s">
        <v>520</v>
      </c>
      <c r="C9900" s="3" t="s">
        <v>15285</v>
      </c>
      <c r="D9900" s="3" t="s">
        <v>16014</v>
      </c>
      <c r="F9900" s="3" t="s">
        <v>1279</v>
      </c>
      <c r="I9900" s="3" t="s">
        <v>244</v>
      </c>
    </row>
    <row r="9901" spans="2:9" x14ac:dyDescent="0.4">
      <c r="B9901" s="8" t="s">
        <v>529</v>
      </c>
      <c r="C9901" s="3" t="s">
        <v>15286</v>
      </c>
      <c r="D9901" s="3" t="s">
        <v>16015</v>
      </c>
      <c r="F9901" s="3" t="s">
        <v>1279</v>
      </c>
      <c r="I9901" s="3" t="s">
        <v>244</v>
      </c>
    </row>
    <row r="9902" spans="2:9" x14ac:dyDescent="0.4">
      <c r="B9902" s="8" t="s">
        <v>531</v>
      </c>
      <c r="C9902" s="3" t="s">
        <v>15287</v>
      </c>
      <c r="D9902" s="3" t="s">
        <v>16016</v>
      </c>
      <c r="F9902" s="3" t="s">
        <v>1279</v>
      </c>
      <c r="I9902" s="3" t="s">
        <v>244</v>
      </c>
    </row>
    <row r="9903" spans="2:9" x14ac:dyDescent="0.4">
      <c r="B9903" s="8" t="s">
        <v>518</v>
      </c>
      <c r="C9903" s="3" t="s">
        <v>15288</v>
      </c>
      <c r="D9903" s="3" t="s">
        <v>16017</v>
      </c>
      <c r="F9903" s="3" t="s">
        <v>1279</v>
      </c>
      <c r="I9903" s="3" t="s">
        <v>244</v>
      </c>
    </row>
    <row r="9904" spans="2:9" x14ac:dyDescent="0.4">
      <c r="B9904" s="8" t="s">
        <v>529</v>
      </c>
      <c r="C9904" s="3" t="s">
        <v>15289</v>
      </c>
      <c r="D9904" s="3" t="s">
        <v>16018</v>
      </c>
      <c r="F9904" s="3" t="s">
        <v>1279</v>
      </c>
      <c r="I9904" s="3" t="s">
        <v>244</v>
      </c>
    </row>
    <row r="9905" spans="2:9" x14ac:dyDescent="0.4">
      <c r="B9905" s="8" t="s">
        <v>517</v>
      </c>
      <c r="C9905" s="3" t="s">
        <v>15290</v>
      </c>
      <c r="D9905" s="3" t="s">
        <v>16019</v>
      </c>
      <c r="F9905" s="3" t="s">
        <v>1279</v>
      </c>
      <c r="I9905" s="3" t="s">
        <v>244</v>
      </c>
    </row>
    <row r="9906" spans="2:9" x14ac:dyDescent="0.4">
      <c r="B9906" s="8" t="s">
        <v>529</v>
      </c>
      <c r="C9906" s="3" t="s">
        <v>15291</v>
      </c>
      <c r="D9906" s="3" t="s">
        <v>16020</v>
      </c>
      <c r="F9906" s="3" t="s">
        <v>1279</v>
      </c>
      <c r="I9906" s="3" t="s">
        <v>244</v>
      </c>
    </row>
    <row r="9907" spans="2:9" x14ac:dyDescent="0.4">
      <c r="B9907" s="8" t="s">
        <v>518</v>
      </c>
      <c r="C9907" s="3" t="s">
        <v>15292</v>
      </c>
      <c r="D9907" s="3" t="s">
        <v>16021</v>
      </c>
      <c r="F9907" s="3" t="s">
        <v>1279</v>
      </c>
      <c r="I9907" s="3" t="s">
        <v>244</v>
      </c>
    </row>
    <row r="9908" spans="2:9" x14ac:dyDescent="0.4">
      <c r="B9908" s="8" t="s">
        <v>517</v>
      </c>
      <c r="C9908" s="3" t="s">
        <v>15293</v>
      </c>
      <c r="D9908" s="3" t="s">
        <v>16022</v>
      </c>
      <c r="F9908" s="3" t="s">
        <v>1279</v>
      </c>
      <c r="I9908" s="3" t="s">
        <v>244</v>
      </c>
    </row>
    <row r="9909" spans="2:9" x14ac:dyDescent="0.4">
      <c r="B9909" s="8" t="s">
        <v>529</v>
      </c>
      <c r="C9909" s="3" t="s">
        <v>15294</v>
      </c>
      <c r="D9909" s="3" t="s">
        <v>16023</v>
      </c>
      <c r="F9909" s="3" t="s">
        <v>1279</v>
      </c>
      <c r="I9909" s="3" t="s">
        <v>244</v>
      </c>
    </row>
    <row r="9910" spans="2:9" x14ac:dyDescent="0.4">
      <c r="B9910" s="8" t="s">
        <v>529</v>
      </c>
      <c r="C9910" s="3" t="s">
        <v>15295</v>
      </c>
      <c r="D9910" s="3" t="s">
        <v>16147</v>
      </c>
      <c r="F9910" s="3" t="s">
        <v>1279</v>
      </c>
      <c r="I9910" s="3" t="s">
        <v>244</v>
      </c>
    </row>
    <row r="9911" spans="2:9" x14ac:dyDescent="0.4">
      <c r="B9911" s="8" t="s">
        <v>529</v>
      </c>
      <c r="C9911" s="3" t="s">
        <v>15296</v>
      </c>
      <c r="D9911" s="3" t="s">
        <v>15776</v>
      </c>
      <c r="F9911" s="3" t="s">
        <v>1279</v>
      </c>
      <c r="I9911" s="3" t="s">
        <v>244</v>
      </c>
    </row>
    <row r="9912" spans="2:9" x14ac:dyDescent="0.4">
      <c r="B9912" s="8" t="s">
        <v>531</v>
      </c>
      <c r="C9912" s="3" t="s">
        <v>15297</v>
      </c>
      <c r="D9912" s="3" t="s">
        <v>16024</v>
      </c>
      <c r="F9912" s="3" t="s">
        <v>1279</v>
      </c>
      <c r="I9912" s="3" t="s">
        <v>244</v>
      </c>
    </row>
    <row r="9913" spans="2:9" x14ac:dyDescent="0.4">
      <c r="B9913" s="8" t="s">
        <v>517</v>
      </c>
      <c r="C9913" s="3" t="s">
        <v>9143</v>
      </c>
      <c r="D9913" s="3" t="s">
        <v>16025</v>
      </c>
      <c r="F9913" s="3" t="s">
        <v>1279</v>
      </c>
      <c r="I9913" s="3" t="s">
        <v>244</v>
      </c>
    </row>
    <row r="9914" spans="2:9" x14ac:dyDescent="0.4">
      <c r="B9914" s="8" t="s">
        <v>531</v>
      </c>
      <c r="C9914" s="3" t="s">
        <v>15298</v>
      </c>
      <c r="D9914" s="3" t="s">
        <v>16026</v>
      </c>
      <c r="F9914" s="3" t="s">
        <v>1279</v>
      </c>
      <c r="I9914" s="3" t="s">
        <v>244</v>
      </c>
    </row>
    <row r="9915" spans="2:9" x14ac:dyDescent="0.4">
      <c r="B9915" s="8" t="s">
        <v>518</v>
      </c>
      <c r="C9915" s="3" t="s">
        <v>15299</v>
      </c>
      <c r="D9915" s="3" t="s">
        <v>16027</v>
      </c>
      <c r="F9915" s="3" t="s">
        <v>1279</v>
      </c>
      <c r="I9915" s="3" t="s">
        <v>244</v>
      </c>
    </row>
    <row r="9916" spans="2:9" x14ac:dyDescent="0.4">
      <c r="B9916" s="8" t="s">
        <v>518</v>
      </c>
      <c r="C9916" s="3" t="s">
        <v>15300</v>
      </c>
      <c r="D9916" s="3" t="s">
        <v>16028</v>
      </c>
      <c r="F9916" s="3" t="s">
        <v>1279</v>
      </c>
      <c r="I9916" s="3" t="s">
        <v>244</v>
      </c>
    </row>
    <row r="9917" spans="2:9" x14ac:dyDescent="0.4">
      <c r="B9917" s="8" t="s">
        <v>518</v>
      </c>
      <c r="C9917" s="3" t="s">
        <v>15301</v>
      </c>
      <c r="D9917" s="3" t="s">
        <v>16029</v>
      </c>
      <c r="F9917" s="3" t="s">
        <v>1279</v>
      </c>
      <c r="I9917" s="3" t="s">
        <v>244</v>
      </c>
    </row>
    <row r="9918" spans="2:9" x14ac:dyDescent="0.4">
      <c r="B9918" s="8" t="s">
        <v>532</v>
      </c>
      <c r="C9918" s="3" t="s">
        <v>15302</v>
      </c>
      <c r="D9918" s="3" t="s">
        <v>16030</v>
      </c>
      <c r="F9918" s="3" t="s">
        <v>1279</v>
      </c>
      <c r="I9918" s="3" t="s">
        <v>244</v>
      </c>
    </row>
    <row r="9919" spans="2:9" x14ac:dyDescent="0.4">
      <c r="B9919" s="8" t="s">
        <v>518</v>
      </c>
      <c r="C9919" s="3" t="s">
        <v>15303</v>
      </c>
      <c r="D9919" s="3" t="s">
        <v>16031</v>
      </c>
      <c r="F9919" s="3" t="s">
        <v>1279</v>
      </c>
      <c r="I9919" s="3" t="s">
        <v>244</v>
      </c>
    </row>
    <row r="9920" spans="2:9" x14ac:dyDescent="0.4">
      <c r="B9920" s="8" t="s">
        <v>531</v>
      </c>
      <c r="C9920" s="3" t="s">
        <v>15304</v>
      </c>
      <c r="D9920" s="3" t="s">
        <v>16032</v>
      </c>
      <c r="F9920" s="3" t="s">
        <v>1279</v>
      </c>
      <c r="I9920" s="3" t="s">
        <v>244</v>
      </c>
    </row>
    <row r="9921" spans="2:9" x14ac:dyDescent="0.4">
      <c r="B9921" s="8" t="s">
        <v>529</v>
      </c>
      <c r="C9921" s="3" t="s">
        <v>15305</v>
      </c>
      <c r="D9921" s="3" t="s">
        <v>16145</v>
      </c>
      <c r="F9921" s="3" t="s">
        <v>1279</v>
      </c>
      <c r="I9921" s="3" t="s">
        <v>244</v>
      </c>
    </row>
    <row r="9922" spans="2:9" x14ac:dyDescent="0.4">
      <c r="B9922" s="8" t="s">
        <v>531</v>
      </c>
      <c r="C9922" s="3" t="s">
        <v>15306</v>
      </c>
      <c r="D9922" s="3" t="s">
        <v>16146</v>
      </c>
      <c r="F9922" s="3" t="s">
        <v>1279</v>
      </c>
      <c r="I9922" s="3" t="s">
        <v>244</v>
      </c>
    </row>
    <row r="9923" spans="2:9" x14ac:dyDescent="0.4">
      <c r="B9923" s="8" t="s">
        <v>532</v>
      </c>
      <c r="C9923" s="3" t="s">
        <v>15307</v>
      </c>
      <c r="D9923" s="3" t="s">
        <v>16033</v>
      </c>
      <c r="F9923" s="3" t="s">
        <v>1279</v>
      </c>
      <c r="I9923" s="3" t="s">
        <v>244</v>
      </c>
    </row>
    <row r="9924" spans="2:9" x14ac:dyDescent="0.4">
      <c r="B9924" s="8" t="s">
        <v>520</v>
      </c>
      <c r="C9924" s="3" t="s">
        <v>15308</v>
      </c>
      <c r="D9924" s="3" t="s">
        <v>16034</v>
      </c>
      <c r="F9924" s="3" t="s">
        <v>1279</v>
      </c>
      <c r="I9924" s="3" t="s">
        <v>244</v>
      </c>
    </row>
    <row r="9925" spans="2:9" x14ac:dyDescent="0.4">
      <c r="B9925" s="8" t="s">
        <v>529</v>
      </c>
      <c r="C9925" s="3" t="s">
        <v>15309</v>
      </c>
      <c r="D9925" s="3" t="s">
        <v>16035</v>
      </c>
      <c r="F9925" s="3" t="s">
        <v>1279</v>
      </c>
      <c r="I9925" s="3" t="s">
        <v>244</v>
      </c>
    </row>
    <row r="9926" spans="2:9" x14ac:dyDescent="0.4">
      <c r="B9926" s="8" t="s">
        <v>517</v>
      </c>
      <c r="C9926" s="3" t="s">
        <v>15310</v>
      </c>
      <c r="D9926" s="3" t="s">
        <v>16036</v>
      </c>
      <c r="F9926" s="3" t="s">
        <v>1279</v>
      </c>
      <c r="I9926" s="3" t="s">
        <v>244</v>
      </c>
    </row>
    <row r="9927" spans="2:9" x14ac:dyDescent="0.4">
      <c r="B9927" s="8" t="s">
        <v>517</v>
      </c>
      <c r="C9927" s="3" t="s">
        <v>15311</v>
      </c>
      <c r="D9927" s="3" t="s">
        <v>16037</v>
      </c>
      <c r="F9927" s="3" t="s">
        <v>1279</v>
      </c>
      <c r="I9927" s="3" t="s">
        <v>244</v>
      </c>
    </row>
    <row r="9928" spans="2:9" x14ac:dyDescent="0.4">
      <c r="B9928" s="8" t="s">
        <v>531</v>
      </c>
      <c r="C9928" s="3" t="s">
        <v>15312</v>
      </c>
      <c r="D9928" s="3" t="s">
        <v>16038</v>
      </c>
      <c r="F9928" s="3" t="s">
        <v>1279</v>
      </c>
      <c r="I9928" s="3" t="s">
        <v>244</v>
      </c>
    </row>
    <row r="9929" spans="2:9" x14ac:dyDescent="0.4">
      <c r="B9929" s="8" t="s">
        <v>530</v>
      </c>
      <c r="C9929" s="3" t="s">
        <v>15313</v>
      </c>
      <c r="D9929" s="3" t="s">
        <v>16039</v>
      </c>
      <c r="F9929" s="3" t="s">
        <v>1279</v>
      </c>
      <c r="I9929" s="3" t="s">
        <v>244</v>
      </c>
    </row>
    <row r="9930" spans="2:9" x14ac:dyDescent="0.4">
      <c r="B9930" s="8" t="s">
        <v>530</v>
      </c>
      <c r="C9930" s="3" t="s">
        <v>16144</v>
      </c>
      <c r="D9930" s="3" t="s">
        <v>16040</v>
      </c>
      <c r="F9930" s="3" t="s">
        <v>1279</v>
      </c>
      <c r="I9930" s="3" t="s">
        <v>244</v>
      </c>
    </row>
    <row r="9931" spans="2:9" x14ac:dyDescent="0.4">
      <c r="B9931" s="8" t="s">
        <v>518</v>
      </c>
      <c r="C9931" s="3" t="s">
        <v>15314</v>
      </c>
      <c r="D9931" s="3" t="s">
        <v>16041</v>
      </c>
      <c r="F9931" s="3" t="s">
        <v>1279</v>
      </c>
      <c r="I9931" s="3" t="s">
        <v>244</v>
      </c>
    </row>
    <row r="9932" spans="2:9" x14ac:dyDescent="0.4">
      <c r="B9932" s="8" t="s">
        <v>517</v>
      </c>
      <c r="C9932" s="3" t="s">
        <v>15315</v>
      </c>
      <c r="D9932" s="3" t="s">
        <v>16042</v>
      </c>
      <c r="F9932" s="3" t="s">
        <v>1279</v>
      </c>
      <c r="I9932" s="3" t="s">
        <v>244</v>
      </c>
    </row>
    <row r="9933" spans="2:9" x14ac:dyDescent="0.4">
      <c r="B9933" s="8" t="s">
        <v>529</v>
      </c>
      <c r="C9933" s="3" t="s">
        <v>15316</v>
      </c>
      <c r="D9933" s="3" t="s">
        <v>16043</v>
      </c>
      <c r="F9933" s="3" t="s">
        <v>1279</v>
      </c>
      <c r="I9933" s="3" t="s">
        <v>244</v>
      </c>
    </row>
    <row r="9934" spans="2:9" x14ac:dyDescent="0.4">
      <c r="B9934" s="8" t="s">
        <v>517</v>
      </c>
      <c r="C9934" s="3" t="s">
        <v>15317</v>
      </c>
      <c r="D9934" s="3" t="s">
        <v>16044</v>
      </c>
      <c r="F9934" s="3" t="s">
        <v>1279</v>
      </c>
      <c r="I9934" s="3" t="s">
        <v>244</v>
      </c>
    </row>
    <row r="9935" spans="2:9" x14ac:dyDescent="0.4">
      <c r="B9935" s="8" t="s">
        <v>532</v>
      </c>
      <c r="C9935" s="3" t="s">
        <v>15318</v>
      </c>
      <c r="D9935" s="3" t="s">
        <v>16045</v>
      </c>
      <c r="F9935" s="3" t="s">
        <v>1279</v>
      </c>
      <c r="I9935" s="3" t="s">
        <v>244</v>
      </c>
    </row>
    <row r="9936" spans="2:9" x14ac:dyDescent="0.4">
      <c r="B9936" s="8" t="s">
        <v>517</v>
      </c>
      <c r="C9936" s="3" t="s">
        <v>15319</v>
      </c>
      <c r="D9936" s="3" t="s">
        <v>16046</v>
      </c>
      <c r="F9936" s="3" t="s">
        <v>1279</v>
      </c>
      <c r="I9936" s="3" t="s">
        <v>244</v>
      </c>
    </row>
    <row r="9937" spans="2:9" x14ac:dyDescent="0.4">
      <c r="B9937" s="8" t="s">
        <v>518</v>
      </c>
      <c r="C9937" s="3" t="s">
        <v>15320</v>
      </c>
      <c r="D9937" s="3" t="s">
        <v>16047</v>
      </c>
      <c r="F9937" s="3" t="s">
        <v>1279</v>
      </c>
      <c r="I9937" s="3" t="s">
        <v>244</v>
      </c>
    </row>
    <row r="9938" spans="2:9" x14ac:dyDescent="0.4">
      <c r="B9938" s="8" t="s">
        <v>531</v>
      </c>
      <c r="C9938" s="3" t="s">
        <v>15321</v>
      </c>
      <c r="D9938" s="3" t="s">
        <v>16048</v>
      </c>
      <c r="F9938" s="3" t="s">
        <v>1279</v>
      </c>
      <c r="I9938" s="3" t="s">
        <v>244</v>
      </c>
    </row>
    <row r="9939" spans="2:9" x14ac:dyDescent="0.4">
      <c r="B9939" s="8" t="s">
        <v>529</v>
      </c>
      <c r="C9939" s="3" t="s">
        <v>15322</v>
      </c>
      <c r="D9939" s="3" t="s">
        <v>16049</v>
      </c>
      <c r="F9939" s="3" t="s">
        <v>1279</v>
      </c>
      <c r="I9939" s="3" t="s">
        <v>244</v>
      </c>
    </row>
    <row r="9940" spans="2:9" x14ac:dyDescent="0.4">
      <c r="B9940" s="8" t="s">
        <v>520</v>
      </c>
      <c r="C9940" s="3" t="s">
        <v>15323</v>
      </c>
      <c r="D9940" s="3" t="s">
        <v>16050</v>
      </c>
      <c r="F9940" s="3" t="s">
        <v>1279</v>
      </c>
      <c r="I9940" s="3" t="s">
        <v>244</v>
      </c>
    </row>
    <row r="9941" spans="2:9" x14ac:dyDescent="0.4">
      <c r="B9941" s="8" t="s">
        <v>518</v>
      </c>
      <c r="C9941" s="3" t="s">
        <v>15324</v>
      </c>
      <c r="D9941" s="3" t="s">
        <v>16051</v>
      </c>
      <c r="F9941" s="3" t="s">
        <v>1279</v>
      </c>
      <c r="I9941" s="3" t="s">
        <v>244</v>
      </c>
    </row>
    <row r="9942" spans="2:9" x14ac:dyDescent="0.4">
      <c r="B9942" s="8" t="s">
        <v>518</v>
      </c>
      <c r="C9942" s="3" t="s">
        <v>15325</v>
      </c>
      <c r="D9942" s="3" t="s">
        <v>16052</v>
      </c>
      <c r="F9942" s="3" t="s">
        <v>1279</v>
      </c>
      <c r="I9942" s="3" t="s">
        <v>244</v>
      </c>
    </row>
    <row r="9943" spans="2:9" x14ac:dyDescent="0.4">
      <c r="B9943" s="8" t="s">
        <v>518</v>
      </c>
      <c r="C9943" s="3" t="s">
        <v>15326</v>
      </c>
      <c r="D9943" s="3" t="s">
        <v>16053</v>
      </c>
      <c r="F9943" s="3" t="s">
        <v>1279</v>
      </c>
      <c r="I9943" s="3" t="s">
        <v>244</v>
      </c>
    </row>
    <row r="9944" spans="2:9" x14ac:dyDescent="0.4">
      <c r="B9944" s="8" t="s">
        <v>518</v>
      </c>
      <c r="C9944" s="3" t="s">
        <v>15327</v>
      </c>
      <c r="D9944" s="3" t="s">
        <v>16054</v>
      </c>
      <c r="F9944" s="3" t="s">
        <v>1279</v>
      </c>
      <c r="I9944" s="3" t="s">
        <v>244</v>
      </c>
    </row>
    <row r="9945" spans="2:9" x14ac:dyDescent="0.4">
      <c r="B9945" s="8" t="s">
        <v>529</v>
      </c>
      <c r="C9945" s="3" t="s">
        <v>15328</v>
      </c>
      <c r="D9945" s="3" t="s">
        <v>16055</v>
      </c>
      <c r="F9945" s="3" t="s">
        <v>1279</v>
      </c>
      <c r="I9945" s="3" t="s">
        <v>244</v>
      </c>
    </row>
    <row r="9946" spans="2:9" x14ac:dyDescent="0.4">
      <c r="B9946" s="8" t="s">
        <v>529</v>
      </c>
      <c r="C9946" s="3" t="s">
        <v>15329</v>
      </c>
      <c r="D9946" s="3" t="s">
        <v>16056</v>
      </c>
      <c r="F9946" s="3" t="s">
        <v>1279</v>
      </c>
      <c r="I9946" s="3" t="s">
        <v>244</v>
      </c>
    </row>
    <row r="9947" spans="2:9" x14ac:dyDescent="0.4">
      <c r="B9947" s="8" t="s">
        <v>531</v>
      </c>
      <c r="C9947" s="3" t="s">
        <v>15330</v>
      </c>
      <c r="D9947" s="3" t="s">
        <v>16057</v>
      </c>
      <c r="F9947" s="3" t="s">
        <v>1279</v>
      </c>
      <c r="I9947" s="3" t="s">
        <v>244</v>
      </c>
    </row>
    <row r="9948" spans="2:9" x14ac:dyDescent="0.4">
      <c r="B9948" s="8" t="s">
        <v>517</v>
      </c>
      <c r="C9948" s="3" t="s">
        <v>15331</v>
      </c>
      <c r="D9948" s="3" t="s">
        <v>16058</v>
      </c>
      <c r="F9948" s="3" t="s">
        <v>1279</v>
      </c>
      <c r="I9948" s="3" t="s">
        <v>244</v>
      </c>
    </row>
    <row r="9949" spans="2:9" x14ac:dyDescent="0.4">
      <c r="B9949" s="8" t="s">
        <v>517</v>
      </c>
      <c r="C9949" s="3" t="s">
        <v>15332</v>
      </c>
      <c r="D9949" s="3" t="s">
        <v>16059</v>
      </c>
      <c r="F9949" s="3" t="s">
        <v>1279</v>
      </c>
      <c r="I9949" s="3" t="s">
        <v>244</v>
      </c>
    </row>
    <row r="9950" spans="2:9" x14ac:dyDescent="0.4">
      <c r="B9950" s="8" t="s">
        <v>532</v>
      </c>
      <c r="C9950" s="3" t="s">
        <v>15333</v>
      </c>
      <c r="D9950" s="3" t="s">
        <v>16060</v>
      </c>
      <c r="F9950" s="3" t="s">
        <v>1279</v>
      </c>
      <c r="I9950" s="3" t="s">
        <v>244</v>
      </c>
    </row>
    <row r="9951" spans="2:9" x14ac:dyDescent="0.4">
      <c r="B9951" s="8" t="s">
        <v>518</v>
      </c>
      <c r="C9951" s="3" t="s">
        <v>15334</v>
      </c>
      <c r="D9951" s="3" t="s">
        <v>16061</v>
      </c>
      <c r="F9951" s="3" t="s">
        <v>1279</v>
      </c>
      <c r="I9951" s="3" t="s">
        <v>244</v>
      </c>
    </row>
    <row r="9952" spans="2:9" x14ac:dyDescent="0.4">
      <c r="B9952" s="8" t="s">
        <v>529</v>
      </c>
      <c r="C9952" s="3" t="s">
        <v>15335</v>
      </c>
      <c r="D9952" s="3" t="s">
        <v>16062</v>
      </c>
      <c r="F9952" s="3" t="s">
        <v>1279</v>
      </c>
      <c r="I9952" s="3" t="s">
        <v>244</v>
      </c>
    </row>
    <row r="9953" spans="2:9" x14ac:dyDescent="0.4">
      <c r="B9953" s="8" t="s">
        <v>520</v>
      </c>
      <c r="C9953" s="3" t="s">
        <v>15336</v>
      </c>
      <c r="D9953" s="3" t="s">
        <v>16063</v>
      </c>
      <c r="F9953" s="3" t="s">
        <v>1279</v>
      </c>
      <c r="I9953" s="3" t="s">
        <v>244</v>
      </c>
    </row>
    <row r="9954" spans="2:9" x14ac:dyDescent="0.4">
      <c r="B9954" s="8" t="s">
        <v>531</v>
      </c>
      <c r="C9954" s="3" t="s">
        <v>15337</v>
      </c>
      <c r="D9954" s="3" t="s">
        <v>16064</v>
      </c>
      <c r="F9954" s="3" t="s">
        <v>1279</v>
      </c>
      <c r="I9954" s="3" t="s">
        <v>244</v>
      </c>
    </row>
    <row r="9955" spans="2:9" x14ac:dyDescent="0.4">
      <c r="B9955" s="8" t="s">
        <v>520</v>
      </c>
      <c r="C9955" s="3" t="s">
        <v>15338</v>
      </c>
      <c r="D9955" s="3" t="s">
        <v>16065</v>
      </c>
      <c r="F9955" s="3" t="s">
        <v>1279</v>
      </c>
      <c r="I9955" s="3" t="s">
        <v>244</v>
      </c>
    </row>
    <row r="9956" spans="2:9" x14ac:dyDescent="0.4">
      <c r="B9956" s="8" t="s">
        <v>517</v>
      </c>
      <c r="C9956" s="3" t="s">
        <v>15339</v>
      </c>
      <c r="D9956" s="3" t="s">
        <v>16066</v>
      </c>
      <c r="F9956" s="3" t="s">
        <v>1279</v>
      </c>
      <c r="I9956" s="3" t="s">
        <v>244</v>
      </c>
    </row>
    <row r="9957" spans="2:9" x14ac:dyDescent="0.4">
      <c r="B9957" s="8" t="s">
        <v>529</v>
      </c>
      <c r="C9957" s="3" t="s">
        <v>15340</v>
      </c>
      <c r="D9957" s="3" t="s">
        <v>16067</v>
      </c>
      <c r="F9957" s="3" t="s">
        <v>1279</v>
      </c>
      <c r="I9957" s="3" t="s">
        <v>244</v>
      </c>
    </row>
    <row r="9958" spans="2:9" x14ac:dyDescent="0.4">
      <c r="B9958" s="8" t="s">
        <v>518</v>
      </c>
      <c r="C9958" s="3" t="s">
        <v>15341</v>
      </c>
      <c r="D9958" s="3" t="s">
        <v>16068</v>
      </c>
      <c r="F9958" s="3" t="s">
        <v>1279</v>
      </c>
      <c r="I9958" s="3" t="s">
        <v>244</v>
      </c>
    </row>
    <row r="9959" spans="2:9" x14ac:dyDescent="0.4">
      <c r="B9959" s="8" t="s">
        <v>532</v>
      </c>
      <c r="C9959" s="3" t="s">
        <v>15342</v>
      </c>
      <c r="D9959" s="3" t="s">
        <v>16069</v>
      </c>
      <c r="F9959" s="3" t="s">
        <v>1279</v>
      </c>
      <c r="I9959" s="3" t="s">
        <v>244</v>
      </c>
    </row>
    <row r="9960" spans="2:9" x14ac:dyDescent="0.4">
      <c r="B9960" s="8" t="s">
        <v>529</v>
      </c>
      <c r="C9960" s="3" t="s">
        <v>15343</v>
      </c>
      <c r="D9960" s="3" t="s">
        <v>16070</v>
      </c>
      <c r="F9960" s="3" t="s">
        <v>1279</v>
      </c>
      <c r="I9960" s="3" t="s">
        <v>244</v>
      </c>
    </row>
    <row r="9961" spans="2:9" x14ac:dyDescent="0.4">
      <c r="B9961" s="8" t="s">
        <v>517</v>
      </c>
      <c r="C9961" s="3" t="s">
        <v>15344</v>
      </c>
      <c r="D9961" s="3" t="s">
        <v>16071</v>
      </c>
      <c r="F9961" s="3" t="s">
        <v>1279</v>
      </c>
      <c r="I9961" s="3" t="s">
        <v>244</v>
      </c>
    </row>
    <row r="9962" spans="2:9" x14ac:dyDescent="0.4">
      <c r="B9962" s="8" t="s">
        <v>517</v>
      </c>
      <c r="C9962" s="3" t="s">
        <v>15345</v>
      </c>
      <c r="D9962" s="3" t="s">
        <v>16072</v>
      </c>
      <c r="F9962" s="3" t="s">
        <v>1279</v>
      </c>
      <c r="I9962" s="3" t="s">
        <v>244</v>
      </c>
    </row>
    <row r="9963" spans="2:9" x14ac:dyDescent="0.4">
      <c r="B9963" s="8" t="s">
        <v>531</v>
      </c>
      <c r="C9963" s="3" t="s">
        <v>15346</v>
      </c>
      <c r="D9963" s="3" t="s">
        <v>16073</v>
      </c>
      <c r="F9963" s="3" t="s">
        <v>1279</v>
      </c>
      <c r="I9963" s="3" t="s">
        <v>244</v>
      </c>
    </row>
    <row r="9964" spans="2:9" x14ac:dyDescent="0.4">
      <c r="B9964" s="8" t="s">
        <v>520</v>
      </c>
      <c r="C9964" s="3" t="s">
        <v>15347</v>
      </c>
      <c r="D9964" s="3" t="s">
        <v>16074</v>
      </c>
      <c r="F9964" s="3" t="s">
        <v>1279</v>
      </c>
      <c r="I9964" s="3" t="s">
        <v>244</v>
      </c>
    </row>
    <row r="9965" spans="2:9" x14ac:dyDescent="0.4">
      <c r="B9965" s="8" t="s">
        <v>529</v>
      </c>
      <c r="C9965" s="3" t="s">
        <v>15348</v>
      </c>
      <c r="D9965" s="3" t="s">
        <v>16075</v>
      </c>
      <c r="F9965" s="3" t="s">
        <v>1279</v>
      </c>
      <c r="I9965" s="3" t="s">
        <v>244</v>
      </c>
    </row>
    <row r="9966" spans="2:9" x14ac:dyDescent="0.4">
      <c r="B9966" s="8" t="s">
        <v>532</v>
      </c>
      <c r="C9966" s="3" t="s">
        <v>15349</v>
      </c>
      <c r="D9966" s="3" t="s">
        <v>16076</v>
      </c>
      <c r="F9966" s="3" t="s">
        <v>1279</v>
      </c>
      <c r="I9966" s="3" t="s">
        <v>244</v>
      </c>
    </row>
    <row r="9967" spans="2:9" x14ac:dyDescent="0.4">
      <c r="B9967" s="8" t="s">
        <v>517</v>
      </c>
      <c r="C9967" s="3" t="s">
        <v>15350</v>
      </c>
      <c r="D9967" s="3" t="s">
        <v>16077</v>
      </c>
      <c r="F9967" s="3" t="s">
        <v>1279</v>
      </c>
      <c r="I9967" s="3" t="s">
        <v>244</v>
      </c>
    </row>
    <row r="9968" spans="2:9" x14ac:dyDescent="0.4">
      <c r="B9968" s="8" t="s">
        <v>517</v>
      </c>
      <c r="C9968" s="3" t="s">
        <v>15351</v>
      </c>
      <c r="D9968" s="3" t="s">
        <v>16078</v>
      </c>
      <c r="F9968" s="3" t="s">
        <v>1279</v>
      </c>
      <c r="I9968" s="3" t="s">
        <v>244</v>
      </c>
    </row>
    <row r="9969" spans="2:9" x14ac:dyDescent="0.4">
      <c r="B9969" s="8" t="s">
        <v>517</v>
      </c>
      <c r="C9969" s="3" t="s">
        <v>15352</v>
      </c>
      <c r="D9969" s="3" t="s">
        <v>16079</v>
      </c>
      <c r="F9969" s="3" t="s">
        <v>1279</v>
      </c>
      <c r="I9969" s="3" t="s">
        <v>244</v>
      </c>
    </row>
    <row r="9970" spans="2:9" x14ac:dyDescent="0.4">
      <c r="B9970" s="8" t="s">
        <v>532</v>
      </c>
      <c r="C9970" s="3" t="s">
        <v>15353</v>
      </c>
      <c r="D9970" s="3" t="s">
        <v>16080</v>
      </c>
      <c r="F9970" s="3" t="s">
        <v>1279</v>
      </c>
      <c r="I9970" s="3" t="s">
        <v>244</v>
      </c>
    </row>
    <row r="9971" spans="2:9" x14ac:dyDescent="0.4">
      <c r="B9971" s="8" t="s">
        <v>518</v>
      </c>
      <c r="C9971" s="3" t="s">
        <v>15354</v>
      </c>
      <c r="D9971" s="3" t="s">
        <v>16081</v>
      </c>
      <c r="F9971" s="3" t="s">
        <v>1279</v>
      </c>
      <c r="I9971" s="3" t="s">
        <v>244</v>
      </c>
    </row>
    <row r="9972" spans="2:9" x14ac:dyDescent="0.4">
      <c r="B9972" s="8" t="s">
        <v>518</v>
      </c>
      <c r="C9972" s="3" t="s">
        <v>15355</v>
      </c>
      <c r="D9972" s="3" t="s">
        <v>16082</v>
      </c>
      <c r="F9972" s="3" t="s">
        <v>1279</v>
      </c>
      <c r="I9972" s="3" t="s">
        <v>244</v>
      </c>
    </row>
    <row r="9973" spans="2:9" x14ac:dyDescent="0.4">
      <c r="B9973" s="8" t="s">
        <v>532</v>
      </c>
      <c r="C9973" s="3" t="s">
        <v>15356</v>
      </c>
      <c r="D9973" s="3" t="s">
        <v>16083</v>
      </c>
      <c r="F9973" s="3" t="s">
        <v>1279</v>
      </c>
      <c r="I9973" s="3" t="s">
        <v>244</v>
      </c>
    </row>
    <row r="9974" spans="2:9" x14ac:dyDescent="0.4">
      <c r="B9974" s="8" t="s">
        <v>520</v>
      </c>
      <c r="C9974" s="3" t="s">
        <v>15357</v>
      </c>
      <c r="D9974" s="3" t="s">
        <v>16084</v>
      </c>
      <c r="F9974" s="3" t="s">
        <v>1279</v>
      </c>
      <c r="I9974" s="3" t="s">
        <v>244</v>
      </c>
    </row>
    <row r="9975" spans="2:9" x14ac:dyDescent="0.4">
      <c r="B9975" s="8" t="s">
        <v>529</v>
      </c>
      <c r="C9975" s="3" t="s">
        <v>15358</v>
      </c>
      <c r="D9975" s="3" t="s">
        <v>16068</v>
      </c>
      <c r="F9975" s="3" t="s">
        <v>1279</v>
      </c>
      <c r="I9975" s="3" t="s">
        <v>244</v>
      </c>
    </row>
    <row r="9976" spans="2:9" x14ac:dyDescent="0.4">
      <c r="B9976" s="8" t="s">
        <v>529</v>
      </c>
      <c r="C9976" s="3" t="s">
        <v>16569</v>
      </c>
      <c r="D9976" s="3" t="s">
        <v>16085</v>
      </c>
      <c r="F9976" s="3" t="s">
        <v>1279</v>
      </c>
      <c r="I9976" s="3" t="s">
        <v>244</v>
      </c>
    </row>
    <row r="9977" spans="2:9" x14ac:dyDescent="0.4">
      <c r="B9977" s="8" t="s">
        <v>531</v>
      </c>
      <c r="C9977" s="3" t="s">
        <v>15359</v>
      </c>
      <c r="D9977" s="3" t="s">
        <v>16086</v>
      </c>
      <c r="F9977" s="3" t="s">
        <v>1279</v>
      </c>
      <c r="I9977" s="3" t="s">
        <v>244</v>
      </c>
    </row>
    <row r="9978" spans="2:9" x14ac:dyDescent="0.4">
      <c r="B9978" s="8" t="s">
        <v>520</v>
      </c>
      <c r="C9978" s="3" t="s">
        <v>15360</v>
      </c>
      <c r="D9978" s="3" t="s">
        <v>16087</v>
      </c>
      <c r="F9978" s="3" t="s">
        <v>1279</v>
      </c>
      <c r="I9978" s="3" t="s">
        <v>244</v>
      </c>
    </row>
    <row r="9979" spans="2:9" x14ac:dyDescent="0.4">
      <c r="B9979" s="8" t="s">
        <v>517</v>
      </c>
      <c r="C9979" s="3" t="s">
        <v>15361</v>
      </c>
      <c r="D9979" s="3" t="s">
        <v>16088</v>
      </c>
      <c r="F9979" s="3" t="s">
        <v>1279</v>
      </c>
      <c r="I9979" s="3" t="s">
        <v>244</v>
      </c>
    </row>
    <row r="9980" spans="2:9" x14ac:dyDescent="0.4">
      <c r="B9980" s="8" t="s">
        <v>532</v>
      </c>
      <c r="C9980" s="3" t="s">
        <v>15362</v>
      </c>
      <c r="D9980" s="3" t="s">
        <v>16089</v>
      </c>
      <c r="F9980" s="3" t="s">
        <v>1279</v>
      </c>
      <c r="I9980" s="3" t="s">
        <v>244</v>
      </c>
    </row>
    <row r="9981" spans="2:9" x14ac:dyDescent="0.4">
      <c r="B9981" s="8" t="s">
        <v>532</v>
      </c>
      <c r="C9981" s="3" t="s">
        <v>15363</v>
      </c>
      <c r="D9981" s="3" t="s">
        <v>14478</v>
      </c>
      <c r="F9981" s="3" t="s">
        <v>1279</v>
      </c>
      <c r="I9981" s="3" t="s">
        <v>244</v>
      </c>
    </row>
    <row r="9982" spans="2:9" x14ac:dyDescent="0.4">
      <c r="B9982" s="8" t="s">
        <v>531</v>
      </c>
      <c r="C9982" s="3" t="s">
        <v>15364</v>
      </c>
      <c r="D9982" s="3" t="s">
        <v>16090</v>
      </c>
      <c r="F9982" s="3" t="s">
        <v>1279</v>
      </c>
      <c r="I9982" s="3" t="s">
        <v>244</v>
      </c>
    </row>
    <row r="9983" spans="2:9" x14ac:dyDescent="0.4">
      <c r="B9983" s="8" t="s">
        <v>531</v>
      </c>
      <c r="C9983" s="3" t="s">
        <v>15365</v>
      </c>
      <c r="D9983" s="3" t="s">
        <v>16091</v>
      </c>
      <c r="F9983" s="3" t="s">
        <v>1279</v>
      </c>
      <c r="I9983" s="3" t="s">
        <v>244</v>
      </c>
    </row>
    <row r="9984" spans="2:9" x14ac:dyDescent="0.4">
      <c r="B9984" s="8" t="s">
        <v>518</v>
      </c>
      <c r="C9984" s="3" t="s">
        <v>15366</v>
      </c>
      <c r="D9984" s="3" t="s">
        <v>16092</v>
      </c>
      <c r="F9984" s="3" t="s">
        <v>1279</v>
      </c>
      <c r="I9984" s="3" t="s">
        <v>244</v>
      </c>
    </row>
    <row r="9985" spans="2:9" x14ac:dyDescent="0.4">
      <c r="B9985" s="8" t="s">
        <v>531</v>
      </c>
      <c r="C9985" s="3" t="s">
        <v>15367</v>
      </c>
      <c r="D9985" s="3" t="s">
        <v>14454</v>
      </c>
      <c r="F9985" s="3" t="s">
        <v>1279</v>
      </c>
      <c r="I9985" s="3" t="s">
        <v>244</v>
      </c>
    </row>
    <row r="9986" spans="2:9" x14ac:dyDescent="0.4">
      <c r="B9986" s="8" t="s">
        <v>517</v>
      </c>
      <c r="C9986" s="3" t="s">
        <v>16143</v>
      </c>
      <c r="D9986" s="3" t="s">
        <v>16093</v>
      </c>
      <c r="F9986" s="3" t="s">
        <v>1279</v>
      </c>
      <c r="I9986" s="3" t="s">
        <v>244</v>
      </c>
    </row>
    <row r="9987" spans="2:9" x14ac:dyDescent="0.4">
      <c r="B9987" s="8" t="s">
        <v>517</v>
      </c>
      <c r="C9987" s="3" t="s">
        <v>15368</v>
      </c>
      <c r="D9987" s="3" t="s">
        <v>16094</v>
      </c>
      <c r="F9987" s="3" t="s">
        <v>1279</v>
      </c>
      <c r="I9987" s="3" t="s">
        <v>244</v>
      </c>
    </row>
    <row r="9988" spans="2:9" x14ac:dyDescent="0.4">
      <c r="B9988" s="8" t="s">
        <v>520</v>
      </c>
      <c r="C9988" s="3" t="s">
        <v>15369</v>
      </c>
      <c r="D9988" s="3" t="s">
        <v>16095</v>
      </c>
      <c r="F9988" s="3" t="s">
        <v>1279</v>
      </c>
      <c r="I9988" s="3" t="s">
        <v>244</v>
      </c>
    </row>
    <row r="9989" spans="2:9" x14ac:dyDescent="0.4">
      <c r="B9989" s="8" t="s">
        <v>520</v>
      </c>
      <c r="C9989" s="3" t="s">
        <v>15370</v>
      </c>
      <c r="D9989" s="3" t="s">
        <v>16096</v>
      </c>
      <c r="F9989" s="3" t="s">
        <v>1279</v>
      </c>
      <c r="I9989" s="3" t="s">
        <v>244</v>
      </c>
    </row>
    <row r="9990" spans="2:9" x14ac:dyDescent="0.4">
      <c r="B9990" s="8" t="s">
        <v>520</v>
      </c>
      <c r="C9990" s="3" t="s">
        <v>15371</v>
      </c>
      <c r="D9990" s="3" t="s">
        <v>16097</v>
      </c>
      <c r="F9990" s="3" t="s">
        <v>1279</v>
      </c>
      <c r="I9990" s="3" t="s">
        <v>244</v>
      </c>
    </row>
    <row r="9991" spans="2:9" x14ac:dyDescent="0.4">
      <c r="B9991" s="8" t="s">
        <v>520</v>
      </c>
      <c r="C9991" s="3" t="s">
        <v>15372</v>
      </c>
      <c r="D9991" s="3" t="s">
        <v>16098</v>
      </c>
      <c r="F9991" s="3" t="s">
        <v>1279</v>
      </c>
      <c r="I9991" s="3" t="s">
        <v>244</v>
      </c>
    </row>
    <row r="9992" spans="2:9" x14ac:dyDescent="0.4">
      <c r="B9992" s="8" t="s">
        <v>532</v>
      </c>
      <c r="C9992" s="3" t="s">
        <v>15373</v>
      </c>
      <c r="D9992" s="3" t="s">
        <v>16099</v>
      </c>
      <c r="F9992" s="3" t="s">
        <v>1279</v>
      </c>
      <c r="I9992" s="3" t="s">
        <v>244</v>
      </c>
    </row>
    <row r="9993" spans="2:9" x14ac:dyDescent="0.4">
      <c r="B9993" s="8" t="s">
        <v>529</v>
      </c>
      <c r="C9993" s="3" t="s">
        <v>15374</v>
      </c>
      <c r="D9993" s="3" t="s">
        <v>16100</v>
      </c>
      <c r="F9993" s="3" t="s">
        <v>1279</v>
      </c>
      <c r="I9993" s="3" t="s">
        <v>244</v>
      </c>
    </row>
    <row r="9994" spans="2:9" x14ac:dyDescent="0.4">
      <c r="B9994" s="8" t="s">
        <v>517</v>
      </c>
      <c r="C9994" s="3" t="s">
        <v>15375</v>
      </c>
      <c r="D9994" s="3" t="s">
        <v>16101</v>
      </c>
      <c r="F9994" s="3" t="s">
        <v>1279</v>
      </c>
      <c r="I9994" s="3" t="s">
        <v>244</v>
      </c>
    </row>
    <row r="9995" spans="2:9" x14ac:dyDescent="0.4">
      <c r="B9995" s="8" t="s">
        <v>529</v>
      </c>
      <c r="C9995" s="3" t="s">
        <v>15376</v>
      </c>
      <c r="D9995" s="3" t="s">
        <v>16102</v>
      </c>
      <c r="F9995" s="3" t="s">
        <v>1279</v>
      </c>
      <c r="I9995" s="3" t="s">
        <v>244</v>
      </c>
    </row>
    <row r="9996" spans="2:9" x14ac:dyDescent="0.4">
      <c r="B9996" s="8" t="s">
        <v>532</v>
      </c>
      <c r="C9996" s="3" t="s">
        <v>15377</v>
      </c>
      <c r="D9996" s="3" t="s">
        <v>16103</v>
      </c>
      <c r="F9996" s="3" t="s">
        <v>1279</v>
      </c>
      <c r="I9996" s="3" t="s">
        <v>244</v>
      </c>
    </row>
    <row r="9997" spans="2:9" x14ac:dyDescent="0.4">
      <c r="B9997" s="8" t="s">
        <v>531</v>
      </c>
      <c r="C9997" s="3" t="s">
        <v>15378</v>
      </c>
      <c r="D9997" s="3" t="s">
        <v>16104</v>
      </c>
      <c r="F9997" s="3" t="s">
        <v>1279</v>
      </c>
      <c r="I9997" s="3" t="s">
        <v>244</v>
      </c>
    </row>
    <row r="9998" spans="2:9" x14ac:dyDescent="0.4">
      <c r="B9998" s="8" t="s">
        <v>518</v>
      </c>
      <c r="C9998" s="3" t="s">
        <v>15379</v>
      </c>
      <c r="D9998" s="3" t="s">
        <v>16105</v>
      </c>
      <c r="F9998" s="3" t="s">
        <v>1279</v>
      </c>
      <c r="I9998" s="3" t="s">
        <v>244</v>
      </c>
    </row>
    <row r="9999" spans="2:9" x14ac:dyDescent="0.4">
      <c r="B9999" s="8" t="s">
        <v>529</v>
      </c>
      <c r="C9999" s="3" t="s">
        <v>15380</v>
      </c>
      <c r="D9999" s="3" t="s">
        <v>16106</v>
      </c>
      <c r="F9999" s="3" t="s">
        <v>1279</v>
      </c>
      <c r="I9999" s="3" t="s">
        <v>244</v>
      </c>
    </row>
    <row r="10000" spans="2:9" x14ac:dyDescent="0.4">
      <c r="B10000" s="8" t="s">
        <v>529</v>
      </c>
      <c r="C10000" s="3" t="s">
        <v>15381</v>
      </c>
      <c r="D10000" s="3" t="s">
        <v>16107</v>
      </c>
      <c r="F10000" s="3" t="s">
        <v>1279</v>
      </c>
      <c r="I10000" s="3" t="s">
        <v>244</v>
      </c>
    </row>
    <row r="10001" spans="2:9" x14ac:dyDescent="0.4">
      <c r="B10001" s="8" t="s">
        <v>532</v>
      </c>
      <c r="C10001" s="3" t="s">
        <v>15382</v>
      </c>
      <c r="D10001" s="3" t="s">
        <v>16108</v>
      </c>
      <c r="F10001" s="3" t="s">
        <v>1279</v>
      </c>
      <c r="I10001" s="3" t="s">
        <v>244</v>
      </c>
    </row>
    <row r="10002" spans="2:9" x14ac:dyDescent="0.4">
      <c r="B10002" s="8" t="s">
        <v>520</v>
      </c>
      <c r="C10002" s="3" t="s">
        <v>15383</v>
      </c>
      <c r="D10002" s="3" t="s">
        <v>16109</v>
      </c>
      <c r="F10002" s="3" t="s">
        <v>1279</v>
      </c>
      <c r="I10002" s="3" t="s">
        <v>244</v>
      </c>
    </row>
    <row r="10003" spans="2:9" x14ac:dyDescent="0.4">
      <c r="B10003" s="8" t="s">
        <v>518</v>
      </c>
      <c r="C10003" s="3" t="s">
        <v>15384</v>
      </c>
      <c r="D10003" s="3" t="s">
        <v>16110</v>
      </c>
      <c r="F10003" s="3" t="s">
        <v>1279</v>
      </c>
      <c r="I10003" s="3" t="s">
        <v>244</v>
      </c>
    </row>
    <row r="10004" spans="2:9" x14ac:dyDescent="0.4">
      <c r="B10004" s="8" t="s">
        <v>532</v>
      </c>
      <c r="C10004" s="3" t="s">
        <v>15385</v>
      </c>
      <c r="D10004" s="3" t="s">
        <v>16111</v>
      </c>
      <c r="F10004" s="3" t="s">
        <v>1279</v>
      </c>
      <c r="I10004" s="3" t="s">
        <v>244</v>
      </c>
    </row>
    <row r="10005" spans="2:9" x14ac:dyDescent="0.4">
      <c r="B10005" s="8" t="s">
        <v>531</v>
      </c>
      <c r="C10005" s="3" t="s">
        <v>15386</v>
      </c>
      <c r="D10005" s="3" t="s">
        <v>16112</v>
      </c>
      <c r="F10005" s="3" t="s">
        <v>1279</v>
      </c>
      <c r="I10005" s="3" t="s">
        <v>244</v>
      </c>
    </row>
    <row r="10006" spans="2:9" x14ac:dyDescent="0.4">
      <c r="B10006" s="8" t="s">
        <v>517</v>
      </c>
      <c r="C10006" s="3" t="s">
        <v>15387</v>
      </c>
      <c r="D10006" s="3" t="s">
        <v>16113</v>
      </c>
      <c r="F10006" s="3" t="s">
        <v>1279</v>
      </c>
      <c r="I10006" s="3" t="s">
        <v>244</v>
      </c>
    </row>
    <row r="10007" spans="2:9" x14ac:dyDescent="0.4">
      <c r="B10007" s="8" t="s">
        <v>529</v>
      </c>
      <c r="C10007" s="3" t="s">
        <v>15388</v>
      </c>
      <c r="D10007" s="3" t="s">
        <v>16114</v>
      </c>
      <c r="F10007" s="3" t="s">
        <v>1279</v>
      </c>
      <c r="I10007" s="3" t="s">
        <v>244</v>
      </c>
    </row>
    <row r="10008" spans="2:9" x14ac:dyDescent="0.4">
      <c r="B10008" s="8" t="s">
        <v>520</v>
      </c>
      <c r="C10008" s="3" t="s">
        <v>15389</v>
      </c>
      <c r="D10008" s="3" t="s">
        <v>16115</v>
      </c>
      <c r="F10008" s="3" t="s">
        <v>1279</v>
      </c>
      <c r="I10008" s="3" t="s">
        <v>244</v>
      </c>
    </row>
    <row r="10009" spans="2:9" x14ac:dyDescent="0.4">
      <c r="B10009" s="8" t="s">
        <v>529</v>
      </c>
      <c r="C10009" s="3" t="s">
        <v>15390</v>
      </c>
      <c r="D10009" s="3" t="s">
        <v>16116</v>
      </c>
      <c r="F10009" s="3" t="s">
        <v>1279</v>
      </c>
      <c r="I10009" s="3" t="s">
        <v>244</v>
      </c>
    </row>
    <row r="10010" spans="2:9" x14ac:dyDescent="0.4">
      <c r="B10010" s="8" t="s">
        <v>531</v>
      </c>
      <c r="C10010" s="3" t="s">
        <v>15391</v>
      </c>
      <c r="D10010" s="3" t="s">
        <v>16117</v>
      </c>
      <c r="F10010" s="3" t="s">
        <v>1279</v>
      </c>
      <c r="I10010" s="3" t="s">
        <v>244</v>
      </c>
    </row>
    <row r="10011" spans="2:9" x14ac:dyDescent="0.4">
      <c r="B10011" s="8" t="s">
        <v>518</v>
      </c>
      <c r="C10011" s="3" t="s">
        <v>15392</v>
      </c>
      <c r="D10011" s="3" t="s">
        <v>16118</v>
      </c>
      <c r="F10011" s="3" t="s">
        <v>1279</v>
      </c>
      <c r="I10011" s="3" t="s">
        <v>244</v>
      </c>
    </row>
    <row r="10012" spans="2:9" x14ac:dyDescent="0.4">
      <c r="B10012" s="8" t="s">
        <v>529</v>
      </c>
      <c r="C10012" s="3" t="s">
        <v>15393</v>
      </c>
      <c r="D10012" s="3" t="s">
        <v>16119</v>
      </c>
      <c r="F10012" s="3" t="s">
        <v>1279</v>
      </c>
      <c r="I10012" s="3" t="s">
        <v>244</v>
      </c>
    </row>
    <row r="10013" spans="2:9" x14ac:dyDescent="0.4">
      <c r="B10013" s="8" t="s">
        <v>529</v>
      </c>
      <c r="C10013" s="3" t="s">
        <v>15394</v>
      </c>
      <c r="D10013" s="3" t="s">
        <v>16120</v>
      </c>
      <c r="F10013" s="3" t="s">
        <v>1279</v>
      </c>
      <c r="I10013" s="3" t="s">
        <v>244</v>
      </c>
    </row>
    <row r="10014" spans="2:9" x14ac:dyDescent="0.4">
      <c r="B10014" s="8" t="s">
        <v>531</v>
      </c>
      <c r="C10014" s="3" t="s">
        <v>15395</v>
      </c>
      <c r="D10014" s="3" t="s">
        <v>16121</v>
      </c>
      <c r="F10014" s="3" t="s">
        <v>1279</v>
      </c>
      <c r="I10014" s="3" t="s">
        <v>244</v>
      </c>
    </row>
    <row r="10015" spans="2:9" x14ac:dyDescent="0.4">
      <c r="B10015" s="8" t="s">
        <v>518</v>
      </c>
      <c r="C10015" s="3" t="s">
        <v>15396</v>
      </c>
      <c r="D10015" s="3" t="s">
        <v>16122</v>
      </c>
      <c r="F10015" s="3" t="s">
        <v>1279</v>
      </c>
      <c r="I10015" s="3" t="s">
        <v>244</v>
      </c>
    </row>
    <row r="10016" spans="2:9" x14ac:dyDescent="0.4">
      <c r="B10016" s="8" t="s">
        <v>529</v>
      </c>
      <c r="C10016" s="3" t="s">
        <v>15397</v>
      </c>
      <c r="D10016" s="3" t="s">
        <v>16123</v>
      </c>
      <c r="F10016" s="3" t="s">
        <v>1279</v>
      </c>
      <c r="I10016" s="3" t="s">
        <v>244</v>
      </c>
    </row>
    <row r="10017" spans="2:9" x14ac:dyDescent="0.4">
      <c r="B10017" s="8" t="s">
        <v>530</v>
      </c>
      <c r="C10017" s="3" t="s">
        <v>15398</v>
      </c>
      <c r="D10017" s="3" t="s">
        <v>16124</v>
      </c>
      <c r="F10017" s="3" t="s">
        <v>1279</v>
      </c>
      <c r="I10017" s="3" t="s">
        <v>244</v>
      </c>
    </row>
    <row r="10018" spans="2:9" x14ac:dyDescent="0.4">
      <c r="B10018" s="8" t="s">
        <v>518</v>
      </c>
      <c r="C10018" s="3" t="s">
        <v>15399</v>
      </c>
      <c r="D10018" s="3" t="s">
        <v>16125</v>
      </c>
      <c r="F10018" s="3" t="s">
        <v>1279</v>
      </c>
      <c r="I10018" s="3" t="s">
        <v>244</v>
      </c>
    </row>
    <row r="10019" spans="2:9" x14ac:dyDescent="0.4">
      <c r="B10019" s="8" t="s">
        <v>518</v>
      </c>
      <c r="C10019" s="3" t="s">
        <v>15400</v>
      </c>
      <c r="D10019" s="3" t="s">
        <v>16126</v>
      </c>
      <c r="F10019" s="3" t="s">
        <v>1279</v>
      </c>
      <c r="I10019" s="3" t="s">
        <v>244</v>
      </c>
    </row>
    <row r="10020" spans="2:9" x14ac:dyDescent="0.4">
      <c r="B10020" s="8" t="s">
        <v>518</v>
      </c>
      <c r="C10020" s="3" t="s">
        <v>11250</v>
      </c>
      <c r="D10020" s="3" t="s">
        <v>16127</v>
      </c>
      <c r="F10020" s="3" t="s">
        <v>1279</v>
      </c>
      <c r="I10020" s="3" t="s">
        <v>244</v>
      </c>
    </row>
    <row r="10021" spans="2:9" x14ac:dyDescent="0.4">
      <c r="B10021" s="8" t="s">
        <v>517</v>
      </c>
      <c r="C10021" s="3" t="s">
        <v>15401</v>
      </c>
      <c r="D10021" s="3" t="s">
        <v>16128</v>
      </c>
      <c r="F10021" s="3" t="s">
        <v>1279</v>
      </c>
      <c r="I10021" s="3" t="s">
        <v>244</v>
      </c>
    </row>
    <row r="10022" spans="2:9" x14ac:dyDescent="0.4">
      <c r="B10022" s="8" t="s">
        <v>531</v>
      </c>
      <c r="C10022" s="3" t="s">
        <v>15402</v>
      </c>
      <c r="D10022" s="3" t="s">
        <v>16129</v>
      </c>
      <c r="F10022" s="3" t="s">
        <v>1279</v>
      </c>
      <c r="I10022" s="3" t="s">
        <v>244</v>
      </c>
    </row>
    <row r="10023" spans="2:9" x14ac:dyDescent="0.4">
      <c r="B10023" s="8" t="s">
        <v>518</v>
      </c>
      <c r="C10023" s="3" t="s">
        <v>15403</v>
      </c>
      <c r="D10023" s="3" t="s">
        <v>16130</v>
      </c>
      <c r="F10023" s="3" t="s">
        <v>1279</v>
      </c>
      <c r="I10023" s="3" t="s">
        <v>244</v>
      </c>
    </row>
    <row r="10024" spans="2:9" x14ac:dyDescent="0.4">
      <c r="B10024" s="8" t="s">
        <v>529</v>
      </c>
      <c r="C10024" s="3" t="s">
        <v>15404</v>
      </c>
      <c r="D10024" s="3" t="s">
        <v>16131</v>
      </c>
      <c r="F10024" s="3" t="s">
        <v>1279</v>
      </c>
      <c r="I10024" s="3" t="s">
        <v>244</v>
      </c>
    </row>
    <row r="10025" spans="2:9" x14ac:dyDescent="0.4">
      <c r="B10025" s="8" t="s">
        <v>518</v>
      </c>
      <c r="C10025" s="3" t="s">
        <v>10181</v>
      </c>
      <c r="D10025" s="3" t="s">
        <v>16132</v>
      </c>
      <c r="F10025" s="3" t="s">
        <v>1279</v>
      </c>
      <c r="I10025" s="3" t="s">
        <v>244</v>
      </c>
    </row>
    <row r="10026" spans="2:9" x14ac:dyDescent="0.4">
      <c r="B10026" s="8" t="s">
        <v>531</v>
      </c>
      <c r="C10026" s="3" t="s">
        <v>15405</v>
      </c>
      <c r="D10026" s="3" t="s">
        <v>16133</v>
      </c>
      <c r="F10026" s="3" t="s">
        <v>1279</v>
      </c>
      <c r="I10026" s="3" t="s">
        <v>244</v>
      </c>
    </row>
    <row r="10027" spans="2:9" x14ac:dyDescent="0.4">
      <c r="B10027" s="8" t="s">
        <v>529</v>
      </c>
      <c r="C10027" s="3" t="s">
        <v>15406</v>
      </c>
      <c r="D10027" s="3" t="s">
        <v>16134</v>
      </c>
      <c r="F10027" s="3" t="s">
        <v>1279</v>
      </c>
      <c r="I10027" s="3" t="s">
        <v>244</v>
      </c>
    </row>
    <row r="10028" spans="2:9" x14ac:dyDescent="0.4">
      <c r="B10028" s="8" t="s">
        <v>532</v>
      </c>
      <c r="C10028" s="3" t="s">
        <v>15407</v>
      </c>
      <c r="D10028" s="3" t="s">
        <v>16135</v>
      </c>
      <c r="F10028" s="3" t="s">
        <v>1279</v>
      </c>
      <c r="I10028" s="3" t="s">
        <v>244</v>
      </c>
    </row>
    <row r="10029" spans="2:9" x14ac:dyDescent="0.4">
      <c r="B10029" s="8" t="s">
        <v>532</v>
      </c>
      <c r="C10029" s="3" t="s">
        <v>9241</v>
      </c>
      <c r="D10029" s="3" t="s">
        <v>16136</v>
      </c>
      <c r="F10029" s="3" t="s">
        <v>1279</v>
      </c>
      <c r="I10029" s="3" t="s">
        <v>244</v>
      </c>
    </row>
    <row r="10030" spans="2:9" x14ac:dyDescent="0.4">
      <c r="B10030" s="8" t="s">
        <v>518</v>
      </c>
      <c r="C10030" s="3" t="s">
        <v>15408</v>
      </c>
      <c r="D10030" s="3" t="s">
        <v>16137</v>
      </c>
      <c r="F10030" s="3" t="s">
        <v>1279</v>
      </c>
      <c r="I10030" s="3" t="s">
        <v>244</v>
      </c>
    </row>
    <row r="10031" spans="2:9" x14ac:dyDescent="0.4">
      <c r="B10031" s="8" t="s">
        <v>518</v>
      </c>
      <c r="C10031" s="3" t="s">
        <v>15409</v>
      </c>
      <c r="D10031" s="3" t="s">
        <v>16138</v>
      </c>
      <c r="F10031" s="3" t="s">
        <v>1279</v>
      </c>
      <c r="I10031" s="3" t="s">
        <v>244</v>
      </c>
    </row>
    <row r="10032" spans="2:9" x14ac:dyDescent="0.4">
      <c r="B10032" s="8" t="s">
        <v>517</v>
      </c>
      <c r="C10032" s="3" t="s">
        <v>15410</v>
      </c>
      <c r="D10032" s="3" t="s">
        <v>16139</v>
      </c>
      <c r="F10032" s="3" t="s">
        <v>1279</v>
      </c>
      <c r="I10032" s="3" t="s">
        <v>244</v>
      </c>
    </row>
    <row r="10033" spans="2:9" x14ac:dyDescent="0.4">
      <c r="B10033" s="8" t="s">
        <v>518</v>
      </c>
      <c r="C10033" s="3" t="s">
        <v>15411</v>
      </c>
      <c r="D10033" s="3" t="s">
        <v>16140</v>
      </c>
      <c r="F10033" s="3" t="s">
        <v>1279</v>
      </c>
      <c r="I10033" s="3" t="s">
        <v>244</v>
      </c>
    </row>
    <row r="10034" spans="2:9" x14ac:dyDescent="0.4">
      <c r="B10034" s="8" t="s">
        <v>531</v>
      </c>
      <c r="C10034" s="3" t="s">
        <v>15412</v>
      </c>
      <c r="D10034" s="3" t="s">
        <v>16141</v>
      </c>
      <c r="F10034" s="3" t="s">
        <v>1279</v>
      </c>
      <c r="I10034" s="3" t="s">
        <v>244</v>
      </c>
    </row>
    <row r="10035" spans="2:9" x14ac:dyDescent="0.4">
      <c r="B10035" s="8" t="s">
        <v>529</v>
      </c>
      <c r="C10035" s="3" t="s">
        <v>15413</v>
      </c>
      <c r="D10035" s="3" t="s">
        <v>16142</v>
      </c>
      <c r="F10035" s="3" t="s">
        <v>1279</v>
      </c>
      <c r="I10035" s="3" t="s">
        <v>244</v>
      </c>
    </row>
    <row r="10036" spans="2:9" x14ac:dyDescent="0.4">
      <c r="B10036" s="8" t="s">
        <v>529</v>
      </c>
      <c r="C10036" s="3" t="s">
        <v>15414</v>
      </c>
      <c r="D10036" s="3" t="s">
        <v>16148</v>
      </c>
      <c r="F10036" s="3" t="s">
        <v>1279</v>
      </c>
      <c r="I10036" s="3" t="s">
        <v>244</v>
      </c>
    </row>
    <row r="10037" spans="2:9" x14ac:dyDescent="0.4">
      <c r="B10037" s="8" t="s">
        <v>517</v>
      </c>
      <c r="C10037" s="3" t="s">
        <v>15415</v>
      </c>
      <c r="D10037" s="3" t="s">
        <v>16149</v>
      </c>
      <c r="F10037" s="3" t="s">
        <v>1279</v>
      </c>
      <c r="I10037" s="3" t="s">
        <v>244</v>
      </c>
    </row>
    <row r="10038" spans="2:9" x14ac:dyDescent="0.4">
      <c r="B10038" s="8" t="s">
        <v>518</v>
      </c>
      <c r="C10038" s="3" t="s">
        <v>16571</v>
      </c>
      <c r="D10038" s="3" t="s">
        <v>16150</v>
      </c>
      <c r="F10038" s="3" t="s">
        <v>1279</v>
      </c>
      <c r="I10038" s="3" t="s">
        <v>244</v>
      </c>
    </row>
    <row r="10039" spans="2:9" x14ac:dyDescent="0.4">
      <c r="B10039" s="8" t="s">
        <v>518</v>
      </c>
      <c r="C10039" s="3" t="s">
        <v>15416</v>
      </c>
      <c r="D10039" s="3" t="s">
        <v>16151</v>
      </c>
      <c r="F10039" s="3" t="s">
        <v>1279</v>
      </c>
      <c r="I10039" s="3" t="s">
        <v>244</v>
      </c>
    </row>
    <row r="10040" spans="2:9" x14ac:dyDescent="0.4">
      <c r="B10040" s="8" t="s">
        <v>529</v>
      </c>
      <c r="C10040" s="3" t="s">
        <v>15417</v>
      </c>
      <c r="D10040" s="3" t="s">
        <v>16152</v>
      </c>
      <c r="F10040" s="3" t="s">
        <v>1279</v>
      </c>
      <c r="I10040" s="3" t="s">
        <v>244</v>
      </c>
    </row>
    <row r="10041" spans="2:9" x14ac:dyDescent="0.4">
      <c r="B10041" s="8" t="s">
        <v>532</v>
      </c>
      <c r="C10041" s="3" t="s">
        <v>15418</v>
      </c>
      <c r="D10041" s="3" t="s">
        <v>16153</v>
      </c>
      <c r="F10041" s="3" t="s">
        <v>1279</v>
      </c>
      <c r="I10041" s="3" t="s">
        <v>244</v>
      </c>
    </row>
    <row r="10042" spans="2:9" x14ac:dyDescent="0.4">
      <c r="B10042" s="8" t="s">
        <v>532</v>
      </c>
      <c r="C10042" s="3" t="s">
        <v>15419</v>
      </c>
      <c r="D10042" s="3" t="s">
        <v>16154</v>
      </c>
      <c r="F10042" s="3" t="s">
        <v>1279</v>
      </c>
      <c r="I10042" s="3" t="s">
        <v>244</v>
      </c>
    </row>
    <row r="10043" spans="2:9" x14ac:dyDescent="0.4">
      <c r="B10043" s="8" t="s">
        <v>518</v>
      </c>
      <c r="C10043" s="3" t="s">
        <v>15420</v>
      </c>
      <c r="D10043" s="3" t="s">
        <v>16155</v>
      </c>
      <c r="F10043" s="3" t="s">
        <v>1279</v>
      </c>
      <c r="I10043" s="3" t="s">
        <v>244</v>
      </c>
    </row>
    <row r="10044" spans="2:9" x14ac:dyDescent="0.4">
      <c r="B10044" s="8" t="s">
        <v>518</v>
      </c>
      <c r="C10044" s="3" t="s">
        <v>15421</v>
      </c>
      <c r="D10044" s="3" t="s">
        <v>16156</v>
      </c>
      <c r="F10044" s="3" t="s">
        <v>1279</v>
      </c>
      <c r="I10044" s="3" t="s">
        <v>244</v>
      </c>
    </row>
    <row r="10045" spans="2:9" x14ac:dyDescent="0.4">
      <c r="B10045" s="8" t="s">
        <v>518</v>
      </c>
      <c r="C10045" s="3" t="s">
        <v>15422</v>
      </c>
      <c r="D10045" s="3" t="s">
        <v>16157</v>
      </c>
      <c r="F10045" s="3" t="s">
        <v>1279</v>
      </c>
      <c r="I10045" s="3" t="s">
        <v>244</v>
      </c>
    </row>
    <row r="10046" spans="2:9" x14ac:dyDescent="0.4">
      <c r="B10046" s="8" t="s">
        <v>520</v>
      </c>
      <c r="C10046" s="3" t="s">
        <v>15423</v>
      </c>
      <c r="D10046" s="3" t="s">
        <v>15869</v>
      </c>
      <c r="F10046" s="3" t="s">
        <v>1279</v>
      </c>
      <c r="I10046" s="3" t="s">
        <v>244</v>
      </c>
    </row>
    <row r="10047" spans="2:9" x14ac:dyDescent="0.4">
      <c r="B10047" s="8" t="s">
        <v>520</v>
      </c>
      <c r="C10047" s="3" t="s">
        <v>15424</v>
      </c>
      <c r="D10047" s="3" t="s">
        <v>14332</v>
      </c>
      <c r="F10047" s="3" t="s">
        <v>1279</v>
      </c>
      <c r="I10047" s="3" t="s">
        <v>244</v>
      </c>
    </row>
    <row r="10048" spans="2:9" x14ac:dyDescent="0.4">
      <c r="B10048" s="8" t="s">
        <v>529</v>
      </c>
      <c r="C10048" s="3" t="s">
        <v>15425</v>
      </c>
      <c r="D10048" s="3" t="s">
        <v>16158</v>
      </c>
      <c r="F10048" s="3" t="s">
        <v>1279</v>
      </c>
      <c r="I10048" s="3" t="s">
        <v>244</v>
      </c>
    </row>
    <row r="10049" spans="2:9" x14ac:dyDescent="0.4">
      <c r="B10049" s="8" t="s">
        <v>529</v>
      </c>
      <c r="C10049" s="3" t="s">
        <v>15426</v>
      </c>
      <c r="D10049" s="3" t="s">
        <v>16159</v>
      </c>
      <c r="F10049" s="3" t="s">
        <v>1279</v>
      </c>
      <c r="I10049" s="3" t="s">
        <v>244</v>
      </c>
    </row>
    <row r="10050" spans="2:9" x14ac:dyDescent="0.4">
      <c r="B10050" s="8" t="s">
        <v>529</v>
      </c>
      <c r="C10050" s="3" t="s">
        <v>15427</v>
      </c>
      <c r="D10050" s="3" t="s">
        <v>16160</v>
      </c>
      <c r="F10050" s="3" t="s">
        <v>1279</v>
      </c>
      <c r="I10050" s="3" t="s">
        <v>244</v>
      </c>
    </row>
    <row r="10051" spans="2:9" x14ac:dyDescent="0.4">
      <c r="B10051" s="8" t="s">
        <v>518</v>
      </c>
      <c r="C10051" s="3" t="s">
        <v>15428</v>
      </c>
      <c r="D10051" s="3" t="s">
        <v>16161</v>
      </c>
      <c r="F10051" s="3" t="s">
        <v>1279</v>
      </c>
      <c r="I10051" s="3" t="s">
        <v>244</v>
      </c>
    </row>
    <row r="10052" spans="2:9" x14ac:dyDescent="0.4">
      <c r="B10052" s="8" t="s">
        <v>518</v>
      </c>
      <c r="C10052" s="3" t="s">
        <v>15429</v>
      </c>
      <c r="D10052" s="3" t="s">
        <v>16162</v>
      </c>
      <c r="F10052" s="3" t="s">
        <v>1279</v>
      </c>
      <c r="I10052" s="3" t="s">
        <v>244</v>
      </c>
    </row>
    <row r="10053" spans="2:9" x14ac:dyDescent="0.4">
      <c r="B10053" s="8" t="s">
        <v>532</v>
      </c>
      <c r="C10053" s="3" t="s">
        <v>15430</v>
      </c>
      <c r="D10053" s="3" t="s">
        <v>16163</v>
      </c>
      <c r="F10053" s="3" t="s">
        <v>1279</v>
      </c>
      <c r="I10053" s="3" t="s">
        <v>244</v>
      </c>
    </row>
    <row r="10054" spans="2:9" x14ac:dyDescent="0.4">
      <c r="B10054" s="8" t="s">
        <v>518</v>
      </c>
      <c r="C10054" s="3" t="s">
        <v>15431</v>
      </c>
      <c r="D10054" s="3" t="s">
        <v>16164</v>
      </c>
      <c r="F10054" s="3" t="s">
        <v>1279</v>
      </c>
      <c r="I10054" s="3" t="s">
        <v>244</v>
      </c>
    </row>
    <row r="10055" spans="2:9" x14ac:dyDescent="0.4">
      <c r="B10055" s="8" t="s">
        <v>518</v>
      </c>
      <c r="C10055" s="3" t="s">
        <v>15432</v>
      </c>
      <c r="D10055" s="3" t="s">
        <v>16165</v>
      </c>
      <c r="F10055" s="3" t="s">
        <v>1279</v>
      </c>
      <c r="I10055" s="3" t="s">
        <v>244</v>
      </c>
    </row>
    <row r="10056" spans="2:9" x14ac:dyDescent="0.4">
      <c r="B10056" s="8" t="s">
        <v>529</v>
      </c>
      <c r="C10056" s="3" t="s">
        <v>15433</v>
      </c>
      <c r="D10056" s="3" t="s">
        <v>16166</v>
      </c>
      <c r="F10056" s="3" t="s">
        <v>1279</v>
      </c>
      <c r="I10056" s="3" t="s">
        <v>244</v>
      </c>
    </row>
    <row r="10057" spans="2:9" x14ac:dyDescent="0.4">
      <c r="B10057" s="8" t="s">
        <v>529</v>
      </c>
      <c r="C10057" s="3" t="s">
        <v>15434</v>
      </c>
      <c r="D10057" s="3" t="s">
        <v>16570</v>
      </c>
      <c r="F10057" s="3" t="s">
        <v>1279</v>
      </c>
      <c r="I10057" s="3" t="s">
        <v>244</v>
      </c>
    </row>
    <row r="10058" spans="2:9" x14ac:dyDescent="0.4">
      <c r="B10058" s="8" t="s">
        <v>529</v>
      </c>
      <c r="C10058" s="3" t="s">
        <v>15435</v>
      </c>
      <c r="D10058" s="3" t="s">
        <v>16167</v>
      </c>
      <c r="F10058" s="3" t="s">
        <v>1279</v>
      </c>
      <c r="I10058" s="3" t="s">
        <v>244</v>
      </c>
    </row>
    <row r="10059" spans="2:9" x14ac:dyDescent="0.4">
      <c r="B10059" s="8" t="s">
        <v>529</v>
      </c>
      <c r="C10059" s="3" t="s">
        <v>15436</v>
      </c>
      <c r="D10059" s="3" t="s">
        <v>16168</v>
      </c>
      <c r="F10059" s="3" t="s">
        <v>1279</v>
      </c>
      <c r="I10059" s="3" t="s">
        <v>244</v>
      </c>
    </row>
    <row r="10060" spans="2:9" x14ac:dyDescent="0.4">
      <c r="B10060" s="8" t="s">
        <v>517</v>
      </c>
      <c r="C10060" s="3" t="s">
        <v>15437</v>
      </c>
      <c r="D10060" s="3" t="s">
        <v>16169</v>
      </c>
      <c r="F10060" s="3" t="s">
        <v>1279</v>
      </c>
      <c r="I10060" s="3" t="s">
        <v>244</v>
      </c>
    </row>
    <row r="10061" spans="2:9" x14ac:dyDescent="0.4">
      <c r="B10061" s="8" t="s">
        <v>517</v>
      </c>
      <c r="C10061" s="3" t="s">
        <v>15438</v>
      </c>
      <c r="D10061" s="3" t="s">
        <v>16170</v>
      </c>
      <c r="F10061" s="3" t="s">
        <v>1279</v>
      </c>
      <c r="I10061" s="3" t="s">
        <v>244</v>
      </c>
    </row>
    <row r="10062" spans="2:9" x14ac:dyDescent="0.4">
      <c r="B10062" s="8" t="s">
        <v>517</v>
      </c>
      <c r="C10062" s="3" t="s">
        <v>15439</v>
      </c>
      <c r="D10062" s="3" t="s">
        <v>16171</v>
      </c>
      <c r="F10062" s="3" t="s">
        <v>1279</v>
      </c>
      <c r="I10062" s="3" t="s">
        <v>244</v>
      </c>
    </row>
    <row r="10063" spans="2:9" x14ac:dyDescent="0.4">
      <c r="B10063" s="8" t="s">
        <v>517</v>
      </c>
      <c r="C10063" s="3" t="s">
        <v>15440</v>
      </c>
      <c r="D10063" s="3" t="s">
        <v>16172</v>
      </c>
      <c r="F10063" s="3" t="s">
        <v>1279</v>
      </c>
      <c r="I10063" s="3" t="s">
        <v>244</v>
      </c>
    </row>
    <row r="10064" spans="2:9" x14ac:dyDescent="0.4">
      <c r="B10064" s="8" t="s">
        <v>517</v>
      </c>
      <c r="C10064" s="3" t="s">
        <v>16322</v>
      </c>
      <c r="D10064" s="3" t="s">
        <v>16173</v>
      </c>
      <c r="F10064" s="3" t="s">
        <v>1279</v>
      </c>
      <c r="I10064" s="3" t="s">
        <v>244</v>
      </c>
    </row>
    <row r="10065" spans="2:9" x14ac:dyDescent="0.4">
      <c r="B10065" s="8" t="s">
        <v>532</v>
      </c>
      <c r="C10065" s="3" t="s">
        <v>15441</v>
      </c>
      <c r="D10065" s="3" t="s">
        <v>16174</v>
      </c>
      <c r="F10065" s="3" t="s">
        <v>1279</v>
      </c>
      <c r="I10065" s="3" t="s">
        <v>244</v>
      </c>
    </row>
    <row r="10066" spans="2:9" x14ac:dyDescent="0.4">
      <c r="B10066" s="8" t="s">
        <v>532</v>
      </c>
      <c r="C10066" s="3" t="s">
        <v>15442</v>
      </c>
      <c r="D10066" s="3" t="s">
        <v>16175</v>
      </c>
      <c r="F10066" s="3" t="s">
        <v>1279</v>
      </c>
      <c r="I10066" s="3" t="s">
        <v>244</v>
      </c>
    </row>
    <row r="10067" spans="2:9" x14ac:dyDescent="0.4">
      <c r="B10067" s="8" t="s">
        <v>532</v>
      </c>
      <c r="C10067" s="3" t="s">
        <v>15443</v>
      </c>
      <c r="D10067" s="3" t="s">
        <v>16176</v>
      </c>
      <c r="F10067" s="3" t="s">
        <v>1279</v>
      </c>
      <c r="I10067" s="3" t="s">
        <v>244</v>
      </c>
    </row>
    <row r="10068" spans="2:9" x14ac:dyDescent="0.4">
      <c r="B10068" s="8" t="s">
        <v>532</v>
      </c>
      <c r="C10068" s="3" t="s">
        <v>15444</v>
      </c>
      <c r="D10068" s="3" t="s">
        <v>16177</v>
      </c>
      <c r="F10068" s="3" t="s">
        <v>1279</v>
      </c>
      <c r="I10068" s="3" t="s">
        <v>244</v>
      </c>
    </row>
    <row r="10069" spans="2:9" x14ac:dyDescent="0.4">
      <c r="B10069" s="8" t="s">
        <v>532</v>
      </c>
      <c r="C10069" s="3" t="s">
        <v>15445</v>
      </c>
      <c r="D10069" s="3" t="s">
        <v>16178</v>
      </c>
      <c r="F10069" s="3" t="s">
        <v>1279</v>
      </c>
      <c r="I10069" s="3" t="s">
        <v>244</v>
      </c>
    </row>
    <row r="10070" spans="2:9" x14ac:dyDescent="0.4">
      <c r="B10070" s="8" t="s">
        <v>532</v>
      </c>
      <c r="C10070" s="3" t="s">
        <v>15446</v>
      </c>
      <c r="D10070" s="3" t="s">
        <v>16179</v>
      </c>
      <c r="F10070" s="3" t="s">
        <v>1279</v>
      </c>
      <c r="I10070" s="3" t="s">
        <v>244</v>
      </c>
    </row>
    <row r="10071" spans="2:9" x14ac:dyDescent="0.4">
      <c r="B10071" s="8" t="s">
        <v>518</v>
      </c>
      <c r="C10071" s="3" t="s">
        <v>15447</v>
      </c>
      <c r="D10071" s="3" t="s">
        <v>16180</v>
      </c>
      <c r="F10071" s="3" t="s">
        <v>1279</v>
      </c>
      <c r="I10071" s="3" t="s">
        <v>244</v>
      </c>
    </row>
    <row r="10072" spans="2:9" x14ac:dyDescent="0.4">
      <c r="B10072" s="8" t="s">
        <v>518</v>
      </c>
      <c r="C10072" s="3" t="s">
        <v>15448</v>
      </c>
      <c r="D10072" s="3" t="s">
        <v>16181</v>
      </c>
      <c r="F10072" s="3" t="s">
        <v>1279</v>
      </c>
      <c r="I10072" s="3" t="s">
        <v>244</v>
      </c>
    </row>
    <row r="10073" spans="2:9" x14ac:dyDescent="0.4">
      <c r="B10073" s="8" t="s">
        <v>518</v>
      </c>
      <c r="C10073" s="3" t="s">
        <v>15449</v>
      </c>
      <c r="D10073" s="3" t="s">
        <v>16182</v>
      </c>
      <c r="F10073" s="3" t="s">
        <v>1279</v>
      </c>
      <c r="I10073" s="3" t="s">
        <v>244</v>
      </c>
    </row>
    <row r="10074" spans="2:9" x14ac:dyDescent="0.4">
      <c r="B10074" s="8" t="s">
        <v>531</v>
      </c>
      <c r="C10074" s="3" t="s">
        <v>15450</v>
      </c>
      <c r="D10074" s="3" t="s">
        <v>16183</v>
      </c>
      <c r="F10074" s="3" t="s">
        <v>1279</v>
      </c>
      <c r="I10074" s="3" t="s">
        <v>244</v>
      </c>
    </row>
    <row r="10075" spans="2:9" x14ac:dyDescent="0.4">
      <c r="B10075" s="8" t="s">
        <v>531</v>
      </c>
      <c r="C10075" s="3" t="s">
        <v>15451</v>
      </c>
      <c r="D10075" s="3" t="s">
        <v>16184</v>
      </c>
      <c r="F10075" s="3" t="s">
        <v>1279</v>
      </c>
      <c r="I10075" s="3" t="s">
        <v>244</v>
      </c>
    </row>
    <row r="10076" spans="2:9" x14ac:dyDescent="0.4">
      <c r="B10076" s="8" t="s">
        <v>517</v>
      </c>
      <c r="C10076" s="3" t="s">
        <v>15452</v>
      </c>
      <c r="D10076" s="3" t="s">
        <v>11877</v>
      </c>
      <c r="F10076" s="3" t="s">
        <v>1279</v>
      </c>
      <c r="I10076" s="3" t="s">
        <v>244</v>
      </c>
    </row>
    <row r="10077" spans="2:9" x14ac:dyDescent="0.4">
      <c r="B10077" s="8" t="s">
        <v>517</v>
      </c>
      <c r="C10077" s="3" t="s">
        <v>16323</v>
      </c>
      <c r="D10077" s="3" t="s">
        <v>16185</v>
      </c>
      <c r="F10077" s="3" t="s">
        <v>1279</v>
      </c>
      <c r="I10077" s="3" t="s">
        <v>244</v>
      </c>
    </row>
    <row r="10078" spans="2:9" x14ac:dyDescent="0.4">
      <c r="B10078" s="8" t="s">
        <v>529</v>
      </c>
      <c r="C10078" s="3" t="s">
        <v>15453</v>
      </c>
      <c r="D10078" s="3" t="s">
        <v>16324</v>
      </c>
      <c r="F10078" s="3" t="s">
        <v>1279</v>
      </c>
      <c r="I10078" s="3" t="s">
        <v>244</v>
      </c>
    </row>
    <row r="10079" spans="2:9" x14ac:dyDescent="0.4">
      <c r="B10079" s="8" t="s">
        <v>529</v>
      </c>
      <c r="C10079" s="3" t="s">
        <v>15454</v>
      </c>
      <c r="D10079" s="3" t="s">
        <v>16186</v>
      </c>
      <c r="F10079" s="3" t="s">
        <v>1279</v>
      </c>
      <c r="I10079" s="3" t="s">
        <v>244</v>
      </c>
    </row>
    <row r="10080" spans="2:9" x14ac:dyDescent="0.4">
      <c r="B10080" s="8" t="s">
        <v>517</v>
      </c>
      <c r="C10080" s="3" t="s">
        <v>15455</v>
      </c>
      <c r="D10080" s="3" t="s">
        <v>16187</v>
      </c>
      <c r="F10080" s="3" t="s">
        <v>1279</v>
      </c>
      <c r="I10080" s="3" t="s">
        <v>244</v>
      </c>
    </row>
    <row r="10081" spans="2:9" x14ac:dyDescent="0.4">
      <c r="B10081" s="8" t="s">
        <v>530</v>
      </c>
      <c r="C10081" s="3" t="s">
        <v>15456</v>
      </c>
      <c r="D10081" s="3" t="s">
        <v>16188</v>
      </c>
      <c r="F10081" s="3" t="s">
        <v>1279</v>
      </c>
      <c r="I10081" s="3" t="s">
        <v>244</v>
      </c>
    </row>
    <row r="10082" spans="2:9" x14ac:dyDescent="0.4">
      <c r="B10082" s="8" t="s">
        <v>530</v>
      </c>
      <c r="C10082" s="3" t="s">
        <v>15457</v>
      </c>
      <c r="D10082" s="3" t="s">
        <v>16189</v>
      </c>
      <c r="F10082" s="3" t="s">
        <v>1279</v>
      </c>
      <c r="I10082" s="3" t="s">
        <v>244</v>
      </c>
    </row>
    <row r="10083" spans="2:9" x14ac:dyDescent="0.4">
      <c r="B10083" s="8" t="s">
        <v>532</v>
      </c>
      <c r="C10083" s="3" t="s">
        <v>15458</v>
      </c>
      <c r="D10083" s="3" t="s">
        <v>16190</v>
      </c>
      <c r="F10083" s="3" t="s">
        <v>1279</v>
      </c>
      <c r="I10083" s="3" t="s">
        <v>244</v>
      </c>
    </row>
    <row r="10084" spans="2:9" x14ac:dyDescent="0.4">
      <c r="B10084" s="8" t="s">
        <v>518</v>
      </c>
      <c r="C10084" s="3" t="s">
        <v>15459</v>
      </c>
      <c r="D10084" s="3" t="s">
        <v>16191</v>
      </c>
      <c r="F10084" s="3" t="s">
        <v>1279</v>
      </c>
      <c r="I10084" s="3" t="s">
        <v>244</v>
      </c>
    </row>
    <row r="10085" spans="2:9" x14ac:dyDescent="0.4">
      <c r="B10085" s="8" t="s">
        <v>518</v>
      </c>
      <c r="C10085" s="3" t="s">
        <v>15460</v>
      </c>
      <c r="D10085" s="3" t="s">
        <v>16002</v>
      </c>
      <c r="F10085" s="3" t="s">
        <v>1279</v>
      </c>
      <c r="I10085" s="3" t="s">
        <v>244</v>
      </c>
    </row>
    <row r="10086" spans="2:9" x14ac:dyDescent="0.4">
      <c r="B10086" s="8" t="s">
        <v>529</v>
      </c>
      <c r="C10086" s="3" t="s">
        <v>15461</v>
      </c>
      <c r="D10086" s="3" t="s">
        <v>16192</v>
      </c>
      <c r="F10086" s="3" t="s">
        <v>1279</v>
      </c>
      <c r="I10086" s="3" t="s">
        <v>244</v>
      </c>
    </row>
    <row r="10087" spans="2:9" x14ac:dyDescent="0.4">
      <c r="B10087" s="8" t="s">
        <v>529</v>
      </c>
      <c r="C10087" s="3" t="s">
        <v>15462</v>
      </c>
      <c r="D10087" s="3" t="s">
        <v>16193</v>
      </c>
      <c r="F10087" s="3" t="s">
        <v>1279</v>
      </c>
      <c r="I10087" s="3" t="s">
        <v>244</v>
      </c>
    </row>
    <row r="10088" spans="2:9" x14ac:dyDescent="0.4">
      <c r="B10088" s="8" t="s">
        <v>520</v>
      </c>
      <c r="C10088" s="3" t="s">
        <v>15463</v>
      </c>
      <c r="D10088" s="3" t="s">
        <v>16194</v>
      </c>
      <c r="F10088" s="3" t="s">
        <v>1279</v>
      </c>
      <c r="I10088" s="3" t="s">
        <v>244</v>
      </c>
    </row>
    <row r="10089" spans="2:9" x14ac:dyDescent="0.4">
      <c r="B10089" s="8" t="s">
        <v>529</v>
      </c>
      <c r="C10089" s="3" t="s">
        <v>15464</v>
      </c>
      <c r="D10089" s="3" t="s">
        <v>16195</v>
      </c>
      <c r="F10089" s="3" t="s">
        <v>1279</v>
      </c>
      <c r="I10089" s="3" t="s">
        <v>244</v>
      </c>
    </row>
    <row r="10090" spans="2:9" x14ac:dyDescent="0.4">
      <c r="B10090" s="8" t="s">
        <v>517</v>
      </c>
      <c r="C10090" s="3" t="s">
        <v>15465</v>
      </c>
      <c r="D10090" s="3" t="s">
        <v>16196</v>
      </c>
      <c r="F10090" s="3" t="s">
        <v>1279</v>
      </c>
      <c r="I10090" s="3" t="s">
        <v>244</v>
      </c>
    </row>
    <row r="10091" spans="2:9" x14ac:dyDescent="0.4">
      <c r="B10091" s="8" t="s">
        <v>529</v>
      </c>
      <c r="C10091" s="3" t="s">
        <v>15466</v>
      </c>
      <c r="D10091" s="3" t="s">
        <v>16197</v>
      </c>
      <c r="F10091" s="3" t="s">
        <v>1279</v>
      </c>
      <c r="I10091" s="3" t="s">
        <v>244</v>
      </c>
    </row>
    <row r="10092" spans="2:9" x14ac:dyDescent="0.4">
      <c r="B10092" s="8" t="s">
        <v>520</v>
      </c>
      <c r="C10092" s="3" t="s">
        <v>15467</v>
      </c>
      <c r="D10092" s="3" t="s">
        <v>16198</v>
      </c>
      <c r="F10092" s="3" t="s">
        <v>1279</v>
      </c>
      <c r="I10092" s="3" t="s">
        <v>244</v>
      </c>
    </row>
    <row r="10093" spans="2:9" x14ac:dyDescent="0.4">
      <c r="B10093" s="8" t="s">
        <v>517</v>
      </c>
      <c r="C10093" s="3" t="s">
        <v>15468</v>
      </c>
      <c r="D10093" s="3" t="s">
        <v>15784</v>
      </c>
      <c r="F10093" s="3" t="s">
        <v>1279</v>
      </c>
      <c r="I10093" s="3" t="s">
        <v>244</v>
      </c>
    </row>
    <row r="10094" spans="2:9" x14ac:dyDescent="0.4">
      <c r="B10094" s="8" t="s">
        <v>517</v>
      </c>
      <c r="C10094" s="3" t="s">
        <v>15469</v>
      </c>
      <c r="D10094" s="3" t="s">
        <v>16199</v>
      </c>
      <c r="F10094" s="3" t="s">
        <v>1279</v>
      </c>
      <c r="I10094" s="3" t="s">
        <v>244</v>
      </c>
    </row>
    <row r="10095" spans="2:9" x14ac:dyDescent="0.4">
      <c r="B10095" s="8" t="s">
        <v>529</v>
      </c>
      <c r="C10095" s="3" t="s">
        <v>15470</v>
      </c>
      <c r="D10095" s="3" t="s">
        <v>16200</v>
      </c>
      <c r="F10095" s="3" t="s">
        <v>1279</v>
      </c>
      <c r="I10095" s="3" t="s">
        <v>244</v>
      </c>
    </row>
    <row r="10096" spans="2:9" x14ac:dyDescent="0.4">
      <c r="B10096" s="8" t="s">
        <v>520</v>
      </c>
      <c r="C10096" s="3" t="s">
        <v>15471</v>
      </c>
      <c r="D10096" s="3" t="s">
        <v>16201</v>
      </c>
      <c r="F10096" s="3" t="s">
        <v>1279</v>
      </c>
      <c r="I10096" s="3" t="s">
        <v>244</v>
      </c>
    </row>
    <row r="10097" spans="2:9" x14ac:dyDescent="0.4">
      <c r="B10097" s="8" t="s">
        <v>518</v>
      </c>
      <c r="C10097" s="3" t="s">
        <v>12230</v>
      </c>
      <c r="D10097" s="3" t="s">
        <v>11724</v>
      </c>
      <c r="F10097" s="3" t="s">
        <v>1279</v>
      </c>
      <c r="I10097" s="3" t="s">
        <v>244</v>
      </c>
    </row>
    <row r="10098" spans="2:9" x14ac:dyDescent="0.4">
      <c r="B10098" s="8" t="s">
        <v>532</v>
      </c>
      <c r="C10098" s="3" t="s">
        <v>15472</v>
      </c>
      <c r="D10098" s="3" t="s">
        <v>16202</v>
      </c>
      <c r="F10098" s="3" t="s">
        <v>1279</v>
      </c>
      <c r="I10098" s="3" t="s">
        <v>244</v>
      </c>
    </row>
    <row r="10099" spans="2:9" x14ac:dyDescent="0.4">
      <c r="B10099" s="8" t="s">
        <v>518</v>
      </c>
      <c r="C10099" s="3" t="s">
        <v>15473</v>
      </c>
      <c r="D10099" s="3" t="s">
        <v>16203</v>
      </c>
      <c r="F10099" s="3" t="s">
        <v>1279</v>
      </c>
      <c r="I10099" s="3" t="s">
        <v>244</v>
      </c>
    </row>
    <row r="10100" spans="2:9" x14ac:dyDescent="0.4">
      <c r="B10100" s="8" t="s">
        <v>520</v>
      </c>
      <c r="C10100" s="3" t="s">
        <v>15474</v>
      </c>
      <c r="D10100" s="3" t="s">
        <v>16204</v>
      </c>
      <c r="F10100" s="3" t="s">
        <v>1279</v>
      </c>
      <c r="I10100" s="3" t="s">
        <v>244</v>
      </c>
    </row>
    <row r="10101" spans="2:9" x14ac:dyDescent="0.4">
      <c r="B10101" s="8" t="s">
        <v>532</v>
      </c>
      <c r="C10101" s="3" t="s">
        <v>15475</v>
      </c>
      <c r="D10101" s="3" t="s">
        <v>16205</v>
      </c>
      <c r="F10101" s="3" t="s">
        <v>1279</v>
      </c>
      <c r="I10101" s="3" t="s">
        <v>244</v>
      </c>
    </row>
    <row r="10102" spans="2:9" x14ac:dyDescent="0.4">
      <c r="B10102" s="8" t="s">
        <v>518</v>
      </c>
      <c r="C10102" s="3" t="s">
        <v>15476</v>
      </c>
      <c r="D10102" s="3" t="s">
        <v>16206</v>
      </c>
      <c r="F10102" s="3" t="s">
        <v>1279</v>
      </c>
      <c r="I10102" s="3" t="s">
        <v>244</v>
      </c>
    </row>
    <row r="10103" spans="2:9" x14ac:dyDescent="0.4">
      <c r="B10103" s="8" t="s">
        <v>517</v>
      </c>
      <c r="C10103" s="3" t="s">
        <v>15477</v>
      </c>
      <c r="D10103" s="3" t="s">
        <v>16207</v>
      </c>
      <c r="F10103" s="3" t="s">
        <v>1279</v>
      </c>
      <c r="I10103" s="3" t="s">
        <v>244</v>
      </c>
    </row>
    <row r="10104" spans="2:9" x14ac:dyDescent="0.4">
      <c r="B10104" s="8" t="s">
        <v>520</v>
      </c>
      <c r="C10104" s="3" t="s">
        <v>15478</v>
      </c>
      <c r="D10104" s="3" t="s">
        <v>16208</v>
      </c>
      <c r="F10104" s="3" t="s">
        <v>1279</v>
      </c>
      <c r="I10104" s="3" t="s">
        <v>244</v>
      </c>
    </row>
    <row r="10105" spans="2:9" x14ac:dyDescent="0.4">
      <c r="B10105" s="8" t="s">
        <v>529</v>
      </c>
      <c r="C10105" s="3" t="s">
        <v>15479</v>
      </c>
      <c r="D10105" s="3" t="s">
        <v>16209</v>
      </c>
      <c r="F10105" s="3" t="s">
        <v>1279</v>
      </c>
      <c r="I10105" s="3" t="s">
        <v>244</v>
      </c>
    </row>
    <row r="10106" spans="2:9" x14ac:dyDescent="0.4">
      <c r="B10106" s="8" t="s">
        <v>517</v>
      </c>
      <c r="C10106" s="3" t="s">
        <v>15480</v>
      </c>
      <c r="D10106" s="3" t="s">
        <v>16210</v>
      </c>
      <c r="F10106" s="3" t="s">
        <v>1279</v>
      </c>
      <c r="I10106" s="3" t="s">
        <v>244</v>
      </c>
    </row>
    <row r="10107" spans="2:9" x14ac:dyDescent="0.4">
      <c r="B10107" s="8" t="s">
        <v>531</v>
      </c>
      <c r="C10107" s="3" t="s">
        <v>15481</v>
      </c>
      <c r="D10107" s="3" t="s">
        <v>16211</v>
      </c>
      <c r="F10107" s="3" t="s">
        <v>1279</v>
      </c>
      <c r="I10107" s="3" t="s">
        <v>244</v>
      </c>
    </row>
    <row r="10108" spans="2:9" x14ac:dyDescent="0.4">
      <c r="B10108" s="8" t="s">
        <v>532</v>
      </c>
      <c r="C10108" s="3" t="s">
        <v>15482</v>
      </c>
      <c r="D10108" s="3" t="s">
        <v>16212</v>
      </c>
      <c r="F10108" s="3" t="s">
        <v>1279</v>
      </c>
      <c r="I10108" s="3" t="s">
        <v>244</v>
      </c>
    </row>
    <row r="10109" spans="2:9" x14ac:dyDescent="0.4">
      <c r="B10109" s="8" t="s">
        <v>530</v>
      </c>
      <c r="C10109" s="3" t="s">
        <v>15483</v>
      </c>
      <c r="D10109" s="3" t="s">
        <v>16213</v>
      </c>
      <c r="F10109" s="3" t="s">
        <v>1279</v>
      </c>
      <c r="I10109" s="3" t="s">
        <v>244</v>
      </c>
    </row>
    <row r="10110" spans="2:9" x14ac:dyDescent="0.4">
      <c r="B10110" s="8" t="s">
        <v>529</v>
      </c>
      <c r="C10110" s="3" t="s">
        <v>15484</v>
      </c>
      <c r="D10110" s="3" t="s">
        <v>16214</v>
      </c>
      <c r="F10110" s="3" t="s">
        <v>1279</v>
      </c>
      <c r="I10110" s="3" t="s">
        <v>244</v>
      </c>
    </row>
    <row r="10111" spans="2:9" x14ac:dyDescent="0.4">
      <c r="B10111" s="8" t="s">
        <v>530</v>
      </c>
      <c r="C10111" s="3" t="s">
        <v>15485</v>
      </c>
      <c r="D10111" s="3" t="s">
        <v>16215</v>
      </c>
      <c r="F10111" s="3" t="s">
        <v>1279</v>
      </c>
      <c r="I10111" s="3" t="s">
        <v>244</v>
      </c>
    </row>
    <row r="10112" spans="2:9" x14ac:dyDescent="0.4">
      <c r="B10112" s="8" t="s">
        <v>530</v>
      </c>
      <c r="C10112" s="3" t="s">
        <v>15486</v>
      </c>
      <c r="D10112" s="3" t="s">
        <v>16216</v>
      </c>
      <c r="F10112" s="3" t="s">
        <v>1279</v>
      </c>
      <c r="I10112" s="3" t="s">
        <v>244</v>
      </c>
    </row>
    <row r="10113" spans="2:9" x14ac:dyDescent="0.4">
      <c r="B10113" s="8" t="s">
        <v>531</v>
      </c>
      <c r="C10113" s="3" t="s">
        <v>15487</v>
      </c>
      <c r="D10113" s="3" t="s">
        <v>16217</v>
      </c>
      <c r="F10113" s="3" t="s">
        <v>1279</v>
      </c>
      <c r="I10113" s="3" t="s">
        <v>244</v>
      </c>
    </row>
    <row r="10114" spans="2:9" x14ac:dyDescent="0.4">
      <c r="B10114" s="8" t="s">
        <v>529</v>
      </c>
      <c r="C10114" s="3" t="s">
        <v>15488</v>
      </c>
      <c r="D10114" s="3" t="s">
        <v>16218</v>
      </c>
      <c r="F10114" s="3" t="s">
        <v>1279</v>
      </c>
      <c r="I10114" s="3" t="s">
        <v>244</v>
      </c>
    </row>
    <row r="10115" spans="2:9" x14ac:dyDescent="0.4">
      <c r="B10115" s="8" t="s">
        <v>529</v>
      </c>
      <c r="C10115" s="3" t="s">
        <v>15489</v>
      </c>
      <c r="D10115" s="3" t="s">
        <v>16219</v>
      </c>
      <c r="F10115" s="3" t="s">
        <v>1279</v>
      </c>
      <c r="I10115" s="3" t="s">
        <v>244</v>
      </c>
    </row>
    <row r="10116" spans="2:9" x14ac:dyDescent="0.4">
      <c r="B10116" s="8" t="s">
        <v>518</v>
      </c>
      <c r="C10116" s="3" t="s">
        <v>15490</v>
      </c>
      <c r="D10116" s="3" t="s">
        <v>16220</v>
      </c>
      <c r="F10116" s="3" t="s">
        <v>1279</v>
      </c>
      <c r="I10116" s="3" t="s">
        <v>244</v>
      </c>
    </row>
    <row r="10117" spans="2:9" x14ac:dyDescent="0.4">
      <c r="B10117" s="8" t="s">
        <v>518</v>
      </c>
      <c r="C10117" s="3" t="s">
        <v>15491</v>
      </c>
      <c r="D10117" s="3" t="s">
        <v>16221</v>
      </c>
      <c r="F10117" s="3" t="s">
        <v>1279</v>
      </c>
      <c r="I10117" s="3" t="s">
        <v>244</v>
      </c>
    </row>
    <row r="10118" spans="2:9" x14ac:dyDescent="0.4">
      <c r="B10118" s="8" t="s">
        <v>529</v>
      </c>
      <c r="C10118" s="3" t="s">
        <v>15492</v>
      </c>
      <c r="D10118" s="3" t="s">
        <v>16222</v>
      </c>
      <c r="F10118" s="3" t="s">
        <v>1279</v>
      </c>
      <c r="I10118" s="3" t="s">
        <v>244</v>
      </c>
    </row>
    <row r="10119" spans="2:9" x14ac:dyDescent="0.4">
      <c r="B10119" s="8" t="s">
        <v>531</v>
      </c>
      <c r="C10119" s="3" t="s">
        <v>15493</v>
      </c>
      <c r="D10119" s="3" t="s">
        <v>16223</v>
      </c>
      <c r="F10119" s="3" t="s">
        <v>1279</v>
      </c>
      <c r="I10119" s="3" t="s">
        <v>244</v>
      </c>
    </row>
    <row r="10120" spans="2:9" x14ac:dyDescent="0.4">
      <c r="B10120" s="8" t="s">
        <v>529</v>
      </c>
      <c r="C10120" s="3" t="s">
        <v>15494</v>
      </c>
      <c r="D10120" s="3" t="s">
        <v>16224</v>
      </c>
      <c r="F10120" s="3" t="s">
        <v>1279</v>
      </c>
      <c r="I10120" s="3" t="s">
        <v>244</v>
      </c>
    </row>
    <row r="10121" spans="2:9" x14ac:dyDescent="0.4">
      <c r="B10121" s="8" t="s">
        <v>531</v>
      </c>
      <c r="C10121" s="3" t="s">
        <v>15495</v>
      </c>
      <c r="D10121" s="3" t="s">
        <v>16225</v>
      </c>
      <c r="F10121" s="3" t="s">
        <v>1279</v>
      </c>
      <c r="I10121" s="3" t="s">
        <v>244</v>
      </c>
    </row>
    <row r="10122" spans="2:9" x14ac:dyDescent="0.4">
      <c r="B10122" s="8" t="s">
        <v>520</v>
      </c>
      <c r="C10122" s="3" t="s">
        <v>15496</v>
      </c>
      <c r="D10122" s="3" t="s">
        <v>16226</v>
      </c>
      <c r="F10122" s="3" t="s">
        <v>1279</v>
      </c>
      <c r="I10122" s="3" t="s">
        <v>244</v>
      </c>
    </row>
    <row r="10123" spans="2:9" x14ac:dyDescent="0.4">
      <c r="B10123" s="8" t="s">
        <v>532</v>
      </c>
      <c r="C10123" s="3" t="s">
        <v>15497</v>
      </c>
      <c r="D10123" s="3" t="s">
        <v>16227</v>
      </c>
      <c r="F10123" s="3" t="s">
        <v>1279</v>
      </c>
      <c r="I10123" s="3" t="s">
        <v>244</v>
      </c>
    </row>
    <row r="10124" spans="2:9" x14ac:dyDescent="0.4">
      <c r="B10124" s="8" t="s">
        <v>529</v>
      </c>
      <c r="C10124" s="3" t="s">
        <v>15498</v>
      </c>
      <c r="D10124" s="3" t="s">
        <v>16228</v>
      </c>
      <c r="F10124" s="3" t="s">
        <v>1279</v>
      </c>
      <c r="I10124" s="3" t="s">
        <v>244</v>
      </c>
    </row>
    <row r="10125" spans="2:9" x14ac:dyDescent="0.4">
      <c r="B10125" s="8" t="s">
        <v>520</v>
      </c>
      <c r="C10125" s="3" t="s">
        <v>15499</v>
      </c>
      <c r="D10125" s="3" t="s">
        <v>16229</v>
      </c>
      <c r="F10125" s="3" t="s">
        <v>1279</v>
      </c>
      <c r="I10125" s="3" t="s">
        <v>244</v>
      </c>
    </row>
    <row r="10126" spans="2:9" x14ac:dyDescent="0.4">
      <c r="B10126" s="8" t="s">
        <v>531</v>
      </c>
      <c r="C10126" s="3" t="s">
        <v>9752</v>
      </c>
      <c r="D10126" s="3" t="s">
        <v>16230</v>
      </c>
      <c r="F10126" s="3" t="s">
        <v>1279</v>
      </c>
      <c r="I10126" s="3" t="s">
        <v>244</v>
      </c>
    </row>
    <row r="10127" spans="2:9" x14ac:dyDescent="0.4">
      <c r="B10127" s="8" t="s">
        <v>520</v>
      </c>
      <c r="C10127" s="3" t="s">
        <v>15500</v>
      </c>
      <c r="D10127" s="3" t="s">
        <v>16231</v>
      </c>
      <c r="F10127" s="3" t="s">
        <v>1279</v>
      </c>
      <c r="I10127" s="3" t="s">
        <v>244</v>
      </c>
    </row>
    <row r="10128" spans="2:9" x14ac:dyDescent="0.4">
      <c r="B10128" s="8" t="s">
        <v>517</v>
      </c>
      <c r="C10128" s="3" t="s">
        <v>15501</v>
      </c>
      <c r="D10128" s="3" t="s">
        <v>16232</v>
      </c>
      <c r="F10128" s="3" t="s">
        <v>1279</v>
      </c>
      <c r="I10128" s="3" t="s">
        <v>244</v>
      </c>
    </row>
    <row r="10129" spans="2:9" x14ac:dyDescent="0.4">
      <c r="B10129" s="8" t="s">
        <v>518</v>
      </c>
      <c r="C10129" s="3" t="s">
        <v>481</v>
      </c>
      <c r="D10129" s="3" t="s">
        <v>16233</v>
      </c>
      <c r="F10129" s="3" t="s">
        <v>1279</v>
      </c>
      <c r="I10129" s="3" t="s">
        <v>244</v>
      </c>
    </row>
    <row r="10130" spans="2:9" x14ac:dyDescent="0.4">
      <c r="B10130" s="8" t="s">
        <v>518</v>
      </c>
      <c r="C10130" s="3" t="s">
        <v>15502</v>
      </c>
      <c r="D10130" s="3" t="s">
        <v>16233</v>
      </c>
      <c r="F10130" s="3" t="s">
        <v>1279</v>
      </c>
      <c r="I10130" s="3" t="s">
        <v>244</v>
      </c>
    </row>
    <row r="10131" spans="2:9" x14ac:dyDescent="0.4">
      <c r="B10131" s="8" t="s">
        <v>518</v>
      </c>
      <c r="C10131" s="3" t="s">
        <v>15503</v>
      </c>
      <c r="D10131" s="3" t="s">
        <v>16233</v>
      </c>
      <c r="F10131" s="3" t="s">
        <v>1279</v>
      </c>
      <c r="I10131" s="3" t="s">
        <v>244</v>
      </c>
    </row>
    <row r="10132" spans="2:9" x14ac:dyDescent="0.4">
      <c r="B10132" s="8" t="s">
        <v>532</v>
      </c>
      <c r="C10132" s="3" t="s">
        <v>15503</v>
      </c>
      <c r="D10132" s="3" t="s">
        <v>16233</v>
      </c>
      <c r="F10132" s="3" t="s">
        <v>1279</v>
      </c>
      <c r="I10132" s="3" t="s">
        <v>244</v>
      </c>
    </row>
    <row r="10133" spans="2:9" x14ac:dyDescent="0.4">
      <c r="B10133" s="8" t="s">
        <v>529</v>
      </c>
      <c r="C10133" s="3" t="s">
        <v>15504</v>
      </c>
      <c r="D10133" s="3" t="s">
        <v>16233</v>
      </c>
      <c r="F10133" s="3" t="s">
        <v>1279</v>
      </c>
      <c r="I10133" s="3" t="s">
        <v>244</v>
      </c>
    </row>
    <row r="10134" spans="2:9" x14ac:dyDescent="0.4">
      <c r="B10134" s="8" t="s">
        <v>520</v>
      </c>
      <c r="C10134" s="3" t="s">
        <v>15505</v>
      </c>
      <c r="D10134" s="3" t="s">
        <v>16233</v>
      </c>
      <c r="F10134" s="3" t="s">
        <v>1279</v>
      </c>
      <c r="I10134" s="3" t="s">
        <v>244</v>
      </c>
    </row>
    <row r="10135" spans="2:9" x14ac:dyDescent="0.4">
      <c r="B10135" s="8" t="s">
        <v>529</v>
      </c>
      <c r="C10135" s="3" t="s">
        <v>15506</v>
      </c>
      <c r="D10135" s="3" t="s">
        <v>16233</v>
      </c>
      <c r="F10135" s="3" t="s">
        <v>1279</v>
      </c>
      <c r="I10135" s="3" t="s">
        <v>244</v>
      </c>
    </row>
    <row r="10136" spans="2:9" x14ac:dyDescent="0.4">
      <c r="B10136" s="8" t="s">
        <v>530</v>
      </c>
      <c r="C10136" s="3" t="s">
        <v>15507</v>
      </c>
      <c r="D10136" s="3" t="s">
        <v>16233</v>
      </c>
      <c r="F10136" s="3" t="s">
        <v>1279</v>
      </c>
      <c r="I10136" s="3" t="s">
        <v>244</v>
      </c>
    </row>
    <row r="10137" spans="2:9" x14ac:dyDescent="0.4">
      <c r="B10137" s="8" t="s">
        <v>518</v>
      </c>
      <c r="C10137" s="3" t="s">
        <v>355</v>
      </c>
      <c r="D10137" s="3" t="s">
        <v>16233</v>
      </c>
      <c r="F10137" s="3" t="s">
        <v>1279</v>
      </c>
      <c r="I10137" s="3" t="s">
        <v>244</v>
      </c>
    </row>
    <row r="10138" spans="2:9" x14ac:dyDescent="0.4">
      <c r="B10138" s="8" t="s">
        <v>531</v>
      </c>
      <c r="C10138" s="3" t="s">
        <v>15508</v>
      </c>
      <c r="D10138" s="3" t="s">
        <v>16234</v>
      </c>
      <c r="F10138" s="3" t="s">
        <v>1279</v>
      </c>
      <c r="I10138" s="3" t="s">
        <v>244</v>
      </c>
    </row>
    <row r="10139" spans="2:9" x14ac:dyDescent="0.4">
      <c r="B10139" s="8" t="s">
        <v>520</v>
      </c>
      <c r="C10139" s="3" t="s">
        <v>15509</v>
      </c>
      <c r="D10139" s="3" t="s">
        <v>14289</v>
      </c>
      <c r="F10139" s="3" t="s">
        <v>1279</v>
      </c>
      <c r="I10139" s="3" t="s">
        <v>244</v>
      </c>
    </row>
    <row r="10140" spans="2:9" x14ac:dyDescent="0.4">
      <c r="B10140" s="8" t="s">
        <v>531</v>
      </c>
      <c r="C10140" s="3" t="s">
        <v>15510</v>
      </c>
      <c r="D10140" s="3" t="s">
        <v>14247</v>
      </c>
      <c r="F10140" s="3" t="s">
        <v>1279</v>
      </c>
      <c r="I10140" s="3" t="s">
        <v>244</v>
      </c>
    </row>
    <row r="10141" spans="2:9" x14ac:dyDescent="0.4">
      <c r="B10141" s="8" t="s">
        <v>531</v>
      </c>
      <c r="C10141" s="3" t="s">
        <v>15511</v>
      </c>
      <c r="D10141" s="3" t="s">
        <v>14247</v>
      </c>
      <c r="F10141" s="3" t="s">
        <v>1279</v>
      </c>
      <c r="I10141" s="3" t="s">
        <v>244</v>
      </c>
    </row>
    <row r="10142" spans="2:9" x14ac:dyDescent="0.4">
      <c r="B10142" s="8" t="s">
        <v>529</v>
      </c>
      <c r="C10142" s="3" t="s">
        <v>15512</v>
      </c>
      <c r="D10142" s="3" t="s">
        <v>16235</v>
      </c>
      <c r="F10142" s="3" t="s">
        <v>1279</v>
      </c>
      <c r="I10142" s="3" t="s">
        <v>244</v>
      </c>
    </row>
    <row r="10143" spans="2:9" x14ac:dyDescent="0.4">
      <c r="B10143" s="8" t="s">
        <v>532</v>
      </c>
      <c r="C10143" s="3" t="s">
        <v>15513</v>
      </c>
      <c r="D10143" s="3" t="s">
        <v>16236</v>
      </c>
      <c r="F10143" s="3" t="s">
        <v>1279</v>
      </c>
      <c r="I10143" s="3" t="s">
        <v>244</v>
      </c>
    </row>
    <row r="10144" spans="2:9" x14ac:dyDescent="0.4">
      <c r="B10144" s="8" t="s">
        <v>518</v>
      </c>
      <c r="C10144" s="3" t="s">
        <v>15514</v>
      </c>
      <c r="D10144" s="3" t="s">
        <v>16237</v>
      </c>
      <c r="F10144" s="3" t="s">
        <v>1279</v>
      </c>
      <c r="I10144" s="3" t="s">
        <v>244</v>
      </c>
    </row>
    <row r="10145" spans="2:9" x14ac:dyDescent="0.4">
      <c r="B10145" s="8" t="s">
        <v>530</v>
      </c>
      <c r="C10145" s="3" t="s">
        <v>15515</v>
      </c>
      <c r="D10145" s="3" t="s">
        <v>16238</v>
      </c>
      <c r="F10145" s="3" t="s">
        <v>1279</v>
      </c>
      <c r="I10145" s="3" t="s">
        <v>244</v>
      </c>
    </row>
    <row r="10146" spans="2:9" x14ac:dyDescent="0.4">
      <c r="B10146" s="8" t="s">
        <v>532</v>
      </c>
      <c r="C10146" s="3" t="s">
        <v>15516</v>
      </c>
      <c r="D10146" s="3" t="s">
        <v>16239</v>
      </c>
      <c r="F10146" s="3" t="s">
        <v>1279</v>
      </c>
      <c r="I10146" s="3" t="s">
        <v>244</v>
      </c>
    </row>
    <row r="10147" spans="2:9" x14ac:dyDescent="0.4">
      <c r="B10147" s="8" t="s">
        <v>529</v>
      </c>
      <c r="C10147" s="3" t="s">
        <v>15517</v>
      </c>
      <c r="D10147" s="3" t="s">
        <v>16240</v>
      </c>
      <c r="F10147" s="3" t="s">
        <v>1279</v>
      </c>
      <c r="I10147" s="3" t="s">
        <v>244</v>
      </c>
    </row>
    <row r="10148" spans="2:9" x14ac:dyDescent="0.4">
      <c r="B10148" s="8" t="s">
        <v>532</v>
      </c>
      <c r="C10148" s="3" t="s">
        <v>15518</v>
      </c>
      <c r="D10148" s="3" t="s">
        <v>16241</v>
      </c>
      <c r="F10148" s="3" t="s">
        <v>1279</v>
      </c>
      <c r="I10148" s="3" t="s">
        <v>244</v>
      </c>
    </row>
    <row r="10149" spans="2:9" x14ac:dyDescent="0.4">
      <c r="B10149" s="8" t="s">
        <v>529</v>
      </c>
      <c r="C10149" s="3" t="s">
        <v>15519</v>
      </c>
      <c r="D10149" s="3" t="s">
        <v>16242</v>
      </c>
      <c r="F10149" s="3" t="s">
        <v>1279</v>
      </c>
      <c r="I10149" s="3" t="s">
        <v>244</v>
      </c>
    </row>
    <row r="10150" spans="2:9" x14ac:dyDescent="0.4">
      <c r="B10150" s="8" t="s">
        <v>520</v>
      </c>
      <c r="C10150" s="3" t="s">
        <v>15520</v>
      </c>
      <c r="D10150" s="3" t="s">
        <v>16243</v>
      </c>
      <c r="F10150" s="3" t="s">
        <v>1279</v>
      </c>
      <c r="I10150" s="3" t="s">
        <v>244</v>
      </c>
    </row>
    <row r="10151" spans="2:9" x14ac:dyDescent="0.4">
      <c r="B10151" s="8" t="s">
        <v>532</v>
      </c>
      <c r="C10151" s="3" t="s">
        <v>15521</v>
      </c>
      <c r="D10151" s="3" t="s">
        <v>16244</v>
      </c>
      <c r="F10151" s="3" t="s">
        <v>1279</v>
      </c>
      <c r="I10151" s="3" t="s">
        <v>244</v>
      </c>
    </row>
    <row r="10152" spans="2:9" x14ac:dyDescent="0.4">
      <c r="B10152" s="8" t="s">
        <v>531</v>
      </c>
      <c r="C10152" s="3" t="s">
        <v>15522</v>
      </c>
      <c r="D10152" s="3" t="s">
        <v>16245</v>
      </c>
      <c r="F10152" s="3" t="s">
        <v>1279</v>
      </c>
      <c r="I10152" s="3" t="s">
        <v>244</v>
      </c>
    </row>
    <row r="10153" spans="2:9" x14ac:dyDescent="0.4">
      <c r="B10153" s="8" t="s">
        <v>520</v>
      </c>
      <c r="C10153" s="3" t="s">
        <v>15523</v>
      </c>
      <c r="D10153" s="3" t="s">
        <v>16246</v>
      </c>
      <c r="F10153" s="3" t="s">
        <v>1279</v>
      </c>
      <c r="I10153" s="3" t="s">
        <v>244</v>
      </c>
    </row>
    <row r="10154" spans="2:9" x14ac:dyDescent="0.4">
      <c r="B10154" s="8" t="s">
        <v>529</v>
      </c>
      <c r="C10154" s="3" t="s">
        <v>15524</v>
      </c>
      <c r="D10154" s="3" t="s">
        <v>16247</v>
      </c>
      <c r="F10154" s="3" t="s">
        <v>1279</v>
      </c>
      <c r="I10154" s="3" t="s">
        <v>244</v>
      </c>
    </row>
    <row r="10155" spans="2:9" x14ac:dyDescent="0.4">
      <c r="B10155" s="8" t="s">
        <v>529</v>
      </c>
      <c r="C10155" s="3" t="s">
        <v>15525</v>
      </c>
      <c r="D10155" s="3" t="s">
        <v>16248</v>
      </c>
      <c r="F10155" s="3" t="s">
        <v>1279</v>
      </c>
      <c r="I10155" s="3" t="s">
        <v>244</v>
      </c>
    </row>
    <row r="10156" spans="2:9" x14ac:dyDescent="0.4">
      <c r="B10156" s="8" t="s">
        <v>529</v>
      </c>
      <c r="C10156" s="3" t="s">
        <v>15526</v>
      </c>
      <c r="D10156" s="3" t="s">
        <v>16249</v>
      </c>
      <c r="F10156" s="3" t="s">
        <v>1279</v>
      </c>
      <c r="I10156" s="3" t="s">
        <v>244</v>
      </c>
    </row>
    <row r="10157" spans="2:9" x14ac:dyDescent="0.4">
      <c r="B10157" s="8" t="s">
        <v>518</v>
      </c>
      <c r="C10157" s="3" t="s">
        <v>15527</v>
      </c>
      <c r="D10157" s="3" t="s">
        <v>16250</v>
      </c>
      <c r="F10157" s="3" t="s">
        <v>1279</v>
      </c>
      <c r="I10157" s="3" t="s">
        <v>244</v>
      </c>
    </row>
    <row r="10158" spans="2:9" x14ac:dyDescent="0.4">
      <c r="B10158" s="8" t="s">
        <v>530</v>
      </c>
      <c r="C10158" s="3" t="s">
        <v>15528</v>
      </c>
      <c r="D10158" s="3" t="s">
        <v>16251</v>
      </c>
      <c r="F10158" s="3" t="s">
        <v>1279</v>
      </c>
      <c r="I10158" s="3" t="s">
        <v>244</v>
      </c>
    </row>
    <row r="10159" spans="2:9" x14ac:dyDescent="0.4">
      <c r="B10159" s="8" t="s">
        <v>529</v>
      </c>
      <c r="C10159" s="3" t="s">
        <v>15529</v>
      </c>
      <c r="D10159" s="3" t="s">
        <v>16252</v>
      </c>
      <c r="F10159" s="3" t="s">
        <v>1279</v>
      </c>
      <c r="I10159" s="3" t="s">
        <v>244</v>
      </c>
    </row>
    <row r="10160" spans="2:9" x14ac:dyDescent="0.4">
      <c r="B10160" s="8" t="s">
        <v>518</v>
      </c>
      <c r="C10160" s="3" t="s">
        <v>15530</v>
      </c>
      <c r="D10160" s="3" t="s">
        <v>16253</v>
      </c>
      <c r="F10160" s="3" t="s">
        <v>1279</v>
      </c>
      <c r="I10160" s="3" t="s">
        <v>244</v>
      </c>
    </row>
    <row r="10161" spans="2:9" x14ac:dyDescent="0.4">
      <c r="B10161" s="8" t="s">
        <v>518</v>
      </c>
      <c r="C10161" s="3" t="s">
        <v>15531</v>
      </c>
      <c r="D10161" s="3" t="s">
        <v>16254</v>
      </c>
      <c r="F10161" s="3" t="s">
        <v>1279</v>
      </c>
      <c r="I10161" s="3" t="s">
        <v>244</v>
      </c>
    </row>
    <row r="10162" spans="2:9" x14ac:dyDescent="0.4">
      <c r="B10162" s="8" t="s">
        <v>518</v>
      </c>
      <c r="C10162" s="3" t="s">
        <v>15532</v>
      </c>
      <c r="D10162" s="3" t="s">
        <v>16255</v>
      </c>
      <c r="F10162" s="3" t="s">
        <v>1279</v>
      </c>
      <c r="I10162" s="3" t="s">
        <v>244</v>
      </c>
    </row>
    <row r="10163" spans="2:9" x14ac:dyDescent="0.4">
      <c r="B10163" s="8" t="s">
        <v>518</v>
      </c>
      <c r="C10163" s="3" t="s">
        <v>15533</v>
      </c>
      <c r="D10163" s="3" t="s">
        <v>16256</v>
      </c>
      <c r="F10163" s="3" t="s">
        <v>1279</v>
      </c>
      <c r="I10163" s="3" t="s">
        <v>244</v>
      </c>
    </row>
    <row r="10164" spans="2:9" x14ac:dyDescent="0.4">
      <c r="B10164" s="8" t="s">
        <v>520</v>
      </c>
      <c r="C10164" s="3" t="s">
        <v>15534</v>
      </c>
      <c r="D10164" s="3" t="s">
        <v>16257</v>
      </c>
      <c r="F10164" s="3" t="s">
        <v>1279</v>
      </c>
      <c r="I10164" s="3" t="s">
        <v>244</v>
      </c>
    </row>
    <row r="10165" spans="2:9" x14ac:dyDescent="0.4">
      <c r="B10165" s="8" t="s">
        <v>530</v>
      </c>
      <c r="C10165" s="3" t="s">
        <v>15535</v>
      </c>
      <c r="D10165" s="3" t="s">
        <v>16258</v>
      </c>
      <c r="F10165" s="3" t="s">
        <v>1279</v>
      </c>
      <c r="I10165" s="3" t="s">
        <v>244</v>
      </c>
    </row>
    <row r="10166" spans="2:9" x14ac:dyDescent="0.4">
      <c r="B10166" s="8" t="s">
        <v>517</v>
      </c>
      <c r="C10166" s="3" t="s">
        <v>15536</v>
      </c>
      <c r="D10166" s="3" t="s">
        <v>16259</v>
      </c>
      <c r="F10166" s="3" t="s">
        <v>1279</v>
      </c>
      <c r="I10166" s="3" t="s">
        <v>244</v>
      </c>
    </row>
    <row r="10167" spans="2:9" x14ac:dyDescent="0.4">
      <c r="B10167" s="8" t="s">
        <v>517</v>
      </c>
      <c r="C10167" s="3" t="s">
        <v>15537</v>
      </c>
      <c r="D10167" s="3" t="s">
        <v>16259</v>
      </c>
      <c r="F10167" s="3" t="s">
        <v>1279</v>
      </c>
      <c r="I10167" s="3" t="s">
        <v>244</v>
      </c>
    </row>
    <row r="10168" spans="2:9" x14ac:dyDescent="0.4">
      <c r="B10168" s="8" t="s">
        <v>531</v>
      </c>
      <c r="C10168" s="3" t="s">
        <v>15538</v>
      </c>
      <c r="D10168" s="3" t="s">
        <v>16260</v>
      </c>
      <c r="F10168" s="3" t="s">
        <v>1279</v>
      </c>
      <c r="I10168" s="3" t="s">
        <v>244</v>
      </c>
    </row>
    <row r="10169" spans="2:9" x14ac:dyDescent="0.4">
      <c r="B10169" s="8" t="s">
        <v>517</v>
      </c>
      <c r="C10169" s="3" t="s">
        <v>15539</v>
      </c>
      <c r="D10169" s="3" t="s">
        <v>16261</v>
      </c>
      <c r="F10169" s="3" t="s">
        <v>1279</v>
      </c>
      <c r="I10169" s="3" t="s">
        <v>244</v>
      </c>
    </row>
    <row r="10170" spans="2:9" x14ac:dyDescent="0.4">
      <c r="B10170" s="8" t="s">
        <v>531</v>
      </c>
      <c r="C10170" s="3" t="s">
        <v>15540</v>
      </c>
      <c r="D10170" s="3" t="s">
        <v>16262</v>
      </c>
      <c r="F10170" s="3" t="s">
        <v>1279</v>
      </c>
      <c r="I10170" s="3" t="s">
        <v>244</v>
      </c>
    </row>
    <row r="10171" spans="2:9" x14ac:dyDescent="0.4">
      <c r="B10171" s="8" t="s">
        <v>529</v>
      </c>
      <c r="C10171" s="3" t="s">
        <v>15541</v>
      </c>
      <c r="D10171" s="3" t="s">
        <v>16263</v>
      </c>
      <c r="F10171" s="3" t="s">
        <v>1279</v>
      </c>
      <c r="I10171" s="3" t="s">
        <v>244</v>
      </c>
    </row>
    <row r="10172" spans="2:9" x14ac:dyDescent="0.4">
      <c r="B10172" s="8" t="s">
        <v>518</v>
      </c>
      <c r="C10172" s="3" t="s">
        <v>15542</v>
      </c>
      <c r="D10172" s="3" t="s">
        <v>16264</v>
      </c>
      <c r="F10172" s="3" t="s">
        <v>1279</v>
      </c>
      <c r="I10172" s="3" t="s">
        <v>244</v>
      </c>
    </row>
    <row r="10173" spans="2:9" x14ac:dyDescent="0.4">
      <c r="B10173" s="8" t="s">
        <v>518</v>
      </c>
      <c r="C10173" s="3" t="s">
        <v>9187</v>
      </c>
      <c r="D10173" s="3" t="s">
        <v>16265</v>
      </c>
      <c r="F10173" s="3" t="s">
        <v>1279</v>
      </c>
      <c r="I10173" s="3" t="s">
        <v>244</v>
      </c>
    </row>
    <row r="10174" spans="2:9" x14ac:dyDescent="0.4">
      <c r="B10174" s="8" t="s">
        <v>529</v>
      </c>
      <c r="C10174" s="3" t="s">
        <v>15543</v>
      </c>
      <c r="D10174" s="3" t="s">
        <v>16266</v>
      </c>
      <c r="F10174" s="3" t="s">
        <v>1279</v>
      </c>
      <c r="I10174" s="3" t="s">
        <v>244</v>
      </c>
    </row>
    <row r="10175" spans="2:9" x14ac:dyDescent="0.4">
      <c r="B10175" s="8" t="s">
        <v>520</v>
      </c>
      <c r="C10175" s="3" t="s">
        <v>15544</v>
      </c>
      <c r="D10175" s="3" t="s">
        <v>16267</v>
      </c>
      <c r="F10175" s="3" t="s">
        <v>1279</v>
      </c>
      <c r="I10175" s="3" t="s">
        <v>244</v>
      </c>
    </row>
    <row r="10176" spans="2:9" x14ac:dyDescent="0.4">
      <c r="B10176" s="8" t="s">
        <v>520</v>
      </c>
      <c r="C10176" s="3" t="s">
        <v>15545</v>
      </c>
      <c r="D10176" s="3" t="s">
        <v>16268</v>
      </c>
      <c r="F10176" s="3" t="s">
        <v>1279</v>
      </c>
      <c r="I10176" s="3" t="s">
        <v>244</v>
      </c>
    </row>
    <row r="10177" spans="2:9" x14ac:dyDescent="0.4">
      <c r="B10177" s="8" t="s">
        <v>529</v>
      </c>
      <c r="C10177" s="3" t="s">
        <v>9189</v>
      </c>
      <c r="D10177" s="3" t="s">
        <v>16269</v>
      </c>
      <c r="F10177" s="3" t="s">
        <v>1279</v>
      </c>
      <c r="I10177" s="3" t="s">
        <v>244</v>
      </c>
    </row>
    <row r="10178" spans="2:9" x14ac:dyDescent="0.4">
      <c r="B10178" s="8" t="s">
        <v>532</v>
      </c>
      <c r="C10178" s="3" t="s">
        <v>15546</v>
      </c>
      <c r="D10178" s="3" t="s">
        <v>16270</v>
      </c>
      <c r="F10178" s="3" t="s">
        <v>1279</v>
      </c>
      <c r="I10178" s="3" t="s">
        <v>244</v>
      </c>
    </row>
    <row r="10179" spans="2:9" x14ac:dyDescent="0.4">
      <c r="B10179" s="8" t="s">
        <v>532</v>
      </c>
      <c r="C10179" s="3" t="s">
        <v>15547</v>
      </c>
      <c r="D10179" s="3" t="s">
        <v>16271</v>
      </c>
      <c r="F10179" s="3" t="s">
        <v>1279</v>
      </c>
      <c r="I10179" s="3" t="s">
        <v>244</v>
      </c>
    </row>
    <row r="10180" spans="2:9" x14ac:dyDescent="0.4">
      <c r="B10180" s="8" t="s">
        <v>529</v>
      </c>
      <c r="C10180" s="3" t="s">
        <v>15548</v>
      </c>
      <c r="D10180" s="3" t="s">
        <v>16272</v>
      </c>
      <c r="F10180" s="3" t="s">
        <v>1279</v>
      </c>
      <c r="I10180" s="3" t="s">
        <v>244</v>
      </c>
    </row>
    <row r="10181" spans="2:9" x14ac:dyDescent="0.4">
      <c r="B10181" s="8" t="s">
        <v>520</v>
      </c>
      <c r="C10181" s="3" t="s">
        <v>15549</v>
      </c>
      <c r="D10181" s="3" t="s">
        <v>16273</v>
      </c>
      <c r="F10181" s="3" t="s">
        <v>1279</v>
      </c>
      <c r="I10181" s="3" t="s">
        <v>244</v>
      </c>
    </row>
    <row r="10182" spans="2:9" x14ac:dyDescent="0.4">
      <c r="B10182" s="8" t="s">
        <v>529</v>
      </c>
      <c r="C10182" s="3" t="s">
        <v>15550</v>
      </c>
      <c r="D10182" s="3" t="s">
        <v>16274</v>
      </c>
      <c r="F10182" s="3" t="s">
        <v>1279</v>
      </c>
      <c r="I10182" s="3" t="s">
        <v>244</v>
      </c>
    </row>
    <row r="10183" spans="2:9" x14ac:dyDescent="0.4">
      <c r="B10183" s="8" t="s">
        <v>529</v>
      </c>
      <c r="C10183" s="3" t="s">
        <v>15551</v>
      </c>
      <c r="D10183" s="3" t="s">
        <v>16275</v>
      </c>
      <c r="F10183" s="3" t="s">
        <v>1279</v>
      </c>
      <c r="I10183" s="3" t="s">
        <v>244</v>
      </c>
    </row>
    <row r="10184" spans="2:9" x14ac:dyDescent="0.4">
      <c r="B10184" s="8" t="s">
        <v>529</v>
      </c>
      <c r="C10184" s="3" t="s">
        <v>15552</v>
      </c>
      <c r="D10184" s="3" t="s">
        <v>16276</v>
      </c>
      <c r="F10184" s="3" t="s">
        <v>1279</v>
      </c>
      <c r="I10184" s="3" t="s">
        <v>244</v>
      </c>
    </row>
    <row r="10185" spans="2:9" x14ac:dyDescent="0.4">
      <c r="B10185" s="8" t="s">
        <v>520</v>
      </c>
      <c r="C10185" s="3" t="s">
        <v>15553</v>
      </c>
      <c r="D10185" s="3" t="s">
        <v>16277</v>
      </c>
      <c r="F10185" s="3" t="s">
        <v>1279</v>
      </c>
      <c r="I10185" s="3" t="s">
        <v>244</v>
      </c>
    </row>
    <row r="10186" spans="2:9" x14ac:dyDescent="0.4">
      <c r="B10186" s="8" t="s">
        <v>529</v>
      </c>
      <c r="C10186" s="3" t="s">
        <v>15554</v>
      </c>
      <c r="D10186" s="3" t="s">
        <v>16278</v>
      </c>
      <c r="F10186" s="3" t="s">
        <v>1279</v>
      </c>
      <c r="I10186" s="3" t="s">
        <v>244</v>
      </c>
    </row>
    <row r="10187" spans="2:9" x14ac:dyDescent="0.4">
      <c r="B10187" s="8" t="s">
        <v>518</v>
      </c>
      <c r="C10187" s="3" t="s">
        <v>15555</v>
      </c>
      <c r="D10187" s="3" t="s">
        <v>16279</v>
      </c>
      <c r="F10187" s="3" t="s">
        <v>1279</v>
      </c>
      <c r="I10187" s="3" t="s">
        <v>244</v>
      </c>
    </row>
    <row r="10188" spans="2:9" x14ac:dyDescent="0.4">
      <c r="B10188" s="8" t="s">
        <v>529</v>
      </c>
      <c r="C10188" s="3" t="s">
        <v>15556</v>
      </c>
      <c r="D10188" s="3" t="s">
        <v>16280</v>
      </c>
      <c r="F10188" s="3" t="s">
        <v>1279</v>
      </c>
      <c r="I10188" s="3" t="s">
        <v>244</v>
      </c>
    </row>
    <row r="10189" spans="2:9" x14ac:dyDescent="0.4">
      <c r="B10189" s="8" t="s">
        <v>520</v>
      </c>
      <c r="C10189" s="3" t="s">
        <v>15557</v>
      </c>
      <c r="D10189" s="3" t="s">
        <v>16278</v>
      </c>
      <c r="F10189" s="3" t="s">
        <v>1279</v>
      </c>
      <c r="I10189" s="3" t="s">
        <v>244</v>
      </c>
    </row>
    <row r="10190" spans="2:9" x14ac:dyDescent="0.4">
      <c r="B10190" s="8" t="s">
        <v>517</v>
      </c>
      <c r="C10190" s="3" t="s">
        <v>15558</v>
      </c>
      <c r="D10190" s="3" t="s">
        <v>16181</v>
      </c>
      <c r="F10190" s="3" t="s">
        <v>1279</v>
      </c>
      <c r="I10190" s="3" t="s">
        <v>244</v>
      </c>
    </row>
    <row r="10191" spans="2:9" x14ac:dyDescent="0.4">
      <c r="B10191" s="8" t="s">
        <v>530</v>
      </c>
      <c r="C10191" s="3" t="s">
        <v>12770</v>
      </c>
      <c r="D10191" s="3" t="s">
        <v>16281</v>
      </c>
      <c r="F10191" s="3" t="s">
        <v>1279</v>
      </c>
      <c r="I10191" s="3" t="s">
        <v>244</v>
      </c>
    </row>
    <row r="10192" spans="2:9" x14ac:dyDescent="0.4">
      <c r="B10192" s="8" t="s">
        <v>532</v>
      </c>
      <c r="C10192" s="3" t="s">
        <v>15559</v>
      </c>
      <c r="D10192" s="3" t="s">
        <v>16282</v>
      </c>
      <c r="F10192" s="3" t="s">
        <v>1279</v>
      </c>
      <c r="I10192" s="3" t="s">
        <v>244</v>
      </c>
    </row>
    <row r="10193" spans="2:9" x14ac:dyDescent="0.4">
      <c r="B10193" s="8" t="s">
        <v>529</v>
      </c>
      <c r="C10193" s="3" t="s">
        <v>15560</v>
      </c>
      <c r="D10193" s="3" t="s">
        <v>16283</v>
      </c>
      <c r="F10193" s="3" t="s">
        <v>1279</v>
      </c>
      <c r="I10193" s="3" t="s">
        <v>244</v>
      </c>
    </row>
    <row r="10194" spans="2:9" x14ac:dyDescent="0.4">
      <c r="B10194" s="8" t="s">
        <v>531</v>
      </c>
      <c r="C10194" s="3" t="s">
        <v>15561</v>
      </c>
      <c r="D10194" s="3" t="s">
        <v>16284</v>
      </c>
      <c r="F10194" s="3" t="s">
        <v>1279</v>
      </c>
      <c r="I10194" s="3" t="s">
        <v>244</v>
      </c>
    </row>
    <row r="10195" spans="2:9" x14ac:dyDescent="0.4">
      <c r="B10195" s="8" t="s">
        <v>518</v>
      </c>
      <c r="C10195" s="3" t="s">
        <v>15562</v>
      </c>
      <c r="D10195" s="3" t="s">
        <v>16285</v>
      </c>
      <c r="F10195" s="3" t="s">
        <v>1279</v>
      </c>
      <c r="I10195" s="3" t="s">
        <v>244</v>
      </c>
    </row>
    <row r="10196" spans="2:9" x14ac:dyDescent="0.4">
      <c r="B10196" s="8" t="s">
        <v>529</v>
      </c>
      <c r="C10196" s="3" t="s">
        <v>15563</v>
      </c>
      <c r="D10196" s="3" t="s">
        <v>16286</v>
      </c>
      <c r="F10196" s="3" t="s">
        <v>1279</v>
      </c>
      <c r="I10196" s="3" t="s">
        <v>244</v>
      </c>
    </row>
    <row r="10197" spans="2:9" x14ac:dyDescent="0.4">
      <c r="B10197" s="8" t="s">
        <v>520</v>
      </c>
      <c r="C10197" s="3" t="s">
        <v>15564</v>
      </c>
      <c r="D10197" s="3" t="s">
        <v>16287</v>
      </c>
      <c r="F10197" s="3" t="s">
        <v>1279</v>
      </c>
      <c r="I10197" s="3" t="s">
        <v>244</v>
      </c>
    </row>
    <row r="10198" spans="2:9" x14ac:dyDescent="0.4">
      <c r="B10198" s="8" t="s">
        <v>518</v>
      </c>
      <c r="C10198" s="3" t="s">
        <v>15565</v>
      </c>
      <c r="D10198" s="3" t="s">
        <v>16288</v>
      </c>
      <c r="F10198" s="3" t="s">
        <v>1279</v>
      </c>
      <c r="I10198" s="3" t="s">
        <v>244</v>
      </c>
    </row>
    <row r="10199" spans="2:9" x14ac:dyDescent="0.4">
      <c r="B10199" s="8" t="s">
        <v>517</v>
      </c>
      <c r="C10199" s="3" t="s">
        <v>15566</v>
      </c>
      <c r="D10199" s="3" t="s">
        <v>16289</v>
      </c>
      <c r="F10199" s="3" t="s">
        <v>1279</v>
      </c>
      <c r="I10199" s="3" t="s">
        <v>244</v>
      </c>
    </row>
    <row r="10200" spans="2:9" x14ac:dyDescent="0.4">
      <c r="B10200" s="8" t="s">
        <v>529</v>
      </c>
      <c r="C10200" s="3" t="s">
        <v>15567</v>
      </c>
      <c r="D10200" s="3" t="s">
        <v>16290</v>
      </c>
      <c r="F10200" s="3" t="s">
        <v>1279</v>
      </c>
      <c r="I10200" s="3" t="s">
        <v>244</v>
      </c>
    </row>
    <row r="10201" spans="2:9" x14ac:dyDescent="0.4">
      <c r="B10201" s="8" t="s">
        <v>529</v>
      </c>
      <c r="C10201" s="3" t="s">
        <v>15568</v>
      </c>
      <c r="D10201" s="3" t="s">
        <v>15826</v>
      </c>
      <c r="F10201" s="3" t="s">
        <v>1279</v>
      </c>
      <c r="I10201" s="3" t="s">
        <v>244</v>
      </c>
    </row>
    <row r="10202" spans="2:9" x14ac:dyDescent="0.4">
      <c r="B10202" s="8" t="s">
        <v>531</v>
      </c>
      <c r="C10202" s="3" t="s">
        <v>15569</v>
      </c>
      <c r="D10202" s="3" t="s">
        <v>16291</v>
      </c>
      <c r="F10202" s="3" t="s">
        <v>1279</v>
      </c>
      <c r="I10202" s="3" t="s">
        <v>244</v>
      </c>
    </row>
    <row r="10203" spans="2:9" x14ac:dyDescent="0.4">
      <c r="B10203" s="8" t="s">
        <v>518</v>
      </c>
      <c r="C10203" s="3" t="s">
        <v>15570</v>
      </c>
      <c r="D10203" s="3" t="s">
        <v>16292</v>
      </c>
      <c r="F10203" s="3" t="s">
        <v>1279</v>
      </c>
      <c r="I10203" s="3" t="s">
        <v>244</v>
      </c>
    </row>
    <row r="10204" spans="2:9" x14ac:dyDescent="0.4">
      <c r="B10204" s="8" t="s">
        <v>529</v>
      </c>
      <c r="C10204" s="3" t="s">
        <v>15571</v>
      </c>
      <c r="D10204" s="3" t="s">
        <v>16293</v>
      </c>
      <c r="F10204" s="3" t="s">
        <v>1279</v>
      </c>
      <c r="I10204" s="3" t="s">
        <v>244</v>
      </c>
    </row>
    <row r="10205" spans="2:9" x14ac:dyDescent="0.4">
      <c r="B10205" s="8" t="s">
        <v>520</v>
      </c>
      <c r="C10205" s="3" t="s">
        <v>15572</v>
      </c>
      <c r="D10205" s="3" t="s">
        <v>16294</v>
      </c>
      <c r="F10205" s="3" t="s">
        <v>1279</v>
      </c>
      <c r="I10205" s="3" t="s">
        <v>244</v>
      </c>
    </row>
    <row r="10206" spans="2:9" x14ac:dyDescent="0.4">
      <c r="B10206" s="8" t="s">
        <v>532</v>
      </c>
      <c r="C10206" s="3" t="s">
        <v>15573</v>
      </c>
      <c r="D10206" s="3" t="s">
        <v>16295</v>
      </c>
      <c r="F10206" s="3" t="s">
        <v>1279</v>
      </c>
      <c r="I10206" s="3" t="s">
        <v>244</v>
      </c>
    </row>
    <row r="10207" spans="2:9" x14ac:dyDescent="0.4">
      <c r="B10207" s="8" t="s">
        <v>517</v>
      </c>
      <c r="C10207" s="3" t="s">
        <v>15574</v>
      </c>
      <c r="D10207" s="3" t="s">
        <v>16296</v>
      </c>
      <c r="F10207" s="3" t="s">
        <v>1279</v>
      </c>
      <c r="I10207" s="3" t="s">
        <v>244</v>
      </c>
    </row>
    <row r="10208" spans="2:9" x14ac:dyDescent="0.4">
      <c r="B10208" s="8" t="s">
        <v>520</v>
      </c>
      <c r="C10208" s="3" t="s">
        <v>15575</v>
      </c>
      <c r="D10208" s="3" t="s">
        <v>16297</v>
      </c>
      <c r="F10208" s="3" t="s">
        <v>1279</v>
      </c>
      <c r="I10208" s="3" t="s">
        <v>244</v>
      </c>
    </row>
    <row r="10209" spans="2:9" x14ac:dyDescent="0.4">
      <c r="B10209" s="8" t="s">
        <v>517</v>
      </c>
      <c r="C10209" s="3" t="s">
        <v>15576</v>
      </c>
      <c r="D10209" s="3" t="s">
        <v>16298</v>
      </c>
      <c r="F10209" s="3" t="s">
        <v>1279</v>
      </c>
      <c r="I10209" s="3" t="s">
        <v>244</v>
      </c>
    </row>
    <row r="10210" spans="2:9" x14ac:dyDescent="0.4">
      <c r="B10210" s="8" t="s">
        <v>529</v>
      </c>
      <c r="C10210" s="3" t="s">
        <v>15577</v>
      </c>
      <c r="D10210" s="3" t="s">
        <v>16299</v>
      </c>
      <c r="F10210" s="3" t="s">
        <v>1279</v>
      </c>
      <c r="I10210" s="3" t="s">
        <v>244</v>
      </c>
    </row>
    <row r="10211" spans="2:9" x14ac:dyDescent="0.4">
      <c r="B10211" s="8" t="s">
        <v>531</v>
      </c>
      <c r="C10211" s="3" t="s">
        <v>15578</v>
      </c>
      <c r="D10211" s="3" t="s">
        <v>16300</v>
      </c>
      <c r="F10211" s="3" t="s">
        <v>1279</v>
      </c>
      <c r="I10211" s="3" t="s">
        <v>244</v>
      </c>
    </row>
    <row r="10212" spans="2:9" x14ac:dyDescent="0.4">
      <c r="B10212" s="8" t="s">
        <v>520</v>
      </c>
      <c r="C10212" s="3" t="s">
        <v>15579</v>
      </c>
      <c r="D10212" s="3" t="s">
        <v>14405</v>
      </c>
      <c r="F10212" s="3" t="s">
        <v>1279</v>
      </c>
      <c r="I10212" s="3" t="s">
        <v>244</v>
      </c>
    </row>
    <row r="10213" spans="2:9" x14ac:dyDescent="0.4">
      <c r="B10213" s="8" t="s">
        <v>518</v>
      </c>
      <c r="C10213" s="3" t="s">
        <v>15580</v>
      </c>
      <c r="D10213" s="3" t="s">
        <v>16301</v>
      </c>
      <c r="F10213" s="3" t="s">
        <v>1279</v>
      </c>
      <c r="I10213" s="3" t="s">
        <v>244</v>
      </c>
    </row>
    <row r="10214" spans="2:9" x14ac:dyDescent="0.4">
      <c r="B10214" s="8" t="s">
        <v>518</v>
      </c>
      <c r="C10214" s="3" t="s">
        <v>15581</v>
      </c>
      <c r="D10214" s="3" t="s">
        <v>16302</v>
      </c>
      <c r="F10214" s="3" t="s">
        <v>1279</v>
      </c>
      <c r="I10214" s="3" t="s">
        <v>244</v>
      </c>
    </row>
    <row r="10215" spans="2:9" x14ac:dyDescent="0.4">
      <c r="B10215" s="8" t="s">
        <v>531</v>
      </c>
      <c r="C10215" s="3" t="s">
        <v>15582</v>
      </c>
      <c r="D10215" s="3" t="s">
        <v>16303</v>
      </c>
      <c r="F10215" s="3" t="s">
        <v>1279</v>
      </c>
      <c r="I10215" s="3" t="s">
        <v>244</v>
      </c>
    </row>
    <row r="10216" spans="2:9" x14ac:dyDescent="0.4">
      <c r="B10216" s="8" t="s">
        <v>518</v>
      </c>
      <c r="C10216" s="3" t="s">
        <v>15583</v>
      </c>
      <c r="D10216" s="3" t="s">
        <v>16304</v>
      </c>
      <c r="F10216" s="3" t="s">
        <v>1279</v>
      </c>
      <c r="I10216" s="3" t="s">
        <v>244</v>
      </c>
    </row>
    <row r="10217" spans="2:9" x14ac:dyDescent="0.4">
      <c r="B10217" s="8" t="s">
        <v>518</v>
      </c>
      <c r="C10217" s="3" t="s">
        <v>15584</v>
      </c>
      <c r="D10217" s="3" t="s">
        <v>16304</v>
      </c>
      <c r="F10217" s="3" t="s">
        <v>1279</v>
      </c>
      <c r="I10217" s="3" t="s">
        <v>244</v>
      </c>
    </row>
    <row r="10218" spans="2:9" x14ac:dyDescent="0.4">
      <c r="B10218" s="8" t="s">
        <v>531</v>
      </c>
      <c r="C10218" s="3" t="s">
        <v>15585</v>
      </c>
      <c r="D10218" s="3" t="s">
        <v>16305</v>
      </c>
      <c r="F10218" s="3" t="s">
        <v>1279</v>
      </c>
      <c r="I10218" s="3" t="s">
        <v>244</v>
      </c>
    </row>
    <row r="10219" spans="2:9" x14ac:dyDescent="0.4">
      <c r="B10219" s="8" t="s">
        <v>518</v>
      </c>
      <c r="C10219" s="3" t="s">
        <v>15586</v>
      </c>
      <c r="D10219" s="3" t="s">
        <v>16306</v>
      </c>
      <c r="F10219" s="3" t="s">
        <v>1279</v>
      </c>
      <c r="I10219" s="3" t="s">
        <v>244</v>
      </c>
    </row>
    <row r="10220" spans="2:9" x14ac:dyDescent="0.4">
      <c r="B10220" s="8" t="s">
        <v>518</v>
      </c>
      <c r="C10220" s="3" t="s">
        <v>15587</v>
      </c>
      <c r="D10220" s="3" t="s">
        <v>16307</v>
      </c>
      <c r="F10220" s="3" t="s">
        <v>1279</v>
      </c>
      <c r="I10220" s="3" t="s">
        <v>244</v>
      </c>
    </row>
    <row r="10221" spans="2:9" x14ac:dyDescent="0.4">
      <c r="B10221" s="8" t="s">
        <v>529</v>
      </c>
      <c r="C10221" s="3" t="s">
        <v>15588</v>
      </c>
      <c r="D10221" s="3" t="s">
        <v>16308</v>
      </c>
      <c r="F10221" s="3" t="s">
        <v>1279</v>
      </c>
      <c r="I10221" s="3" t="s">
        <v>244</v>
      </c>
    </row>
    <row r="10222" spans="2:9" x14ac:dyDescent="0.4">
      <c r="B10222" s="8" t="s">
        <v>517</v>
      </c>
      <c r="C10222" s="3" t="s">
        <v>15589</v>
      </c>
      <c r="D10222" s="3" t="s">
        <v>16309</v>
      </c>
      <c r="F10222" s="3" t="s">
        <v>1279</v>
      </c>
      <c r="I10222" s="3" t="s">
        <v>244</v>
      </c>
    </row>
    <row r="10223" spans="2:9" x14ac:dyDescent="0.4">
      <c r="B10223" s="8" t="s">
        <v>520</v>
      </c>
      <c r="C10223" s="3" t="s">
        <v>15590</v>
      </c>
      <c r="D10223" s="3" t="s">
        <v>16310</v>
      </c>
      <c r="F10223" s="3" t="s">
        <v>1279</v>
      </c>
      <c r="I10223" s="3" t="s">
        <v>244</v>
      </c>
    </row>
    <row r="10224" spans="2:9" x14ac:dyDescent="0.4">
      <c r="B10224" s="8" t="s">
        <v>532</v>
      </c>
      <c r="C10224" s="3" t="s">
        <v>15591</v>
      </c>
      <c r="D10224" s="3" t="s">
        <v>16311</v>
      </c>
      <c r="F10224" s="3" t="s">
        <v>1279</v>
      </c>
      <c r="I10224" s="3" t="s">
        <v>244</v>
      </c>
    </row>
    <row r="10225" spans="2:9" x14ac:dyDescent="0.4">
      <c r="B10225" s="8" t="s">
        <v>529</v>
      </c>
      <c r="C10225" s="3" t="s">
        <v>15592</v>
      </c>
      <c r="D10225" s="3" t="s">
        <v>16312</v>
      </c>
      <c r="F10225" s="3" t="s">
        <v>1279</v>
      </c>
      <c r="I10225" s="3" t="s">
        <v>244</v>
      </c>
    </row>
    <row r="10226" spans="2:9" x14ac:dyDescent="0.4">
      <c r="B10226" s="8" t="s">
        <v>529</v>
      </c>
      <c r="C10226" s="3" t="s">
        <v>15593</v>
      </c>
      <c r="D10226" s="3" t="s">
        <v>16313</v>
      </c>
      <c r="F10226" s="3" t="s">
        <v>1279</v>
      </c>
      <c r="I10226" s="3" t="s">
        <v>244</v>
      </c>
    </row>
    <row r="10227" spans="2:9" x14ac:dyDescent="0.4">
      <c r="B10227" s="8" t="s">
        <v>517</v>
      </c>
      <c r="C10227" s="3" t="s">
        <v>15594</v>
      </c>
      <c r="D10227" s="3" t="s">
        <v>16314</v>
      </c>
      <c r="F10227" s="3" t="s">
        <v>1279</v>
      </c>
      <c r="I10227" s="3" t="s">
        <v>244</v>
      </c>
    </row>
    <row r="10228" spans="2:9" x14ac:dyDescent="0.4">
      <c r="B10228" s="8" t="s">
        <v>520</v>
      </c>
      <c r="C10228" s="3" t="s">
        <v>15595</v>
      </c>
      <c r="D10228" s="3" t="s">
        <v>16315</v>
      </c>
      <c r="F10228" s="3" t="s">
        <v>1279</v>
      </c>
      <c r="I10228" s="3" t="s">
        <v>244</v>
      </c>
    </row>
    <row r="10229" spans="2:9" x14ac:dyDescent="0.4">
      <c r="B10229" s="8" t="s">
        <v>520</v>
      </c>
      <c r="C10229" s="3" t="s">
        <v>15596</v>
      </c>
      <c r="D10229" s="3" t="s">
        <v>16316</v>
      </c>
      <c r="F10229" s="3" t="s">
        <v>1279</v>
      </c>
      <c r="I10229" s="3" t="s">
        <v>244</v>
      </c>
    </row>
    <row r="10230" spans="2:9" x14ac:dyDescent="0.4">
      <c r="B10230" s="8" t="s">
        <v>518</v>
      </c>
      <c r="C10230" s="3" t="s">
        <v>15597</v>
      </c>
      <c r="D10230" s="3" t="s">
        <v>16317</v>
      </c>
      <c r="F10230" s="3" t="s">
        <v>1279</v>
      </c>
      <c r="I10230" s="3" t="s">
        <v>244</v>
      </c>
    </row>
    <row r="10231" spans="2:9" x14ac:dyDescent="0.4">
      <c r="B10231" s="8" t="s">
        <v>520</v>
      </c>
      <c r="C10231" s="3" t="s">
        <v>15598</v>
      </c>
      <c r="D10231" s="3" t="s">
        <v>16318</v>
      </c>
      <c r="F10231" s="3" t="s">
        <v>1279</v>
      </c>
      <c r="I10231" s="3" t="s">
        <v>244</v>
      </c>
    </row>
    <row r="10232" spans="2:9" x14ac:dyDescent="0.4">
      <c r="B10232" s="8" t="s">
        <v>532</v>
      </c>
      <c r="C10232" s="3" t="s">
        <v>15599</v>
      </c>
      <c r="D10232" s="3" t="s">
        <v>16319</v>
      </c>
      <c r="F10232" s="3" t="s">
        <v>1279</v>
      </c>
      <c r="I10232" s="3" t="s">
        <v>244</v>
      </c>
    </row>
    <row r="10233" spans="2:9" x14ac:dyDescent="0.4">
      <c r="B10233" s="8" t="s">
        <v>529</v>
      </c>
      <c r="C10233" s="3" t="s">
        <v>15600</v>
      </c>
      <c r="D10233" s="3" t="s">
        <v>16320</v>
      </c>
      <c r="F10233" s="3" t="s">
        <v>1279</v>
      </c>
      <c r="I10233" s="3" t="s">
        <v>244</v>
      </c>
    </row>
    <row r="10234" spans="2:9" x14ac:dyDescent="0.4">
      <c r="B10234" s="8" t="s">
        <v>518</v>
      </c>
      <c r="C10234" s="3" t="s">
        <v>15601</v>
      </c>
      <c r="D10234" s="3" t="s">
        <v>16321</v>
      </c>
      <c r="F10234" s="3" t="s">
        <v>1279</v>
      </c>
      <c r="I10234" s="3" t="s">
        <v>244</v>
      </c>
    </row>
    <row r="10235" spans="2:9" x14ac:dyDescent="0.4">
      <c r="B10235" s="8" t="s">
        <v>520</v>
      </c>
      <c r="C10235" s="3" t="s">
        <v>15602</v>
      </c>
      <c r="D10235" s="3" t="s">
        <v>16325</v>
      </c>
      <c r="F10235" s="3" t="s">
        <v>1279</v>
      </c>
      <c r="I10235" s="3" t="s">
        <v>244</v>
      </c>
    </row>
    <row r="10236" spans="2:9" x14ac:dyDescent="0.4">
      <c r="B10236" s="8" t="s">
        <v>531</v>
      </c>
      <c r="C10236" s="3" t="s">
        <v>15603</v>
      </c>
      <c r="D10236" s="3" t="s">
        <v>14438</v>
      </c>
      <c r="F10236" s="3" t="s">
        <v>1279</v>
      </c>
      <c r="I10236" s="3" t="s">
        <v>244</v>
      </c>
    </row>
    <row r="10237" spans="2:9" x14ac:dyDescent="0.4">
      <c r="B10237" s="8" t="s">
        <v>518</v>
      </c>
      <c r="C10237" s="3" t="s">
        <v>15604</v>
      </c>
      <c r="D10237" s="3" t="s">
        <v>16558</v>
      </c>
      <c r="F10237" s="3" t="s">
        <v>1279</v>
      </c>
      <c r="I10237" s="3" t="s">
        <v>244</v>
      </c>
    </row>
    <row r="10238" spans="2:9" x14ac:dyDescent="0.4">
      <c r="B10238" s="8" t="s">
        <v>520</v>
      </c>
      <c r="C10238" s="3" t="s">
        <v>15605</v>
      </c>
      <c r="D10238" s="3" t="s">
        <v>16326</v>
      </c>
      <c r="F10238" s="3" t="s">
        <v>1279</v>
      </c>
      <c r="I10238" s="3" t="s">
        <v>244</v>
      </c>
    </row>
    <row r="10239" spans="2:9" x14ac:dyDescent="0.4">
      <c r="B10239" s="8" t="s">
        <v>529</v>
      </c>
      <c r="C10239" s="3" t="s">
        <v>15606</v>
      </c>
      <c r="D10239" s="3" t="s">
        <v>16327</v>
      </c>
      <c r="F10239" s="3" t="s">
        <v>1279</v>
      </c>
      <c r="I10239" s="3" t="s">
        <v>244</v>
      </c>
    </row>
    <row r="10240" spans="2:9" x14ac:dyDescent="0.4">
      <c r="B10240" s="8" t="s">
        <v>518</v>
      </c>
      <c r="C10240" s="3" t="s">
        <v>15607</v>
      </c>
      <c r="D10240" s="3" t="s">
        <v>16328</v>
      </c>
      <c r="F10240" s="3" t="s">
        <v>1279</v>
      </c>
      <c r="I10240" s="3" t="s">
        <v>244</v>
      </c>
    </row>
    <row r="10241" spans="2:9" x14ac:dyDescent="0.4">
      <c r="B10241" s="8" t="s">
        <v>520</v>
      </c>
      <c r="C10241" s="3" t="s">
        <v>15608</v>
      </c>
      <c r="D10241" s="3" t="s">
        <v>16329</v>
      </c>
      <c r="F10241" s="3" t="s">
        <v>1279</v>
      </c>
      <c r="I10241" s="3" t="s">
        <v>244</v>
      </c>
    </row>
    <row r="10242" spans="2:9" x14ac:dyDescent="0.4">
      <c r="B10242" s="8" t="s">
        <v>517</v>
      </c>
      <c r="C10242" s="3" t="s">
        <v>15609</v>
      </c>
      <c r="D10242" s="3" t="s">
        <v>16330</v>
      </c>
      <c r="F10242" s="3" t="s">
        <v>1279</v>
      </c>
      <c r="I10242" s="3" t="s">
        <v>244</v>
      </c>
    </row>
    <row r="10243" spans="2:9" x14ac:dyDescent="0.4">
      <c r="B10243" s="8" t="s">
        <v>517</v>
      </c>
      <c r="C10243" s="3" t="s">
        <v>15610</v>
      </c>
      <c r="D10243" s="3" t="s">
        <v>16331</v>
      </c>
      <c r="F10243" s="3" t="s">
        <v>1279</v>
      </c>
      <c r="I10243" s="3" t="s">
        <v>244</v>
      </c>
    </row>
    <row r="10244" spans="2:9" x14ac:dyDescent="0.4">
      <c r="B10244" s="8" t="s">
        <v>517</v>
      </c>
      <c r="C10244" s="3" t="s">
        <v>15611</v>
      </c>
      <c r="D10244" s="3" t="s">
        <v>16332</v>
      </c>
      <c r="F10244" s="3" t="s">
        <v>1279</v>
      </c>
      <c r="I10244" s="3" t="s">
        <v>244</v>
      </c>
    </row>
    <row r="10245" spans="2:9" x14ac:dyDescent="0.4">
      <c r="B10245" s="8" t="s">
        <v>517</v>
      </c>
      <c r="C10245" s="3" t="s">
        <v>15612</v>
      </c>
      <c r="D10245" s="3" t="s">
        <v>14258</v>
      </c>
      <c r="F10245" s="3" t="s">
        <v>1279</v>
      </c>
      <c r="I10245" s="3" t="s">
        <v>244</v>
      </c>
    </row>
    <row r="10246" spans="2:9" x14ac:dyDescent="0.4">
      <c r="D10246" s="3" t="s">
        <v>14258</v>
      </c>
      <c r="F10246" s="3" t="s">
        <v>1279</v>
      </c>
      <c r="I10246" s="3" t="s">
        <v>244</v>
      </c>
    </row>
    <row r="10247" spans="2:9" x14ac:dyDescent="0.4">
      <c r="B10247" s="8" t="s">
        <v>517</v>
      </c>
      <c r="C10247" s="3" t="s">
        <v>15613</v>
      </c>
      <c r="D10247" s="3" t="s">
        <v>16333</v>
      </c>
      <c r="F10247" s="3" t="s">
        <v>1279</v>
      </c>
      <c r="I10247" s="3" t="s">
        <v>244</v>
      </c>
    </row>
    <row r="10248" spans="2:9" x14ac:dyDescent="0.4">
      <c r="D10248" s="3" t="s">
        <v>16334</v>
      </c>
      <c r="F10248" s="3" t="s">
        <v>1279</v>
      </c>
      <c r="I10248" s="3" t="s">
        <v>244</v>
      </c>
    </row>
    <row r="10249" spans="2:9" x14ac:dyDescent="0.4">
      <c r="D10249" s="3" t="s">
        <v>16335</v>
      </c>
      <c r="F10249" s="3" t="s">
        <v>1279</v>
      </c>
      <c r="I10249" s="3" t="s">
        <v>244</v>
      </c>
    </row>
    <row r="10250" spans="2:9" x14ac:dyDescent="0.4">
      <c r="D10250" s="3" t="s">
        <v>16336</v>
      </c>
      <c r="F10250" s="3" t="s">
        <v>1279</v>
      </c>
      <c r="I10250" s="3" t="s">
        <v>244</v>
      </c>
    </row>
    <row r="10251" spans="2:9" x14ac:dyDescent="0.4">
      <c r="D10251" s="3" t="s">
        <v>16337</v>
      </c>
      <c r="F10251" s="3" t="s">
        <v>1279</v>
      </c>
      <c r="I10251" s="3" t="s">
        <v>244</v>
      </c>
    </row>
    <row r="10252" spans="2:9" x14ac:dyDescent="0.4">
      <c r="B10252" s="8" t="s">
        <v>529</v>
      </c>
      <c r="C10252" s="3" t="s">
        <v>15614</v>
      </c>
      <c r="D10252" s="3" t="s">
        <v>16338</v>
      </c>
      <c r="F10252" s="3" t="s">
        <v>1279</v>
      </c>
      <c r="I10252" s="3" t="s">
        <v>244</v>
      </c>
    </row>
    <row r="10253" spans="2:9" x14ac:dyDescent="0.4">
      <c r="B10253" s="8" t="s">
        <v>529</v>
      </c>
      <c r="C10253" s="3" t="s">
        <v>15615</v>
      </c>
      <c r="D10253" s="3" t="s">
        <v>16339</v>
      </c>
      <c r="F10253" s="3" t="s">
        <v>1279</v>
      </c>
      <c r="I10253" s="3" t="s">
        <v>244</v>
      </c>
    </row>
    <row r="10254" spans="2:9" x14ac:dyDescent="0.4">
      <c r="B10254" s="8" t="s">
        <v>517</v>
      </c>
      <c r="C10254" s="3" t="s">
        <v>15616</v>
      </c>
      <c r="D10254" s="3" t="s">
        <v>16339</v>
      </c>
      <c r="F10254" s="3" t="s">
        <v>1279</v>
      </c>
      <c r="I10254" s="3" t="s">
        <v>244</v>
      </c>
    </row>
    <row r="10255" spans="2:9" x14ac:dyDescent="0.4">
      <c r="B10255" s="8" t="s">
        <v>529</v>
      </c>
      <c r="C10255" s="3" t="s">
        <v>15617</v>
      </c>
      <c r="D10255" s="3" t="s">
        <v>16340</v>
      </c>
      <c r="F10255" s="3" t="s">
        <v>1279</v>
      </c>
      <c r="I10255" s="3" t="s">
        <v>244</v>
      </c>
    </row>
    <row r="10256" spans="2:9" x14ac:dyDescent="0.4">
      <c r="D10256" s="3" t="s">
        <v>16341</v>
      </c>
      <c r="F10256" s="3" t="s">
        <v>1279</v>
      </c>
      <c r="I10256" s="3" t="s">
        <v>244</v>
      </c>
    </row>
    <row r="10257" spans="2:9" x14ac:dyDescent="0.4">
      <c r="D10257" s="3" t="s">
        <v>16342</v>
      </c>
      <c r="F10257" s="3" t="s">
        <v>1279</v>
      </c>
      <c r="I10257" s="3" t="s">
        <v>244</v>
      </c>
    </row>
    <row r="10258" spans="2:9" x14ac:dyDescent="0.4">
      <c r="D10258" s="3" t="s">
        <v>16343</v>
      </c>
      <c r="F10258" s="3" t="s">
        <v>1279</v>
      </c>
      <c r="I10258" s="3" t="s">
        <v>244</v>
      </c>
    </row>
    <row r="10259" spans="2:9" x14ac:dyDescent="0.4">
      <c r="B10259" s="8" t="s">
        <v>518</v>
      </c>
      <c r="C10259" s="3" t="s">
        <v>15618</v>
      </c>
      <c r="D10259" s="3" t="s">
        <v>16344</v>
      </c>
      <c r="F10259" s="3" t="s">
        <v>1279</v>
      </c>
      <c r="I10259" s="3" t="s">
        <v>244</v>
      </c>
    </row>
    <row r="10260" spans="2:9" x14ac:dyDescent="0.4">
      <c r="B10260" s="8" t="s">
        <v>517</v>
      </c>
      <c r="C10260" s="3" t="s">
        <v>15619</v>
      </c>
      <c r="D10260" s="3" t="s">
        <v>16345</v>
      </c>
      <c r="F10260" s="3" t="s">
        <v>1279</v>
      </c>
      <c r="I10260" s="3" t="s">
        <v>244</v>
      </c>
    </row>
    <row r="10261" spans="2:9" x14ac:dyDescent="0.4">
      <c r="B10261" s="8" t="s">
        <v>517</v>
      </c>
      <c r="C10261" s="3" t="s">
        <v>15620</v>
      </c>
      <c r="D10261" s="3" t="s">
        <v>16346</v>
      </c>
      <c r="F10261" s="3" t="s">
        <v>1279</v>
      </c>
      <c r="I10261" s="3" t="s">
        <v>244</v>
      </c>
    </row>
    <row r="10262" spans="2:9" x14ac:dyDescent="0.4">
      <c r="B10262" s="8" t="s">
        <v>517</v>
      </c>
      <c r="C10262" s="3" t="s">
        <v>15621</v>
      </c>
      <c r="D10262" s="3" t="s">
        <v>16347</v>
      </c>
      <c r="F10262" s="3" t="s">
        <v>1279</v>
      </c>
      <c r="I10262" s="3" t="s">
        <v>244</v>
      </c>
    </row>
    <row r="10263" spans="2:9" x14ac:dyDescent="0.4">
      <c r="B10263" s="8" t="s">
        <v>518</v>
      </c>
      <c r="C10263" s="3" t="s">
        <v>15622</v>
      </c>
      <c r="D10263" s="3" t="s">
        <v>16348</v>
      </c>
      <c r="F10263" s="3" t="s">
        <v>1279</v>
      </c>
      <c r="I10263" s="3" t="s">
        <v>244</v>
      </c>
    </row>
    <row r="10264" spans="2:9" x14ac:dyDescent="0.4">
      <c r="D10264" s="3" t="s">
        <v>16349</v>
      </c>
      <c r="F10264" s="3" t="s">
        <v>1279</v>
      </c>
      <c r="I10264" s="3" t="s">
        <v>244</v>
      </c>
    </row>
    <row r="10265" spans="2:9" x14ac:dyDescent="0.4">
      <c r="D10265" s="3" t="s">
        <v>16350</v>
      </c>
      <c r="F10265" s="3" t="s">
        <v>1279</v>
      </c>
      <c r="I10265" s="3" t="s">
        <v>244</v>
      </c>
    </row>
    <row r="10266" spans="2:9" x14ac:dyDescent="0.4">
      <c r="D10266" s="3" t="s">
        <v>16351</v>
      </c>
      <c r="F10266" s="3" t="s">
        <v>1279</v>
      </c>
      <c r="I10266" s="3" t="s">
        <v>244</v>
      </c>
    </row>
    <row r="10267" spans="2:9" x14ac:dyDescent="0.4">
      <c r="D10267" s="3" t="s">
        <v>16352</v>
      </c>
      <c r="F10267" s="3" t="s">
        <v>1279</v>
      </c>
      <c r="I10267" s="3" t="s">
        <v>244</v>
      </c>
    </row>
    <row r="10268" spans="2:9" x14ac:dyDescent="0.4">
      <c r="D10268" s="3" t="s">
        <v>16353</v>
      </c>
      <c r="F10268" s="3" t="s">
        <v>1279</v>
      </c>
      <c r="I10268" s="3" t="s">
        <v>244</v>
      </c>
    </row>
    <row r="10269" spans="2:9" x14ac:dyDescent="0.4">
      <c r="D10269" s="3" t="s">
        <v>15946</v>
      </c>
      <c r="F10269" s="3" t="s">
        <v>1279</v>
      </c>
      <c r="I10269" s="3" t="s">
        <v>244</v>
      </c>
    </row>
    <row r="10270" spans="2:9" x14ac:dyDescent="0.4">
      <c r="B10270" s="8" t="s">
        <v>517</v>
      </c>
      <c r="C10270" s="3" t="s">
        <v>15623</v>
      </c>
      <c r="D10270" s="3" t="s">
        <v>16354</v>
      </c>
      <c r="F10270" s="3" t="s">
        <v>1279</v>
      </c>
      <c r="I10270" s="3" t="s">
        <v>244</v>
      </c>
    </row>
    <row r="10271" spans="2:9" x14ac:dyDescent="0.4">
      <c r="B10271" s="8" t="s">
        <v>532</v>
      </c>
      <c r="C10271" s="3" t="s">
        <v>15624</v>
      </c>
      <c r="D10271" s="3" t="s">
        <v>16355</v>
      </c>
      <c r="F10271" s="3" t="s">
        <v>1279</v>
      </c>
      <c r="I10271" s="3" t="s">
        <v>244</v>
      </c>
    </row>
    <row r="10272" spans="2:9" x14ac:dyDescent="0.4">
      <c r="B10272" s="8" t="s">
        <v>520</v>
      </c>
      <c r="C10272" s="3" t="s">
        <v>15625</v>
      </c>
      <c r="D10272" s="3" t="s">
        <v>16356</v>
      </c>
      <c r="F10272" s="3" t="s">
        <v>1279</v>
      </c>
      <c r="I10272" s="3" t="s">
        <v>244</v>
      </c>
    </row>
    <row r="10273" spans="2:9" x14ac:dyDescent="0.4">
      <c r="B10273" s="8" t="s">
        <v>517</v>
      </c>
      <c r="C10273" s="3" t="s">
        <v>15626</v>
      </c>
      <c r="D10273" s="3" t="s">
        <v>16357</v>
      </c>
      <c r="F10273" s="3" t="s">
        <v>1279</v>
      </c>
      <c r="I10273" s="3" t="s">
        <v>244</v>
      </c>
    </row>
    <row r="10274" spans="2:9" x14ac:dyDescent="0.4">
      <c r="B10274" s="8" t="s">
        <v>529</v>
      </c>
      <c r="C10274" s="3" t="s">
        <v>15627</v>
      </c>
      <c r="D10274" s="3" t="s">
        <v>16358</v>
      </c>
      <c r="F10274" s="3" t="s">
        <v>1279</v>
      </c>
      <c r="I10274" s="3" t="s">
        <v>244</v>
      </c>
    </row>
    <row r="10275" spans="2:9" x14ac:dyDescent="0.4">
      <c r="B10275" s="8" t="s">
        <v>517</v>
      </c>
      <c r="C10275" s="3" t="s">
        <v>15628</v>
      </c>
      <c r="D10275" s="3" t="s">
        <v>16359</v>
      </c>
      <c r="F10275" s="3" t="s">
        <v>1279</v>
      </c>
      <c r="I10275" s="3" t="s">
        <v>244</v>
      </c>
    </row>
    <row r="10276" spans="2:9" x14ac:dyDescent="0.4">
      <c r="B10276" s="8" t="s">
        <v>532</v>
      </c>
      <c r="C10276" s="3" t="s">
        <v>15629</v>
      </c>
      <c r="D10276" s="3" t="s">
        <v>16360</v>
      </c>
      <c r="F10276" s="3" t="s">
        <v>1279</v>
      </c>
      <c r="I10276" s="3" t="s">
        <v>244</v>
      </c>
    </row>
    <row r="10277" spans="2:9" x14ac:dyDescent="0.4">
      <c r="B10277" s="8" t="s">
        <v>529</v>
      </c>
      <c r="C10277" s="3" t="s">
        <v>15630</v>
      </c>
      <c r="D10277" s="3" t="s">
        <v>16361</v>
      </c>
      <c r="F10277" s="3" t="s">
        <v>1279</v>
      </c>
      <c r="I10277" s="3" t="s">
        <v>244</v>
      </c>
    </row>
    <row r="10278" spans="2:9" x14ac:dyDescent="0.4">
      <c r="B10278" s="8" t="s">
        <v>531</v>
      </c>
      <c r="C10278" s="3" t="s">
        <v>15631</v>
      </c>
      <c r="D10278" s="3" t="s">
        <v>16362</v>
      </c>
      <c r="F10278" s="3" t="s">
        <v>1279</v>
      </c>
      <c r="I10278" s="3" t="s">
        <v>244</v>
      </c>
    </row>
    <row r="10279" spans="2:9" x14ac:dyDescent="0.4">
      <c r="B10279" s="8" t="s">
        <v>531</v>
      </c>
      <c r="C10279" s="3" t="s">
        <v>15632</v>
      </c>
      <c r="D10279" s="3" t="s">
        <v>16363</v>
      </c>
      <c r="F10279" s="3" t="s">
        <v>1279</v>
      </c>
      <c r="I10279" s="3" t="s">
        <v>244</v>
      </c>
    </row>
    <row r="10280" spans="2:9" x14ac:dyDescent="0.4">
      <c r="D10280" s="3" t="s">
        <v>16364</v>
      </c>
      <c r="F10280" s="3" t="s">
        <v>1279</v>
      </c>
      <c r="I10280" s="3" t="s">
        <v>244</v>
      </c>
    </row>
    <row r="10281" spans="2:9" x14ac:dyDescent="0.4">
      <c r="D10281" s="3" t="s">
        <v>16365</v>
      </c>
      <c r="F10281" s="3" t="s">
        <v>1279</v>
      </c>
      <c r="I10281" s="3" t="s">
        <v>244</v>
      </c>
    </row>
    <row r="10282" spans="2:9" x14ac:dyDescent="0.4">
      <c r="D10282" s="3" t="s">
        <v>16366</v>
      </c>
      <c r="F10282" s="3" t="s">
        <v>1279</v>
      </c>
      <c r="I10282" s="3" t="s">
        <v>244</v>
      </c>
    </row>
    <row r="10283" spans="2:9" x14ac:dyDescent="0.4">
      <c r="D10283" s="3" t="s">
        <v>16367</v>
      </c>
      <c r="F10283" s="3" t="s">
        <v>1279</v>
      </c>
      <c r="I10283" s="3" t="s">
        <v>244</v>
      </c>
    </row>
    <row r="10284" spans="2:9" x14ac:dyDescent="0.4">
      <c r="D10284" s="3" t="s">
        <v>16368</v>
      </c>
      <c r="F10284" s="3" t="s">
        <v>1279</v>
      </c>
      <c r="I10284" s="3" t="s">
        <v>244</v>
      </c>
    </row>
    <row r="10285" spans="2:9" x14ac:dyDescent="0.4">
      <c r="D10285" s="3" t="s">
        <v>16369</v>
      </c>
      <c r="F10285" s="3" t="s">
        <v>1279</v>
      </c>
      <c r="I10285" s="3" t="s">
        <v>244</v>
      </c>
    </row>
    <row r="10286" spans="2:9" x14ac:dyDescent="0.4">
      <c r="D10286" s="3" t="s">
        <v>16370</v>
      </c>
      <c r="F10286" s="3" t="s">
        <v>1279</v>
      </c>
      <c r="I10286" s="3" t="s">
        <v>244</v>
      </c>
    </row>
    <row r="10287" spans="2:9" x14ac:dyDescent="0.4">
      <c r="D10287" s="3" t="s">
        <v>16371</v>
      </c>
      <c r="F10287" s="3" t="s">
        <v>1279</v>
      </c>
      <c r="I10287" s="3" t="s">
        <v>244</v>
      </c>
    </row>
    <row r="10288" spans="2:9" x14ac:dyDescent="0.4">
      <c r="D10288" s="3" t="s">
        <v>16372</v>
      </c>
      <c r="F10288" s="3" t="s">
        <v>1279</v>
      </c>
      <c r="I10288" s="3" t="s">
        <v>244</v>
      </c>
    </row>
    <row r="10289" spans="2:9" x14ac:dyDescent="0.4">
      <c r="D10289" s="3" t="s">
        <v>16373</v>
      </c>
      <c r="F10289" s="3" t="s">
        <v>1279</v>
      </c>
      <c r="I10289" s="3" t="s">
        <v>244</v>
      </c>
    </row>
    <row r="10290" spans="2:9" x14ac:dyDescent="0.4">
      <c r="D10290" s="3" t="s">
        <v>16374</v>
      </c>
      <c r="F10290" s="3" t="s">
        <v>1279</v>
      </c>
      <c r="I10290" s="3" t="s">
        <v>244</v>
      </c>
    </row>
    <row r="10291" spans="2:9" x14ac:dyDescent="0.4">
      <c r="B10291" s="8" t="s">
        <v>531</v>
      </c>
      <c r="C10291" s="3" t="s">
        <v>15633</v>
      </c>
      <c r="D10291" s="3" t="s">
        <v>16375</v>
      </c>
      <c r="F10291" s="3" t="s">
        <v>1279</v>
      </c>
      <c r="I10291" s="3" t="s">
        <v>244</v>
      </c>
    </row>
    <row r="10292" spans="2:9" x14ac:dyDescent="0.4">
      <c r="B10292" s="8" t="s">
        <v>529</v>
      </c>
      <c r="C10292" s="3" t="s">
        <v>15634</v>
      </c>
      <c r="D10292" s="3" t="s">
        <v>16376</v>
      </c>
      <c r="F10292" s="3" t="s">
        <v>1279</v>
      </c>
      <c r="I10292" s="3" t="s">
        <v>244</v>
      </c>
    </row>
    <row r="10293" spans="2:9" x14ac:dyDescent="0.4">
      <c r="B10293" s="8" t="s">
        <v>532</v>
      </c>
      <c r="C10293" s="3" t="s">
        <v>15635</v>
      </c>
      <c r="D10293" s="3" t="s">
        <v>16377</v>
      </c>
      <c r="F10293" s="3" t="s">
        <v>1279</v>
      </c>
      <c r="I10293" s="3" t="s">
        <v>244</v>
      </c>
    </row>
    <row r="10294" spans="2:9" x14ac:dyDescent="0.4">
      <c r="B10294" s="8" t="s">
        <v>517</v>
      </c>
      <c r="C10294" s="3" t="s">
        <v>15636</v>
      </c>
      <c r="D10294" s="3" t="s">
        <v>16378</v>
      </c>
      <c r="F10294" s="3" t="s">
        <v>1279</v>
      </c>
      <c r="I10294" s="3" t="s">
        <v>244</v>
      </c>
    </row>
    <row r="10295" spans="2:9" x14ac:dyDescent="0.4">
      <c r="B10295" s="8" t="s">
        <v>518</v>
      </c>
      <c r="C10295" s="3" t="s">
        <v>12225</v>
      </c>
      <c r="D10295" s="3" t="s">
        <v>16379</v>
      </c>
      <c r="F10295" s="3" t="s">
        <v>1279</v>
      </c>
      <c r="I10295" s="3" t="s">
        <v>244</v>
      </c>
    </row>
    <row r="10296" spans="2:9" x14ac:dyDescent="0.4">
      <c r="B10296" s="8" t="s">
        <v>531</v>
      </c>
      <c r="C10296" s="3" t="s">
        <v>15637</v>
      </c>
      <c r="D10296" s="3" t="s">
        <v>16380</v>
      </c>
      <c r="F10296" s="3" t="s">
        <v>1279</v>
      </c>
      <c r="I10296" s="3" t="s">
        <v>244</v>
      </c>
    </row>
    <row r="10297" spans="2:9" x14ac:dyDescent="0.4">
      <c r="B10297" s="8" t="s">
        <v>529</v>
      </c>
      <c r="C10297" s="3" t="s">
        <v>15638</v>
      </c>
      <c r="D10297" s="3" t="s">
        <v>16381</v>
      </c>
      <c r="F10297" s="3" t="s">
        <v>1279</v>
      </c>
      <c r="I10297" s="3" t="s">
        <v>244</v>
      </c>
    </row>
    <row r="10298" spans="2:9" x14ac:dyDescent="0.4">
      <c r="B10298" s="8" t="s">
        <v>531</v>
      </c>
      <c r="C10298" s="3" t="s">
        <v>15639</v>
      </c>
      <c r="D10298" s="3" t="s">
        <v>16382</v>
      </c>
      <c r="F10298" s="3" t="s">
        <v>1279</v>
      </c>
      <c r="I10298" s="3" t="s">
        <v>244</v>
      </c>
    </row>
    <row r="10299" spans="2:9" x14ac:dyDescent="0.4">
      <c r="B10299" s="8" t="s">
        <v>520</v>
      </c>
      <c r="C10299" s="3" t="s">
        <v>15640</v>
      </c>
      <c r="D10299" s="3" t="s">
        <v>16559</v>
      </c>
      <c r="F10299" s="3" t="s">
        <v>1279</v>
      </c>
      <c r="I10299" s="3" t="s">
        <v>244</v>
      </c>
    </row>
    <row r="10300" spans="2:9" x14ac:dyDescent="0.4">
      <c r="B10300" s="8" t="s">
        <v>531</v>
      </c>
      <c r="C10300" s="3" t="s">
        <v>15641</v>
      </c>
      <c r="D10300" s="3" t="s">
        <v>16383</v>
      </c>
      <c r="F10300" s="3" t="s">
        <v>1279</v>
      </c>
      <c r="I10300" s="3" t="s">
        <v>244</v>
      </c>
    </row>
    <row r="10301" spans="2:9" x14ac:dyDescent="0.4">
      <c r="B10301" s="8" t="s">
        <v>517</v>
      </c>
      <c r="C10301" s="3" t="s">
        <v>12337</v>
      </c>
      <c r="D10301" s="3" t="s">
        <v>16384</v>
      </c>
      <c r="F10301" s="3" t="s">
        <v>1279</v>
      </c>
      <c r="I10301" s="3" t="s">
        <v>244</v>
      </c>
    </row>
    <row r="10302" spans="2:9" x14ac:dyDescent="0.4">
      <c r="B10302" s="8" t="s">
        <v>517</v>
      </c>
      <c r="C10302" s="3" t="s">
        <v>15642</v>
      </c>
      <c r="D10302" s="3" t="s">
        <v>16385</v>
      </c>
      <c r="F10302" s="3" t="s">
        <v>1279</v>
      </c>
      <c r="I10302" s="3" t="s">
        <v>244</v>
      </c>
    </row>
    <row r="10303" spans="2:9" x14ac:dyDescent="0.4">
      <c r="D10303" s="3" t="s">
        <v>16386</v>
      </c>
      <c r="F10303" s="3" t="s">
        <v>1279</v>
      </c>
      <c r="I10303" s="3" t="s">
        <v>244</v>
      </c>
    </row>
    <row r="10304" spans="2:9" x14ac:dyDescent="0.4">
      <c r="D10304" s="3" t="s">
        <v>16387</v>
      </c>
      <c r="F10304" s="3" t="s">
        <v>1279</v>
      </c>
      <c r="I10304" s="3" t="s">
        <v>244</v>
      </c>
    </row>
    <row r="10305" spans="2:9" x14ac:dyDescent="0.4">
      <c r="D10305" s="3" t="s">
        <v>16388</v>
      </c>
      <c r="F10305" s="3" t="s">
        <v>1279</v>
      </c>
      <c r="I10305" s="3" t="s">
        <v>244</v>
      </c>
    </row>
    <row r="10306" spans="2:9" x14ac:dyDescent="0.4">
      <c r="D10306" s="3" t="s">
        <v>16389</v>
      </c>
      <c r="F10306" s="3" t="s">
        <v>1279</v>
      </c>
      <c r="I10306" s="3" t="s">
        <v>244</v>
      </c>
    </row>
    <row r="10307" spans="2:9" x14ac:dyDescent="0.4">
      <c r="B10307" s="8" t="s">
        <v>517</v>
      </c>
      <c r="C10307" s="3" t="s">
        <v>12339</v>
      </c>
      <c r="D10307" s="3" t="s">
        <v>16390</v>
      </c>
      <c r="F10307" s="3" t="s">
        <v>1279</v>
      </c>
      <c r="I10307" s="3" t="s">
        <v>244</v>
      </c>
    </row>
    <row r="10308" spans="2:9" x14ac:dyDescent="0.4">
      <c r="D10308" s="3" t="s">
        <v>16391</v>
      </c>
      <c r="F10308" s="3" t="s">
        <v>1279</v>
      </c>
      <c r="I10308" s="3" t="s">
        <v>244</v>
      </c>
    </row>
    <row r="10309" spans="2:9" x14ac:dyDescent="0.4">
      <c r="B10309" s="8" t="s">
        <v>518</v>
      </c>
      <c r="C10309" s="3" t="s">
        <v>15643</v>
      </c>
      <c r="D10309" s="3" t="s">
        <v>16392</v>
      </c>
      <c r="F10309" s="3" t="s">
        <v>1279</v>
      </c>
      <c r="I10309" s="3" t="s">
        <v>244</v>
      </c>
    </row>
    <row r="10310" spans="2:9" x14ac:dyDescent="0.4">
      <c r="B10310" s="8" t="s">
        <v>531</v>
      </c>
      <c r="C10310" s="3" t="s">
        <v>15644</v>
      </c>
      <c r="D10310" s="3" t="s">
        <v>16393</v>
      </c>
      <c r="F10310" s="3" t="s">
        <v>1279</v>
      </c>
      <c r="I10310" s="3" t="s">
        <v>244</v>
      </c>
    </row>
    <row r="10311" spans="2:9" x14ac:dyDescent="0.4">
      <c r="B10311" s="8" t="s">
        <v>529</v>
      </c>
      <c r="C10311" s="3" t="s">
        <v>15645</v>
      </c>
      <c r="D10311" s="3" t="s">
        <v>16394</v>
      </c>
      <c r="F10311" s="3" t="s">
        <v>1279</v>
      </c>
      <c r="I10311" s="3" t="s">
        <v>244</v>
      </c>
    </row>
    <row r="10312" spans="2:9" x14ac:dyDescent="0.4">
      <c r="B10312" s="8" t="s">
        <v>517</v>
      </c>
      <c r="C10312" s="3" t="s">
        <v>15646</v>
      </c>
      <c r="D10312" s="3" t="s">
        <v>16395</v>
      </c>
      <c r="F10312" s="3" t="s">
        <v>1279</v>
      </c>
      <c r="I10312" s="3" t="s">
        <v>244</v>
      </c>
    </row>
    <row r="10313" spans="2:9" x14ac:dyDescent="0.4">
      <c r="B10313" s="8" t="s">
        <v>529</v>
      </c>
      <c r="C10313" s="3" t="s">
        <v>15647</v>
      </c>
      <c r="D10313" s="3" t="s">
        <v>16396</v>
      </c>
      <c r="F10313" s="3" t="s">
        <v>1279</v>
      </c>
      <c r="I10313" s="3" t="s">
        <v>244</v>
      </c>
    </row>
    <row r="10314" spans="2:9" x14ac:dyDescent="0.4">
      <c r="B10314" s="8" t="s">
        <v>529</v>
      </c>
      <c r="C10314" s="3" t="s">
        <v>15648</v>
      </c>
      <c r="D10314" s="3" t="s">
        <v>16397</v>
      </c>
      <c r="F10314" s="3" t="s">
        <v>1279</v>
      </c>
      <c r="I10314" s="3" t="s">
        <v>244</v>
      </c>
    </row>
    <row r="10315" spans="2:9" x14ac:dyDescent="0.4">
      <c r="B10315" s="8" t="s">
        <v>517</v>
      </c>
      <c r="C10315" s="3" t="s">
        <v>15649</v>
      </c>
      <c r="D10315" s="3" t="s">
        <v>15851</v>
      </c>
      <c r="F10315" s="3" t="s">
        <v>1279</v>
      </c>
      <c r="I10315" s="3" t="s">
        <v>244</v>
      </c>
    </row>
    <row r="10316" spans="2:9" x14ac:dyDescent="0.4">
      <c r="D10316" s="3" t="s">
        <v>16398</v>
      </c>
      <c r="F10316" s="3" t="s">
        <v>1279</v>
      </c>
      <c r="I10316" s="3" t="s">
        <v>244</v>
      </c>
    </row>
    <row r="10317" spans="2:9" x14ac:dyDescent="0.4">
      <c r="D10317" s="3" t="s">
        <v>14360</v>
      </c>
      <c r="F10317" s="3" t="s">
        <v>1279</v>
      </c>
      <c r="I10317" s="3" t="s">
        <v>244</v>
      </c>
    </row>
    <row r="10318" spans="2:9" x14ac:dyDescent="0.4">
      <c r="B10318" s="8" t="s">
        <v>532</v>
      </c>
      <c r="C10318" s="3" t="s">
        <v>15650</v>
      </c>
      <c r="D10318" s="3" t="s">
        <v>16399</v>
      </c>
      <c r="F10318" s="3" t="s">
        <v>1279</v>
      </c>
      <c r="I10318" s="3" t="s">
        <v>244</v>
      </c>
    </row>
    <row r="10319" spans="2:9" x14ac:dyDescent="0.4">
      <c r="B10319" s="8" t="s">
        <v>518</v>
      </c>
      <c r="C10319" s="3" t="s">
        <v>15651</v>
      </c>
      <c r="D10319" s="3" t="s">
        <v>16400</v>
      </c>
      <c r="F10319" s="3" t="s">
        <v>1279</v>
      </c>
      <c r="I10319" s="3" t="s">
        <v>244</v>
      </c>
    </row>
    <row r="10320" spans="2:9" x14ac:dyDescent="0.4">
      <c r="B10320" s="8" t="s">
        <v>518</v>
      </c>
      <c r="C10320" s="3" t="s">
        <v>15652</v>
      </c>
      <c r="D10320" s="3" t="s">
        <v>16401</v>
      </c>
      <c r="F10320" s="3" t="s">
        <v>1279</v>
      </c>
      <c r="I10320" s="3" t="s">
        <v>244</v>
      </c>
    </row>
    <row r="10321" spans="2:9" x14ac:dyDescent="0.4">
      <c r="D10321" s="3" t="s">
        <v>16402</v>
      </c>
      <c r="F10321" s="3" t="s">
        <v>1279</v>
      </c>
      <c r="I10321" s="3" t="s">
        <v>244</v>
      </c>
    </row>
    <row r="10322" spans="2:9" x14ac:dyDescent="0.4">
      <c r="D10322" s="3" t="s">
        <v>16403</v>
      </c>
      <c r="F10322" s="3" t="s">
        <v>1279</v>
      </c>
      <c r="I10322" s="3" t="s">
        <v>244</v>
      </c>
    </row>
    <row r="10323" spans="2:9" x14ac:dyDescent="0.4">
      <c r="D10323" s="3" t="s">
        <v>14181</v>
      </c>
      <c r="F10323" s="3" t="s">
        <v>1279</v>
      </c>
      <c r="I10323" s="3" t="s">
        <v>244</v>
      </c>
    </row>
    <row r="10324" spans="2:9" x14ac:dyDescent="0.4">
      <c r="D10324" s="3" t="s">
        <v>16404</v>
      </c>
      <c r="F10324" s="3" t="s">
        <v>1279</v>
      </c>
      <c r="I10324" s="3" t="s">
        <v>244</v>
      </c>
    </row>
    <row r="10325" spans="2:9" x14ac:dyDescent="0.4">
      <c r="D10325" s="3" t="s">
        <v>16405</v>
      </c>
      <c r="F10325" s="3" t="s">
        <v>1279</v>
      </c>
      <c r="I10325" s="3" t="s">
        <v>244</v>
      </c>
    </row>
    <row r="10326" spans="2:9" x14ac:dyDescent="0.4">
      <c r="D10326" s="3" t="s">
        <v>16406</v>
      </c>
      <c r="F10326" s="3" t="s">
        <v>1279</v>
      </c>
      <c r="I10326" s="3" t="s">
        <v>244</v>
      </c>
    </row>
    <row r="10327" spans="2:9" x14ac:dyDescent="0.4">
      <c r="D10327" s="3" t="s">
        <v>16407</v>
      </c>
      <c r="F10327" s="3" t="s">
        <v>1279</v>
      </c>
      <c r="I10327" s="3" t="s">
        <v>244</v>
      </c>
    </row>
    <row r="10328" spans="2:9" x14ac:dyDescent="0.4">
      <c r="D10328" s="3" t="s">
        <v>16408</v>
      </c>
      <c r="F10328" s="3" t="s">
        <v>1279</v>
      </c>
      <c r="I10328" s="3" t="s">
        <v>244</v>
      </c>
    </row>
    <row r="10329" spans="2:9" x14ac:dyDescent="0.4">
      <c r="B10329" s="8" t="s">
        <v>531</v>
      </c>
      <c r="C10329" s="3" t="s">
        <v>15653</v>
      </c>
      <c r="D10329" s="3" t="s">
        <v>16409</v>
      </c>
      <c r="F10329" s="3" t="s">
        <v>1279</v>
      </c>
      <c r="I10329" s="3" t="s">
        <v>244</v>
      </c>
    </row>
    <row r="10330" spans="2:9" x14ac:dyDescent="0.4">
      <c r="D10330" s="3" t="s">
        <v>16410</v>
      </c>
      <c r="F10330" s="3" t="s">
        <v>1279</v>
      </c>
      <c r="I10330" s="3" t="s">
        <v>244</v>
      </c>
    </row>
    <row r="10331" spans="2:9" x14ac:dyDescent="0.4">
      <c r="D10331" s="3" t="s">
        <v>16411</v>
      </c>
      <c r="F10331" s="3" t="s">
        <v>1279</v>
      </c>
      <c r="I10331" s="3" t="s">
        <v>244</v>
      </c>
    </row>
    <row r="10332" spans="2:9" x14ac:dyDescent="0.4">
      <c r="D10332" s="3" t="s">
        <v>16412</v>
      </c>
      <c r="F10332" s="3" t="s">
        <v>1279</v>
      </c>
      <c r="I10332" s="3" t="s">
        <v>244</v>
      </c>
    </row>
    <row r="10333" spans="2:9" x14ac:dyDescent="0.4">
      <c r="B10333" s="8" t="s">
        <v>531</v>
      </c>
      <c r="C10333" s="3" t="s">
        <v>15654</v>
      </c>
      <c r="D10333" s="3" t="s">
        <v>16413</v>
      </c>
      <c r="F10333" s="3" t="s">
        <v>1279</v>
      </c>
      <c r="I10333" s="3" t="s">
        <v>244</v>
      </c>
    </row>
    <row r="10334" spans="2:9" x14ac:dyDescent="0.4">
      <c r="B10334" s="8" t="s">
        <v>531</v>
      </c>
      <c r="C10334" s="3" t="s">
        <v>15655</v>
      </c>
      <c r="D10334" s="3" t="s">
        <v>16414</v>
      </c>
      <c r="F10334" s="3" t="s">
        <v>1279</v>
      </c>
      <c r="I10334" s="3" t="s">
        <v>244</v>
      </c>
    </row>
    <row r="10335" spans="2:9" x14ac:dyDescent="0.4">
      <c r="B10335" s="8" t="s">
        <v>517</v>
      </c>
      <c r="C10335" s="3" t="s">
        <v>15656</v>
      </c>
      <c r="D10335" s="3" t="s">
        <v>16415</v>
      </c>
      <c r="F10335" s="3" t="s">
        <v>1279</v>
      </c>
      <c r="I10335" s="3" t="s">
        <v>244</v>
      </c>
    </row>
    <row r="10336" spans="2:9" x14ac:dyDescent="0.4">
      <c r="D10336" s="3" t="s">
        <v>16416</v>
      </c>
      <c r="F10336" s="3" t="s">
        <v>1279</v>
      </c>
      <c r="I10336" s="3" t="s">
        <v>244</v>
      </c>
    </row>
    <row r="10337" spans="2:9" x14ac:dyDescent="0.4">
      <c r="D10337" s="3" t="s">
        <v>16417</v>
      </c>
      <c r="F10337" s="3" t="s">
        <v>1279</v>
      </c>
      <c r="I10337" s="3" t="s">
        <v>244</v>
      </c>
    </row>
    <row r="10338" spans="2:9" x14ac:dyDescent="0.4">
      <c r="B10338" s="8" t="s">
        <v>520</v>
      </c>
      <c r="C10338" s="3" t="s">
        <v>15657</v>
      </c>
      <c r="D10338" s="3" t="s">
        <v>16418</v>
      </c>
      <c r="F10338" s="3" t="s">
        <v>1279</v>
      </c>
      <c r="I10338" s="3" t="s">
        <v>244</v>
      </c>
    </row>
    <row r="10339" spans="2:9" x14ac:dyDescent="0.4">
      <c r="D10339" s="3" t="s">
        <v>16148</v>
      </c>
      <c r="F10339" s="3" t="s">
        <v>1279</v>
      </c>
      <c r="I10339" s="3" t="s">
        <v>244</v>
      </c>
    </row>
    <row r="10340" spans="2:9" x14ac:dyDescent="0.4">
      <c r="D10340" s="3" t="s">
        <v>16419</v>
      </c>
      <c r="F10340" s="3" t="s">
        <v>1279</v>
      </c>
      <c r="I10340" s="3" t="s">
        <v>244</v>
      </c>
    </row>
    <row r="10341" spans="2:9" x14ac:dyDescent="0.4">
      <c r="D10341" s="3" t="s">
        <v>16420</v>
      </c>
      <c r="F10341" s="3" t="s">
        <v>1279</v>
      </c>
      <c r="I10341" s="3" t="s">
        <v>244</v>
      </c>
    </row>
    <row r="10342" spans="2:9" x14ac:dyDescent="0.4">
      <c r="B10342" s="8" t="s">
        <v>529</v>
      </c>
      <c r="C10342" s="3" t="s">
        <v>15658</v>
      </c>
      <c r="D10342" s="3" t="s">
        <v>16421</v>
      </c>
      <c r="F10342" s="3" t="s">
        <v>1279</v>
      </c>
      <c r="I10342" s="3" t="s">
        <v>244</v>
      </c>
    </row>
    <row r="10343" spans="2:9" x14ac:dyDescent="0.4">
      <c r="D10343" s="3" t="s">
        <v>16422</v>
      </c>
      <c r="F10343" s="3" t="s">
        <v>1279</v>
      </c>
      <c r="I10343" s="3" t="s">
        <v>244</v>
      </c>
    </row>
    <row r="10344" spans="2:9" x14ac:dyDescent="0.4">
      <c r="D10344" s="3" t="s">
        <v>16423</v>
      </c>
      <c r="F10344" s="3" t="s">
        <v>1279</v>
      </c>
      <c r="I10344" s="3" t="s">
        <v>244</v>
      </c>
    </row>
    <row r="10345" spans="2:9" x14ac:dyDescent="0.4">
      <c r="D10345" s="3" t="s">
        <v>16424</v>
      </c>
      <c r="F10345" s="3" t="s">
        <v>1279</v>
      </c>
      <c r="I10345" s="3" t="s">
        <v>244</v>
      </c>
    </row>
    <row r="10346" spans="2:9" x14ac:dyDescent="0.4">
      <c r="B10346" s="8" t="s">
        <v>518</v>
      </c>
      <c r="C10346" s="3" t="s">
        <v>15659</v>
      </c>
      <c r="D10346" s="3" t="s">
        <v>16425</v>
      </c>
      <c r="F10346" s="3" t="s">
        <v>1279</v>
      </c>
      <c r="I10346" s="3" t="s">
        <v>244</v>
      </c>
    </row>
    <row r="10347" spans="2:9" x14ac:dyDescent="0.4">
      <c r="D10347" s="3" t="s">
        <v>16426</v>
      </c>
      <c r="F10347" s="3" t="s">
        <v>1279</v>
      </c>
      <c r="I10347" s="3" t="s">
        <v>244</v>
      </c>
    </row>
    <row r="10348" spans="2:9" x14ac:dyDescent="0.4">
      <c r="D10348" s="3" t="s">
        <v>16427</v>
      </c>
      <c r="F10348" s="3" t="s">
        <v>1279</v>
      </c>
      <c r="I10348" s="3" t="s">
        <v>244</v>
      </c>
    </row>
    <row r="10349" spans="2:9" x14ac:dyDescent="0.4">
      <c r="B10349" s="8" t="s">
        <v>518</v>
      </c>
      <c r="C10349" s="3" t="s">
        <v>15660</v>
      </c>
      <c r="D10349" s="3" t="s">
        <v>16428</v>
      </c>
      <c r="F10349" s="3" t="s">
        <v>1279</v>
      </c>
      <c r="I10349" s="3" t="s">
        <v>244</v>
      </c>
    </row>
    <row r="10350" spans="2:9" x14ac:dyDescent="0.4">
      <c r="B10350" s="8" t="s">
        <v>529</v>
      </c>
      <c r="C10350" s="3" t="s">
        <v>15661</v>
      </c>
      <c r="D10350" s="3" t="s">
        <v>16428</v>
      </c>
      <c r="F10350" s="3" t="s">
        <v>1279</v>
      </c>
      <c r="I10350" s="3" t="s">
        <v>244</v>
      </c>
    </row>
    <row r="10351" spans="2:9" x14ac:dyDescent="0.4">
      <c r="B10351" s="8" t="s">
        <v>532</v>
      </c>
      <c r="C10351" s="3" t="s">
        <v>15662</v>
      </c>
      <c r="D10351" s="3" t="s">
        <v>16429</v>
      </c>
      <c r="F10351" s="3" t="s">
        <v>1279</v>
      </c>
      <c r="I10351" s="3" t="s">
        <v>244</v>
      </c>
    </row>
    <row r="10352" spans="2:9" x14ac:dyDescent="0.4">
      <c r="B10352" s="8" t="s">
        <v>529</v>
      </c>
      <c r="C10352" s="3" t="s">
        <v>15663</v>
      </c>
      <c r="D10352" s="3" t="s">
        <v>16430</v>
      </c>
      <c r="F10352" s="3" t="s">
        <v>1279</v>
      </c>
      <c r="I10352" s="3" t="s">
        <v>244</v>
      </c>
    </row>
    <row r="10353" spans="2:9" x14ac:dyDescent="0.4">
      <c r="D10353" s="3" t="s">
        <v>16431</v>
      </c>
      <c r="F10353" s="3" t="s">
        <v>1279</v>
      </c>
      <c r="I10353" s="3" t="s">
        <v>244</v>
      </c>
    </row>
    <row r="10354" spans="2:9" x14ac:dyDescent="0.4">
      <c r="B10354" s="8" t="s">
        <v>529</v>
      </c>
      <c r="C10354" s="3" t="s">
        <v>15664</v>
      </c>
      <c r="D10354" s="3" t="s">
        <v>16432</v>
      </c>
      <c r="F10354" s="3" t="s">
        <v>1279</v>
      </c>
      <c r="I10354" s="3" t="s">
        <v>244</v>
      </c>
    </row>
    <row r="10355" spans="2:9" x14ac:dyDescent="0.4">
      <c r="B10355" s="8" t="s">
        <v>518</v>
      </c>
      <c r="C10355" s="3" t="s">
        <v>15665</v>
      </c>
      <c r="D10355" s="3" t="s">
        <v>16433</v>
      </c>
      <c r="F10355" s="3" t="s">
        <v>1279</v>
      </c>
      <c r="I10355" s="3" t="s">
        <v>244</v>
      </c>
    </row>
    <row r="10356" spans="2:9" x14ac:dyDescent="0.4">
      <c r="B10356" s="8" t="s">
        <v>517</v>
      </c>
      <c r="C10356" s="3" t="s">
        <v>15666</v>
      </c>
      <c r="D10356" s="3" t="s">
        <v>16434</v>
      </c>
      <c r="F10356" s="3" t="s">
        <v>1279</v>
      </c>
      <c r="I10356" s="3" t="s">
        <v>244</v>
      </c>
    </row>
    <row r="10357" spans="2:9" x14ac:dyDescent="0.4">
      <c r="B10357" s="8" t="s">
        <v>517</v>
      </c>
      <c r="C10357" s="3" t="s">
        <v>15667</v>
      </c>
      <c r="D10357" s="3" t="s">
        <v>16434</v>
      </c>
      <c r="F10357" s="3" t="s">
        <v>1279</v>
      </c>
      <c r="I10357" s="3" t="s">
        <v>244</v>
      </c>
    </row>
    <row r="10358" spans="2:9" x14ac:dyDescent="0.4">
      <c r="B10358" s="8" t="s">
        <v>520</v>
      </c>
      <c r="C10358" s="3" t="s">
        <v>15668</v>
      </c>
      <c r="D10358" s="3" t="s">
        <v>16435</v>
      </c>
      <c r="F10358" s="3" t="s">
        <v>1279</v>
      </c>
      <c r="I10358" s="3" t="s">
        <v>244</v>
      </c>
    </row>
    <row r="10359" spans="2:9" x14ac:dyDescent="0.4">
      <c r="B10359" s="8" t="s">
        <v>531</v>
      </c>
      <c r="C10359" s="3" t="s">
        <v>15669</v>
      </c>
      <c r="D10359" s="3" t="s">
        <v>16436</v>
      </c>
      <c r="F10359" s="3" t="s">
        <v>1279</v>
      </c>
      <c r="I10359" s="3" t="s">
        <v>244</v>
      </c>
    </row>
    <row r="10360" spans="2:9" x14ac:dyDescent="0.4">
      <c r="B10360" s="8" t="s">
        <v>517</v>
      </c>
      <c r="C10360" s="3" t="s">
        <v>2030</v>
      </c>
      <c r="D10360" s="3" t="s">
        <v>16436</v>
      </c>
      <c r="F10360" s="3" t="s">
        <v>1279</v>
      </c>
      <c r="I10360" s="3" t="s">
        <v>244</v>
      </c>
    </row>
    <row r="10361" spans="2:9" x14ac:dyDescent="0.4">
      <c r="B10361" s="8" t="s">
        <v>518</v>
      </c>
      <c r="C10361" s="3" t="s">
        <v>15670</v>
      </c>
      <c r="D10361" s="3" t="s">
        <v>16437</v>
      </c>
      <c r="F10361" s="3" t="s">
        <v>1279</v>
      </c>
      <c r="I10361" s="3" t="s">
        <v>244</v>
      </c>
    </row>
    <row r="10362" spans="2:9" x14ac:dyDescent="0.4">
      <c r="B10362" s="8" t="s">
        <v>517</v>
      </c>
      <c r="C10362" s="3" t="s">
        <v>15671</v>
      </c>
      <c r="D10362" s="3" t="s">
        <v>16438</v>
      </c>
      <c r="F10362" s="3" t="s">
        <v>1279</v>
      </c>
      <c r="I10362" s="3" t="s">
        <v>244</v>
      </c>
    </row>
    <row r="10363" spans="2:9" x14ac:dyDescent="0.4">
      <c r="B10363" s="8" t="s">
        <v>531</v>
      </c>
      <c r="C10363" s="3" t="s">
        <v>15672</v>
      </c>
      <c r="D10363" s="3" t="s">
        <v>16439</v>
      </c>
      <c r="F10363" s="3" t="s">
        <v>1279</v>
      </c>
      <c r="I10363" s="3" t="s">
        <v>244</v>
      </c>
    </row>
    <row r="10364" spans="2:9" x14ac:dyDescent="0.4">
      <c r="B10364" s="8" t="s">
        <v>531</v>
      </c>
      <c r="C10364" s="3" t="s">
        <v>15673</v>
      </c>
      <c r="D10364" s="3" t="s">
        <v>16440</v>
      </c>
      <c r="F10364" s="3" t="s">
        <v>1279</v>
      </c>
      <c r="I10364" s="3" t="s">
        <v>244</v>
      </c>
    </row>
    <row r="10365" spans="2:9" x14ac:dyDescent="0.4">
      <c r="D10365" s="3" t="s">
        <v>16441</v>
      </c>
      <c r="F10365" s="3" t="s">
        <v>1279</v>
      </c>
      <c r="I10365" s="3" t="s">
        <v>244</v>
      </c>
    </row>
    <row r="10366" spans="2:9" x14ac:dyDescent="0.4">
      <c r="B10366" s="8" t="s">
        <v>517</v>
      </c>
      <c r="C10366" s="3" t="s">
        <v>15674</v>
      </c>
      <c r="D10366" s="3" t="s">
        <v>16442</v>
      </c>
      <c r="F10366" s="3" t="s">
        <v>1279</v>
      </c>
      <c r="I10366" s="3" t="s">
        <v>244</v>
      </c>
    </row>
    <row r="10367" spans="2:9" x14ac:dyDescent="0.4">
      <c r="B10367" s="8" t="s">
        <v>517</v>
      </c>
      <c r="C10367" s="3" t="s">
        <v>15675</v>
      </c>
      <c r="D10367" s="3" t="s">
        <v>16443</v>
      </c>
      <c r="F10367" s="3" t="s">
        <v>1279</v>
      </c>
      <c r="I10367" s="3" t="s">
        <v>244</v>
      </c>
    </row>
    <row r="10368" spans="2:9" x14ac:dyDescent="0.4">
      <c r="B10368" s="8" t="s">
        <v>517</v>
      </c>
      <c r="C10368" s="3" t="s">
        <v>15676</v>
      </c>
      <c r="D10368" s="3" t="s">
        <v>16444</v>
      </c>
      <c r="F10368" s="3" t="s">
        <v>1279</v>
      </c>
      <c r="I10368" s="3" t="s">
        <v>244</v>
      </c>
    </row>
    <row r="10369" spans="2:9" x14ac:dyDescent="0.4">
      <c r="B10369" s="8" t="s">
        <v>517</v>
      </c>
      <c r="C10369" s="3" t="s">
        <v>15677</v>
      </c>
      <c r="D10369" s="3" t="s">
        <v>16445</v>
      </c>
      <c r="F10369" s="3" t="s">
        <v>1279</v>
      </c>
      <c r="I10369" s="3" t="s">
        <v>244</v>
      </c>
    </row>
    <row r="10370" spans="2:9" x14ac:dyDescent="0.4">
      <c r="B10370" s="8" t="s">
        <v>517</v>
      </c>
      <c r="C10370" s="3" t="s">
        <v>15678</v>
      </c>
      <c r="D10370" s="3" t="s">
        <v>16446</v>
      </c>
      <c r="F10370" s="3" t="s">
        <v>1279</v>
      </c>
      <c r="I10370" s="3" t="s">
        <v>244</v>
      </c>
    </row>
    <row r="10371" spans="2:9" x14ac:dyDescent="0.4">
      <c r="B10371" s="8" t="s">
        <v>518</v>
      </c>
      <c r="C10371" s="3" t="s">
        <v>15679</v>
      </c>
      <c r="D10371" s="3" t="s">
        <v>16447</v>
      </c>
      <c r="F10371" s="3" t="s">
        <v>1279</v>
      </c>
      <c r="I10371" s="3" t="s">
        <v>244</v>
      </c>
    </row>
    <row r="10372" spans="2:9" x14ac:dyDescent="0.4">
      <c r="D10372" s="3" t="s">
        <v>16448</v>
      </c>
      <c r="F10372" s="3" t="s">
        <v>1279</v>
      </c>
      <c r="I10372" s="3" t="s">
        <v>244</v>
      </c>
    </row>
    <row r="10373" spans="2:9" x14ac:dyDescent="0.4">
      <c r="D10373" s="3" t="s">
        <v>16449</v>
      </c>
      <c r="F10373" s="3" t="s">
        <v>1279</v>
      </c>
      <c r="I10373" s="3" t="s">
        <v>244</v>
      </c>
    </row>
    <row r="10374" spans="2:9" x14ac:dyDescent="0.4">
      <c r="D10374" s="3" t="s">
        <v>16450</v>
      </c>
      <c r="F10374" s="3" t="s">
        <v>1279</v>
      </c>
      <c r="I10374" s="3" t="s">
        <v>244</v>
      </c>
    </row>
    <row r="10375" spans="2:9" x14ac:dyDescent="0.4">
      <c r="D10375" s="3" t="s">
        <v>16451</v>
      </c>
      <c r="F10375" s="3" t="s">
        <v>1279</v>
      </c>
      <c r="I10375" s="3" t="s">
        <v>244</v>
      </c>
    </row>
    <row r="10376" spans="2:9" x14ac:dyDescent="0.4">
      <c r="D10376" s="3" t="s">
        <v>16452</v>
      </c>
      <c r="F10376" s="3" t="s">
        <v>1279</v>
      </c>
      <c r="I10376" s="3" t="s">
        <v>244</v>
      </c>
    </row>
    <row r="10377" spans="2:9" x14ac:dyDescent="0.4">
      <c r="D10377" s="3" t="s">
        <v>16453</v>
      </c>
      <c r="F10377" s="3" t="s">
        <v>1279</v>
      </c>
      <c r="I10377" s="3" t="s">
        <v>244</v>
      </c>
    </row>
    <row r="10378" spans="2:9" x14ac:dyDescent="0.4">
      <c r="B10378" s="8" t="s">
        <v>520</v>
      </c>
      <c r="C10378" s="3" t="s">
        <v>15680</v>
      </c>
      <c r="D10378" s="3" t="s">
        <v>16454</v>
      </c>
      <c r="F10378" s="3" t="s">
        <v>1279</v>
      </c>
      <c r="I10378" s="3" t="s">
        <v>244</v>
      </c>
    </row>
    <row r="10379" spans="2:9" x14ac:dyDescent="0.4">
      <c r="D10379" s="3" t="s">
        <v>16455</v>
      </c>
      <c r="F10379" s="3" t="s">
        <v>1279</v>
      </c>
      <c r="I10379" s="3" t="s">
        <v>244</v>
      </c>
    </row>
    <row r="10380" spans="2:9" x14ac:dyDescent="0.4">
      <c r="D10380" s="3" t="s">
        <v>16456</v>
      </c>
      <c r="F10380" s="3" t="s">
        <v>1279</v>
      </c>
      <c r="I10380" s="3" t="s">
        <v>244</v>
      </c>
    </row>
    <row r="10381" spans="2:9" x14ac:dyDescent="0.4">
      <c r="D10381" s="3" t="s">
        <v>16457</v>
      </c>
      <c r="F10381" s="3" t="s">
        <v>1279</v>
      </c>
      <c r="I10381" s="3" t="s">
        <v>244</v>
      </c>
    </row>
    <row r="10382" spans="2:9" x14ac:dyDescent="0.4">
      <c r="B10382" s="8" t="s">
        <v>530</v>
      </c>
      <c r="C10382" s="3" t="s">
        <v>15681</v>
      </c>
      <c r="D10382" s="3" t="s">
        <v>16458</v>
      </c>
      <c r="F10382" s="3" t="s">
        <v>1279</v>
      </c>
      <c r="I10382" s="3" t="s">
        <v>244</v>
      </c>
    </row>
    <row r="10383" spans="2:9" x14ac:dyDescent="0.4">
      <c r="B10383" s="8" t="s">
        <v>517</v>
      </c>
      <c r="C10383" s="3" t="s">
        <v>15682</v>
      </c>
      <c r="D10383" s="3" t="s">
        <v>16459</v>
      </c>
      <c r="F10383" s="3" t="s">
        <v>1279</v>
      </c>
      <c r="I10383" s="3" t="s">
        <v>244</v>
      </c>
    </row>
    <row r="10384" spans="2:9" x14ac:dyDescent="0.4">
      <c r="D10384" s="3" t="s">
        <v>14483</v>
      </c>
      <c r="F10384" s="3" t="s">
        <v>1279</v>
      </c>
      <c r="I10384" s="3" t="s">
        <v>244</v>
      </c>
    </row>
    <row r="10385" spans="2:9" x14ac:dyDescent="0.4">
      <c r="B10385" s="8" t="s">
        <v>520</v>
      </c>
      <c r="C10385" s="3" t="s">
        <v>15683</v>
      </c>
      <c r="D10385" s="3" t="s">
        <v>16460</v>
      </c>
      <c r="F10385" s="3" t="s">
        <v>1279</v>
      </c>
      <c r="I10385" s="3" t="s">
        <v>244</v>
      </c>
    </row>
    <row r="10386" spans="2:9" x14ac:dyDescent="0.4">
      <c r="D10386" s="3" t="s">
        <v>16461</v>
      </c>
      <c r="F10386" s="3" t="s">
        <v>1279</v>
      </c>
      <c r="I10386" s="3" t="s">
        <v>244</v>
      </c>
    </row>
    <row r="10387" spans="2:9" x14ac:dyDescent="0.4">
      <c r="D10387" s="3" t="s">
        <v>16462</v>
      </c>
      <c r="F10387" s="3" t="s">
        <v>1279</v>
      </c>
      <c r="I10387" s="3" t="s">
        <v>244</v>
      </c>
    </row>
    <row r="10388" spans="2:9" x14ac:dyDescent="0.4">
      <c r="D10388" s="3" t="s">
        <v>16463</v>
      </c>
      <c r="F10388" s="3" t="s">
        <v>1279</v>
      </c>
      <c r="I10388" s="3" t="s">
        <v>244</v>
      </c>
    </row>
    <row r="10389" spans="2:9" x14ac:dyDescent="0.4">
      <c r="B10389" s="8" t="s">
        <v>518</v>
      </c>
      <c r="C10389" s="3" t="s">
        <v>15684</v>
      </c>
      <c r="D10389" s="3" t="s">
        <v>16464</v>
      </c>
      <c r="F10389" s="3" t="s">
        <v>1279</v>
      </c>
      <c r="I10389" s="3" t="s">
        <v>244</v>
      </c>
    </row>
    <row r="10390" spans="2:9" x14ac:dyDescent="0.4">
      <c r="B10390" s="8" t="s">
        <v>517</v>
      </c>
      <c r="C10390" s="3" t="s">
        <v>15685</v>
      </c>
      <c r="D10390" s="3" t="s">
        <v>16465</v>
      </c>
      <c r="F10390" s="3" t="s">
        <v>1279</v>
      </c>
      <c r="I10390" s="3" t="s">
        <v>244</v>
      </c>
    </row>
    <row r="10391" spans="2:9" x14ac:dyDescent="0.4">
      <c r="B10391" s="8" t="s">
        <v>529</v>
      </c>
      <c r="C10391" s="3" t="s">
        <v>15686</v>
      </c>
      <c r="D10391" s="3" t="s">
        <v>16466</v>
      </c>
      <c r="F10391" s="3" t="s">
        <v>1279</v>
      </c>
      <c r="I10391" s="3" t="s">
        <v>244</v>
      </c>
    </row>
    <row r="10392" spans="2:9" x14ac:dyDescent="0.4">
      <c r="B10392" s="8" t="s">
        <v>520</v>
      </c>
      <c r="C10392" s="3" t="s">
        <v>15687</v>
      </c>
      <c r="D10392" s="3" t="s">
        <v>16467</v>
      </c>
      <c r="F10392" s="3" t="s">
        <v>1279</v>
      </c>
      <c r="I10392" s="3" t="s">
        <v>244</v>
      </c>
    </row>
    <row r="10393" spans="2:9" x14ac:dyDescent="0.4">
      <c r="D10393" s="3" t="s">
        <v>16468</v>
      </c>
      <c r="F10393" s="3" t="s">
        <v>1279</v>
      </c>
      <c r="I10393" s="3" t="s">
        <v>244</v>
      </c>
    </row>
    <row r="10394" spans="2:9" x14ac:dyDescent="0.4">
      <c r="B10394" s="8" t="s">
        <v>517</v>
      </c>
      <c r="C10394" s="3" t="s">
        <v>15688</v>
      </c>
      <c r="D10394" s="3" t="s">
        <v>16469</v>
      </c>
      <c r="F10394" s="3" t="s">
        <v>1279</v>
      </c>
      <c r="I10394" s="3" t="s">
        <v>244</v>
      </c>
    </row>
    <row r="10395" spans="2:9" x14ac:dyDescent="0.4">
      <c r="B10395" s="8" t="s">
        <v>517</v>
      </c>
      <c r="C10395" s="3" t="s">
        <v>15689</v>
      </c>
      <c r="D10395" s="3" t="s">
        <v>16470</v>
      </c>
      <c r="F10395" s="3" t="s">
        <v>1279</v>
      </c>
      <c r="I10395" s="3" t="s">
        <v>244</v>
      </c>
    </row>
    <row r="10396" spans="2:9" x14ac:dyDescent="0.4">
      <c r="B10396" s="8" t="s">
        <v>531</v>
      </c>
      <c r="C10396" s="3" t="s">
        <v>15690</v>
      </c>
      <c r="D10396" s="3" t="s">
        <v>16471</v>
      </c>
      <c r="F10396" s="3" t="s">
        <v>1279</v>
      </c>
      <c r="I10396" s="3" t="s">
        <v>244</v>
      </c>
    </row>
    <row r="10397" spans="2:9" x14ac:dyDescent="0.4">
      <c r="D10397" s="3" t="s">
        <v>16472</v>
      </c>
      <c r="F10397" s="3" t="s">
        <v>1279</v>
      </c>
      <c r="I10397" s="3" t="s">
        <v>244</v>
      </c>
    </row>
    <row r="10398" spans="2:9" x14ac:dyDescent="0.4">
      <c r="D10398" s="3" t="s">
        <v>16473</v>
      </c>
      <c r="F10398" s="3" t="s">
        <v>1279</v>
      </c>
      <c r="I10398" s="3" t="s">
        <v>244</v>
      </c>
    </row>
    <row r="10399" spans="2:9" x14ac:dyDescent="0.4">
      <c r="B10399" s="8" t="s">
        <v>518</v>
      </c>
      <c r="C10399" s="3" t="s">
        <v>15691</v>
      </c>
      <c r="D10399" s="3" t="s">
        <v>16474</v>
      </c>
      <c r="F10399" s="3" t="s">
        <v>1279</v>
      </c>
      <c r="I10399" s="3" t="s">
        <v>244</v>
      </c>
    </row>
    <row r="10400" spans="2:9" x14ac:dyDescent="0.4">
      <c r="B10400" s="8" t="s">
        <v>531</v>
      </c>
      <c r="C10400" s="3" t="s">
        <v>15692</v>
      </c>
      <c r="D10400" s="3" t="s">
        <v>16475</v>
      </c>
      <c r="F10400" s="3" t="s">
        <v>1279</v>
      </c>
      <c r="I10400" s="3" t="s">
        <v>244</v>
      </c>
    </row>
    <row r="10401" spans="2:9" x14ac:dyDescent="0.4">
      <c r="B10401" s="8" t="s">
        <v>518</v>
      </c>
      <c r="C10401" s="3" t="s">
        <v>15693</v>
      </c>
      <c r="D10401" s="3" t="s">
        <v>16476</v>
      </c>
      <c r="F10401" s="3" t="s">
        <v>1279</v>
      </c>
      <c r="I10401" s="3" t="s">
        <v>244</v>
      </c>
    </row>
    <row r="10402" spans="2:9" x14ac:dyDescent="0.4">
      <c r="B10402" s="8" t="s">
        <v>517</v>
      </c>
      <c r="C10402" s="3" t="s">
        <v>15694</v>
      </c>
      <c r="D10402" s="3" t="s">
        <v>16477</v>
      </c>
      <c r="F10402" s="3" t="s">
        <v>1279</v>
      </c>
      <c r="I10402" s="3" t="s">
        <v>244</v>
      </c>
    </row>
    <row r="10403" spans="2:9" x14ac:dyDescent="0.4">
      <c r="B10403" s="8" t="s">
        <v>520</v>
      </c>
      <c r="C10403" s="3" t="s">
        <v>15695</v>
      </c>
      <c r="D10403" s="3" t="s">
        <v>16478</v>
      </c>
      <c r="F10403" s="3" t="s">
        <v>1279</v>
      </c>
      <c r="I10403" s="3" t="s">
        <v>244</v>
      </c>
    </row>
    <row r="10404" spans="2:9" x14ac:dyDescent="0.4">
      <c r="B10404" s="8" t="s">
        <v>517</v>
      </c>
      <c r="C10404" s="3" t="s">
        <v>15696</v>
      </c>
      <c r="D10404" s="3" t="s">
        <v>16479</v>
      </c>
      <c r="F10404" s="3" t="s">
        <v>1279</v>
      </c>
      <c r="I10404" s="3" t="s">
        <v>244</v>
      </c>
    </row>
    <row r="10405" spans="2:9" x14ac:dyDescent="0.4">
      <c r="B10405" s="8" t="s">
        <v>517</v>
      </c>
      <c r="C10405" s="3" t="s">
        <v>15697</v>
      </c>
      <c r="D10405" s="3" t="s">
        <v>16480</v>
      </c>
      <c r="F10405" s="3" t="s">
        <v>1279</v>
      </c>
      <c r="I10405" s="3" t="s">
        <v>244</v>
      </c>
    </row>
    <row r="10406" spans="2:9" x14ac:dyDescent="0.4">
      <c r="B10406" s="8" t="s">
        <v>517</v>
      </c>
      <c r="C10406" s="3" t="s">
        <v>15698</v>
      </c>
      <c r="D10406" s="3" t="s">
        <v>16480</v>
      </c>
      <c r="F10406" s="3" t="s">
        <v>1279</v>
      </c>
      <c r="I10406" s="3" t="s">
        <v>244</v>
      </c>
    </row>
    <row r="10407" spans="2:9" x14ac:dyDescent="0.4">
      <c r="D10407" s="3" t="s">
        <v>16481</v>
      </c>
      <c r="F10407" s="3" t="s">
        <v>1279</v>
      </c>
      <c r="I10407" s="3" t="s">
        <v>244</v>
      </c>
    </row>
    <row r="10408" spans="2:9" x14ac:dyDescent="0.4">
      <c r="B10408" s="8" t="s">
        <v>518</v>
      </c>
      <c r="C10408" s="3" t="s">
        <v>15699</v>
      </c>
      <c r="D10408" s="3" t="s">
        <v>16482</v>
      </c>
      <c r="F10408" s="3" t="s">
        <v>1279</v>
      </c>
      <c r="I10408" s="3" t="s">
        <v>244</v>
      </c>
    </row>
    <row r="10409" spans="2:9" x14ac:dyDescent="0.4">
      <c r="D10409" s="3" t="s">
        <v>16483</v>
      </c>
      <c r="F10409" s="3" t="s">
        <v>1279</v>
      </c>
      <c r="I10409" s="3" t="s">
        <v>244</v>
      </c>
    </row>
    <row r="10410" spans="2:9" x14ac:dyDescent="0.4">
      <c r="B10410" s="8" t="s">
        <v>518</v>
      </c>
      <c r="C10410" s="3" t="s">
        <v>15700</v>
      </c>
      <c r="D10410" s="3" t="s">
        <v>16484</v>
      </c>
      <c r="F10410" s="3" t="s">
        <v>1279</v>
      </c>
      <c r="I10410" s="3" t="s">
        <v>244</v>
      </c>
    </row>
    <row r="10411" spans="2:9" x14ac:dyDescent="0.4">
      <c r="B10411" s="8" t="s">
        <v>518</v>
      </c>
      <c r="C10411" s="3" t="s">
        <v>15701</v>
      </c>
      <c r="D10411" s="3" t="s">
        <v>16485</v>
      </c>
      <c r="F10411" s="3" t="s">
        <v>1279</v>
      </c>
      <c r="I10411" s="3" t="s">
        <v>244</v>
      </c>
    </row>
    <row r="10412" spans="2:9" x14ac:dyDescent="0.4">
      <c r="B10412" s="8" t="s">
        <v>518</v>
      </c>
      <c r="C10412" s="3" t="s">
        <v>15702</v>
      </c>
      <c r="D10412" s="3" t="s">
        <v>16486</v>
      </c>
      <c r="F10412" s="3" t="s">
        <v>1279</v>
      </c>
      <c r="I10412" s="3" t="s">
        <v>244</v>
      </c>
    </row>
    <row r="10413" spans="2:9" x14ac:dyDescent="0.4">
      <c r="D10413" s="3" t="s">
        <v>16487</v>
      </c>
      <c r="F10413" s="3" t="s">
        <v>1279</v>
      </c>
      <c r="I10413" s="3" t="s">
        <v>244</v>
      </c>
    </row>
    <row r="10414" spans="2:9" x14ac:dyDescent="0.4">
      <c r="B10414" s="8" t="s">
        <v>518</v>
      </c>
      <c r="C10414" s="3" t="s">
        <v>15703</v>
      </c>
      <c r="D10414" s="3" t="s">
        <v>15986</v>
      </c>
      <c r="F10414" s="3" t="s">
        <v>1279</v>
      </c>
      <c r="I10414" s="3" t="s">
        <v>244</v>
      </c>
    </row>
    <row r="10415" spans="2:9" x14ac:dyDescent="0.4">
      <c r="B10415" s="8" t="s">
        <v>518</v>
      </c>
      <c r="C10415" s="3" t="s">
        <v>15704</v>
      </c>
      <c r="D10415" s="3" t="s">
        <v>15986</v>
      </c>
      <c r="F10415" s="3" t="s">
        <v>1279</v>
      </c>
      <c r="I10415" s="3" t="s">
        <v>244</v>
      </c>
    </row>
    <row r="10416" spans="2:9" x14ac:dyDescent="0.4">
      <c r="B10416" s="8" t="s">
        <v>517</v>
      </c>
      <c r="C10416" s="3" t="s">
        <v>15705</v>
      </c>
      <c r="D10416" s="3" t="s">
        <v>16488</v>
      </c>
      <c r="F10416" s="3" t="s">
        <v>1279</v>
      </c>
      <c r="I10416" s="3" t="s">
        <v>244</v>
      </c>
    </row>
    <row r="10417" spans="2:9" x14ac:dyDescent="0.4">
      <c r="B10417" s="8" t="s">
        <v>517</v>
      </c>
      <c r="C10417" s="3" t="s">
        <v>15706</v>
      </c>
      <c r="D10417" s="3" t="s">
        <v>16489</v>
      </c>
      <c r="F10417" s="3" t="s">
        <v>1279</v>
      </c>
      <c r="I10417" s="3" t="s">
        <v>244</v>
      </c>
    </row>
    <row r="10418" spans="2:9" x14ac:dyDescent="0.4">
      <c r="B10418" s="8" t="s">
        <v>531</v>
      </c>
      <c r="C10418" s="3" t="s">
        <v>15707</v>
      </c>
      <c r="D10418" s="3" t="s">
        <v>16490</v>
      </c>
      <c r="F10418" s="3" t="s">
        <v>1279</v>
      </c>
      <c r="I10418" s="3" t="s">
        <v>244</v>
      </c>
    </row>
    <row r="10419" spans="2:9" x14ac:dyDescent="0.4">
      <c r="B10419" s="8" t="s">
        <v>520</v>
      </c>
      <c r="C10419" s="3" t="s">
        <v>15708</v>
      </c>
      <c r="D10419" s="3" t="s">
        <v>16491</v>
      </c>
      <c r="F10419" s="3" t="s">
        <v>1279</v>
      </c>
      <c r="I10419" s="3" t="s">
        <v>244</v>
      </c>
    </row>
    <row r="10420" spans="2:9" x14ac:dyDescent="0.4">
      <c r="B10420" s="8" t="s">
        <v>517</v>
      </c>
      <c r="C10420" s="3" t="s">
        <v>15709</v>
      </c>
      <c r="D10420" s="3" t="s">
        <v>16492</v>
      </c>
      <c r="F10420" s="3" t="s">
        <v>1279</v>
      </c>
      <c r="I10420" s="3" t="s">
        <v>244</v>
      </c>
    </row>
    <row r="10421" spans="2:9" x14ac:dyDescent="0.4">
      <c r="B10421" s="8" t="s">
        <v>520</v>
      </c>
      <c r="C10421" s="3" t="s">
        <v>15710</v>
      </c>
      <c r="D10421" s="3" t="s">
        <v>16492</v>
      </c>
      <c r="F10421" s="3" t="s">
        <v>1279</v>
      </c>
      <c r="I10421" s="3" t="s">
        <v>244</v>
      </c>
    </row>
    <row r="10422" spans="2:9" x14ac:dyDescent="0.4">
      <c r="B10422" s="8" t="s">
        <v>517</v>
      </c>
      <c r="C10422" s="3" t="s">
        <v>15711</v>
      </c>
      <c r="D10422" s="3" t="s">
        <v>16493</v>
      </c>
      <c r="F10422" s="3" t="s">
        <v>1279</v>
      </c>
      <c r="I10422" s="3" t="s">
        <v>244</v>
      </c>
    </row>
    <row r="10423" spans="2:9" x14ac:dyDescent="0.4">
      <c r="B10423" s="8" t="s">
        <v>517</v>
      </c>
      <c r="C10423" s="3" t="s">
        <v>15712</v>
      </c>
      <c r="D10423" s="3" t="s">
        <v>16494</v>
      </c>
      <c r="F10423" s="3" t="s">
        <v>1279</v>
      </c>
      <c r="I10423" s="3" t="s">
        <v>244</v>
      </c>
    </row>
    <row r="10424" spans="2:9" x14ac:dyDescent="0.4">
      <c r="B10424" s="8" t="s">
        <v>518</v>
      </c>
      <c r="C10424" s="3" t="s">
        <v>15713</v>
      </c>
      <c r="D10424" s="3" t="s">
        <v>16495</v>
      </c>
      <c r="F10424" s="3" t="s">
        <v>1279</v>
      </c>
      <c r="I10424" s="3" t="s">
        <v>244</v>
      </c>
    </row>
    <row r="10425" spans="2:9" x14ac:dyDescent="0.4">
      <c r="B10425" s="8" t="s">
        <v>517</v>
      </c>
      <c r="C10425" s="3" t="s">
        <v>15714</v>
      </c>
      <c r="D10425" s="3" t="s">
        <v>16496</v>
      </c>
      <c r="F10425" s="3" t="s">
        <v>1279</v>
      </c>
      <c r="I10425" s="3" t="s">
        <v>244</v>
      </c>
    </row>
    <row r="10426" spans="2:9" x14ac:dyDescent="0.4">
      <c r="B10426" s="8" t="s">
        <v>518</v>
      </c>
      <c r="C10426" s="3" t="s">
        <v>10992</v>
      </c>
      <c r="D10426" s="3" t="s">
        <v>16497</v>
      </c>
      <c r="F10426" s="3" t="s">
        <v>1279</v>
      </c>
      <c r="I10426" s="3" t="s">
        <v>244</v>
      </c>
    </row>
    <row r="10427" spans="2:9" x14ac:dyDescent="0.4">
      <c r="B10427" s="8" t="s">
        <v>532</v>
      </c>
      <c r="C10427" s="3" t="s">
        <v>15715</v>
      </c>
      <c r="D10427" s="3" t="s">
        <v>16497</v>
      </c>
      <c r="F10427" s="3" t="s">
        <v>1279</v>
      </c>
      <c r="I10427" s="3" t="s">
        <v>244</v>
      </c>
    </row>
    <row r="10428" spans="2:9" x14ac:dyDescent="0.4">
      <c r="B10428" s="8" t="s">
        <v>517</v>
      </c>
      <c r="C10428" s="3" t="s">
        <v>15716</v>
      </c>
      <c r="D10428" s="3" t="s">
        <v>16498</v>
      </c>
      <c r="F10428" s="3" t="s">
        <v>1279</v>
      </c>
      <c r="I10428" s="3" t="s">
        <v>244</v>
      </c>
    </row>
    <row r="10429" spans="2:9" x14ac:dyDescent="0.4">
      <c r="B10429" s="8" t="s">
        <v>518</v>
      </c>
      <c r="C10429" s="3" t="s">
        <v>15717</v>
      </c>
      <c r="D10429" s="3" t="s">
        <v>16499</v>
      </c>
      <c r="F10429" s="3" t="s">
        <v>1279</v>
      </c>
      <c r="I10429" s="3" t="s">
        <v>244</v>
      </c>
    </row>
    <row r="10430" spans="2:9" x14ac:dyDescent="0.4">
      <c r="B10430" s="8" t="s">
        <v>518</v>
      </c>
      <c r="C10430" s="3" t="s">
        <v>15718</v>
      </c>
      <c r="D10430" s="3" t="s">
        <v>16500</v>
      </c>
      <c r="F10430" s="3" t="s">
        <v>1279</v>
      </c>
      <c r="I10430" s="3" t="s">
        <v>244</v>
      </c>
    </row>
    <row r="10431" spans="2:9" x14ac:dyDescent="0.4">
      <c r="B10431" s="8" t="s">
        <v>518</v>
      </c>
      <c r="C10431" s="3" t="s">
        <v>15719</v>
      </c>
      <c r="D10431" s="3" t="s">
        <v>16501</v>
      </c>
      <c r="F10431" s="3" t="s">
        <v>1279</v>
      </c>
      <c r="I10431" s="3" t="s">
        <v>244</v>
      </c>
    </row>
    <row r="10432" spans="2:9" x14ac:dyDescent="0.4">
      <c r="B10432" s="8" t="s">
        <v>518</v>
      </c>
      <c r="C10432" s="3" t="s">
        <v>15720</v>
      </c>
      <c r="D10432" s="3" t="s">
        <v>16502</v>
      </c>
      <c r="F10432" s="3" t="s">
        <v>1279</v>
      </c>
      <c r="I10432" s="3" t="s">
        <v>244</v>
      </c>
    </row>
    <row r="10433" spans="2:9" x14ac:dyDescent="0.4">
      <c r="B10433" s="8" t="s">
        <v>517</v>
      </c>
      <c r="C10433" s="3" t="s">
        <v>16560</v>
      </c>
      <c r="D10433" s="3" t="s">
        <v>16503</v>
      </c>
      <c r="F10433" s="3" t="s">
        <v>1279</v>
      </c>
      <c r="I10433" s="3" t="s">
        <v>244</v>
      </c>
    </row>
    <row r="10434" spans="2:9" x14ac:dyDescent="0.4">
      <c r="B10434" s="8" t="s">
        <v>517</v>
      </c>
      <c r="C10434" s="3" t="s">
        <v>15721</v>
      </c>
      <c r="D10434" s="3" t="s">
        <v>15859</v>
      </c>
      <c r="F10434" s="3" t="s">
        <v>1279</v>
      </c>
      <c r="I10434" s="3" t="s">
        <v>244</v>
      </c>
    </row>
    <row r="10435" spans="2:9" x14ac:dyDescent="0.4">
      <c r="B10435" s="8" t="s">
        <v>520</v>
      </c>
      <c r="C10435" s="3" t="s">
        <v>15722</v>
      </c>
      <c r="D10435" s="3" t="s">
        <v>16504</v>
      </c>
      <c r="F10435" s="3" t="s">
        <v>1279</v>
      </c>
      <c r="I10435" s="3" t="s">
        <v>244</v>
      </c>
    </row>
    <row r="10436" spans="2:9" x14ac:dyDescent="0.4">
      <c r="B10436" s="8" t="s">
        <v>520</v>
      </c>
      <c r="C10436" s="3" t="s">
        <v>15723</v>
      </c>
      <c r="D10436" s="3" t="s">
        <v>16504</v>
      </c>
      <c r="F10436" s="3" t="s">
        <v>1279</v>
      </c>
      <c r="I10436" s="3" t="s">
        <v>244</v>
      </c>
    </row>
    <row r="10437" spans="2:9" x14ac:dyDescent="0.4">
      <c r="B10437" s="8" t="s">
        <v>518</v>
      </c>
      <c r="C10437" s="3" t="s">
        <v>15724</v>
      </c>
      <c r="D10437" s="3" t="s">
        <v>16504</v>
      </c>
      <c r="F10437" s="3" t="s">
        <v>1279</v>
      </c>
      <c r="I10437" s="3" t="s">
        <v>244</v>
      </c>
    </row>
    <row r="10438" spans="2:9" x14ac:dyDescent="0.4">
      <c r="B10438" s="8" t="s">
        <v>4062</v>
      </c>
      <c r="C10438" s="3" t="s">
        <v>15725</v>
      </c>
      <c r="D10438" s="3" t="s">
        <v>16504</v>
      </c>
      <c r="F10438" s="3" t="s">
        <v>1279</v>
      </c>
      <c r="I10438" s="3" t="s">
        <v>244</v>
      </c>
    </row>
    <row r="10439" spans="2:9" x14ac:dyDescent="0.4">
      <c r="B10439" s="8" t="s">
        <v>518</v>
      </c>
      <c r="C10439" s="3" t="s">
        <v>10896</v>
      </c>
      <c r="D10439" s="3" t="s">
        <v>16505</v>
      </c>
      <c r="F10439" s="3" t="s">
        <v>1279</v>
      </c>
      <c r="I10439" s="3" t="s">
        <v>244</v>
      </c>
    </row>
    <row r="10440" spans="2:9" x14ac:dyDescent="0.4">
      <c r="B10440" s="8" t="s">
        <v>520</v>
      </c>
      <c r="C10440" s="3" t="s">
        <v>15726</v>
      </c>
      <c r="D10440" s="3" t="s">
        <v>16506</v>
      </c>
      <c r="F10440" s="3" t="s">
        <v>1279</v>
      </c>
      <c r="I10440" s="3" t="s">
        <v>244</v>
      </c>
    </row>
    <row r="10441" spans="2:9" x14ac:dyDescent="0.4">
      <c r="B10441" s="8" t="s">
        <v>532</v>
      </c>
      <c r="C10441" s="3" t="s">
        <v>15727</v>
      </c>
      <c r="D10441" s="3" t="s">
        <v>16507</v>
      </c>
      <c r="F10441" s="3" t="s">
        <v>1279</v>
      </c>
      <c r="I10441" s="3" t="s">
        <v>244</v>
      </c>
    </row>
    <row r="10442" spans="2:9" x14ac:dyDescent="0.4">
      <c r="B10442" s="8" t="s">
        <v>518</v>
      </c>
      <c r="C10442" s="3" t="s">
        <v>15728</v>
      </c>
      <c r="D10442" s="3" t="s">
        <v>16508</v>
      </c>
      <c r="F10442" s="3" t="s">
        <v>1279</v>
      </c>
      <c r="I10442" s="3" t="s">
        <v>244</v>
      </c>
    </row>
    <row r="10443" spans="2:9" x14ac:dyDescent="0.4">
      <c r="B10443" s="8" t="s">
        <v>517</v>
      </c>
      <c r="C10443" s="3" t="s">
        <v>15729</v>
      </c>
      <c r="D10443" s="3" t="s">
        <v>16509</v>
      </c>
      <c r="F10443" s="3" t="s">
        <v>1279</v>
      </c>
      <c r="I10443" s="3" t="s">
        <v>244</v>
      </c>
    </row>
    <row r="10444" spans="2:9" x14ac:dyDescent="0.4">
      <c r="B10444" s="8" t="s">
        <v>518</v>
      </c>
      <c r="C10444" s="3" t="s">
        <v>15730</v>
      </c>
      <c r="D10444" s="3" t="s">
        <v>16510</v>
      </c>
      <c r="F10444" s="3" t="s">
        <v>1279</v>
      </c>
      <c r="I10444" s="3" t="s">
        <v>244</v>
      </c>
    </row>
    <row r="10445" spans="2:9" x14ac:dyDescent="0.4">
      <c r="B10445" s="8" t="s">
        <v>518</v>
      </c>
      <c r="C10445" s="3" t="s">
        <v>16561</v>
      </c>
      <c r="D10445" s="3" t="s">
        <v>16511</v>
      </c>
      <c r="F10445" s="3" t="s">
        <v>1279</v>
      </c>
      <c r="I10445" s="3" t="s">
        <v>244</v>
      </c>
    </row>
    <row r="10446" spans="2:9" x14ac:dyDescent="0.4">
      <c r="B10446" s="8" t="s">
        <v>518</v>
      </c>
      <c r="C10446" s="3" t="s">
        <v>15731</v>
      </c>
      <c r="D10446" s="3" t="s">
        <v>16512</v>
      </c>
      <c r="F10446" s="3" t="s">
        <v>1279</v>
      </c>
      <c r="I10446" s="3" t="s">
        <v>244</v>
      </c>
    </row>
    <row r="10447" spans="2:9" x14ac:dyDescent="0.4">
      <c r="B10447" s="8" t="s">
        <v>531</v>
      </c>
      <c r="C10447" s="3" t="s">
        <v>15732</v>
      </c>
      <c r="D10447" s="3" t="s">
        <v>16513</v>
      </c>
      <c r="F10447" s="3" t="s">
        <v>1279</v>
      </c>
      <c r="I10447" s="3" t="s">
        <v>244</v>
      </c>
    </row>
    <row r="10448" spans="2:9" x14ac:dyDescent="0.4">
      <c r="B10448" s="8" t="s">
        <v>532</v>
      </c>
      <c r="C10448" s="3" t="s">
        <v>9240</v>
      </c>
      <c r="D10448" s="3" t="s">
        <v>16514</v>
      </c>
      <c r="F10448" s="3" t="s">
        <v>1279</v>
      </c>
      <c r="I10448" s="3" t="s">
        <v>244</v>
      </c>
    </row>
    <row r="10449" spans="2:9" x14ac:dyDescent="0.4">
      <c r="B10449" s="8" t="s">
        <v>532</v>
      </c>
      <c r="C10449" s="3" t="s">
        <v>15733</v>
      </c>
      <c r="D10449" s="3" t="s">
        <v>16515</v>
      </c>
      <c r="F10449" s="3" t="s">
        <v>1279</v>
      </c>
      <c r="I10449" s="3" t="s">
        <v>244</v>
      </c>
    </row>
    <row r="10450" spans="2:9" x14ac:dyDescent="0.4">
      <c r="B10450" s="8" t="s">
        <v>517</v>
      </c>
      <c r="C10450" s="3" t="s">
        <v>15734</v>
      </c>
      <c r="D10450" s="3" t="s">
        <v>16516</v>
      </c>
      <c r="F10450" s="3" t="s">
        <v>1279</v>
      </c>
      <c r="I10450" s="3" t="s">
        <v>244</v>
      </c>
    </row>
    <row r="10451" spans="2:9" x14ac:dyDescent="0.4">
      <c r="B10451" s="8" t="s">
        <v>529</v>
      </c>
      <c r="C10451" s="3" t="s">
        <v>15735</v>
      </c>
      <c r="D10451" s="3" t="s">
        <v>16517</v>
      </c>
      <c r="F10451" s="3" t="s">
        <v>1279</v>
      </c>
      <c r="I10451" s="3" t="s">
        <v>244</v>
      </c>
    </row>
    <row r="10452" spans="2:9" x14ac:dyDescent="0.4">
      <c r="B10452" s="8" t="s">
        <v>518</v>
      </c>
      <c r="C10452" s="3" t="s">
        <v>15736</v>
      </c>
      <c r="D10452" s="3" t="s">
        <v>16518</v>
      </c>
      <c r="F10452" s="3" t="s">
        <v>1279</v>
      </c>
      <c r="I10452" s="3" t="s">
        <v>244</v>
      </c>
    </row>
    <row r="10453" spans="2:9" x14ac:dyDescent="0.4">
      <c r="B10453" s="8" t="s">
        <v>517</v>
      </c>
      <c r="C10453" s="3" t="s">
        <v>15737</v>
      </c>
      <c r="D10453" s="3" t="s">
        <v>16519</v>
      </c>
      <c r="F10453" s="3" t="s">
        <v>1279</v>
      </c>
      <c r="I10453" s="3" t="s">
        <v>244</v>
      </c>
    </row>
    <row r="10454" spans="2:9" x14ac:dyDescent="0.4">
      <c r="B10454" s="8" t="s">
        <v>517</v>
      </c>
      <c r="C10454" s="3" t="s">
        <v>15738</v>
      </c>
      <c r="D10454" s="3" t="s">
        <v>16520</v>
      </c>
      <c r="F10454" s="3" t="s">
        <v>1279</v>
      </c>
      <c r="I10454" s="3" t="s">
        <v>244</v>
      </c>
    </row>
    <row r="10455" spans="2:9" x14ac:dyDescent="0.4">
      <c r="B10455" s="8" t="s">
        <v>517</v>
      </c>
      <c r="C10455" s="3" t="s">
        <v>12341</v>
      </c>
      <c r="D10455" s="3" t="s">
        <v>8029</v>
      </c>
      <c r="F10455" s="3" t="s">
        <v>1279</v>
      </c>
      <c r="I10455" s="3" t="s">
        <v>244</v>
      </c>
    </row>
    <row r="10456" spans="2:9" x14ac:dyDescent="0.4">
      <c r="B10456" s="8" t="s">
        <v>520</v>
      </c>
      <c r="C10456" s="3" t="s">
        <v>15739</v>
      </c>
      <c r="D10456" s="3" t="s">
        <v>16521</v>
      </c>
      <c r="F10456" s="3" t="s">
        <v>1279</v>
      </c>
      <c r="I10456" s="3" t="s">
        <v>244</v>
      </c>
    </row>
    <row r="10457" spans="2:9" x14ac:dyDescent="0.4">
      <c r="D10457" s="3" t="s">
        <v>16522</v>
      </c>
      <c r="F10457" s="3" t="s">
        <v>1279</v>
      </c>
      <c r="I10457" s="3" t="s">
        <v>244</v>
      </c>
    </row>
    <row r="10458" spans="2:9" x14ac:dyDescent="0.4">
      <c r="B10458" s="8" t="s">
        <v>517</v>
      </c>
      <c r="C10458" s="3" t="s">
        <v>15740</v>
      </c>
      <c r="D10458" s="3" t="s">
        <v>16523</v>
      </c>
      <c r="F10458" s="3" t="s">
        <v>1279</v>
      </c>
      <c r="I10458" s="3" t="s">
        <v>244</v>
      </c>
    </row>
    <row r="10459" spans="2:9" x14ac:dyDescent="0.4">
      <c r="B10459" s="8" t="s">
        <v>531</v>
      </c>
      <c r="C10459" s="3" t="s">
        <v>15741</v>
      </c>
      <c r="D10459" s="3" t="s">
        <v>16524</v>
      </c>
      <c r="F10459" s="3" t="s">
        <v>1279</v>
      </c>
      <c r="I10459" s="3" t="s">
        <v>244</v>
      </c>
    </row>
    <row r="10460" spans="2:9" x14ac:dyDescent="0.4">
      <c r="B10460" s="8" t="s">
        <v>517</v>
      </c>
      <c r="C10460" s="3" t="s">
        <v>15742</v>
      </c>
      <c r="D10460" s="3" t="s">
        <v>16524</v>
      </c>
      <c r="F10460" s="3" t="s">
        <v>1279</v>
      </c>
      <c r="I10460" s="3" t="s">
        <v>244</v>
      </c>
    </row>
    <row r="10461" spans="2:9" x14ac:dyDescent="0.4">
      <c r="B10461" s="8" t="s">
        <v>518</v>
      </c>
      <c r="C10461" s="3" t="s">
        <v>15743</v>
      </c>
      <c r="D10461" s="3" t="s">
        <v>15889</v>
      </c>
      <c r="F10461" s="3" t="s">
        <v>1279</v>
      </c>
      <c r="I10461" s="3" t="s">
        <v>244</v>
      </c>
    </row>
    <row r="10462" spans="2:9" x14ac:dyDescent="0.4">
      <c r="B10462" s="8" t="s">
        <v>529</v>
      </c>
      <c r="C10462" s="3" t="s">
        <v>15744</v>
      </c>
      <c r="D10462" s="3" t="s">
        <v>16525</v>
      </c>
      <c r="F10462" s="3" t="s">
        <v>1279</v>
      </c>
      <c r="I10462" s="3" t="s">
        <v>244</v>
      </c>
    </row>
    <row r="10463" spans="2:9" x14ac:dyDescent="0.4">
      <c r="B10463" s="8" t="s">
        <v>517</v>
      </c>
      <c r="C10463" s="3" t="s">
        <v>15745</v>
      </c>
      <c r="D10463" s="3" t="s">
        <v>16525</v>
      </c>
      <c r="F10463" s="3" t="s">
        <v>1279</v>
      </c>
      <c r="I10463" s="3" t="s">
        <v>244</v>
      </c>
    </row>
    <row r="10464" spans="2:9" x14ac:dyDescent="0.4">
      <c r="B10464" s="8" t="s">
        <v>517</v>
      </c>
      <c r="C10464" s="3" t="s">
        <v>15746</v>
      </c>
      <c r="D10464" s="3" t="s">
        <v>16525</v>
      </c>
      <c r="F10464" s="3" t="s">
        <v>1279</v>
      </c>
      <c r="I10464" s="3" t="s">
        <v>244</v>
      </c>
    </row>
    <row r="10465" spans="2:9" x14ac:dyDescent="0.4">
      <c r="B10465" s="8" t="s">
        <v>517</v>
      </c>
      <c r="C10465" s="3" t="s">
        <v>12328</v>
      </c>
      <c r="D10465" s="3" t="s">
        <v>12182</v>
      </c>
      <c r="F10465" s="3" t="s">
        <v>1279</v>
      </c>
      <c r="I10465" s="3" t="s">
        <v>244</v>
      </c>
    </row>
    <row r="10466" spans="2:9" x14ac:dyDescent="0.4">
      <c r="B10466" s="8" t="s">
        <v>517</v>
      </c>
      <c r="C10466" s="3" t="s">
        <v>12329</v>
      </c>
      <c r="D10466" s="3" t="s">
        <v>12182</v>
      </c>
      <c r="F10466" s="3" t="s">
        <v>1279</v>
      </c>
      <c r="I10466" s="3" t="s">
        <v>244</v>
      </c>
    </row>
    <row r="10467" spans="2:9" x14ac:dyDescent="0.4">
      <c r="B10467" s="8" t="s">
        <v>517</v>
      </c>
      <c r="C10467" s="3" t="s">
        <v>15747</v>
      </c>
      <c r="D10467" s="3" t="s">
        <v>16526</v>
      </c>
      <c r="F10467" s="3" t="s">
        <v>1279</v>
      </c>
      <c r="I10467" s="3" t="s">
        <v>244</v>
      </c>
    </row>
    <row r="10468" spans="2:9" x14ac:dyDescent="0.4">
      <c r="B10468" s="8" t="s">
        <v>517</v>
      </c>
      <c r="C10468" s="3" t="s">
        <v>15748</v>
      </c>
      <c r="D10468" s="3" t="s">
        <v>16107</v>
      </c>
      <c r="F10468" s="3" t="s">
        <v>1279</v>
      </c>
      <c r="I10468" s="3" t="s">
        <v>244</v>
      </c>
    </row>
    <row r="10469" spans="2:9" x14ac:dyDescent="0.4">
      <c r="B10469" s="8" t="s">
        <v>529</v>
      </c>
      <c r="C10469" s="3" t="s">
        <v>15749</v>
      </c>
      <c r="D10469" s="3" t="s">
        <v>16527</v>
      </c>
      <c r="F10469" s="3" t="s">
        <v>1279</v>
      </c>
      <c r="I10469" s="3" t="s">
        <v>244</v>
      </c>
    </row>
    <row r="10470" spans="2:9" x14ac:dyDescent="0.4">
      <c r="B10470" s="8" t="s">
        <v>517</v>
      </c>
      <c r="C10470" s="3" t="s">
        <v>15750</v>
      </c>
      <c r="D10470" s="3" t="s">
        <v>16528</v>
      </c>
      <c r="F10470" s="3" t="s">
        <v>1279</v>
      </c>
      <c r="I10470" s="3" t="s">
        <v>244</v>
      </c>
    </row>
    <row r="10471" spans="2:9" x14ac:dyDescent="0.4">
      <c r="B10471" s="8" t="s">
        <v>531</v>
      </c>
      <c r="C10471" s="3" t="s">
        <v>15751</v>
      </c>
      <c r="D10471" s="3" t="s">
        <v>16529</v>
      </c>
      <c r="F10471" s="3" t="s">
        <v>1279</v>
      </c>
      <c r="I10471" s="3" t="s">
        <v>244</v>
      </c>
    </row>
    <row r="10472" spans="2:9" x14ac:dyDescent="0.4">
      <c r="B10472" s="8" t="s">
        <v>529</v>
      </c>
      <c r="C10472" s="3" t="s">
        <v>15752</v>
      </c>
      <c r="D10472" s="3" t="s">
        <v>16530</v>
      </c>
      <c r="F10472" s="3" t="s">
        <v>1279</v>
      </c>
      <c r="I10472" s="3" t="s">
        <v>244</v>
      </c>
    </row>
    <row r="10473" spans="2:9" x14ac:dyDescent="0.4">
      <c r="B10473" s="8" t="s">
        <v>517</v>
      </c>
      <c r="C10473" s="3" t="s">
        <v>15753</v>
      </c>
      <c r="D10473" s="3" t="s">
        <v>16531</v>
      </c>
      <c r="F10473" s="3" t="s">
        <v>1279</v>
      </c>
      <c r="I10473" s="3" t="s">
        <v>244</v>
      </c>
    </row>
    <row r="10474" spans="2:9" x14ac:dyDescent="0.4">
      <c r="B10474" s="8" t="s">
        <v>517</v>
      </c>
      <c r="C10474" s="3" t="s">
        <v>15754</v>
      </c>
      <c r="D10474" s="3" t="s">
        <v>16532</v>
      </c>
      <c r="F10474" s="3" t="s">
        <v>1279</v>
      </c>
      <c r="I10474" s="3" t="s">
        <v>244</v>
      </c>
    </row>
    <row r="10475" spans="2:9" x14ac:dyDescent="0.4">
      <c r="B10475" s="8" t="s">
        <v>517</v>
      </c>
      <c r="C10475" s="3" t="s">
        <v>15755</v>
      </c>
      <c r="D10475" s="3" t="s">
        <v>16562</v>
      </c>
      <c r="F10475" s="3" t="s">
        <v>1279</v>
      </c>
      <c r="I10475" s="3" t="s">
        <v>244</v>
      </c>
    </row>
    <row r="10476" spans="2:9" x14ac:dyDescent="0.4">
      <c r="B10476" s="8" t="s">
        <v>518</v>
      </c>
      <c r="C10476" s="3" t="s">
        <v>15756</v>
      </c>
      <c r="D10476" s="3" t="s">
        <v>16562</v>
      </c>
      <c r="F10476" s="3" t="s">
        <v>1279</v>
      </c>
      <c r="I10476" s="3" t="s">
        <v>244</v>
      </c>
    </row>
    <row r="10477" spans="2:9" x14ac:dyDescent="0.4">
      <c r="B10477" s="8" t="s">
        <v>520</v>
      </c>
      <c r="C10477" s="3" t="s">
        <v>15757</v>
      </c>
      <c r="D10477" s="3" t="s">
        <v>16533</v>
      </c>
      <c r="F10477" s="3" t="s">
        <v>1279</v>
      </c>
      <c r="I10477" s="3" t="s">
        <v>244</v>
      </c>
    </row>
    <row r="10478" spans="2:9" x14ac:dyDescent="0.4">
      <c r="B10478" s="8" t="s">
        <v>530</v>
      </c>
      <c r="C10478" s="3" t="s">
        <v>15758</v>
      </c>
      <c r="D10478" s="3" t="s">
        <v>16534</v>
      </c>
      <c r="F10478" s="3" t="s">
        <v>1279</v>
      </c>
      <c r="I10478" s="3" t="s">
        <v>244</v>
      </c>
    </row>
    <row r="10479" spans="2:9" x14ac:dyDescent="0.4">
      <c r="B10479" s="8" t="s">
        <v>530</v>
      </c>
      <c r="C10479" s="3" t="s">
        <v>15759</v>
      </c>
      <c r="D10479" s="3" t="s">
        <v>16535</v>
      </c>
      <c r="F10479" s="3" t="s">
        <v>1279</v>
      </c>
      <c r="I10479" s="3" t="s">
        <v>244</v>
      </c>
    </row>
    <row r="10480" spans="2:9" x14ac:dyDescent="0.4">
      <c r="D10480" s="3" t="s">
        <v>16536</v>
      </c>
      <c r="F10480" s="3" t="s">
        <v>1279</v>
      </c>
      <c r="I10480" s="3" t="s">
        <v>244</v>
      </c>
    </row>
    <row r="10481" spans="2:9" x14ac:dyDescent="0.4">
      <c r="B10481" s="8" t="s">
        <v>518</v>
      </c>
      <c r="C10481" s="3" t="s">
        <v>15760</v>
      </c>
      <c r="D10481" s="3" t="s">
        <v>16537</v>
      </c>
      <c r="F10481" s="3" t="s">
        <v>1279</v>
      </c>
      <c r="I10481" s="3" t="s">
        <v>244</v>
      </c>
    </row>
    <row r="10482" spans="2:9" x14ac:dyDescent="0.4">
      <c r="B10482" s="8" t="s">
        <v>520</v>
      </c>
      <c r="C10482" s="3" t="s">
        <v>15761</v>
      </c>
      <c r="D10482" s="3" t="s">
        <v>16538</v>
      </c>
      <c r="F10482" s="3" t="s">
        <v>1279</v>
      </c>
      <c r="I10482" s="3" t="s">
        <v>244</v>
      </c>
    </row>
    <row r="10483" spans="2:9" x14ac:dyDescent="0.4">
      <c r="B10483" s="8" t="s">
        <v>529</v>
      </c>
      <c r="C10483" s="3" t="s">
        <v>15762</v>
      </c>
      <c r="D10483" s="3" t="s">
        <v>16538</v>
      </c>
      <c r="F10483" s="3" t="s">
        <v>1279</v>
      </c>
      <c r="I10483" s="3" t="s">
        <v>244</v>
      </c>
    </row>
    <row r="10484" spans="2:9" x14ac:dyDescent="0.4">
      <c r="B10484" s="8" t="s">
        <v>520</v>
      </c>
      <c r="C10484" s="3" t="s">
        <v>15763</v>
      </c>
      <c r="D10484" s="3" t="s">
        <v>16539</v>
      </c>
      <c r="F10484" s="3" t="s">
        <v>1279</v>
      </c>
      <c r="I10484" s="3" t="s">
        <v>244</v>
      </c>
    </row>
    <row r="10485" spans="2:9" x14ac:dyDescent="0.4">
      <c r="B10485" s="8" t="s">
        <v>517</v>
      </c>
      <c r="C10485" s="3" t="s">
        <v>15764</v>
      </c>
      <c r="D10485" s="3" t="s">
        <v>16540</v>
      </c>
      <c r="F10485" s="3" t="s">
        <v>1279</v>
      </c>
      <c r="I10485" s="3" t="s">
        <v>244</v>
      </c>
    </row>
    <row r="10486" spans="2:9" x14ac:dyDescent="0.4">
      <c r="B10486" s="8" t="s">
        <v>529</v>
      </c>
      <c r="C10486" s="3" t="s">
        <v>15765</v>
      </c>
      <c r="D10486" s="3" t="s">
        <v>16541</v>
      </c>
      <c r="F10486" s="3" t="s">
        <v>1279</v>
      </c>
      <c r="I10486" s="3" t="s">
        <v>244</v>
      </c>
    </row>
    <row r="10487" spans="2:9" x14ac:dyDescent="0.4">
      <c r="B10487" s="8" t="s">
        <v>517</v>
      </c>
      <c r="C10487" s="3" t="s">
        <v>15766</v>
      </c>
      <c r="D10487" s="3" t="s">
        <v>16542</v>
      </c>
      <c r="F10487" s="3" t="s">
        <v>1279</v>
      </c>
      <c r="I10487" s="3" t="s">
        <v>244</v>
      </c>
    </row>
    <row r="10488" spans="2:9" x14ac:dyDescent="0.4">
      <c r="D10488" s="3" t="s">
        <v>16543</v>
      </c>
      <c r="F10488" s="3" t="s">
        <v>1279</v>
      </c>
      <c r="I10488" s="3" t="s">
        <v>244</v>
      </c>
    </row>
    <row r="10489" spans="2:9" x14ac:dyDescent="0.4">
      <c r="D10489" s="3" t="s">
        <v>16544</v>
      </c>
      <c r="F10489" s="3" t="s">
        <v>1279</v>
      </c>
      <c r="I10489" s="3" t="s">
        <v>244</v>
      </c>
    </row>
    <row r="10490" spans="2:9" x14ac:dyDescent="0.4">
      <c r="D10490" s="3" t="s">
        <v>16545</v>
      </c>
      <c r="F10490" s="3" t="s">
        <v>1279</v>
      </c>
      <c r="I10490" s="3" t="s">
        <v>244</v>
      </c>
    </row>
    <row r="10491" spans="2:9" x14ac:dyDescent="0.4">
      <c r="D10491" s="3" t="s">
        <v>16546</v>
      </c>
      <c r="F10491" s="3" t="s">
        <v>1279</v>
      </c>
      <c r="I10491" s="3" t="s">
        <v>244</v>
      </c>
    </row>
    <row r="10492" spans="2:9" x14ac:dyDescent="0.4">
      <c r="D10492" s="3" t="s">
        <v>16547</v>
      </c>
      <c r="F10492" s="3" t="s">
        <v>1279</v>
      </c>
      <c r="I10492" s="3" t="s">
        <v>244</v>
      </c>
    </row>
    <row r="10493" spans="2:9" x14ac:dyDescent="0.4">
      <c r="D10493" s="3" t="s">
        <v>16548</v>
      </c>
      <c r="F10493" s="3" t="s">
        <v>1279</v>
      </c>
      <c r="I10493" s="3" t="s">
        <v>244</v>
      </c>
    </row>
    <row r="10494" spans="2:9" x14ac:dyDescent="0.4">
      <c r="D10494" s="3" t="s">
        <v>16549</v>
      </c>
      <c r="F10494" s="3" t="s">
        <v>1279</v>
      </c>
      <c r="I10494" s="3" t="s">
        <v>244</v>
      </c>
    </row>
    <row r="10495" spans="2:9" x14ac:dyDescent="0.4">
      <c r="D10495" s="3" t="s">
        <v>16550</v>
      </c>
      <c r="F10495" s="3" t="s">
        <v>1279</v>
      </c>
      <c r="I10495" s="3" t="s">
        <v>244</v>
      </c>
    </row>
    <row r="10496" spans="2:9" x14ac:dyDescent="0.4">
      <c r="D10496" s="3" t="s">
        <v>16551</v>
      </c>
      <c r="F10496" s="3" t="s">
        <v>1279</v>
      </c>
      <c r="I10496" s="3" t="s">
        <v>244</v>
      </c>
    </row>
    <row r="10497" spans="4:9" x14ac:dyDescent="0.4">
      <c r="D10497" s="3" t="s">
        <v>16552</v>
      </c>
      <c r="F10497" s="3" t="s">
        <v>1279</v>
      </c>
      <c r="I10497" s="3" t="s">
        <v>244</v>
      </c>
    </row>
    <row r="10498" spans="4:9" x14ac:dyDescent="0.4">
      <c r="D10498" s="3" t="s">
        <v>15921</v>
      </c>
      <c r="F10498" s="3" t="s">
        <v>1279</v>
      </c>
      <c r="I10498" s="3" t="s">
        <v>244</v>
      </c>
    </row>
    <row r="10499" spans="4:9" x14ac:dyDescent="0.4">
      <c r="D10499" s="3" t="s">
        <v>16553</v>
      </c>
      <c r="F10499" s="3" t="s">
        <v>1279</v>
      </c>
      <c r="I10499" s="3" t="s">
        <v>244</v>
      </c>
    </row>
    <row r="10500" spans="4:9" x14ac:dyDescent="0.4">
      <c r="D10500" s="3" t="s">
        <v>16554</v>
      </c>
      <c r="F10500" s="3" t="s">
        <v>1279</v>
      </c>
      <c r="I10500" s="3" t="s">
        <v>244</v>
      </c>
    </row>
    <row r="10501" spans="4:9" x14ac:dyDescent="0.4">
      <c r="D10501" s="3" t="s">
        <v>16555</v>
      </c>
      <c r="F10501" s="3" t="s">
        <v>1279</v>
      </c>
      <c r="I10501" s="3" t="s">
        <v>244</v>
      </c>
    </row>
    <row r="10502" spans="4:9" x14ac:dyDescent="0.4">
      <c r="D10502" s="3" t="s">
        <v>16556</v>
      </c>
      <c r="F10502" s="3" t="s">
        <v>1279</v>
      </c>
      <c r="I10502" s="3" t="s">
        <v>244</v>
      </c>
    </row>
    <row r="10503" spans="4:9" x14ac:dyDescent="0.4">
      <c r="D10503" s="3" t="s">
        <v>16557</v>
      </c>
      <c r="F10503" s="3" t="s">
        <v>1279</v>
      </c>
      <c r="I10503" s="3" t="s">
        <v>244</v>
      </c>
    </row>
  </sheetData>
  <autoFilter ref="A2:I10503" xr:uid="{7F271655-15FE-442C-AD75-68B9884102EA}">
    <filterColumn colId="5" showButton="0"/>
    <filterColumn colId="6" showButton="0"/>
    <filterColumn colId="8">
      <filters>
        <filter val="动词"/>
      </filters>
    </filterColumn>
    <sortState xmlns:xlrd2="http://schemas.microsoft.com/office/spreadsheetml/2017/richdata2" ref="A3:I4118">
      <sortCondition ref="C2:C4118"/>
    </sortState>
  </autoFilter>
  <sortState xmlns:xlrd2="http://schemas.microsoft.com/office/spreadsheetml/2017/richdata2" ref="C2:D90">
    <sortCondition descending="1" ref="C2:C90"/>
  </sortState>
  <customSheetViews>
    <customSheetView guid="{6A8D9CC1-4303-4B26-9DBB-1C4AEC289D73}" showPageBreaks="1" view="pageLayout">
      <pageMargins left="0.1875" right="0.7" top="0.75" bottom="0.75" header="0.3" footer="0.3"/>
      <pageSetup paperSize="9" orientation="portrait" r:id="rId1"/>
      <headerFooter>
        <oddFooter>&amp;R&amp;P</oddFooter>
      </headerFooter>
    </customSheetView>
  </customSheetViews>
  <mergeCells count="2">
    <mergeCell ref="A1:I1"/>
    <mergeCell ref="F2:H2"/>
  </mergeCells>
  <phoneticPr fontId="1" type="noConversion"/>
  <pageMargins left="0.11979166666666667" right="5.2083333333333336E-2" top="0.75" bottom="0.75" header="0.3" footer="0.3"/>
  <pageSetup paperSize="9" orientation="portrait" r:id="rId2"/>
  <headerFooter>
    <oddFooter>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6C28-A41D-4EEE-A55D-2360A7BB5257}">
  <dimension ref="A1:CL1051"/>
  <sheetViews>
    <sheetView workbookViewId="0">
      <selection activeCell="N28" sqref="N28"/>
    </sheetView>
  </sheetViews>
  <sheetFormatPr defaultRowHeight="13.9" x14ac:dyDescent="0.4"/>
  <sheetData>
    <row r="1" spans="1:90" ht="14.65" x14ac:dyDescent="0.4">
      <c r="A1" s="1"/>
      <c r="B1" s="2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1"/>
      <c r="O1" s="1"/>
      <c r="P1" s="1"/>
      <c r="Q1" s="1"/>
      <c r="R1" s="1"/>
      <c r="S1" s="1"/>
      <c r="T1" s="2"/>
      <c r="U1" s="1"/>
      <c r="V1" s="1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  <c r="AJ1" s="1"/>
      <c r="AK1" s="1"/>
      <c r="AL1" s="2"/>
      <c r="AM1" s="1"/>
      <c r="AN1" s="1"/>
      <c r="AO1" s="1"/>
      <c r="AP1" s="1"/>
      <c r="AQ1" s="1"/>
      <c r="AR1" s="1"/>
      <c r="AS1" s="1"/>
      <c r="AT1" s="1"/>
      <c r="AU1" s="2"/>
      <c r="AV1" s="1"/>
      <c r="AW1" s="1"/>
      <c r="AX1" s="1"/>
      <c r="AY1" s="1"/>
      <c r="AZ1" s="1"/>
      <c r="BA1" s="1"/>
      <c r="BB1" s="1"/>
      <c r="BC1" s="1"/>
      <c r="BD1" s="2"/>
      <c r="BE1" s="1"/>
      <c r="BF1" s="1"/>
      <c r="BG1" s="1"/>
      <c r="BH1" s="1"/>
      <c r="BI1" s="1"/>
      <c r="BJ1" s="1"/>
      <c r="BK1" s="1"/>
      <c r="BL1" s="1"/>
      <c r="BM1" s="2"/>
      <c r="BN1" s="1"/>
      <c r="BO1" s="1"/>
      <c r="BP1" s="1"/>
      <c r="BQ1" s="1"/>
      <c r="BR1" s="1"/>
      <c r="BS1" s="1"/>
      <c r="BT1" s="1"/>
      <c r="BU1" s="1"/>
      <c r="BV1" s="2"/>
      <c r="BW1" s="1"/>
      <c r="BX1" s="1"/>
      <c r="BY1" s="1"/>
      <c r="BZ1" s="1"/>
      <c r="CA1" s="1"/>
      <c r="CB1" s="1"/>
      <c r="CC1" s="1"/>
      <c r="CD1" s="1"/>
      <c r="CE1" s="2"/>
      <c r="CF1" s="1"/>
      <c r="CG1" s="1"/>
      <c r="CH1" s="1"/>
      <c r="CI1" s="1"/>
      <c r="CJ1" s="1"/>
      <c r="CK1" s="1"/>
      <c r="CL1" s="1"/>
    </row>
    <row r="2" spans="1:90" ht="14.65" x14ac:dyDescent="0.4">
      <c r="A2" s="1"/>
      <c r="B2" s="2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1"/>
      <c r="O2" s="1"/>
      <c r="P2" s="1"/>
      <c r="Q2" s="1"/>
      <c r="R2" s="1"/>
      <c r="S2" s="1"/>
      <c r="T2" s="2"/>
      <c r="U2" s="1"/>
      <c r="V2" s="1"/>
      <c r="W2" s="1"/>
      <c r="X2" s="1"/>
      <c r="Y2" s="1"/>
      <c r="Z2" s="1"/>
      <c r="AA2" s="1"/>
      <c r="AB2" s="1"/>
      <c r="AC2" s="2"/>
      <c r="AD2" s="1"/>
      <c r="AE2" s="1"/>
      <c r="AF2" s="1"/>
      <c r="AG2" s="1"/>
      <c r="AH2" s="1"/>
      <c r="AI2" s="1"/>
      <c r="AJ2" s="1"/>
      <c r="AK2" s="1"/>
      <c r="AL2" s="2"/>
      <c r="AM2" s="1"/>
      <c r="AN2" s="1"/>
      <c r="AO2" s="1"/>
      <c r="AP2" s="1"/>
      <c r="AQ2" s="1"/>
      <c r="AR2" s="1"/>
      <c r="AS2" s="1"/>
      <c r="AT2" s="1"/>
      <c r="AU2" s="2"/>
      <c r="AV2" s="1"/>
      <c r="AW2" s="1"/>
      <c r="AX2" s="1"/>
      <c r="AY2" s="1"/>
      <c r="AZ2" s="1"/>
      <c r="BA2" s="1"/>
      <c r="BB2" s="1"/>
      <c r="BC2" s="1"/>
      <c r="BD2" s="2"/>
      <c r="BE2" s="1"/>
      <c r="BF2" s="1"/>
      <c r="BG2" s="1"/>
      <c r="BH2" s="1"/>
      <c r="BI2" s="1"/>
      <c r="BJ2" s="1"/>
      <c r="BK2" s="1"/>
      <c r="BL2" s="1"/>
      <c r="BM2" s="2"/>
      <c r="BN2" s="1"/>
      <c r="BO2" s="1"/>
      <c r="BP2" s="1"/>
      <c r="BQ2" s="1"/>
      <c r="BR2" s="1"/>
      <c r="BS2" s="1"/>
      <c r="BT2" s="1"/>
      <c r="BU2" s="1"/>
      <c r="BV2" s="2"/>
      <c r="BW2" s="1"/>
      <c r="BX2" s="1"/>
      <c r="BY2" s="1"/>
      <c r="BZ2" s="1"/>
      <c r="CA2" s="1"/>
      <c r="CB2" s="1"/>
      <c r="CC2" s="1"/>
      <c r="CD2" s="1"/>
      <c r="CE2" s="2"/>
      <c r="CF2" s="1"/>
      <c r="CG2" s="1"/>
      <c r="CH2" s="1"/>
      <c r="CI2" s="1"/>
      <c r="CJ2" s="1"/>
      <c r="CK2" s="1"/>
      <c r="CL2" s="1"/>
    </row>
    <row r="3" spans="1:90" ht="14.65" x14ac:dyDescent="0.4">
      <c r="A3" s="1"/>
      <c r="B3" s="2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  <c r="AA3" s="1"/>
      <c r="AB3" s="1"/>
      <c r="AC3" s="2"/>
      <c r="AD3" s="1"/>
      <c r="AE3" s="1"/>
      <c r="AF3" s="1"/>
      <c r="AG3" s="1"/>
      <c r="AH3" s="1"/>
      <c r="AI3" s="1"/>
      <c r="AJ3" s="1"/>
      <c r="AK3" s="1"/>
      <c r="AL3" s="2"/>
      <c r="AM3" s="1"/>
      <c r="AN3" s="1"/>
      <c r="AO3" s="1"/>
      <c r="AP3" s="1"/>
      <c r="AQ3" s="1"/>
      <c r="AR3" s="1"/>
      <c r="AS3" s="1"/>
      <c r="AT3" s="1"/>
      <c r="AU3" s="2"/>
      <c r="AV3" s="1"/>
      <c r="AW3" s="1"/>
      <c r="AX3" s="1"/>
      <c r="AY3" s="1"/>
      <c r="AZ3" s="1"/>
      <c r="BA3" s="1"/>
      <c r="BB3" s="1"/>
      <c r="BC3" s="1"/>
      <c r="BD3" s="2"/>
      <c r="BE3" s="1"/>
      <c r="BF3" s="1"/>
      <c r="BG3" s="1"/>
      <c r="BH3" s="1"/>
      <c r="BI3" s="1"/>
      <c r="BJ3" s="1"/>
      <c r="BK3" s="1"/>
      <c r="BL3" s="1"/>
      <c r="BM3" s="2"/>
      <c r="BN3" s="1"/>
      <c r="BO3" s="1"/>
      <c r="BP3" s="1"/>
      <c r="BQ3" s="1"/>
      <c r="BR3" s="1"/>
      <c r="BS3" s="1"/>
      <c r="BT3" s="1"/>
      <c r="BU3" s="1"/>
      <c r="BV3" s="2"/>
      <c r="BW3" s="1"/>
      <c r="BX3" s="1"/>
      <c r="BY3" s="1"/>
      <c r="BZ3" s="1"/>
      <c r="CA3" s="1"/>
      <c r="CB3" s="1"/>
      <c r="CC3" s="1"/>
      <c r="CD3" s="1"/>
      <c r="CE3" s="2"/>
      <c r="CF3" s="1"/>
      <c r="CG3" s="1"/>
      <c r="CH3" s="1"/>
      <c r="CI3" s="1"/>
      <c r="CJ3" s="1"/>
      <c r="CK3" s="1"/>
      <c r="CL3" s="1"/>
    </row>
    <row r="4" spans="1:90" ht="14.65" x14ac:dyDescent="0.4">
      <c r="A4" s="1"/>
      <c r="B4" s="2"/>
      <c r="C4" s="1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  <c r="AA4" s="1"/>
      <c r="AB4" s="1"/>
      <c r="AC4" s="2"/>
      <c r="AD4" s="1"/>
      <c r="AE4" s="1"/>
      <c r="AF4" s="1"/>
      <c r="AG4" s="1"/>
      <c r="AH4" s="1"/>
      <c r="AI4" s="1"/>
      <c r="AJ4" s="1"/>
      <c r="AK4" s="1"/>
      <c r="AL4" s="2"/>
      <c r="AM4" s="1"/>
      <c r="AN4" s="1"/>
      <c r="AO4" s="1"/>
      <c r="AP4" s="1"/>
      <c r="AQ4" s="1"/>
      <c r="AR4" s="1"/>
      <c r="AS4" s="1"/>
      <c r="AT4" s="1"/>
      <c r="AU4" s="2"/>
      <c r="AV4" s="1"/>
      <c r="AW4" s="1"/>
      <c r="AX4" s="1"/>
      <c r="AY4" s="1"/>
      <c r="AZ4" s="1"/>
      <c r="BA4" s="1"/>
      <c r="BB4" s="1"/>
      <c r="BC4" s="1"/>
      <c r="BD4" s="2"/>
      <c r="BE4" s="1"/>
      <c r="BF4" s="1"/>
      <c r="BG4" s="1"/>
      <c r="BH4" s="1"/>
      <c r="BI4" s="1"/>
      <c r="BJ4" s="1"/>
      <c r="BK4" s="1"/>
      <c r="BL4" s="1"/>
      <c r="BM4" s="2"/>
      <c r="BN4" s="1"/>
      <c r="BO4" s="1"/>
      <c r="BP4" s="1"/>
      <c r="BQ4" s="1"/>
      <c r="BR4" s="1"/>
      <c r="BS4" s="1"/>
      <c r="BT4" s="1"/>
      <c r="BU4" s="1"/>
      <c r="BV4" s="2"/>
      <c r="BW4" s="1"/>
      <c r="BX4" s="1"/>
      <c r="BY4" s="1"/>
      <c r="BZ4" s="1"/>
      <c r="CA4" s="1"/>
      <c r="CB4" s="1"/>
      <c r="CC4" s="1"/>
      <c r="CD4" s="1"/>
      <c r="CE4" s="2"/>
      <c r="CF4" s="1"/>
      <c r="CG4" s="1"/>
      <c r="CH4" s="1"/>
      <c r="CI4" s="1"/>
      <c r="CJ4" s="1"/>
      <c r="CK4" s="1"/>
      <c r="CL4" s="1"/>
    </row>
    <row r="5" spans="1:90" ht="14.65" x14ac:dyDescent="0.4">
      <c r="A5" s="1"/>
      <c r="B5" s="2"/>
      <c r="C5" s="1"/>
      <c r="D5" s="1"/>
      <c r="E5" s="1"/>
      <c r="F5" s="1"/>
      <c r="G5" s="1"/>
      <c r="H5" s="1"/>
      <c r="I5" s="1"/>
      <c r="J5" s="1"/>
      <c r="K5" s="2"/>
      <c r="L5" s="1"/>
      <c r="M5" s="1"/>
      <c r="N5" s="1"/>
      <c r="O5" s="1"/>
      <c r="P5" s="1"/>
      <c r="Q5" s="1"/>
      <c r="R5" s="1"/>
      <c r="S5" s="1"/>
      <c r="T5" s="2"/>
      <c r="U5" s="1"/>
      <c r="V5" s="1"/>
      <c r="W5" s="1"/>
      <c r="X5" s="1"/>
      <c r="Y5" s="1"/>
      <c r="Z5" s="1"/>
      <c r="AA5" s="1"/>
      <c r="AB5" s="1"/>
      <c r="AC5" s="2"/>
      <c r="AD5" s="1"/>
      <c r="AE5" s="1"/>
      <c r="AF5" s="1"/>
      <c r="AG5" s="1"/>
      <c r="AH5" s="1"/>
      <c r="AI5" s="1"/>
      <c r="AJ5" s="1"/>
      <c r="AK5" s="1"/>
      <c r="AL5" s="2"/>
      <c r="AM5" s="1"/>
      <c r="AN5" s="1"/>
      <c r="AO5" s="1"/>
      <c r="AP5" s="1"/>
      <c r="AQ5" s="1"/>
      <c r="AR5" s="1"/>
      <c r="AS5" s="1"/>
      <c r="AT5" s="1"/>
      <c r="AU5" s="2"/>
      <c r="AV5" s="1"/>
      <c r="AW5" s="1"/>
      <c r="AX5" s="1"/>
      <c r="AY5" s="1"/>
      <c r="AZ5" s="1"/>
      <c r="BA5" s="1"/>
      <c r="BB5" s="1"/>
      <c r="BC5" s="1"/>
      <c r="BD5" s="2"/>
      <c r="BE5" s="1"/>
      <c r="BF5" s="1"/>
      <c r="BG5" s="1"/>
      <c r="BH5" s="1"/>
      <c r="BI5" s="1"/>
      <c r="BJ5" s="1"/>
      <c r="BK5" s="1"/>
      <c r="BL5" s="1"/>
      <c r="BM5" s="2"/>
      <c r="BN5" s="1"/>
      <c r="BO5" s="1"/>
      <c r="BP5" s="1"/>
      <c r="BQ5" s="1"/>
      <c r="BR5" s="1"/>
      <c r="BS5" s="1"/>
      <c r="BT5" s="1"/>
      <c r="BU5" s="1"/>
      <c r="BV5" s="2"/>
      <c r="BW5" s="1"/>
      <c r="BX5" s="1"/>
      <c r="BY5" s="1"/>
      <c r="BZ5" s="1"/>
      <c r="CA5" s="1"/>
      <c r="CB5" s="1"/>
      <c r="CC5" s="1"/>
      <c r="CD5" s="1"/>
      <c r="CE5" s="2"/>
      <c r="CF5" s="1"/>
      <c r="CG5" s="1"/>
      <c r="CH5" s="1"/>
      <c r="CI5" s="1"/>
      <c r="CJ5" s="1"/>
      <c r="CK5" s="1"/>
      <c r="CL5" s="1"/>
    </row>
    <row r="6" spans="1:90" ht="14.65" x14ac:dyDescent="0.4">
      <c r="A6" s="1"/>
      <c r="B6" s="2"/>
      <c r="C6" s="1"/>
      <c r="D6" s="1"/>
      <c r="E6" s="1"/>
      <c r="F6" s="1"/>
      <c r="G6" s="1"/>
      <c r="H6" s="1"/>
      <c r="I6" s="1"/>
      <c r="J6" s="1"/>
      <c r="K6" s="2"/>
      <c r="L6" s="1"/>
      <c r="M6" s="1"/>
      <c r="N6" s="1"/>
      <c r="O6" s="1"/>
      <c r="P6" s="1"/>
      <c r="Q6" s="1"/>
      <c r="R6" s="1"/>
      <c r="S6" s="1"/>
      <c r="T6" s="2"/>
      <c r="U6" s="1"/>
      <c r="V6" s="1"/>
      <c r="W6" s="1"/>
      <c r="X6" s="1"/>
      <c r="Y6" s="1"/>
      <c r="Z6" s="1"/>
      <c r="AA6" s="1"/>
      <c r="AB6" s="1"/>
      <c r="AC6" s="2"/>
      <c r="AD6" s="1"/>
      <c r="AE6" s="1"/>
      <c r="AF6" s="1"/>
      <c r="AG6" s="1"/>
      <c r="AH6" s="1"/>
      <c r="AI6" s="1"/>
      <c r="AJ6" s="1"/>
      <c r="AK6" s="1"/>
      <c r="AL6" s="2"/>
      <c r="AM6" s="1"/>
      <c r="AN6" s="1"/>
      <c r="AO6" s="1"/>
      <c r="AP6" s="1"/>
      <c r="AQ6" s="1"/>
      <c r="AR6" s="1"/>
      <c r="AS6" s="1"/>
      <c r="AT6" s="1"/>
      <c r="AU6" s="2"/>
      <c r="AV6" s="1"/>
      <c r="AW6" s="1"/>
      <c r="AX6" s="1"/>
      <c r="AY6" s="1"/>
      <c r="AZ6" s="1"/>
      <c r="BA6" s="1"/>
      <c r="BB6" s="1"/>
      <c r="BC6" s="1"/>
      <c r="BD6" s="2"/>
      <c r="BE6" s="1"/>
      <c r="BF6" s="1"/>
      <c r="BG6" s="1"/>
      <c r="BH6" s="1"/>
      <c r="BI6" s="1"/>
      <c r="BJ6" s="1"/>
      <c r="BK6" s="1"/>
      <c r="BL6" s="1"/>
      <c r="BM6" s="2"/>
      <c r="BN6" s="1"/>
      <c r="BO6" s="1"/>
      <c r="BP6" s="1"/>
      <c r="BQ6" s="1"/>
      <c r="BR6" s="1"/>
      <c r="BS6" s="1"/>
      <c r="BT6" s="1"/>
      <c r="BU6" s="1"/>
      <c r="BV6" s="2"/>
      <c r="BW6" s="1"/>
      <c r="BX6" s="1"/>
      <c r="BY6" s="1"/>
      <c r="BZ6" s="1"/>
      <c r="CA6" s="1"/>
      <c r="CB6" s="1"/>
      <c r="CC6" s="1"/>
      <c r="CD6" s="1"/>
      <c r="CE6" s="2"/>
      <c r="CF6" s="1"/>
      <c r="CG6" s="1"/>
      <c r="CH6" s="1"/>
      <c r="CI6" s="1"/>
      <c r="CJ6" s="1"/>
      <c r="CK6" s="1"/>
      <c r="CL6" s="1"/>
    </row>
    <row r="7" spans="1:90" ht="14.65" x14ac:dyDescent="0.4">
      <c r="A7" s="1"/>
      <c r="B7" s="2"/>
      <c r="C7" s="1"/>
      <c r="D7" s="1"/>
      <c r="E7" s="1"/>
      <c r="F7" s="1"/>
      <c r="G7" s="1"/>
      <c r="H7" s="1"/>
      <c r="I7" s="1"/>
      <c r="J7" s="1"/>
      <c r="K7" s="2"/>
      <c r="L7" s="1"/>
      <c r="M7" s="1"/>
      <c r="N7" s="1"/>
      <c r="O7" s="1"/>
      <c r="P7" s="1"/>
      <c r="Q7" s="1"/>
      <c r="R7" s="1"/>
      <c r="S7" s="1"/>
      <c r="T7" s="2"/>
      <c r="U7" s="1"/>
      <c r="V7" s="1"/>
      <c r="W7" s="1"/>
      <c r="X7" s="1"/>
      <c r="Y7" s="1"/>
      <c r="Z7" s="1"/>
      <c r="AA7" s="1"/>
      <c r="AB7" s="1"/>
      <c r="AC7" s="2"/>
      <c r="AD7" s="1"/>
      <c r="AE7" s="1"/>
      <c r="AF7" s="1"/>
      <c r="AG7" s="1"/>
      <c r="AH7" s="1"/>
      <c r="AI7" s="1"/>
      <c r="AJ7" s="1"/>
      <c r="AK7" s="1"/>
      <c r="AL7" s="2"/>
      <c r="AM7" s="1"/>
      <c r="AN7" s="1"/>
      <c r="AO7" s="1"/>
      <c r="AP7" s="1"/>
      <c r="AQ7" s="1"/>
      <c r="AR7" s="1"/>
      <c r="AS7" s="1"/>
      <c r="AT7" s="1"/>
      <c r="AU7" s="2"/>
      <c r="AV7" s="1"/>
      <c r="AW7" s="1"/>
      <c r="AX7" s="1"/>
      <c r="AY7" s="1"/>
      <c r="AZ7" s="1"/>
      <c r="BA7" s="1"/>
      <c r="BB7" s="1"/>
      <c r="BC7" s="1"/>
      <c r="BD7" s="2"/>
      <c r="BE7" s="1"/>
      <c r="BF7" s="1"/>
      <c r="BG7" s="1"/>
      <c r="BH7" s="1"/>
      <c r="BI7" s="1"/>
      <c r="BJ7" s="1"/>
      <c r="BK7" s="1"/>
      <c r="BL7" s="1"/>
      <c r="BM7" s="2"/>
      <c r="BN7" s="1"/>
      <c r="BO7" s="1"/>
      <c r="BP7" s="1"/>
      <c r="BQ7" s="1"/>
      <c r="BR7" s="1"/>
      <c r="BS7" s="1"/>
      <c r="BT7" s="1"/>
      <c r="BU7" s="1"/>
      <c r="BV7" s="2"/>
      <c r="BW7" s="1"/>
      <c r="BX7" s="1"/>
      <c r="BY7" s="1"/>
      <c r="BZ7" s="1"/>
      <c r="CA7" s="1"/>
      <c r="CB7" s="1"/>
      <c r="CC7" s="1"/>
      <c r="CD7" s="1"/>
      <c r="CE7" s="2"/>
      <c r="CF7" s="1"/>
      <c r="CG7" s="1"/>
      <c r="CH7" s="1"/>
      <c r="CI7" s="1"/>
      <c r="CJ7" s="1"/>
      <c r="CK7" s="1"/>
      <c r="CL7" s="1"/>
    </row>
    <row r="8" spans="1:90" ht="14.65" x14ac:dyDescent="0.4">
      <c r="A8" s="1"/>
      <c r="B8" s="2"/>
      <c r="C8" s="1"/>
      <c r="D8" s="1"/>
      <c r="E8" s="1"/>
      <c r="F8" s="1"/>
      <c r="G8" s="1"/>
      <c r="H8" s="1"/>
      <c r="I8" s="1"/>
      <c r="J8" s="1"/>
      <c r="K8" s="2"/>
      <c r="L8" s="1"/>
      <c r="M8" s="1"/>
      <c r="N8" s="1"/>
      <c r="O8" s="1"/>
      <c r="P8" s="1"/>
      <c r="Q8" s="1"/>
      <c r="R8" s="1"/>
      <c r="S8" s="1"/>
      <c r="T8" s="2"/>
      <c r="U8" s="1"/>
      <c r="V8" s="1"/>
      <c r="W8" s="1"/>
      <c r="X8" s="1"/>
      <c r="Y8" s="1"/>
      <c r="Z8" s="1"/>
      <c r="AA8" s="1"/>
      <c r="AB8" s="1"/>
      <c r="AC8" s="2"/>
      <c r="AD8" s="1"/>
      <c r="AE8" s="1"/>
      <c r="AF8" s="1"/>
      <c r="AG8" s="1"/>
      <c r="AH8" s="1"/>
      <c r="AI8" s="1"/>
      <c r="AJ8" s="1"/>
      <c r="AK8" s="1"/>
      <c r="AL8" s="2"/>
      <c r="AM8" s="1"/>
      <c r="AN8" s="1"/>
      <c r="AO8" s="1"/>
      <c r="AP8" s="1"/>
      <c r="AQ8" s="1"/>
      <c r="AR8" s="1"/>
      <c r="AS8" s="1"/>
      <c r="AT8" s="1"/>
      <c r="AU8" s="2"/>
      <c r="AV8" s="1"/>
      <c r="AW8" s="1"/>
      <c r="AX8" s="1"/>
      <c r="AY8" s="1"/>
      <c r="AZ8" s="1"/>
      <c r="BA8" s="1"/>
      <c r="BB8" s="1"/>
      <c r="BC8" s="1"/>
      <c r="BD8" s="2"/>
      <c r="BE8" s="1"/>
      <c r="BF8" s="1"/>
      <c r="BG8" s="1"/>
      <c r="BH8" s="1"/>
      <c r="BI8" s="1"/>
      <c r="BJ8" s="1"/>
      <c r="BK8" s="1"/>
      <c r="BL8" s="1"/>
      <c r="BM8" s="2"/>
      <c r="BN8" s="1"/>
      <c r="BO8" s="1"/>
      <c r="BP8" s="1"/>
      <c r="BQ8" s="1"/>
      <c r="BR8" s="1"/>
      <c r="BS8" s="1"/>
      <c r="BT8" s="1"/>
      <c r="BU8" s="1"/>
      <c r="BV8" s="2"/>
      <c r="BW8" s="1"/>
      <c r="BX8" s="1"/>
      <c r="BY8" s="1"/>
      <c r="BZ8" s="1"/>
      <c r="CA8" s="1"/>
      <c r="CB8" s="1"/>
      <c r="CC8" s="1"/>
      <c r="CD8" s="1"/>
      <c r="CE8" s="2"/>
      <c r="CF8" s="1"/>
      <c r="CG8" s="1"/>
      <c r="CH8" s="1"/>
      <c r="CI8" s="1"/>
      <c r="CJ8" s="1"/>
      <c r="CK8" s="1"/>
      <c r="CL8" s="1"/>
    </row>
    <row r="9" spans="1:90" ht="14.65" x14ac:dyDescent="0.4">
      <c r="A9" s="1"/>
      <c r="B9" s="2"/>
      <c r="C9" s="1"/>
      <c r="D9" s="1"/>
      <c r="E9" s="1"/>
      <c r="F9" s="1"/>
      <c r="G9" s="1"/>
      <c r="H9" s="1"/>
      <c r="I9" s="1"/>
      <c r="J9" s="1"/>
      <c r="K9" s="2"/>
      <c r="L9" s="1"/>
      <c r="M9" s="1"/>
      <c r="N9" s="1"/>
      <c r="O9" s="1"/>
      <c r="P9" s="1"/>
      <c r="Q9" s="1"/>
      <c r="R9" s="1"/>
      <c r="S9" s="1"/>
      <c r="T9" s="2"/>
      <c r="U9" s="1"/>
      <c r="V9" s="1"/>
      <c r="W9" s="1"/>
      <c r="X9" s="1"/>
      <c r="Y9" s="1"/>
      <c r="Z9" s="1"/>
      <c r="AA9" s="1"/>
      <c r="AB9" s="1"/>
      <c r="AC9" s="2"/>
      <c r="AD9" s="1"/>
      <c r="AE9" s="1"/>
      <c r="AF9" s="1"/>
      <c r="AG9" s="1"/>
      <c r="AH9" s="1"/>
      <c r="AI9" s="1"/>
      <c r="AJ9" s="1"/>
      <c r="AK9" s="1"/>
      <c r="AL9" s="2"/>
      <c r="AM9" s="1"/>
      <c r="AN9" s="1"/>
      <c r="AO9" s="1"/>
      <c r="AP9" s="1"/>
      <c r="AQ9" s="1"/>
      <c r="AR9" s="1"/>
      <c r="AS9" s="1"/>
      <c r="AT9" s="1"/>
      <c r="AU9" s="2"/>
      <c r="AV9" s="1"/>
      <c r="AW9" s="1"/>
      <c r="AX9" s="1"/>
      <c r="AY9" s="1"/>
      <c r="AZ9" s="1"/>
      <c r="BA9" s="1"/>
      <c r="BB9" s="1"/>
      <c r="BC9" s="1"/>
      <c r="BD9" s="2"/>
      <c r="BE9" s="1"/>
      <c r="BF9" s="1"/>
      <c r="BG9" s="1"/>
      <c r="BH9" s="1"/>
      <c r="BI9" s="1"/>
      <c r="BJ9" s="1"/>
      <c r="BK9" s="1"/>
      <c r="BL9" s="1"/>
      <c r="BM9" s="2"/>
      <c r="BN9" s="1"/>
      <c r="BO9" s="1"/>
      <c r="BP9" s="1"/>
      <c r="BQ9" s="1"/>
      <c r="BR9" s="1"/>
      <c r="BS9" s="1"/>
      <c r="BT9" s="1"/>
      <c r="BU9" s="1"/>
      <c r="BV9" s="2"/>
      <c r="BW9" s="1"/>
      <c r="BX9" s="1"/>
      <c r="BY9" s="1"/>
      <c r="BZ9" s="1"/>
      <c r="CA9" s="1"/>
      <c r="CB9" s="1"/>
      <c r="CC9" s="1"/>
      <c r="CD9" s="1"/>
      <c r="CE9" s="2"/>
      <c r="CF9" s="1"/>
      <c r="CG9" s="1"/>
      <c r="CH9" s="1"/>
      <c r="CI9" s="1"/>
      <c r="CJ9" s="1"/>
      <c r="CK9" s="1"/>
      <c r="CL9" s="1"/>
    </row>
    <row r="10" spans="1:90" ht="14.65" x14ac:dyDescent="0.4">
      <c r="A10" s="1"/>
      <c r="B10" s="2"/>
      <c r="C10" s="1"/>
      <c r="D10" s="1"/>
      <c r="E10" s="1"/>
      <c r="F10" s="1"/>
      <c r="G10" s="1"/>
      <c r="H10" s="1"/>
      <c r="I10" s="1"/>
      <c r="J10" s="1"/>
      <c r="K10" s="2"/>
      <c r="L10" s="1"/>
      <c r="M10" s="1"/>
      <c r="N10" s="1"/>
      <c r="O10" s="1"/>
      <c r="P10" s="1"/>
      <c r="Q10" s="1"/>
      <c r="R10" s="1"/>
      <c r="S10" s="1"/>
      <c r="T10" s="2"/>
      <c r="U10" s="1"/>
      <c r="V10" s="1"/>
      <c r="W10" s="1"/>
      <c r="X10" s="1"/>
      <c r="Y10" s="1"/>
      <c r="Z10" s="1"/>
      <c r="AA10" s="1"/>
      <c r="AB10" s="1"/>
      <c r="AC10" s="2"/>
      <c r="AD10" s="1"/>
      <c r="AE10" s="1"/>
      <c r="AF10" s="1"/>
      <c r="AG10" s="1"/>
      <c r="AH10" s="1"/>
      <c r="AI10" s="1"/>
      <c r="AJ10" s="1"/>
      <c r="AK10" s="1"/>
      <c r="AL10" s="2"/>
      <c r="AM10" s="1"/>
      <c r="AN10" s="1"/>
      <c r="AO10" s="1"/>
      <c r="AP10" s="1"/>
      <c r="AQ10" s="1"/>
      <c r="AR10" s="1"/>
      <c r="AS10" s="1"/>
      <c r="AT10" s="1"/>
      <c r="AU10" s="2"/>
      <c r="AV10" s="1"/>
      <c r="AW10" s="1"/>
      <c r="AX10" s="1"/>
      <c r="AY10" s="1"/>
      <c r="AZ10" s="1"/>
      <c r="BA10" s="1"/>
      <c r="BB10" s="1"/>
      <c r="BC10" s="1"/>
      <c r="BD10" s="2"/>
      <c r="BE10" s="1"/>
      <c r="BF10" s="1"/>
      <c r="BG10" s="1"/>
      <c r="BH10" s="1"/>
      <c r="BI10" s="1"/>
      <c r="BJ10" s="1"/>
      <c r="BK10" s="1"/>
      <c r="BL10" s="1"/>
      <c r="BM10" s="2"/>
      <c r="BN10" s="1"/>
      <c r="BO10" s="1"/>
      <c r="BP10" s="1"/>
      <c r="BQ10" s="1"/>
      <c r="BR10" s="1"/>
      <c r="BS10" s="1"/>
      <c r="BT10" s="1"/>
      <c r="BU10" s="1"/>
      <c r="BV10" s="2"/>
      <c r="BW10" s="1"/>
      <c r="BX10" s="1"/>
      <c r="BY10" s="1"/>
      <c r="BZ10" s="1"/>
      <c r="CA10" s="1"/>
      <c r="CB10" s="1"/>
      <c r="CC10" s="1"/>
      <c r="CD10" s="1"/>
      <c r="CE10" s="2"/>
      <c r="CF10" s="1"/>
      <c r="CG10" s="1"/>
      <c r="CH10" s="1"/>
      <c r="CI10" s="1"/>
      <c r="CJ10" s="1"/>
      <c r="CK10" s="1"/>
      <c r="CL10" s="1"/>
    </row>
    <row r="11" spans="1:90" ht="14.65" x14ac:dyDescent="0.4">
      <c r="A11" s="1"/>
      <c r="B11" s="2"/>
      <c r="C11" s="1"/>
      <c r="D11" s="1"/>
      <c r="E11" s="1"/>
      <c r="F11" s="1"/>
      <c r="G11" s="1"/>
      <c r="H11" s="1"/>
      <c r="I11" s="1"/>
      <c r="J11" s="1"/>
      <c r="K11" s="2"/>
      <c r="L11" s="1"/>
      <c r="M11" s="1"/>
      <c r="N11" s="1"/>
      <c r="O11" s="1"/>
      <c r="P11" s="1"/>
      <c r="Q11" s="1"/>
      <c r="R11" s="1"/>
      <c r="S11" s="1"/>
      <c r="T11" s="2"/>
      <c r="U11" s="1"/>
      <c r="V11" s="1"/>
      <c r="W11" s="1"/>
      <c r="X11" s="1"/>
      <c r="Y11" s="1"/>
      <c r="Z11" s="1"/>
      <c r="AA11" s="1"/>
      <c r="AB11" s="1"/>
      <c r="AC11" s="2"/>
      <c r="AD11" s="1"/>
      <c r="AE11" s="1"/>
      <c r="AF11" s="1"/>
      <c r="AG11" s="1"/>
      <c r="AH11" s="1"/>
      <c r="AI11" s="1"/>
      <c r="AJ11" s="1"/>
      <c r="AK11" s="1"/>
      <c r="AL11" s="2"/>
      <c r="AM11" s="1"/>
      <c r="AN11" s="1"/>
      <c r="AO11" s="1"/>
      <c r="AP11" s="1"/>
      <c r="AQ11" s="1"/>
      <c r="AR11" s="1"/>
      <c r="AS11" s="1"/>
      <c r="AT11" s="1"/>
      <c r="AU11" s="2"/>
      <c r="AV11" s="1"/>
      <c r="AW11" s="1"/>
      <c r="AX11" s="1"/>
      <c r="AY11" s="1"/>
      <c r="AZ11" s="1"/>
      <c r="BA11" s="1"/>
      <c r="BB11" s="1"/>
      <c r="BC11" s="1"/>
      <c r="BD11" s="2"/>
      <c r="BE11" s="1"/>
      <c r="BF11" s="1"/>
      <c r="BG11" s="1"/>
      <c r="BH11" s="1"/>
      <c r="BI11" s="1"/>
      <c r="BJ11" s="1"/>
      <c r="BK11" s="1"/>
      <c r="BL11" s="1"/>
      <c r="BM11" s="2"/>
      <c r="BN11" s="1"/>
      <c r="BO11" s="1"/>
      <c r="BP11" s="1"/>
      <c r="BQ11" s="1"/>
      <c r="BR11" s="1"/>
      <c r="BS11" s="1"/>
      <c r="BT11" s="1"/>
      <c r="BU11" s="1"/>
      <c r="BV11" s="2"/>
      <c r="BW11" s="1"/>
      <c r="BX11" s="1"/>
      <c r="BY11" s="1"/>
      <c r="BZ11" s="1"/>
      <c r="CA11" s="1"/>
      <c r="CB11" s="1"/>
      <c r="CC11" s="1"/>
      <c r="CD11" s="1"/>
      <c r="CE11" s="2"/>
      <c r="CF11" s="1"/>
      <c r="CG11" s="1"/>
      <c r="CH11" s="1"/>
      <c r="CI11" s="1"/>
      <c r="CJ11" s="1"/>
      <c r="CK11" s="1"/>
      <c r="CL11" s="1"/>
    </row>
    <row r="12" spans="1:90" ht="14.65" x14ac:dyDescent="0.4">
      <c r="A12" s="1"/>
      <c r="B12" s="2"/>
      <c r="C12" s="1"/>
      <c r="D12" s="1"/>
      <c r="E12" s="1"/>
      <c r="F12" s="1"/>
      <c r="G12" s="1"/>
      <c r="H12" s="1"/>
      <c r="I12" s="1"/>
      <c r="J12" s="1"/>
      <c r="K12" s="2"/>
      <c r="L12" s="1"/>
      <c r="M12" s="1"/>
      <c r="N12" s="1"/>
      <c r="O12" s="1"/>
      <c r="P12" s="1"/>
      <c r="Q12" s="1"/>
      <c r="R12" s="1"/>
      <c r="S12" s="1"/>
      <c r="T12" s="2"/>
      <c r="U12" s="1"/>
      <c r="V12" s="1"/>
      <c r="W12" s="1"/>
      <c r="X12" s="1"/>
      <c r="Y12" s="1"/>
      <c r="Z12" s="1"/>
      <c r="AA12" s="1"/>
      <c r="AB12" s="1"/>
      <c r="AC12" s="2"/>
      <c r="AD12" s="1"/>
      <c r="AE12" s="1"/>
      <c r="AF12" s="1"/>
      <c r="AG12" s="1"/>
      <c r="AH12" s="1"/>
      <c r="AI12" s="1"/>
      <c r="AJ12" s="1"/>
      <c r="AK12" s="1"/>
      <c r="AL12" s="2"/>
      <c r="AM12" s="1"/>
      <c r="AN12" s="1"/>
      <c r="AO12" s="1"/>
      <c r="AP12" s="1"/>
      <c r="AQ12" s="1"/>
      <c r="AR12" s="1"/>
      <c r="AS12" s="1"/>
      <c r="AT12" s="1"/>
      <c r="AU12" s="2"/>
      <c r="AV12" s="1"/>
      <c r="AW12" s="1"/>
      <c r="AX12" s="1"/>
      <c r="AY12" s="1"/>
      <c r="AZ12" s="1"/>
      <c r="BA12" s="1"/>
      <c r="BB12" s="1"/>
      <c r="BC12" s="1"/>
      <c r="BD12" s="2"/>
      <c r="BE12" s="1"/>
      <c r="BF12" s="1"/>
      <c r="BG12" s="1"/>
      <c r="BH12" s="1"/>
      <c r="BI12" s="1"/>
      <c r="BJ12" s="1"/>
      <c r="BK12" s="1"/>
      <c r="BL12" s="1"/>
      <c r="BM12" s="2"/>
      <c r="BN12" s="1"/>
      <c r="BO12" s="1"/>
      <c r="BP12" s="1"/>
      <c r="BQ12" s="1"/>
      <c r="BR12" s="1"/>
      <c r="BS12" s="1"/>
      <c r="BT12" s="1"/>
      <c r="BU12" s="1"/>
      <c r="BV12" s="2"/>
      <c r="BW12" s="1"/>
      <c r="BX12" s="1"/>
      <c r="BY12" s="1"/>
      <c r="BZ12" s="1"/>
      <c r="CA12" s="1"/>
      <c r="CB12" s="1"/>
      <c r="CC12" s="1"/>
      <c r="CD12" s="1"/>
      <c r="CE12" s="2"/>
      <c r="CF12" s="1"/>
      <c r="CG12" s="1"/>
      <c r="CH12" s="1"/>
      <c r="CI12" s="1"/>
      <c r="CJ12" s="1"/>
      <c r="CK12" s="1"/>
      <c r="CL12" s="1"/>
    </row>
    <row r="13" spans="1:90" ht="14.65" x14ac:dyDescent="0.4">
      <c r="A13" s="1"/>
      <c r="B13" s="2"/>
      <c r="C13" s="1"/>
      <c r="D13" s="1"/>
      <c r="E13" s="1"/>
      <c r="F13" s="1"/>
      <c r="G13" s="1"/>
      <c r="H13" s="1"/>
      <c r="I13" s="1"/>
      <c r="J13" s="1"/>
      <c r="K13" s="2"/>
      <c r="L13" s="1"/>
      <c r="M13" s="1"/>
      <c r="N13" s="1"/>
      <c r="O13" s="1"/>
      <c r="P13" s="1"/>
      <c r="Q13" s="1"/>
      <c r="R13" s="1"/>
      <c r="S13" s="1"/>
      <c r="T13" s="2"/>
      <c r="U13" s="1"/>
      <c r="V13" s="1"/>
      <c r="W13" s="1"/>
      <c r="X13" s="1"/>
      <c r="Y13" s="1"/>
      <c r="Z13" s="1"/>
      <c r="AA13" s="1"/>
      <c r="AB13" s="1"/>
      <c r="AC13" s="2"/>
      <c r="AD13" s="1"/>
      <c r="AE13" s="1"/>
      <c r="AF13" s="1"/>
      <c r="AG13" s="1"/>
      <c r="AH13" s="1"/>
      <c r="AI13" s="1"/>
      <c r="AJ13" s="1"/>
      <c r="AK13" s="1"/>
      <c r="AL13" s="2"/>
      <c r="AM13" s="1"/>
      <c r="AN13" s="1"/>
      <c r="AO13" s="1"/>
      <c r="AP13" s="1"/>
      <c r="AQ13" s="1"/>
      <c r="AR13" s="1"/>
      <c r="AS13" s="1"/>
      <c r="AT13" s="1"/>
      <c r="AU13" s="2"/>
      <c r="AV13" s="1"/>
      <c r="AW13" s="1"/>
      <c r="AX13" s="1"/>
      <c r="AY13" s="1"/>
      <c r="AZ13" s="1"/>
      <c r="BA13" s="1"/>
      <c r="BB13" s="1"/>
      <c r="BC13" s="1"/>
      <c r="BD13" s="2"/>
      <c r="BE13" s="1"/>
      <c r="BF13" s="1"/>
      <c r="BG13" s="1"/>
      <c r="BH13" s="1"/>
      <c r="BI13" s="1"/>
      <c r="BJ13" s="1"/>
      <c r="BK13" s="1"/>
      <c r="BL13" s="1"/>
      <c r="BM13" s="2"/>
      <c r="BN13" s="1"/>
      <c r="BO13" s="1"/>
      <c r="BP13" s="1"/>
      <c r="BQ13" s="1"/>
      <c r="BR13" s="1"/>
      <c r="BS13" s="1"/>
      <c r="BT13" s="1"/>
      <c r="BU13" s="1"/>
      <c r="BV13" s="2"/>
      <c r="BW13" s="1"/>
      <c r="BX13" s="1"/>
      <c r="BY13" s="1"/>
      <c r="BZ13" s="1"/>
      <c r="CA13" s="1"/>
      <c r="CB13" s="1"/>
      <c r="CC13" s="1"/>
      <c r="CD13" s="1"/>
      <c r="CE13" s="2"/>
      <c r="CF13" s="1"/>
      <c r="CG13" s="1"/>
      <c r="CH13" s="1"/>
      <c r="CI13" s="1"/>
      <c r="CJ13" s="1"/>
      <c r="CK13" s="1"/>
      <c r="CL13" s="1"/>
    </row>
    <row r="14" spans="1:90" ht="14.65" x14ac:dyDescent="0.4">
      <c r="A14" s="1"/>
      <c r="B14" s="2"/>
      <c r="C14" s="1"/>
      <c r="D14" s="1"/>
      <c r="E14" s="1"/>
      <c r="F14" s="1"/>
      <c r="G14" s="1"/>
      <c r="H14" s="1"/>
      <c r="I14" s="1"/>
      <c r="J14" s="1"/>
      <c r="K14" s="2"/>
      <c r="L14" s="1"/>
      <c r="M14" s="1"/>
      <c r="N14" s="1"/>
      <c r="O14" s="1"/>
      <c r="P14" s="1"/>
      <c r="Q14" s="1"/>
      <c r="R14" s="1"/>
      <c r="S14" s="1"/>
      <c r="T14" s="2"/>
      <c r="U14" s="1"/>
      <c r="V14" s="1"/>
      <c r="W14" s="1"/>
      <c r="X14" s="1"/>
      <c r="Y14" s="1"/>
      <c r="Z14" s="1"/>
      <c r="AA14" s="1"/>
      <c r="AB14" s="1"/>
      <c r="AC14" s="2"/>
      <c r="AD14" s="1"/>
      <c r="AE14" s="1"/>
      <c r="AF14" s="1"/>
      <c r="AG14" s="1"/>
      <c r="AH14" s="1"/>
      <c r="AI14" s="1"/>
      <c r="AJ14" s="1"/>
      <c r="AK14" s="1"/>
      <c r="AL14" s="2"/>
      <c r="AM14" s="1"/>
      <c r="AN14" s="1"/>
      <c r="AO14" s="1"/>
      <c r="AP14" s="1"/>
      <c r="AQ14" s="1"/>
      <c r="AR14" s="1"/>
      <c r="AS14" s="1"/>
      <c r="AT14" s="1"/>
      <c r="AU14" s="2"/>
      <c r="AV14" s="1"/>
      <c r="AW14" s="1"/>
      <c r="AX14" s="1"/>
      <c r="AY14" s="1"/>
      <c r="AZ14" s="1"/>
      <c r="BA14" s="1"/>
      <c r="BB14" s="1"/>
      <c r="BC14" s="1"/>
      <c r="BD14" s="2"/>
      <c r="BE14" s="1"/>
      <c r="BF14" s="1"/>
      <c r="BG14" s="1"/>
      <c r="BH14" s="1"/>
      <c r="BI14" s="1"/>
      <c r="BJ14" s="1"/>
      <c r="BK14" s="1"/>
      <c r="BL14" s="1"/>
      <c r="BM14" s="2"/>
      <c r="BN14" s="1"/>
      <c r="BO14" s="1"/>
      <c r="BP14" s="1"/>
      <c r="BQ14" s="1"/>
      <c r="BR14" s="1"/>
      <c r="BS14" s="1"/>
      <c r="BT14" s="1"/>
      <c r="BU14" s="1"/>
      <c r="BV14" s="2"/>
      <c r="BW14" s="1"/>
      <c r="BX14" s="1"/>
      <c r="BY14" s="1"/>
      <c r="BZ14" s="1"/>
      <c r="CA14" s="1"/>
      <c r="CB14" s="1"/>
      <c r="CC14" s="1"/>
      <c r="CD14" s="1"/>
      <c r="CE14" s="2"/>
      <c r="CF14" s="1"/>
      <c r="CG14" s="1"/>
      <c r="CH14" s="1"/>
      <c r="CI14" s="1"/>
      <c r="CJ14" s="1"/>
      <c r="CK14" s="1"/>
      <c r="CL14" s="1"/>
    </row>
    <row r="15" spans="1:90" ht="14.65" x14ac:dyDescent="0.4">
      <c r="A15" s="1"/>
      <c r="B15" s="2"/>
      <c r="C15" s="1"/>
      <c r="D15" s="1"/>
      <c r="E15" s="1"/>
      <c r="F15" s="1"/>
      <c r="G15" s="1"/>
      <c r="H15" s="1"/>
      <c r="I15" s="1"/>
      <c r="J15" s="1"/>
      <c r="K15" s="2"/>
      <c r="L15" s="1"/>
      <c r="M15" s="3"/>
      <c r="N15" s="1"/>
      <c r="O15" s="1"/>
      <c r="P15" s="1"/>
      <c r="Q15" s="1"/>
      <c r="R15" s="1"/>
      <c r="S15" s="1"/>
      <c r="T15" s="2"/>
      <c r="U15" s="1"/>
      <c r="V15" s="1"/>
      <c r="W15" s="1"/>
      <c r="X15" s="1"/>
      <c r="Y15" s="1"/>
      <c r="Z15" s="1"/>
      <c r="AA15" s="1"/>
      <c r="AB15" s="1"/>
      <c r="AC15" s="2"/>
      <c r="AD15" s="1"/>
      <c r="AE15" s="1"/>
      <c r="AF15" s="1"/>
      <c r="AG15" s="1"/>
      <c r="AH15" s="1"/>
      <c r="AI15" s="1"/>
      <c r="AJ15" s="1"/>
      <c r="AK15" s="1"/>
      <c r="AL15" s="2"/>
      <c r="AM15" s="1"/>
      <c r="AN15" s="1"/>
      <c r="AO15" s="1"/>
      <c r="AP15" s="1"/>
      <c r="AQ15" s="1"/>
      <c r="AR15" s="1"/>
      <c r="AS15" s="1"/>
      <c r="AT15" s="1"/>
      <c r="AU15" s="2"/>
      <c r="AV15" s="1"/>
      <c r="AW15" s="1"/>
      <c r="AX15" s="1"/>
      <c r="AY15" s="1"/>
      <c r="AZ15" s="1"/>
      <c r="BA15" s="1"/>
      <c r="BB15" s="1"/>
      <c r="BC15" s="1"/>
      <c r="BD15" s="2"/>
      <c r="BE15" s="1"/>
      <c r="BF15" s="1"/>
      <c r="BG15" s="1"/>
      <c r="BH15" s="1"/>
      <c r="BI15" s="1"/>
      <c r="BJ15" s="1"/>
      <c r="BK15" s="1"/>
      <c r="BL15" s="1"/>
      <c r="BM15" s="2"/>
      <c r="BN15" s="1"/>
      <c r="BO15" s="1"/>
      <c r="BP15" s="1"/>
      <c r="BQ15" s="1"/>
      <c r="BR15" s="1"/>
      <c r="BS15" s="1"/>
      <c r="BT15" s="1"/>
      <c r="BU15" s="1"/>
      <c r="BV15" s="2"/>
      <c r="BW15" s="1"/>
      <c r="BX15" s="1"/>
      <c r="BY15" s="1"/>
      <c r="BZ15" s="1"/>
      <c r="CA15" s="1"/>
      <c r="CB15" s="1"/>
      <c r="CC15" s="1"/>
      <c r="CD15" s="1"/>
      <c r="CE15" s="2"/>
      <c r="CF15" s="1"/>
      <c r="CG15" s="1"/>
      <c r="CH15" s="1"/>
      <c r="CI15" s="1"/>
      <c r="CJ15" s="1"/>
      <c r="CK15" s="1"/>
      <c r="CL15" s="1"/>
    </row>
    <row r="16" spans="1:90" ht="14.65" x14ac:dyDescent="0.4">
      <c r="A16" s="1"/>
      <c r="B16" s="2"/>
      <c r="C16" s="1"/>
      <c r="D16" s="1"/>
      <c r="E16" s="1"/>
      <c r="F16" s="1"/>
      <c r="G16" s="1"/>
      <c r="H16" s="1"/>
      <c r="I16" s="1"/>
      <c r="J16" s="1"/>
      <c r="K16" s="2"/>
      <c r="L16" s="1"/>
      <c r="M16" s="3"/>
      <c r="N16" s="1"/>
      <c r="O16" s="1"/>
      <c r="P16" s="1"/>
      <c r="Q16" s="1"/>
      <c r="R16" s="1"/>
      <c r="S16" s="1"/>
      <c r="T16" s="2"/>
      <c r="U16" s="1"/>
      <c r="V16" s="1"/>
      <c r="W16" s="1"/>
      <c r="X16" s="1"/>
      <c r="Y16" s="1"/>
      <c r="Z16" s="1"/>
      <c r="AA16" s="1"/>
      <c r="AB16" s="1"/>
      <c r="AC16" s="2"/>
      <c r="AD16" s="2"/>
      <c r="AE16" s="1"/>
      <c r="AF16" s="1"/>
      <c r="AG16" s="1"/>
      <c r="AH16" s="1"/>
      <c r="AI16" s="1"/>
      <c r="AJ16" s="1"/>
      <c r="AK16" s="1"/>
      <c r="AL16" s="2"/>
      <c r="AM16" s="1"/>
      <c r="AN16" s="1"/>
      <c r="AO16" s="1"/>
      <c r="AP16" s="1"/>
      <c r="AQ16" s="1"/>
      <c r="AR16" s="1"/>
      <c r="AS16" s="1"/>
      <c r="AT16" s="1"/>
      <c r="AU16" s="2"/>
      <c r="AV16" s="1"/>
      <c r="AW16" s="1"/>
      <c r="AX16" s="1"/>
      <c r="AY16" s="1"/>
      <c r="AZ16" s="1"/>
      <c r="BA16" s="1"/>
      <c r="BB16" s="1"/>
      <c r="BC16" s="1"/>
      <c r="BD16" s="2"/>
      <c r="BE16" s="1"/>
      <c r="BF16" s="1"/>
      <c r="BG16" s="1"/>
      <c r="BH16" s="1"/>
      <c r="BI16" s="1"/>
      <c r="BJ16" s="1"/>
      <c r="BK16" s="1"/>
      <c r="BL16" s="1"/>
      <c r="BM16" s="2"/>
      <c r="BN16" s="1"/>
      <c r="BO16" s="1"/>
      <c r="BP16" s="1"/>
      <c r="BQ16" s="1"/>
      <c r="BR16" s="1"/>
      <c r="BS16" s="1"/>
      <c r="BT16" s="1"/>
      <c r="BU16" s="1"/>
      <c r="BV16" s="2"/>
      <c r="BW16" s="1"/>
      <c r="BX16" s="1"/>
      <c r="BY16" s="1"/>
      <c r="BZ16" s="1"/>
      <c r="CA16" s="1"/>
      <c r="CB16" s="1"/>
      <c r="CC16" s="1"/>
      <c r="CD16" s="1"/>
      <c r="CE16" s="2"/>
      <c r="CF16" s="1"/>
      <c r="CG16" s="1"/>
      <c r="CH16" s="1"/>
      <c r="CI16" s="1"/>
      <c r="CJ16" s="1"/>
      <c r="CK16" s="1"/>
      <c r="CL16" s="1"/>
    </row>
    <row r="17" spans="1:90" ht="14.65" x14ac:dyDescent="0.4">
      <c r="A17" s="1"/>
      <c r="B17" s="2"/>
      <c r="C17" s="1"/>
      <c r="D17" s="1"/>
      <c r="E17" s="1"/>
      <c r="F17" s="1"/>
      <c r="G17" s="1"/>
      <c r="H17" s="1"/>
      <c r="I17" s="1"/>
      <c r="J17" s="1"/>
      <c r="K17" s="2"/>
      <c r="L17" s="1"/>
      <c r="M17" s="3"/>
      <c r="N17" s="1"/>
      <c r="O17" s="1"/>
      <c r="P17" s="1"/>
      <c r="Q17" s="1"/>
      <c r="R17" s="1"/>
      <c r="S17" s="1"/>
      <c r="T17" s="2"/>
      <c r="U17" s="1"/>
      <c r="V17" s="1"/>
      <c r="W17" s="1"/>
      <c r="X17" s="1"/>
      <c r="Y17" s="1"/>
      <c r="Z17" s="1"/>
      <c r="AA17" s="1"/>
      <c r="AB17" s="1"/>
      <c r="AC17" s="2"/>
      <c r="AD17" s="2"/>
      <c r="AE17" s="1"/>
      <c r="AF17" s="1"/>
      <c r="AG17" s="1"/>
      <c r="AH17" s="1"/>
      <c r="AI17" s="1"/>
      <c r="AJ17" s="1"/>
      <c r="AK17" s="1"/>
      <c r="AL17" s="2"/>
      <c r="AM17" s="1"/>
      <c r="AN17" s="1"/>
      <c r="AO17" s="1"/>
      <c r="AP17" s="1"/>
      <c r="AQ17" s="1"/>
      <c r="AR17" s="1"/>
      <c r="AS17" s="1"/>
      <c r="AT17" s="1"/>
      <c r="AU17" s="2"/>
      <c r="AV17" s="1"/>
      <c r="AW17" s="1"/>
      <c r="AX17" s="1"/>
      <c r="AY17" s="1"/>
      <c r="AZ17" s="1"/>
      <c r="BA17" s="1"/>
      <c r="BB17" s="1"/>
      <c r="BC17" s="1"/>
      <c r="BD17" s="2"/>
      <c r="BE17" s="1"/>
      <c r="BF17" s="1"/>
      <c r="BG17" s="1"/>
      <c r="BH17" s="1"/>
      <c r="BI17" s="1"/>
      <c r="BJ17" s="1"/>
      <c r="BK17" s="1"/>
      <c r="BL17" s="1"/>
      <c r="BM17" s="2"/>
      <c r="BN17" s="1"/>
      <c r="BO17" s="1"/>
      <c r="BP17" s="1"/>
      <c r="BQ17" s="1"/>
      <c r="BR17" s="1"/>
      <c r="BS17" s="1"/>
      <c r="BT17" s="1"/>
      <c r="BU17" s="1"/>
      <c r="BV17" s="2"/>
      <c r="BW17" s="1"/>
      <c r="BX17" s="1"/>
      <c r="BY17" s="1"/>
      <c r="BZ17" s="1"/>
      <c r="CA17" s="1"/>
      <c r="CB17" s="1"/>
      <c r="CC17" s="1"/>
      <c r="CD17" s="1"/>
      <c r="CE17" s="2"/>
      <c r="CF17" s="1"/>
      <c r="CG17" s="1"/>
      <c r="CH17" s="1"/>
      <c r="CI17" s="1"/>
      <c r="CJ17" s="1"/>
      <c r="CK17" s="1"/>
      <c r="CL17" s="1"/>
    </row>
    <row r="18" spans="1:90" ht="14.65" x14ac:dyDescent="0.4">
      <c r="A18" s="1"/>
      <c r="B18" s="2"/>
      <c r="C18" s="1"/>
      <c r="D18" s="1"/>
      <c r="E18" s="1"/>
      <c r="F18" s="1"/>
      <c r="G18" s="1"/>
      <c r="H18" s="1"/>
      <c r="I18" s="1"/>
      <c r="J18" s="1"/>
      <c r="K18" s="2"/>
      <c r="L18" s="1"/>
      <c r="M18" s="1"/>
      <c r="N18" s="1"/>
      <c r="O18" s="1"/>
      <c r="P18" s="1"/>
      <c r="Q18" s="1"/>
      <c r="R18" s="1"/>
      <c r="S18" s="1"/>
      <c r="T18" s="2"/>
      <c r="U18" s="1"/>
      <c r="V18" s="1"/>
      <c r="W18" s="1"/>
      <c r="X18" s="1"/>
      <c r="Y18" s="1"/>
      <c r="Z18" s="1"/>
      <c r="AA18" s="1"/>
      <c r="AB18" s="1"/>
      <c r="AC18" s="2"/>
      <c r="AD18" s="1"/>
      <c r="AE18" s="1"/>
      <c r="AF18" s="1"/>
      <c r="AG18" s="1"/>
      <c r="AH18" s="1"/>
      <c r="AI18" s="1"/>
      <c r="AJ18" s="1"/>
      <c r="AK18" s="1"/>
      <c r="AL18" s="2"/>
      <c r="AM18" s="1"/>
      <c r="AN18" s="1"/>
      <c r="AO18" s="1"/>
      <c r="AP18" s="1"/>
      <c r="AQ18" s="1"/>
      <c r="AR18" s="1"/>
      <c r="AS18" s="1"/>
      <c r="AT18" s="1"/>
      <c r="AU18" s="2"/>
      <c r="AV18" s="1"/>
      <c r="AW18" s="1"/>
      <c r="AX18" s="1"/>
      <c r="AY18" s="1"/>
      <c r="AZ18" s="1"/>
      <c r="BA18" s="1"/>
      <c r="BB18" s="1"/>
      <c r="BC18" s="1"/>
      <c r="BD18" s="2"/>
      <c r="BE18" s="1"/>
      <c r="BF18" s="1"/>
      <c r="BG18" s="1"/>
      <c r="BH18" s="1"/>
      <c r="BI18" s="1"/>
      <c r="BJ18" s="1"/>
      <c r="BK18" s="1"/>
      <c r="BL18" s="1"/>
      <c r="BM18" s="2"/>
      <c r="BN18" s="1"/>
      <c r="BO18" s="1"/>
      <c r="BP18" s="1"/>
      <c r="BQ18" s="1"/>
      <c r="BR18" s="1"/>
      <c r="BS18" s="1"/>
      <c r="BT18" s="1"/>
      <c r="BU18" s="1"/>
      <c r="BV18" s="2"/>
      <c r="BW18" s="1"/>
      <c r="BX18" s="1"/>
      <c r="BY18" s="1"/>
      <c r="BZ18" s="1"/>
      <c r="CA18" s="1"/>
      <c r="CB18" s="1"/>
      <c r="CC18" s="1"/>
      <c r="CD18" s="1"/>
      <c r="CE18" s="2"/>
      <c r="CF18" s="1"/>
      <c r="CG18" s="1"/>
      <c r="CH18" s="1"/>
      <c r="CI18" s="1"/>
      <c r="CJ18" s="1"/>
      <c r="CK18" s="1"/>
      <c r="CL18" s="1"/>
    </row>
    <row r="19" spans="1:90" ht="14.65" x14ac:dyDescent="0.4">
      <c r="A19" s="1"/>
      <c r="B19" s="2"/>
      <c r="C19" s="1"/>
      <c r="D19" s="1"/>
      <c r="E19" s="1"/>
      <c r="F19" s="1"/>
      <c r="G19" s="1"/>
      <c r="H19" s="1"/>
      <c r="I19" s="1"/>
      <c r="J19" s="1"/>
      <c r="K19" s="2"/>
      <c r="L19" s="3"/>
      <c r="M19" s="1"/>
      <c r="N19" s="1"/>
      <c r="O19" s="1"/>
      <c r="P19" s="1"/>
      <c r="Q19" s="1"/>
      <c r="R19" s="1"/>
      <c r="S19" s="1"/>
      <c r="T19" s="2"/>
      <c r="U19" s="1"/>
      <c r="V19" s="1"/>
      <c r="W19" s="3"/>
      <c r="X19" s="1"/>
      <c r="Y19" s="1"/>
      <c r="Z19" s="1"/>
      <c r="AA19" s="1"/>
      <c r="AB19" s="1"/>
      <c r="AC19" s="2"/>
      <c r="AD19" s="1"/>
      <c r="AE19" s="1"/>
      <c r="AF19" s="1"/>
      <c r="AG19" s="1"/>
      <c r="AH19" s="1"/>
      <c r="AI19" s="1"/>
      <c r="AJ19" s="1"/>
      <c r="AK19" s="1"/>
      <c r="AL19" s="2"/>
      <c r="AM19" s="1"/>
      <c r="AN19" s="1"/>
      <c r="AO19" s="1"/>
      <c r="AP19" s="1"/>
      <c r="AQ19" s="1"/>
      <c r="AR19" s="1"/>
      <c r="AS19" s="1"/>
      <c r="AT19" s="1"/>
      <c r="AU19" s="2"/>
      <c r="AV19" s="1"/>
      <c r="AW19" s="1"/>
      <c r="AX19" s="1"/>
      <c r="AY19" s="1"/>
      <c r="AZ19" s="1"/>
      <c r="BA19" s="1"/>
      <c r="BB19" s="1"/>
      <c r="BC19" s="1"/>
      <c r="BD19" s="2"/>
      <c r="BE19" s="1"/>
      <c r="BF19" s="1"/>
      <c r="BG19" s="1"/>
      <c r="BH19" s="1"/>
      <c r="BI19" s="1"/>
      <c r="BJ19" s="1"/>
      <c r="BK19" s="1"/>
      <c r="BL19" s="1"/>
      <c r="BM19" s="2"/>
      <c r="BN19" s="1"/>
      <c r="BO19" s="1"/>
      <c r="BP19" s="1"/>
      <c r="BQ19" s="1"/>
      <c r="BR19" s="1"/>
      <c r="BS19" s="1"/>
      <c r="BT19" s="1"/>
      <c r="BU19" s="1"/>
      <c r="BV19" s="2"/>
      <c r="BW19" s="1"/>
      <c r="BX19" s="1"/>
      <c r="BY19" s="1"/>
      <c r="BZ19" s="1"/>
      <c r="CA19" s="1"/>
      <c r="CB19" s="1"/>
      <c r="CC19" s="1"/>
      <c r="CD19" s="1"/>
      <c r="CE19" s="2"/>
      <c r="CF19" s="1"/>
      <c r="CG19" s="1"/>
      <c r="CH19" s="1"/>
      <c r="CI19" s="1"/>
      <c r="CJ19" s="1"/>
      <c r="CK19" s="1"/>
      <c r="CL19" s="1"/>
    </row>
    <row r="20" spans="1:90" ht="14.65" x14ac:dyDescent="0.4">
      <c r="A20" s="1"/>
      <c r="B20" s="2"/>
      <c r="C20" s="1"/>
      <c r="D20" s="1"/>
      <c r="E20" s="1"/>
      <c r="F20" s="1"/>
      <c r="G20" s="1"/>
      <c r="H20" s="1"/>
      <c r="I20" s="1"/>
      <c r="J20" s="1"/>
      <c r="K20" s="2"/>
      <c r="L20" s="1"/>
      <c r="M20" s="1"/>
      <c r="N20" s="1"/>
      <c r="O20" s="1"/>
      <c r="P20" s="1"/>
      <c r="Q20" s="1"/>
      <c r="R20" s="1"/>
      <c r="S20" s="1"/>
      <c r="T20" s="2"/>
      <c r="U20" s="1"/>
      <c r="V20" s="1"/>
      <c r="W20" s="3"/>
      <c r="X20" s="1"/>
      <c r="Y20" s="1"/>
      <c r="Z20" s="1"/>
      <c r="AA20" s="1"/>
      <c r="AB20" s="1"/>
      <c r="AC20" s="2"/>
      <c r="AD20" s="1"/>
      <c r="AE20" s="1"/>
      <c r="AF20" s="1"/>
      <c r="AG20" s="1"/>
      <c r="AH20" s="1"/>
      <c r="AI20" s="1"/>
      <c r="AJ20" s="1"/>
      <c r="AK20" s="1"/>
      <c r="AL20" s="2"/>
      <c r="AM20" s="1"/>
      <c r="AN20" s="1"/>
      <c r="AO20" s="1"/>
      <c r="AP20" s="1"/>
      <c r="AQ20" s="1"/>
      <c r="AR20" s="1"/>
      <c r="AS20" s="1"/>
      <c r="AT20" s="1"/>
      <c r="AU20" s="2"/>
      <c r="AV20" s="1"/>
      <c r="AW20" s="1"/>
      <c r="AX20" s="1"/>
      <c r="AY20" s="1"/>
      <c r="AZ20" s="1"/>
      <c r="BA20" s="1"/>
      <c r="BB20" s="1"/>
      <c r="BC20" s="1"/>
      <c r="BD20" s="2"/>
      <c r="BE20" s="1"/>
      <c r="BF20" s="1"/>
      <c r="BG20" s="1"/>
      <c r="BH20" s="1"/>
      <c r="BI20" s="1"/>
      <c r="BJ20" s="1"/>
      <c r="BK20" s="1"/>
      <c r="BL20" s="1"/>
      <c r="BM20" s="2"/>
      <c r="BN20" s="1"/>
      <c r="BO20" s="1"/>
      <c r="BP20" s="1"/>
      <c r="BQ20" s="1"/>
      <c r="BR20" s="1"/>
      <c r="BS20" s="1"/>
      <c r="BT20" s="1"/>
      <c r="BU20" s="1"/>
      <c r="BV20" s="2"/>
      <c r="BW20" s="1"/>
      <c r="BX20" s="1"/>
      <c r="BY20" s="1"/>
      <c r="BZ20" s="1"/>
      <c r="CA20" s="1"/>
      <c r="CB20" s="1"/>
      <c r="CC20" s="1"/>
      <c r="CD20" s="1"/>
      <c r="CE20" s="2"/>
      <c r="CF20" s="1"/>
      <c r="CG20" s="1"/>
      <c r="CH20" s="1"/>
      <c r="CI20" s="1"/>
      <c r="CJ20" s="1"/>
      <c r="CK20" s="1"/>
      <c r="CL20" s="1"/>
    </row>
    <row r="21" spans="1:90" ht="14.65" x14ac:dyDescent="0.4">
      <c r="A21" s="1"/>
      <c r="B21" s="2"/>
      <c r="C21" s="1"/>
      <c r="D21" s="1"/>
      <c r="E21" s="1"/>
      <c r="F21" s="1"/>
      <c r="G21" s="1"/>
      <c r="H21" s="1"/>
      <c r="I21" s="1"/>
      <c r="J21" s="1"/>
      <c r="K21" s="2"/>
      <c r="L21" s="1"/>
      <c r="M21" s="1"/>
      <c r="N21" s="1"/>
      <c r="O21" s="1"/>
      <c r="P21" s="1"/>
      <c r="Q21" s="1"/>
      <c r="R21" s="1"/>
      <c r="S21" s="1"/>
      <c r="T21" s="2"/>
      <c r="U21" s="1"/>
      <c r="V21" s="1"/>
      <c r="W21" s="1"/>
      <c r="X21" s="1"/>
      <c r="Y21" s="1"/>
      <c r="Z21" s="1"/>
      <c r="AA21" s="1"/>
      <c r="AB21" s="1"/>
      <c r="AC21" s="2"/>
      <c r="AD21" s="1"/>
      <c r="AE21" s="1"/>
      <c r="AF21" s="1"/>
      <c r="AG21" s="1"/>
      <c r="AH21" s="1"/>
      <c r="AI21" s="1"/>
      <c r="AJ21" s="1"/>
      <c r="AK21" s="1"/>
      <c r="AL21" s="2"/>
      <c r="AM21" s="1"/>
      <c r="AN21" s="1"/>
      <c r="AO21" s="1"/>
      <c r="AP21" s="1"/>
      <c r="AQ21" s="1"/>
      <c r="AR21" s="1"/>
      <c r="AS21" s="1"/>
      <c r="AT21" s="1"/>
      <c r="AU21" s="2"/>
      <c r="AV21" s="1"/>
      <c r="AW21" s="1"/>
      <c r="AX21" s="1"/>
      <c r="AY21" s="1"/>
      <c r="AZ21" s="1"/>
      <c r="BA21" s="1"/>
      <c r="BB21" s="1"/>
      <c r="BC21" s="1"/>
      <c r="BD21" s="2"/>
      <c r="BE21" s="1"/>
      <c r="BF21" s="1"/>
      <c r="BG21" s="1"/>
      <c r="BH21" s="1"/>
      <c r="BI21" s="1"/>
      <c r="BJ21" s="1"/>
      <c r="BK21" s="1"/>
      <c r="BL21" s="1"/>
      <c r="BM21" s="2"/>
      <c r="BN21" s="1"/>
      <c r="BO21" s="1"/>
      <c r="BP21" s="1"/>
      <c r="BQ21" s="1"/>
      <c r="BR21" s="1"/>
      <c r="BS21" s="1"/>
      <c r="BT21" s="1"/>
      <c r="BU21" s="1"/>
      <c r="BV21" s="2"/>
      <c r="BW21" s="1"/>
      <c r="BX21" s="1"/>
      <c r="BY21" s="1"/>
      <c r="BZ21" s="1"/>
      <c r="CA21" s="1"/>
      <c r="CB21" s="1"/>
      <c r="CC21" s="1"/>
      <c r="CD21" s="1"/>
      <c r="CE21" s="2"/>
      <c r="CF21" s="1"/>
      <c r="CG21" s="1"/>
      <c r="CH21" s="1"/>
      <c r="CI21" s="1"/>
      <c r="CJ21" s="1"/>
      <c r="CK21" s="1"/>
      <c r="CL21" s="1"/>
    </row>
    <row r="22" spans="1:90" ht="14.65" x14ac:dyDescent="0.4">
      <c r="A22" s="1"/>
      <c r="B22" s="2"/>
      <c r="C22" s="1"/>
      <c r="D22" s="1"/>
      <c r="E22" s="1"/>
      <c r="F22" s="1"/>
      <c r="G22" s="1"/>
      <c r="H22" s="1"/>
      <c r="I22" s="1"/>
      <c r="J22" s="1"/>
      <c r="K22" s="2"/>
      <c r="L22" s="1"/>
      <c r="M22" s="1"/>
      <c r="N22" s="1"/>
      <c r="O22" s="1"/>
      <c r="P22" s="1"/>
      <c r="Q22" s="1"/>
      <c r="R22" s="1"/>
      <c r="S22" s="1"/>
      <c r="T22" s="2"/>
      <c r="U22" s="1"/>
      <c r="V22" s="1"/>
      <c r="W22" s="1"/>
      <c r="X22" s="1"/>
      <c r="Y22" s="1"/>
      <c r="Z22" s="1"/>
      <c r="AA22" s="1"/>
      <c r="AB22" s="1"/>
      <c r="AC22" s="2"/>
      <c r="AD22" s="1"/>
      <c r="AE22" s="1"/>
      <c r="AF22" s="1"/>
      <c r="AG22" s="1"/>
      <c r="AH22" s="1"/>
      <c r="AI22" s="1"/>
      <c r="AJ22" s="1"/>
      <c r="AK22" s="1"/>
      <c r="AL22" s="2"/>
      <c r="AM22" s="1"/>
      <c r="AN22" s="1"/>
      <c r="AO22" s="1"/>
      <c r="AP22" s="1"/>
      <c r="AQ22" s="1"/>
      <c r="AR22" s="1"/>
      <c r="AS22" s="1"/>
      <c r="AT22" s="1"/>
      <c r="AU22" s="2"/>
      <c r="AV22" s="1"/>
      <c r="AW22" s="1"/>
      <c r="AX22" s="1"/>
      <c r="AY22" s="1"/>
      <c r="AZ22" s="1"/>
      <c r="BA22" s="1"/>
      <c r="BB22" s="1"/>
      <c r="BC22" s="1"/>
      <c r="BD22" s="2"/>
      <c r="BE22" s="1"/>
      <c r="BF22" s="1"/>
      <c r="BG22" s="1"/>
      <c r="BH22" s="1"/>
      <c r="BI22" s="1"/>
      <c r="BJ22" s="1"/>
      <c r="BK22" s="1"/>
      <c r="BL22" s="1"/>
      <c r="BM22" s="2"/>
      <c r="BN22" s="1"/>
      <c r="BO22" s="1"/>
      <c r="BP22" s="1"/>
      <c r="BQ22" s="1"/>
      <c r="BR22" s="1"/>
      <c r="BS22" s="1"/>
      <c r="BT22" s="1"/>
      <c r="BU22" s="1"/>
      <c r="BV22" s="2"/>
      <c r="BW22" s="1"/>
      <c r="BX22" s="1"/>
      <c r="BY22" s="1"/>
      <c r="BZ22" s="1"/>
      <c r="CA22" s="1"/>
      <c r="CB22" s="1"/>
      <c r="CC22" s="1"/>
      <c r="CD22" s="1"/>
      <c r="CE22" s="2"/>
      <c r="CF22" s="1"/>
      <c r="CG22" s="1"/>
      <c r="CH22" s="1"/>
      <c r="CI22" s="1"/>
      <c r="CJ22" s="1"/>
      <c r="CK22" s="1"/>
      <c r="CL22" s="1"/>
    </row>
    <row r="23" spans="1:90" ht="14.65" x14ac:dyDescent="0.4">
      <c r="A23" s="1"/>
      <c r="B23" s="2"/>
      <c r="C23" s="1"/>
      <c r="D23" s="1"/>
      <c r="E23" s="1"/>
      <c r="F23" s="1"/>
      <c r="G23" s="1"/>
      <c r="H23" s="1"/>
      <c r="I23" s="1"/>
      <c r="J23" s="1"/>
      <c r="K23" s="2"/>
      <c r="L23" s="1"/>
      <c r="M23" s="1"/>
      <c r="N23" s="1"/>
      <c r="O23" s="1"/>
      <c r="P23" s="1"/>
      <c r="Q23" s="1"/>
      <c r="R23" s="1"/>
      <c r="S23" s="1"/>
      <c r="T23" s="2"/>
      <c r="U23" s="1"/>
      <c r="V23" s="1"/>
      <c r="W23" s="1"/>
      <c r="X23" s="1"/>
      <c r="Y23" s="1"/>
      <c r="Z23" s="1"/>
      <c r="AA23" s="1"/>
      <c r="AB23" s="1"/>
      <c r="AC23" s="2"/>
      <c r="AD23" s="1"/>
      <c r="AE23" s="1"/>
      <c r="AF23" s="1"/>
      <c r="AG23" s="1"/>
      <c r="AH23" s="1"/>
      <c r="AI23" s="1"/>
      <c r="AJ23" s="1"/>
      <c r="AK23" s="1"/>
      <c r="AL23" s="2"/>
      <c r="AM23" s="1"/>
      <c r="AN23" s="1"/>
      <c r="AO23" s="1"/>
      <c r="AP23" s="1"/>
      <c r="AQ23" s="1"/>
      <c r="AR23" s="1"/>
      <c r="AS23" s="1"/>
      <c r="AT23" s="1"/>
      <c r="AU23" s="2"/>
      <c r="AV23" s="1"/>
      <c r="AW23" s="1"/>
      <c r="AX23" s="1"/>
      <c r="AY23" s="1"/>
      <c r="AZ23" s="1"/>
      <c r="BA23" s="1"/>
      <c r="BB23" s="1"/>
      <c r="BC23" s="1"/>
      <c r="BD23" s="2"/>
      <c r="BE23" s="1"/>
      <c r="BF23" s="1"/>
      <c r="BG23" s="1"/>
      <c r="BH23" s="1"/>
      <c r="BI23" s="1"/>
      <c r="BJ23" s="1"/>
      <c r="BK23" s="1"/>
      <c r="BL23" s="1"/>
      <c r="BM23" s="2"/>
      <c r="BN23" s="1"/>
      <c r="BO23" s="1"/>
      <c r="BP23" s="1"/>
      <c r="BQ23" s="1"/>
      <c r="BR23" s="1"/>
      <c r="BS23" s="1"/>
      <c r="BT23" s="1"/>
      <c r="BU23" s="1"/>
      <c r="BV23" s="2"/>
      <c r="BW23" s="1"/>
      <c r="BX23" s="1"/>
      <c r="BY23" s="1"/>
      <c r="BZ23" s="1"/>
      <c r="CA23" s="1"/>
      <c r="CB23" s="1"/>
      <c r="CC23" s="1"/>
      <c r="CD23" s="1"/>
      <c r="CE23" s="2"/>
      <c r="CF23" s="1"/>
      <c r="CG23" s="1"/>
      <c r="CH23" s="1"/>
      <c r="CI23" s="1"/>
      <c r="CJ23" s="1"/>
      <c r="CK23" s="1"/>
      <c r="CL23" s="1"/>
    </row>
    <row r="24" spans="1:90" ht="14.65" x14ac:dyDescent="0.4">
      <c r="A24" s="1"/>
      <c r="B24" s="2"/>
      <c r="C24" s="1"/>
      <c r="D24" s="1"/>
      <c r="E24" s="1"/>
      <c r="F24" s="1"/>
      <c r="G24" s="1"/>
      <c r="H24" s="1"/>
      <c r="I24" s="1"/>
      <c r="J24" s="1"/>
      <c r="K24" s="2"/>
      <c r="L24" s="1"/>
      <c r="M24" s="1"/>
      <c r="N24" s="1"/>
      <c r="O24" s="1"/>
      <c r="P24" s="1"/>
      <c r="Q24" s="1"/>
      <c r="R24" s="1"/>
      <c r="S24" s="1"/>
      <c r="T24" s="2"/>
      <c r="U24" s="1"/>
      <c r="V24" s="1"/>
      <c r="W24" s="1"/>
      <c r="X24" s="1"/>
      <c r="Y24" s="1"/>
      <c r="Z24" s="1"/>
      <c r="AA24" s="1"/>
      <c r="AB24" s="1"/>
      <c r="AC24" s="2"/>
      <c r="AD24" s="1"/>
      <c r="AE24" s="1"/>
      <c r="AF24" s="1"/>
      <c r="AG24" s="1"/>
      <c r="AH24" s="1"/>
      <c r="AI24" s="1"/>
      <c r="AJ24" s="1"/>
      <c r="AK24" s="1"/>
      <c r="AL24" s="2"/>
      <c r="AM24" s="1"/>
      <c r="AN24" s="1"/>
      <c r="AO24" s="1"/>
      <c r="AP24" s="1"/>
      <c r="AQ24" s="1"/>
      <c r="AR24" s="1"/>
      <c r="AS24" s="1"/>
      <c r="AT24" s="1"/>
      <c r="AU24" s="2"/>
      <c r="AV24" s="1"/>
      <c r="AW24" s="1"/>
      <c r="AX24" s="1"/>
      <c r="AY24" s="1"/>
      <c r="AZ24" s="1"/>
      <c r="BA24" s="1"/>
      <c r="BB24" s="1"/>
      <c r="BC24" s="1"/>
      <c r="BD24" s="2"/>
      <c r="BE24" s="1"/>
      <c r="BF24" s="1"/>
      <c r="BG24" s="1"/>
      <c r="BH24" s="1"/>
      <c r="BI24" s="1"/>
      <c r="BJ24" s="1"/>
      <c r="BK24" s="1"/>
      <c r="BL24" s="1"/>
      <c r="BM24" s="2"/>
      <c r="BN24" s="1"/>
      <c r="BO24" s="1"/>
      <c r="BP24" s="1"/>
      <c r="BQ24" s="1"/>
      <c r="BR24" s="1"/>
      <c r="BS24" s="1"/>
      <c r="BT24" s="1"/>
      <c r="BU24" s="1"/>
      <c r="BV24" s="2"/>
      <c r="BW24" s="1"/>
      <c r="BX24" s="1"/>
      <c r="BY24" s="1"/>
      <c r="BZ24" s="1"/>
      <c r="CA24" s="1"/>
      <c r="CB24" s="1"/>
      <c r="CC24" s="1"/>
      <c r="CD24" s="1"/>
      <c r="CE24" s="2"/>
      <c r="CF24" s="1"/>
      <c r="CG24" s="1"/>
      <c r="CH24" s="1"/>
      <c r="CI24" s="1"/>
      <c r="CJ24" s="1"/>
      <c r="CK24" s="1"/>
      <c r="CL24" s="1"/>
    </row>
    <row r="25" spans="1:90" ht="14.65" x14ac:dyDescent="0.4">
      <c r="A25" s="1"/>
      <c r="B25" s="2"/>
      <c r="C25" s="1"/>
      <c r="D25" s="1"/>
      <c r="E25" s="1"/>
      <c r="F25" s="1"/>
      <c r="G25" s="1"/>
      <c r="H25" s="1"/>
      <c r="I25" s="1"/>
      <c r="J25" s="1"/>
      <c r="K25" s="2"/>
      <c r="L25" s="1"/>
      <c r="M25" s="1"/>
      <c r="N25" s="1"/>
      <c r="O25" s="1"/>
      <c r="P25" s="1"/>
      <c r="Q25" s="1"/>
      <c r="R25" s="1"/>
      <c r="S25" s="1"/>
      <c r="T25" s="2"/>
      <c r="U25" s="1"/>
      <c r="V25" s="1"/>
      <c r="W25" s="1"/>
      <c r="X25" s="1"/>
      <c r="Y25" s="1"/>
      <c r="Z25" s="1"/>
      <c r="AA25" s="1"/>
      <c r="AB25" s="1"/>
      <c r="AC25" s="2"/>
      <c r="AD25" s="1"/>
      <c r="AE25" s="1"/>
      <c r="AF25" s="1"/>
      <c r="AG25" s="1"/>
      <c r="AH25" s="1"/>
      <c r="AI25" s="1"/>
      <c r="AJ25" s="1"/>
      <c r="AK25" s="1"/>
      <c r="AL25" s="2"/>
      <c r="AM25" s="1"/>
      <c r="AN25" s="1"/>
      <c r="AO25" s="1"/>
      <c r="AP25" s="1"/>
      <c r="AQ25" s="1"/>
      <c r="AR25" s="1"/>
      <c r="AS25" s="1"/>
      <c r="AT25" s="1"/>
      <c r="AU25" s="2"/>
      <c r="AV25" s="1"/>
      <c r="AW25" s="1"/>
      <c r="AX25" s="1"/>
      <c r="AY25" s="1"/>
      <c r="AZ25" s="1"/>
      <c r="BA25" s="1"/>
      <c r="BB25" s="1"/>
      <c r="BC25" s="1"/>
      <c r="BD25" s="2"/>
      <c r="BE25" s="1"/>
      <c r="BF25" s="1"/>
      <c r="BG25" s="1"/>
      <c r="BH25" s="1"/>
      <c r="BI25" s="1"/>
      <c r="BJ25" s="1"/>
      <c r="BK25" s="1"/>
      <c r="BL25" s="1"/>
      <c r="BM25" s="2"/>
      <c r="BN25" s="1"/>
      <c r="BO25" s="1"/>
      <c r="BP25" s="1"/>
      <c r="BQ25" s="1"/>
      <c r="BR25" s="1"/>
      <c r="BS25" s="1"/>
      <c r="BT25" s="1"/>
      <c r="BU25" s="1"/>
      <c r="BV25" s="2"/>
      <c r="BW25" s="1"/>
      <c r="BX25" s="1"/>
      <c r="BY25" s="1"/>
      <c r="BZ25" s="1"/>
      <c r="CA25" s="1"/>
      <c r="CB25" s="1"/>
      <c r="CC25" s="1"/>
      <c r="CD25" s="1"/>
      <c r="CE25" s="2"/>
      <c r="CF25" s="1"/>
      <c r="CG25" s="1"/>
      <c r="CH25" s="1"/>
      <c r="CI25" s="1"/>
      <c r="CJ25" s="1"/>
      <c r="CK25" s="1"/>
      <c r="CL25" s="1"/>
    </row>
    <row r="26" spans="1:90" ht="14.65" x14ac:dyDescent="0.4">
      <c r="A26" s="1"/>
      <c r="B26" s="2"/>
      <c r="C26" s="1"/>
      <c r="D26" s="1"/>
      <c r="E26" s="1"/>
      <c r="F26" s="1"/>
      <c r="G26" s="1"/>
      <c r="H26" s="1"/>
      <c r="I26" s="1"/>
      <c r="J26" s="1"/>
      <c r="K26" s="2"/>
      <c r="L26" s="1"/>
      <c r="M26" s="1"/>
      <c r="N26" s="1"/>
      <c r="O26" s="1"/>
      <c r="P26" s="1"/>
      <c r="Q26" s="1"/>
      <c r="R26" s="1"/>
      <c r="S26" s="1"/>
      <c r="T26" s="2"/>
      <c r="U26" s="1"/>
      <c r="V26" s="1"/>
      <c r="W26" s="1"/>
      <c r="X26" s="1"/>
      <c r="Y26" s="1"/>
      <c r="Z26" s="1"/>
      <c r="AA26" s="1"/>
      <c r="AB26" s="1"/>
      <c r="AC26" s="2"/>
      <c r="AD26" s="1"/>
      <c r="AE26" s="1"/>
      <c r="AF26" s="1"/>
      <c r="AG26" s="1"/>
      <c r="AH26" s="1"/>
      <c r="AI26" s="1"/>
      <c r="AJ26" s="1"/>
      <c r="AK26" s="1"/>
      <c r="AL26" s="2"/>
      <c r="AM26" s="1"/>
      <c r="AN26" s="1"/>
      <c r="AO26" s="1"/>
      <c r="AP26" s="1"/>
      <c r="AQ26" s="1"/>
      <c r="AR26" s="1"/>
      <c r="AS26" s="1"/>
      <c r="AT26" s="1"/>
      <c r="AU26" s="2"/>
      <c r="AV26" s="1"/>
      <c r="AW26" s="1"/>
      <c r="AX26" s="1"/>
      <c r="AY26" s="1"/>
      <c r="AZ26" s="1"/>
      <c r="BA26" s="1"/>
      <c r="BB26" s="1"/>
      <c r="BC26" s="1"/>
      <c r="BD26" s="2"/>
      <c r="BE26" s="1"/>
      <c r="BF26" s="1"/>
      <c r="BG26" s="1"/>
      <c r="BH26" s="1"/>
      <c r="BI26" s="1"/>
      <c r="BJ26" s="1"/>
      <c r="BK26" s="1"/>
      <c r="BL26" s="1"/>
      <c r="BM26" s="2"/>
      <c r="BN26" s="1"/>
      <c r="BO26" s="1"/>
      <c r="BP26" s="1"/>
      <c r="BQ26" s="1"/>
      <c r="BR26" s="1"/>
      <c r="BS26" s="1"/>
      <c r="BT26" s="1"/>
      <c r="BU26" s="1"/>
      <c r="BV26" s="2"/>
      <c r="BW26" s="1"/>
      <c r="BX26" s="1"/>
      <c r="BY26" s="1"/>
      <c r="BZ26" s="1"/>
      <c r="CA26" s="1"/>
      <c r="CB26" s="1"/>
      <c r="CC26" s="1"/>
      <c r="CD26" s="1"/>
      <c r="CE26" s="2"/>
      <c r="CF26" s="1"/>
      <c r="CG26" s="1"/>
      <c r="CH26" s="1"/>
      <c r="CI26" s="1"/>
      <c r="CJ26" s="1"/>
      <c r="CK26" s="1"/>
      <c r="CL26" s="1"/>
    </row>
    <row r="27" spans="1:90" ht="14.65" x14ac:dyDescent="0.4">
      <c r="A27" s="1"/>
      <c r="B27" s="2"/>
      <c r="C27" s="1"/>
      <c r="D27" s="1"/>
      <c r="E27" s="1"/>
      <c r="F27" s="1"/>
      <c r="G27" s="1"/>
      <c r="H27" s="1"/>
      <c r="I27" s="1"/>
      <c r="J27" s="1"/>
      <c r="K27" s="2"/>
      <c r="L27" s="1"/>
      <c r="M27" s="1"/>
      <c r="N27" s="1"/>
      <c r="O27" s="1"/>
      <c r="P27" s="1"/>
      <c r="Q27" s="1"/>
      <c r="R27" s="1"/>
      <c r="S27" s="1"/>
      <c r="T27" s="2"/>
      <c r="U27" s="1"/>
      <c r="V27" s="1"/>
      <c r="W27" s="1"/>
      <c r="X27" s="1"/>
      <c r="Y27" s="1"/>
      <c r="Z27" s="1"/>
      <c r="AA27" s="1"/>
      <c r="AB27" s="1"/>
      <c r="AC27" s="2"/>
      <c r="AD27" s="1"/>
      <c r="AE27" s="1"/>
      <c r="AF27" s="1"/>
      <c r="AG27" s="1"/>
      <c r="AH27" s="1"/>
      <c r="AI27" s="1"/>
      <c r="AJ27" s="1"/>
      <c r="AK27" s="1"/>
      <c r="AL27" s="2"/>
      <c r="AM27" s="1"/>
      <c r="AN27" s="1"/>
      <c r="AO27" s="1"/>
      <c r="AP27" s="1"/>
      <c r="AQ27" s="1"/>
      <c r="AR27" s="1"/>
      <c r="AS27" s="1"/>
      <c r="AT27" s="1"/>
      <c r="AU27" s="2"/>
      <c r="AV27" s="1"/>
      <c r="AW27" s="1"/>
      <c r="AX27" s="1"/>
      <c r="AY27" s="1"/>
      <c r="AZ27" s="1"/>
      <c r="BA27" s="1"/>
      <c r="BB27" s="1"/>
      <c r="BC27" s="1"/>
      <c r="BD27" s="2"/>
      <c r="BE27" s="1"/>
      <c r="BF27" s="1"/>
      <c r="BG27" s="1"/>
      <c r="BH27" s="1"/>
      <c r="BI27" s="1"/>
      <c r="BJ27" s="1"/>
      <c r="BK27" s="1"/>
      <c r="BL27" s="1"/>
      <c r="BM27" s="2"/>
      <c r="BN27" s="1"/>
      <c r="BO27" s="1"/>
      <c r="BP27" s="1"/>
      <c r="BQ27" s="1"/>
      <c r="BR27" s="1"/>
      <c r="BS27" s="1"/>
      <c r="BT27" s="1"/>
      <c r="BU27" s="1"/>
      <c r="BV27" s="2"/>
      <c r="BW27" s="1"/>
      <c r="BX27" s="1"/>
      <c r="BY27" s="1"/>
      <c r="BZ27" s="1"/>
      <c r="CA27" s="1"/>
      <c r="CB27" s="1"/>
      <c r="CC27" s="1"/>
      <c r="CD27" s="1"/>
      <c r="CE27" s="2"/>
      <c r="CF27" s="1"/>
      <c r="CG27" s="1"/>
      <c r="CH27" s="1"/>
      <c r="CI27" s="1"/>
      <c r="CJ27" s="1"/>
      <c r="CK27" s="1"/>
      <c r="CL27" s="1"/>
    </row>
    <row r="28" spans="1:90" ht="14.65" x14ac:dyDescent="0.4">
      <c r="A28" s="1"/>
      <c r="B28" s="2"/>
      <c r="C28" s="1"/>
      <c r="D28" s="1"/>
      <c r="E28" s="1"/>
      <c r="F28" s="1"/>
      <c r="G28" s="1"/>
      <c r="H28" s="1"/>
      <c r="I28" s="1"/>
      <c r="J28" s="1"/>
      <c r="K28" s="2"/>
      <c r="L28" s="1"/>
      <c r="M28" s="1"/>
      <c r="N28" s="1"/>
      <c r="O28" s="1"/>
      <c r="P28" s="1"/>
      <c r="Q28" s="1"/>
      <c r="R28" s="1"/>
      <c r="S28" s="1"/>
      <c r="T28" s="2"/>
      <c r="U28" s="1"/>
      <c r="V28" s="1"/>
      <c r="W28" s="1"/>
      <c r="X28" s="1"/>
      <c r="Y28" s="1"/>
      <c r="Z28" s="1"/>
      <c r="AA28" s="1"/>
      <c r="AB28" s="1"/>
      <c r="AC28" s="2"/>
      <c r="AD28" s="1"/>
      <c r="AE28" s="1"/>
      <c r="AF28" s="1"/>
      <c r="AG28" s="1"/>
      <c r="AH28" s="1"/>
      <c r="AI28" s="1"/>
      <c r="AJ28" s="1"/>
      <c r="AK28" s="1"/>
      <c r="AL28" s="2"/>
      <c r="AM28" s="1"/>
      <c r="AN28" s="1"/>
      <c r="AO28" s="1"/>
      <c r="AP28" s="1"/>
      <c r="AQ28" s="1"/>
      <c r="AR28" s="1"/>
      <c r="AS28" s="1"/>
      <c r="AT28" s="1"/>
      <c r="AU28" s="2"/>
      <c r="AV28" s="1"/>
      <c r="AW28" s="1"/>
      <c r="AX28" s="1"/>
      <c r="AY28" s="1"/>
      <c r="AZ28" s="1"/>
      <c r="BA28" s="1"/>
      <c r="BB28" s="1"/>
      <c r="BC28" s="1"/>
      <c r="BD28" s="2"/>
      <c r="BE28" s="1"/>
      <c r="BF28" s="1"/>
      <c r="BG28" s="1"/>
      <c r="BH28" s="1"/>
      <c r="BI28" s="1"/>
      <c r="BJ28" s="1"/>
      <c r="BK28" s="1"/>
      <c r="BL28" s="1"/>
      <c r="BM28" s="2"/>
      <c r="BN28" s="1"/>
      <c r="BO28" s="1"/>
      <c r="BP28" s="1"/>
      <c r="BQ28" s="1"/>
      <c r="BR28" s="1"/>
      <c r="BS28" s="1"/>
      <c r="BT28" s="1"/>
      <c r="BU28" s="1"/>
      <c r="BV28" s="2"/>
      <c r="BW28" s="1"/>
      <c r="BX28" s="1"/>
      <c r="BY28" s="1"/>
      <c r="BZ28" s="1"/>
      <c r="CA28" s="1"/>
      <c r="CB28" s="1"/>
      <c r="CC28" s="1"/>
      <c r="CD28" s="1"/>
      <c r="CE28" s="2"/>
      <c r="CF28" s="1"/>
      <c r="CG28" s="1"/>
      <c r="CH28" s="1"/>
      <c r="CI28" s="1"/>
      <c r="CJ28" s="1"/>
      <c r="CK28" s="1"/>
      <c r="CL28" s="1"/>
    </row>
    <row r="29" spans="1:90" ht="14.65" x14ac:dyDescent="0.4">
      <c r="A29" s="1"/>
      <c r="B29" s="2"/>
      <c r="C29" s="1"/>
      <c r="D29" s="1"/>
      <c r="E29" s="1"/>
      <c r="F29" s="1"/>
      <c r="G29" s="1"/>
      <c r="H29" s="1"/>
      <c r="I29" s="1"/>
      <c r="J29" s="1"/>
      <c r="K29" s="2"/>
      <c r="L29" s="1"/>
      <c r="M29" s="1"/>
      <c r="N29" s="1"/>
      <c r="O29" s="1"/>
      <c r="P29" s="1"/>
      <c r="Q29" s="1"/>
      <c r="R29" s="1"/>
      <c r="S29" s="1"/>
      <c r="T29" s="2"/>
      <c r="U29" s="1"/>
      <c r="V29" s="1"/>
      <c r="W29" s="1"/>
      <c r="X29" s="1"/>
      <c r="Y29" s="1"/>
      <c r="Z29" s="1"/>
      <c r="AA29" s="1"/>
      <c r="AB29" s="1"/>
      <c r="AC29" s="2"/>
      <c r="AD29" s="1"/>
      <c r="AE29" s="1"/>
      <c r="AF29" s="1"/>
      <c r="AG29" s="1"/>
      <c r="AH29" s="1"/>
      <c r="AI29" s="1"/>
      <c r="AJ29" s="1"/>
      <c r="AK29" s="1"/>
      <c r="AL29" s="2"/>
      <c r="AM29" s="1"/>
      <c r="AN29" s="1"/>
      <c r="AO29" s="1"/>
      <c r="AP29" s="1"/>
      <c r="AQ29" s="1"/>
      <c r="AR29" s="1"/>
      <c r="AS29" s="1"/>
      <c r="AT29" s="1"/>
      <c r="AU29" s="2"/>
      <c r="AV29" s="1"/>
      <c r="AW29" s="1"/>
      <c r="AX29" s="1"/>
      <c r="AY29" s="1"/>
      <c r="AZ29" s="1"/>
      <c r="BA29" s="1"/>
      <c r="BB29" s="1"/>
      <c r="BC29" s="1"/>
      <c r="BD29" s="2"/>
      <c r="BE29" s="1"/>
      <c r="BF29" s="1"/>
      <c r="BG29" s="1"/>
      <c r="BH29" s="1"/>
      <c r="BI29" s="1"/>
      <c r="BJ29" s="1"/>
      <c r="BK29" s="1"/>
      <c r="BL29" s="1"/>
      <c r="BM29" s="2"/>
      <c r="BN29" s="1"/>
      <c r="BO29" s="1"/>
      <c r="BP29" s="1"/>
      <c r="BQ29" s="1"/>
      <c r="BR29" s="1"/>
      <c r="BS29" s="1"/>
      <c r="BT29" s="1"/>
      <c r="BU29" s="1"/>
      <c r="BV29" s="2"/>
      <c r="BW29" s="1"/>
      <c r="BX29" s="1"/>
      <c r="BY29" s="1"/>
      <c r="BZ29" s="1"/>
      <c r="CA29" s="1"/>
      <c r="CB29" s="1"/>
      <c r="CC29" s="1"/>
      <c r="CD29" s="1"/>
      <c r="CE29" s="2"/>
      <c r="CF29" s="1"/>
      <c r="CG29" s="1"/>
      <c r="CH29" s="1"/>
      <c r="CI29" s="1"/>
      <c r="CJ29" s="1"/>
      <c r="CK29" s="1"/>
      <c r="CL29" s="1"/>
    </row>
    <row r="30" spans="1:90" ht="14.65" x14ac:dyDescent="0.4">
      <c r="A30" s="1"/>
      <c r="B30" s="2"/>
      <c r="C30" s="1"/>
      <c r="D30" s="1"/>
      <c r="E30" s="1"/>
      <c r="F30" s="1"/>
      <c r="G30" s="1"/>
      <c r="H30" s="1"/>
      <c r="I30" s="1"/>
      <c r="J30" s="1"/>
      <c r="K30" s="2"/>
      <c r="L30" s="1"/>
      <c r="M30" s="1"/>
      <c r="N30" s="1"/>
      <c r="O30" s="1"/>
      <c r="P30" s="1"/>
      <c r="Q30" s="1"/>
      <c r="R30" s="1"/>
      <c r="S30" s="1"/>
      <c r="T30" s="2"/>
      <c r="U30" s="1"/>
      <c r="V30" s="1"/>
      <c r="W30" s="1"/>
      <c r="X30" s="1"/>
      <c r="Y30" s="1"/>
      <c r="Z30" s="1"/>
      <c r="AA30" s="1"/>
      <c r="AB30" s="1"/>
      <c r="AC30" s="2"/>
      <c r="AD30" s="1"/>
      <c r="AE30" s="1"/>
      <c r="AF30" s="1"/>
      <c r="AG30" s="1"/>
      <c r="AH30" s="1"/>
      <c r="AI30" s="1"/>
      <c r="AJ30" s="1"/>
      <c r="AK30" s="1"/>
      <c r="AL30" s="2"/>
      <c r="AM30" s="1"/>
      <c r="AN30" s="1"/>
      <c r="AO30" s="1"/>
      <c r="AP30" s="1"/>
      <c r="AQ30" s="1"/>
      <c r="AR30" s="1"/>
      <c r="AS30" s="1"/>
      <c r="AT30" s="1"/>
      <c r="AU30" s="2"/>
      <c r="AV30" s="1"/>
      <c r="AW30" s="1"/>
      <c r="AX30" s="1"/>
      <c r="AY30" s="1"/>
      <c r="AZ30" s="1"/>
      <c r="BA30" s="1"/>
      <c r="BB30" s="1"/>
      <c r="BC30" s="1"/>
      <c r="BD30" s="2"/>
      <c r="BE30" s="1"/>
      <c r="BF30" s="1"/>
      <c r="BG30" s="1"/>
      <c r="BH30" s="1"/>
      <c r="BI30" s="1"/>
      <c r="BJ30" s="1"/>
      <c r="BK30" s="1"/>
      <c r="BL30" s="1"/>
      <c r="BM30" s="2"/>
      <c r="BN30" s="1"/>
      <c r="BO30" s="1"/>
      <c r="BP30" s="1"/>
      <c r="BQ30" s="1"/>
      <c r="BR30" s="1"/>
      <c r="BS30" s="1"/>
      <c r="BT30" s="1"/>
      <c r="BU30" s="1"/>
      <c r="BV30" s="2"/>
      <c r="BW30" s="1"/>
      <c r="BX30" s="1"/>
      <c r="BY30" s="1"/>
      <c r="BZ30" s="1"/>
      <c r="CA30" s="1"/>
      <c r="CB30" s="1"/>
      <c r="CC30" s="1"/>
      <c r="CD30" s="1"/>
      <c r="CE30" s="2"/>
      <c r="CF30" s="1"/>
      <c r="CG30" s="1"/>
      <c r="CH30" s="1"/>
      <c r="CI30" s="1"/>
      <c r="CJ30" s="1"/>
      <c r="CK30" s="1"/>
      <c r="CL30" s="1"/>
    </row>
    <row r="31" spans="1:90" ht="14.65" x14ac:dyDescent="0.4">
      <c r="A31" s="1"/>
      <c r="B31" s="2"/>
      <c r="C31" s="1"/>
      <c r="D31" s="1"/>
      <c r="E31" s="1"/>
      <c r="F31" s="1"/>
      <c r="G31" s="1"/>
      <c r="H31" s="1"/>
      <c r="I31" s="1"/>
      <c r="J31" s="1"/>
      <c r="K31" s="2"/>
      <c r="L31" s="1"/>
      <c r="M31" s="1"/>
      <c r="N31" s="1"/>
      <c r="O31" s="1"/>
      <c r="P31" s="1"/>
      <c r="Q31" s="1"/>
      <c r="R31" s="1"/>
      <c r="S31" s="1"/>
      <c r="T31" s="2"/>
      <c r="U31" s="1"/>
      <c r="V31" s="1"/>
      <c r="W31" s="1"/>
      <c r="X31" s="1"/>
      <c r="Y31" s="1"/>
      <c r="Z31" s="1"/>
      <c r="AA31" s="1"/>
      <c r="AB31" s="1"/>
      <c r="AC31" s="2"/>
      <c r="AD31" s="1"/>
      <c r="AE31" s="1"/>
      <c r="AF31" s="1"/>
      <c r="AG31" s="1"/>
      <c r="AH31" s="1"/>
      <c r="AI31" s="1"/>
      <c r="AJ31" s="1"/>
      <c r="AK31" s="1"/>
      <c r="AL31" s="2"/>
      <c r="AM31" s="1"/>
      <c r="AN31" s="1"/>
      <c r="AO31" s="1"/>
      <c r="AP31" s="1"/>
      <c r="AQ31" s="1"/>
      <c r="AR31" s="1"/>
      <c r="AS31" s="1"/>
      <c r="AT31" s="1"/>
      <c r="AU31" s="2"/>
      <c r="AV31" s="1"/>
      <c r="AW31" s="1"/>
      <c r="AX31" s="1"/>
      <c r="AY31" s="1"/>
      <c r="AZ31" s="1"/>
      <c r="BA31" s="1"/>
      <c r="BB31" s="1"/>
      <c r="BC31" s="1"/>
      <c r="BD31" s="2"/>
      <c r="BE31" s="1"/>
      <c r="BF31" s="1"/>
      <c r="BG31" s="1"/>
      <c r="BH31" s="1"/>
      <c r="BI31" s="1"/>
      <c r="BJ31" s="1"/>
      <c r="BK31" s="1"/>
      <c r="BL31" s="1"/>
      <c r="BM31" s="2"/>
      <c r="BN31" s="1"/>
      <c r="BO31" s="1"/>
      <c r="BP31" s="1"/>
      <c r="BQ31" s="1"/>
      <c r="BR31" s="1"/>
      <c r="BS31" s="1"/>
      <c r="BT31" s="1"/>
      <c r="BU31" s="1"/>
      <c r="BV31" s="2"/>
      <c r="BW31" s="1"/>
      <c r="BX31" s="1"/>
      <c r="BY31" s="1"/>
      <c r="BZ31" s="1"/>
      <c r="CA31" s="1"/>
      <c r="CB31" s="1"/>
      <c r="CC31" s="1"/>
      <c r="CD31" s="1"/>
      <c r="CE31" s="2"/>
      <c r="CF31" s="1"/>
      <c r="CG31" s="1"/>
      <c r="CH31" s="1"/>
      <c r="CI31" s="1"/>
      <c r="CJ31" s="1"/>
      <c r="CK31" s="1"/>
      <c r="CL31" s="1"/>
    </row>
    <row r="32" spans="1:90" ht="14.65" x14ac:dyDescent="0.4">
      <c r="A32" s="1"/>
      <c r="B32" s="2"/>
      <c r="C32" s="1"/>
      <c r="D32" s="1"/>
      <c r="E32" s="1"/>
      <c r="F32" s="1"/>
      <c r="G32" s="1"/>
      <c r="H32" s="1"/>
      <c r="I32" s="1"/>
      <c r="J32" s="1"/>
      <c r="K32" s="2"/>
      <c r="L32" s="1"/>
      <c r="M32" s="1"/>
      <c r="N32" s="1"/>
      <c r="O32" s="1"/>
      <c r="P32" s="1"/>
      <c r="Q32" s="1"/>
      <c r="R32" s="1"/>
      <c r="S32" s="1"/>
      <c r="T32" s="2"/>
      <c r="U32" s="1"/>
      <c r="V32" s="1"/>
      <c r="W32" s="1"/>
      <c r="X32" s="1"/>
      <c r="Y32" s="1"/>
      <c r="Z32" s="1"/>
      <c r="AA32" s="1"/>
      <c r="AB32" s="1"/>
      <c r="AC32" s="2"/>
      <c r="AD32" s="1"/>
      <c r="AE32" s="1"/>
      <c r="AF32" s="1"/>
      <c r="AG32" s="1"/>
      <c r="AH32" s="1"/>
      <c r="AI32" s="1"/>
      <c r="AJ32" s="1"/>
      <c r="AK32" s="1"/>
      <c r="AL32" s="2"/>
      <c r="AM32" s="1"/>
      <c r="AN32" s="1"/>
      <c r="AO32" s="1"/>
      <c r="AP32" s="1"/>
      <c r="AQ32" s="1"/>
      <c r="AR32" s="1"/>
      <c r="AS32" s="1"/>
      <c r="AT32" s="1"/>
      <c r="AU32" s="2"/>
      <c r="AV32" s="1"/>
      <c r="AW32" s="1"/>
      <c r="AX32" s="1"/>
      <c r="AY32" s="1"/>
      <c r="AZ32" s="1"/>
      <c r="BA32" s="1"/>
      <c r="BB32" s="1"/>
      <c r="BC32" s="1"/>
      <c r="BD32" s="2"/>
      <c r="BE32" s="1"/>
      <c r="BF32" s="1"/>
      <c r="BG32" s="1"/>
      <c r="BH32" s="1"/>
      <c r="BI32" s="1"/>
      <c r="BJ32" s="1"/>
      <c r="BK32" s="1"/>
      <c r="BL32" s="1"/>
      <c r="BM32" s="2"/>
      <c r="BN32" s="1"/>
      <c r="BO32" s="1"/>
      <c r="BP32" s="1"/>
      <c r="BQ32" s="1"/>
      <c r="BR32" s="1"/>
      <c r="BS32" s="1"/>
      <c r="BT32" s="1"/>
      <c r="BU32" s="1"/>
      <c r="BV32" s="2"/>
      <c r="BW32" s="1"/>
      <c r="BX32" s="1"/>
      <c r="BY32" s="1"/>
      <c r="BZ32" s="1"/>
      <c r="CA32" s="1"/>
      <c r="CB32" s="1"/>
      <c r="CC32" s="1"/>
      <c r="CD32" s="1"/>
      <c r="CE32" s="2"/>
      <c r="CF32" s="1"/>
      <c r="CG32" s="1"/>
      <c r="CH32" s="1"/>
      <c r="CI32" s="1"/>
      <c r="CJ32" s="1"/>
      <c r="CK32" s="1"/>
      <c r="CL32" s="1"/>
    </row>
    <row r="33" spans="1:90" ht="14.65" x14ac:dyDescent="0.4">
      <c r="A33" s="1"/>
      <c r="B33" s="2"/>
      <c r="C33" s="1"/>
      <c r="D33" s="1"/>
      <c r="E33" s="1"/>
      <c r="F33" s="1"/>
      <c r="G33" s="1"/>
      <c r="H33" s="1"/>
      <c r="I33" s="1"/>
      <c r="J33" s="1"/>
      <c r="K33" s="2"/>
      <c r="L33" s="1"/>
      <c r="M33" s="1"/>
      <c r="N33" s="1"/>
      <c r="O33" s="1"/>
      <c r="P33" s="1"/>
      <c r="Q33" s="1"/>
      <c r="R33" s="1"/>
      <c r="S33" s="1"/>
      <c r="T33" s="2"/>
      <c r="U33" s="1"/>
      <c r="V33" s="1"/>
      <c r="W33" s="1"/>
      <c r="X33" s="1"/>
      <c r="Y33" s="1"/>
      <c r="Z33" s="1"/>
      <c r="AA33" s="1"/>
      <c r="AB33" s="1"/>
      <c r="AC33" s="2"/>
      <c r="AD33" s="1"/>
      <c r="AE33" s="1"/>
      <c r="AF33" s="1"/>
      <c r="AG33" s="1"/>
      <c r="AH33" s="1"/>
      <c r="AI33" s="1"/>
      <c r="AJ33" s="1"/>
      <c r="AK33" s="1"/>
      <c r="AL33" s="2"/>
      <c r="AM33" s="1"/>
      <c r="AN33" s="1"/>
      <c r="AO33" s="1"/>
      <c r="AP33" s="1"/>
      <c r="AQ33" s="1"/>
      <c r="AR33" s="1"/>
      <c r="AS33" s="1"/>
      <c r="AT33" s="1"/>
      <c r="AU33" s="2"/>
      <c r="AV33" s="1"/>
      <c r="AW33" s="1"/>
      <c r="AX33" s="1"/>
      <c r="AY33" s="1"/>
      <c r="AZ33" s="1"/>
      <c r="BA33" s="1"/>
      <c r="BB33" s="1"/>
      <c r="BC33" s="1"/>
      <c r="BD33" s="2"/>
      <c r="BE33" s="1"/>
      <c r="BF33" s="1"/>
      <c r="BG33" s="1"/>
      <c r="BH33" s="1"/>
      <c r="BI33" s="1"/>
      <c r="BJ33" s="1"/>
      <c r="BK33" s="1"/>
      <c r="BL33" s="1"/>
      <c r="BM33" s="2"/>
      <c r="BN33" s="1"/>
      <c r="BO33" s="1"/>
      <c r="BP33" s="1"/>
      <c r="BQ33" s="1"/>
      <c r="BR33" s="1"/>
      <c r="BS33" s="1"/>
      <c r="BT33" s="1"/>
      <c r="BU33" s="1"/>
      <c r="BV33" s="2"/>
      <c r="BW33" s="1"/>
      <c r="BX33" s="1"/>
      <c r="BY33" s="1"/>
      <c r="BZ33" s="1"/>
      <c r="CA33" s="1"/>
      <c r="CB33" s="1"/>
      <c r="CC33" s="1"/>
      <c r="CD33" s="1"/>
      <c r="CE33" s="2"/>
      <c r="CF33" s="1"/>
      <c r="CG33" s="1"/>
      <c r="CH33" s="1"/>
      <c r="CI33" s="1"/>
      <c r="CJ33" s="1"/>
      <c r="CK33" s="1"/>
      <c r="CL33" s="1"/>
    </row>
    <row r="34" spans="1:90" ht="14.65" x14ac:dyDescent="0.4">
      <c r="A34" s="1"/>
      <c r="B34" s="2"/>
      <c r="C34" s="1"/>
      <c r="D34" s="1"/>
      <c r="E34" s="1"/>
      <c r="F34" s="1"/>
      <c r="G34" s="1"/>
      <c r="H34" s="1"/>
      <c r="I34" s="1"/>
      <c r="J34" s="1"/>
      <c r="K34" s="2"/>
      <c r="L34" s="1"/>
      <c r="M34" s="1"/>
      <c r="N34" s="1"/>
      <c r="O34" s="1"/>
      <c r="P34" s="1"/>
      <c r="Q34" s="1"/>
      <c r="R34" s="1"/>
      <c r="S34" s="1"/>
      <c r="T34" s="2"/>
      <c r="U34" s="1"/>
      <c r="V34" s="1"/>
      <c r="W34" s="1"/>
      <c r="X34" s="1"/>
      <c r="Y34" s="1"/>
      <c r="Z34" s="1"/>
      <c r="AA34" s="1"/>
      <c r="AB34" s="1"/>
      <c r="AC34" s="2"/>
      <c r="AD34" s="1"/>
      <c r="AE34" s="1"/>
      <c r="AF34" s="1"/>
      <c r="AG34" s="1"/>
      <c r="AH34" s="1"/>
      <c r="AI34" s="1"/>
      <c r="AJ34" s="1"/>
      <c r="AK34" s="1"/>
      <c r="AL34" s="2"/>
      <c r="AM34" s="1"/>
      <c r="AN34" s="1"/>
      <c r="AO34" s="1"/>
      <c r="AP34" s="1"/>
      <c r="AQ34" s="1"/>
      <c r="AR34" s="1"/>
      <c r="AS34" s="1"/>
      <c r="AT34" s="1"/>
      <c r="AU34" s="2"/>
      <c r="AV34" s="1"/>
      <c r="AW34" s="1"/>
      <c r="AX34" s="1"/>
      <c r="AY34" s="1"/>
      <c r="AZ34" s="1"/>
      <c r="BA34" s="1"/>
      <c r="BB34" s="1"/>
      <c r="BC34" s="1"/>
      <c r="BD34" s="2"/>
      <c r="BE34" s="1"/>
      <c r="BF34" s="1"/>
      <c r="BG34" s="1"/>
      <c r="BH34" s="1"/>
      <c r="BI34" s="1"/>
      <c r="BJ34" s="1"/>
      <c r="BK34" s="1"/>
      <c r="BL34" s="1"/>
      <c r="BM34" s="2"/>
      <c r="BN34" s="1"/>
      <c r="BO34" s="1"/>
      <c r="BP34" s="1"/>
      <c r="BQ34" s="1"/>
      <c r="BR34" s="1"/>
      <c r="BS34" s="1"/>
      <c r="BT34" s="1"/>
      <c r="BU34" s="1"/>
      <c r="BV34" s="2"/>
      <c r="BW34" s="1"/>
      <c r="BX34" s="1"/>
      <c r="BY34" s="1"/>
      <c r="BZ34" s="1"/>
      <c r="CA34" s="1"/>
      <c r="CB34" s="1"/>
      <c r="CC34" s="1"/>
      <c r="CD34" s="1"/>
      <c r="CE34" s="2"/>
      <c r="CF34" s="1"/>
      <c r="CG34" s="1"/>
      <c r="CH34" s="1"/>
      <c r="CI34" s="1"/>
      <c r="CJ34" s="1"/>
      <c r="CK34" s="1"/>
      <c r="CL34" s="1"/>
    </row>
    <row r="35" spans="1:90" ht="14.65" x14ac:dyDescent="0.4">
      <c r="A35" s="1"/>
      <c r="B35" s="2"/>
      <c r="C35" s="1"/>
      <c r="D35" s="1"/>
      <c r="E35" s="1"/>
      <c r="F35" s="1"/>
      <c r="G35" s="1"/>
      <c r="H35" s="1"/>
      <c r="I35" s="1"/>
      <c r="J35" s="1"/>
      <c r="K35" s="2"/>
      <c r="L35" s="1"/>
      <c r="M35" s="1"/>
      <c r="N35" s="1"/>
      <c r="O35" s="1"/>
      <c r="P35" s="1"/>
      <c r="Q35" s="1"/>
      <c r="R35" s="1"/>
      <c r="S35" s="1"/>
      <c r="T35" s="2"/>
      <c r="U35" s="1"/>
      <c r="V35" s="1"/>
      <c r="W35" s="1"/>
      <c r="X35" s="1"/>
      <c r="Y35" s="1"/>
      <c r="Z35" s="1"/>
      <c r="AA35" s="1"/>
      <c r="AB35" s="1"/>
      <c r="AC35" s="2"/>
      <c r="AD35" s="1"/>
      <c r="AE35" s="1"/>
      <c r="AF35" s="1"/>
      <c r="AG35" s="1"/>
      <c r="AH35" s="1"/>
      <c r="AI35" s="1"/>
      <c r="AJ35" s="1"/>
      <c r="AK35" s="1"/>
      <c r="AL35" s="2"/>
      <c r="AM35" s="1"/>
      <c r="AN35" s="1"/>
      <c r="AO35" s="1"/>
      <c r="AP35" s="1"/>
      <c r="AQ35" s="1"/>
      <c r="AR35" s="1"/>
      <c r="AS35" s="1"/>
      <c r="AT35" s="1"/>
      <c r="AU35" s="2"/>
      <c r="AV35" s="1"/>
      <c r="AW35" s="1"/>
      <c r="AX35" s="1"/>
      <c r="AY35" s="1"/>
      <c r="AZ35" s="1"/>
      <c r="BA35" s="1"/>
      <c r="BB35" s="1"/>
      <c r="BC35" s="1"/>
      <c r="BD35" s="2"/>
      <c r="BE35" s="1"/>
      <c r="BF35" s="1"/>
      <c r="BG35" s="1"/>
      <c r="BH35" s="1"/>
      <c r="BI35" s="1"/>
      <c r="BJ35" s="1"/>
      <c r="BK35" s="1"/>
      <c r="BL35" s="1"/>
      <c r="BM35" s="2"/>
      <c r="BN35" s="1"/>
      <c r="BO35" s="1"/>
      <c r="BP35" s="1"/>
      <c r="BQ35" s="1"/>
      <c r="BR35" s="1"/>
      <c r="BS35" s="1"/>
      <c r="BT35" s="1"/>
      <c r="BU35" s="1"/>
      <c r="BV35" s="2"/>
      <c r="BW35" s="1"/>
      <c r="BX35" s="1"/>
      <c r="BY35" s="1"/>
      <c r="BZ35" s="1"/>
      <c r="CA35" s="1"/>
      <c r="CB35" s="1"/>
      <c r="CC35" s="1"/>
      <c r="CD35" s="1"/>
      <c r="CE35" s="2"/>
      <c r="CF35" s="1"/>
      <c r="CG35" s="1"/>
      <c r="CH35" s="1"/>
      <c r="CI35" s="1"/>
      <c r="CJ35" s="1"/>
      <c r="CK35" s="1"/>
      <c r="CL35" s="1"/>
    </row>
    <row r="36" spans="1:90" ht="14.65" x14ac:dyDescent="0.4">
      <c r="A36" s="1"/>
      <c r="B36" s="2"/>
      <c r="C36" s="1"/>
      <c r="D36" s="1"/>
      <c r="E36" s="1"/>
      <c r="F36" s="1"/>
      <c r="G36" s="1"/>
      <c r="H36" s="1"/>
      <c r="I36" s="1"/>
      <c r="J36" s="1"/>
      <c r="K36" s="2"/>
      <c r="L36" s="1"/>
      <c r="M36" s="1"/>
      <c r="N36" s="1"/>
      <c r="O36" s="1"/>
      <c r="P36" s="1"/>
      <c r="Q36" s="1"/>
      <c r="R36" s="1"/>
      <c r="S36" s="1"/>
      <c r="T36" s="2"/>
      <c r="U36" s="1"/>
      <c r="V36" s="1"/>
      <c r="W36" s="1"/>
      <c r="X36" s="1"/>
      <c r="Y36" s="1"/>
      <c r="Z36" s="1"/>
      <c r="AA36" s="1"/>
      <c r="AB36" s="1"/>
      <c r="AC36" s="2"/>
      <c r="AD36" s="1"/>
      <c r="AE36" s="1"/>
      <c r="AF36" s="1"/>
      <c r="AG36" s="1"/>
      <c r="AH36" s="1"/>
      <c r="AI36" s="1"/>
      <c r="AJ36" s="1"/>
      <c r="AK36" s="1"/>
      <c r="AL36" s="2"/>
      <c r="AM36" s="1"/>
      <c r="AN36" s="1"/>
      <c r="AO36" s="1"/>
      <c r="AP36" s="1"/>
      <c r="AQ36" s="1"/>
      <c r="AR36" s="1"/>
      <c r="AS36" s="1"/>
      <c r="AT36" s="1"/>
      <c r="AU36" s="2"/>
      <c r="AV36" s="1"/>
      <c r="AW36" s="1"/>
      <c r="AX36" s="1"/>
      <c r="AY36" s="1"/>
      <c r="AZ36" s="1"/>
      <c r="BA36" s="1"/>
      <c r="BB36" s="1"/>
      <c r="BC36" s="1"/>
      <c r="BD36" s="2"/>
      <c r="BE36" s="1"/>
      <c r="BF36" s="1"/>
      <c r="BG36" s="1"/>
      <c r="BH36" s="1"/>
      <c r="BI36" s="1"/>
      <c r="BJ36" s="1"/>
      <c r="BK36" s="1"/>
      <c r="BL36" s="1"/>
      <c r="BM36" s="2"/>
      <c r="BN36" s="1"/>
      <c r="BO36" s="1"/>
      <c r="BP36" s="1"/>
      <c r="BQ36" s="1"/>
      <c r="BR36" s="1"/>
      <c r="BS36" s="1"/>
      <c r="BT36" s="1"/>
      <c r="BU36" s="1"/>
      <c r="BV36" s="2"/>
      <c r="BW36" s="1"/>
      <c r="BX36" s="1"/>
      <c r="BY36" s="1"/>
      <c r="BZ36" s="1"/>
      <c r="CA36" s="1"/>
      <c r="CB36" s="1"/>
      <c r="CC36" s="1"/>
      <c r="CD36" s="1"/>
      <c r="CE36" s="2"/>
      <c r="CF36" s="1"/>
      <c r="CG36" s="1"/>
      <c r="CH36" s="1"/>
      <c r="CI36" s="1"/>
      <c r="CJ36" s="1"/>
      <c r="CK36" s="1"/>
      <c r="CL36" s="1"/>
    </row>
    <row r="37" spans="1:90" ht="14.65" x14ac:dyDescent="0.4">
      <c r="A37" s="1"/>
      <c r="B37" s="2"/>
      <c r="C37" s="1"/>
      <c r="D37" s="1"/>
      <c r="E37" s="1"/>
      <c r="F37" s="1"/>
      <c r="G37" s="1"/>
      <c r="H37" s="1"/>
      <c r="I37" s="1"/>
      <c r="J37" s="1"/>
      <c r="K37" s="2"/>
      <c r="L37" s="1"/>
      <c r="M37" s="1"/>
      <c r="N37" s="1"/>
      <c r="O37" s="1"/>
      <c r="P37" s="1"/>
      <c r="Q37" s="1"/>
      <c r="R37" s="1"/>
      <c r="S37" s="1"/>
      <c r="T37" s="2"/>
      <c r="U37" s="1"/>
      <c r="V37" s="1"/>
      <c r="W37" s="1"/>
      <c r="X37" s="1"/>
      <c r="Y37" s="1"/>
      <c r="Z37" s="1"/>
      <c r="AA37" s="1"/>
      <c r="AB37" s="1"/>
      <c r="AC37" s="2"/>
      <c r="AD37" s="1"/>
      <c r="AE37" s="1"/>
      <c r="AF37" s="1"/>
      <c r="AG37" s="1"/>
      <c r="AH37" s="1"/>
      <c r="AI37" s="1"/>
      <c r="AJ37" s="1"/>
      <c r="AK37" s="1"/>
      <c r="AL37" s="2"/>
      <c r="AM37" s="1"/>
      <c r="AN37" s="1"/>
      <c r="AO37" s="1"/>
      <c r="AP37" s="1"/>
      <c r="AQ37" s="1"/>
      <c r="AR37" s="1"/>
      <c r="AS37" s="1"/>
      <c r="AT37" s="1"/>
      <c r="AU37" s="2"/>
      <c r="AV37" s="1"/>
      <c r="AW37" s="1"/>
      <c r="AX37" s="1"/>
      <c r="AY37" s="1"/>
      <c r="AZ37" s="1"/>
      <c r="BA37" s="1"/>
      <c r="BB37" s="1"/>
      <c r="BC37" s="1"/>
      <c r="BD37" s="2"/>
      <c r="BE37" s="1"/>
      <c r="BF37" s="1"/>
      <c r="BG37" s="1"/>
      <c r="BH37" s="1"/>
      <c r="BI37" s="1"/>
      <c r="BJ37" s="1"/>
      <c r="BK37" s="1"/>
      <c r="BL37" s="1"/>
      <c r="BM37" s="2"/>
      <c r="BN37" s="1"/>
      <c r="BO37" s="1"/>
      <c r="BP37" s="1"/>
      <c r="BQ37" s="1"/>
      <c r="BR37" s="1"/>
      <c r="BS37" s="1"/>
      <c r="BT37" s="1"/>
      <c r="BU37" s="1"/>
      <c r="BV37" s="2"/>
      <c r="BW37" s="1"/>
      <c r="BX37" s="1"/>
      <c r="BY37" s="1"/>
      <c r="BZ37" s="1"/>
      <c r="CA37" s="1"/>
      <c r="CB37" s="1"/>
      <c r="CC37" s="1"/>
      <c r="CD37" s="1"/>
      <c r="CE37" s="2"/>
      <c r="CF37" s="1"/>
      <c r="CG37" s="1"/>
      <c r="CH37" s="1"/>
      <c r="CI37" s="1"/>
      <c r="CJ37" s="1"/>
      <c r="CK37" s="1"/>
      <c r="CL37" s="1"/>
    </row>
    <row r="38" spans="1:90" ht="14.65" x14ac:dyDescent="0.4">
      <c r="A38" s="1"/>
      <c r="B38" s="2"/>
      <c r="C38" s="1"/>
      <c r="D38" s="1"/>
      <c r="E38" s="1"/>
      <c r="F38" s="1"/>
      <c r="G38" s="1"/>
      <c r="H38" s="1"/>
      <c r="I38" s="1"/>
      <c r="J38" s="1"/>
      <c r="K38" s="2"/>
      <c r="L38" s="1"/>
      <c r="M38" s="1"/>
      <c r="N38" s="1"/>
      <c r="O38" s="1"/>
      <c r="P38" s="1"/>
      <c r="Q38" s="1"/>
      <c r="R38" s="1"/>
      <c r="S38" s="1"/>
      <c r="T38" s="2"/>
      <c r="U38" s="1"/>
      <c r="V38" s="1"/>
      <c r="W38" s="1"/>
      <c r="X38" s="1"/>
      <c r="Y38" s="1"/>
      <c r="Z38" s="1"/>
      <c r="AA38" s="1"/>
      <c r="AB38" s="1"/>
      <c r="AC38" s="2"/>
      <c r="AD38" s="1"/>
      <c r="AE38" s="1"/>
      <c r="AF38" s="1"/>
      <c r="AG38" s="1"/>
      <c r="AH38" s="1"/>
      <c r="AI38" s="1"/>
      <c r="AJ38" s="1"/>
      <c r="AK38" s="1"/>
      <c r="AL38" s="2"/>
      <c r="AM38" s="1"/>
      <c r="AN38" s="1"/>
      <c r="AO38" s="1"/>
      <c r="AP38" s="1"/>
      <c r="AQ38" s="1"/>
      <c r="AR38" s="1"/>
      <c r="AS38" s="1"/>
      <c r="AT38" s="1"/>
      <c r="AU38" s="2"/>
      <c r="AV38" s="1"/>
      <c r="AW38" s="1"/>
      <c r="AX38" s="1"/>
      <c r="AY38" s="1"/>
      <c r="AZ38" s="1"/>
      <c r="BA38" s="1"/>
      <c r="BB38" s="1"/>
      <c r="BC38" s="1"/>
      <c r="BD38" s="2"/>
      <c r="BE38" s="1"/>
      <c r="BF38" s="1"/>
      <c r="BG38" s="1"/>
      <c r="BH38" s="1"/>
      <c r="BI38" s="1"/>
      <c r="BJ38" s="1"/>
      <c r="BK38" s="1"/>
      <c r="BL38" s="1"/>
      <c r="BM38" s="2"/>
      <c r="BN38" s="1"/>
      <c r="BO38" s="1"/>
      <c r="BP38" s="1"/>
      <c r="BQ38" s="1"/>
      <c r="BR38" s="1"/>
      <c r="BS38" s="1"/>
      <c r="BT38" s="1"/>
      <c r="BU38" s="1"/>
      <c r="BV38" s="2"/>
      <c r="BW38" s="1"/>
      <c r="BX38" s="1"/>
      <c r="BY38" s="1"/>
      <c r="BZ38" s="1"/>
      <c r="CA38" s="1"/>
      <c r="CB38" s="1"/>
      <c r="CC38" s="1"/>
      <c r="CD38" s="1"/>
      <c r="CE38" s="2"/>
      <c r="CF38" s="1"/>
      <c r="CG38" s="1"/>
      <c r="CH38" s="1"/>
      <c r="CI38" s="1"/>
      <c r="CJ38" s="1"/>
      <c r="CK38" s="1"/>
      <c r="CL38" s="1"/>
    </row>
    <row r="39" spans="1:90" ht="14.65" x14ac:dyDescent="0.4">
      <c r="A39" s="1"/>
      <c r="B39" s="2"/>
      <c r="C39" s="3"/>
      <c r="D39" s="1"/>
      <c r="E39" s="1"/>
      <c r="F39" s="1"/>
      <c r="G39" s="1"/>
      <c r="H39" s="1"/>
      <c r="I39" s="1"/>
      <c r="J39" s="1"/>
      <c r="K39" s="2"/>
      <c r="L39" s="1"/>
      <c r="M39" s="1"/>
      <c r="N39" s="1"/>
      <c r="O39" s="1"/>
      <c r="P39" s="1"/>
      <c r="Q39" s="1"/>
      <c r="R39" s="1"/>
      <c r="S39" s="1"/>
      <c r="T39" s="2"/>
      <c r="U39" s="1"/>
      <c r="V39" s="1"/>
      <c r="W39" s="1"/>
      <c r="X39" s="1"/>
      <c r="Y39" s="1"/>
      <c r="Z39" s="1"/>
      <c r="AA39" s="1"/>
      <c r="AB39" s="1"/>
      <c r="AC39" s="2"/>
      <c r="AD39" s="1"/>
      <c r="AE39" s="1"/>
      <c r="AF39" s="1"/>
      <c r="AG39" s="1"/>
      <c r="AH39" s="1"/>
      <c r="AI39" s="1"/>
      <c r="AJ39" s="1"/>
      <c r="AK39" s="1"/>
      <c r="AL39" s="2"/>
      <c r="AM39" s="1"/>
      <c r="AN39" s="1"/>
      <c r="AO39" s="1"/>
      <c r="AP39" s="1"/>
      <c r="AQ39" s="1"/>
      <c r="AR39" s="1"/>
      <c r="AS39" s="1"/>
      <c r="AT39" s="1"/>
      <c r="AU39" s="2"/>
      <c r="AV39" s="1"/>
      <c r="AW39" s="1"/>
      <c r="AX39" s="1"/>
      <c r="AY39" s="1"/>
      <c r="AZ39" s="1"/>
      <c r="BA39" s="1"/>
      <c r="BB39" s="1"/>
      <c r="BC39" s="1"/>
      <c r="BD39" s="2"/>
      <c r="BE39" s="1"/>
      <c r="BF39" s="1"/>
      <c r="BG39" s="1"/>
      <c r="BH39" s="1"/>
      <c r="BI39" s="1"/>
      <c r="BJ39" s="1"/>
      <c r="BK39" s="1"/>
      <c r="BL39" s="1"/>
      <c r="BM39" s="2"/>
      <c r="BN39" s="1"/>
      <c r="BO39" s="1"/>
      <c r="BP39" s="1"/>
      <c r="BQ39" s="1"/>
      <c r="BR39" s="1"/>
      <c r="BS39" s="1"/>
      <c r="BT39" s="1"/>
      <c r="BU39" s="1"/>
      <c r="BV39" s="2"/>
      <c r="BW39" s="1"/>
      <c r="BX39" s="1"/>
      <c r="BY39" s="1"/>
      <c r="BZ39" s="1"/>
      <c r="CA39" s="1"/>
      <c r="CB39" s="1"/>
      <c r="CC39" s="1"/>
      <c r="CD39" s="1"/>
      <c r="CE39" s="2"/>
      <c r="CF39" s="1"/>
      <c r="CG39" s="1"/>
      <c r="CH39" s="1"/>
      <c r="CI39" s="1"/>
      <c r="CJ39" s="1"/>
      <c r="CK39" s="1"/>
      <c r="CL39" s="1"/>
    </row>
    <row r="40" spans="1:90" ht="14.65" x14ac:dyDescent="0.4">
      <c r="A40" s="1"/>
      <c r="B40" s="2"/>
      <c r="C40" s="1"/>
      <c r="D40" s="1"/>
      <c r="E40" s="1"/>
      <c r="F40" s="1"/>
      <c r="G40" s="1"/>
      <c r="H40" s="1"/>
      <c r="I40" s="1"/>
      <c r="J40" s="1"/>
      <c r="K40" s="2"/>
      <c r="L40" s="1"/>
      <c r="M40" s="1"/>
      <c r="N40" s="1"/>
      <c r="O40" s="1"/>
      <c r="P40" s="1"/>
      <c r="Q40" s="1"/>
      <c r="R40" s="1"/>
      <c r="S40" s="1"/>
      <c r="T40" s="2"/>
      <c r="U40" s="1"/>
      <c r="V40" s="1"/>
      <c r="W40" s="1"/>
      <c r="X40" s="1"/>
      <c r="Y40" s="1"/>
      <c r="Z40" s="1"/>
      <c r="AA40" s="1"/>
      <c r="AB40" s="1"/>
      <c r="AC40" s="2"/>
      <c r="AD40" s="1"/>
      <c r="AE40" s="1"/>
      <c r="AF40" s="1"/>
      <c r="AG40" s="1"/>
      <c r="AH40" s="1"/>
      <c r="AI40" s="1"/>
      <c r="AJ40" s="1"/>
      <c r="AK40" s="1"/>
      <c r="AL40" s="2"/>
      <c r="AM40" s="1"/>
      <c r="AN40" s="1"/>
      <c r="AO40" s="1"/>
      <c r="AP40" s="1"/>
      <c r="AQ40" s="1"/>
      <c r="AR40" s="1"/>
      <c r="AS40" s="1"/>
      <c r="AT40" s="1"/>
      <c r="AU40" s="2"/>
      <c r="AV40" s="1"/>
      <c r="AW40" s="1"/>
      <c r="AX40" s="1"/>
      <c r="AY40" s="1"/>
      <c r="AZ40" s="1"/>
      <c r="BA40" s="1"/>
      <c r="BB40" s="1"/>
      <c r="BC40" s="1"/>
      <c r="BD40" s="2"/>
      <c r="BE40" s="1"/>
      <c r="BF40" s="1"/>
      <c r="BG40" s="1"/>
      <c r="BH40" s="1"/>
      <c r="BI40" s="1"/>
      <c r="BJ40" s="1"/>
      <c r="BK40" s="1"/>
      <c r="BL40" s="1"/>
      <c r="BM40" s="2"/>
      <c r="BN40" s="1"/>
      <c r="BO40" s="1"/>
      <c r="BP40" s="1"/>
      <c r="BQ40" s="1"/>
      <c r="BR40" s="1"/>
      <c r="BS40" s="1"/>
      <c r="BT40" s="1"/>
      <c r="BU40" s="1"/>
      <c r="BV40" s="2"/>
      <c r="BW40" s="1"/>
      <c r="BX40" s="1"/>
      <c r="BY40" s="1"/>
      <c r="BZ40" s="1"/>
      <c r="CA40" s="1"/>
      <c r="CB40" s="1"/>
      <c r="CC40" s="1"/>
      <c r="CD40" s="1"/>
      <c r="CE40" s="2"/>
      <c r="CF40" s="1"/>
      <c r="CG40" s="1"/>
      <c r="CH40" s="1"/>
      <c r="CI40" s="1"/>
      <c r="CJ40" s="1"/>
      <c r="CK40" s="1"/>
      <c r="CL40" s="1"/>
    </row>
    <row r="41" spans="1:90" ht="14.65" x14ac:dyDescent="0.4">
      <c r="A41" s="1"/>
      <c r="B41" s="2"/>
      <c r="C41" s="1"/>
      <c r="D41" s="1"/>
      <c r="E41" s="1"/>
      <c r="F41" s="1"/>
      <c r="G41" s="1"/>
      <c r="H41" s="1"/>
      <c r="I41" s="1"/>
      <c r="J41" s="1"/>
      <c r="K41" s="2"/>
      <c r="L41" s="1"/>
      <c r="M41" s="1"/>
      <c r="N41" s="1"/>
      <c r="O41" s="1"/>
      <c r="P41" s="1"/>
      <c r="Q41" s="1"/>
      <c r="R41" s="1"/>
      <c r="S41" s="1"/>
      <c r="T41" s="2"/>
      <c r="U41" s="1"/>
      <c r="V41" s="1"/>
      <c r="W41" s="1"/>
      <c r="X41" s="1"/>
      <c r="Y41" s="1"/>
      <c r="Z41" s="1"/>
      <c r="AA41" s="1"/>
      <c r="AB41" s="1"/>
      <c r="AC41" s="2"/>
      <c r="AD41" s="1"/>
      <c r="AE41" s="1"/>
      <c r="AF41" s="1"/>
      <c r="AG41" s="1"/>
      <c r="AH41" s="1"/>
      <c r="AI41" s="1"/>
      <c r="AJ41" s="1"/>
      <c r="AK41" s="1"/>
      <c r="AL41" s="2"/>
      <c r="AM41" s="1"/>
      <c r="AN41" s="1"/>
      <c r="AO41" s="1"/>
      <c r="AP41" s="1"/>
      <c r="AQ41" s="1"/>
      <c r="AR41" s="1"/>
      <c r="AS41" s="1"/>
      <c r="AT41" s="1"/>
      <c r="AU41" s="2"/>
      <c r="AV41" s="1"/>
      <c r="AW41" s="1"/>
      <c r="AX41" s="1"/>
      <c r="AY41" s="1"/>
      <c r="AZ41" s="1"/>
      <c r="BA41" s="1"/>
      <c r="BB41" s="1"/>
      <c r="BC41" s="1"/>
      <c r="BD41" s="2"/>
      <c r="BE41" s="1"/>
      <c r="BF41" s="1"/>
      <c r="BG41" s="1"/>
      <c r="BH41" s="1"/>
      <c r="BI41" s="1"/>
      <c r="BJ41" s="1"/>
      <c r="BK41" s="1"/>
      <c r="BL41" s="1"/>
      <c r="BM41" s="2"/>
      <c r="BN41" s="1"/>
      <c r="BO41" s="1"/>
      <c r="BP41" s="1"/>
      <c r="BQ41" s="1"/>
      <c r="BR41" s="1"/>
      <c r="BS41" s="1"/>
      <c r="BT41" s="1"/>
      <c r="BU41" s="1"/>
      <c r="BV41" s="2"/>
      <c r="BW41" s="1"/>
      <c r="BX41" s="1"/>
      <c r="BY41" s="1"/>
      <c r="BZ41" s="1"/>
      <c r="CA41" s="1"/>
      <c r="CB41" s="1"/>
      <c r="CC41" s="1"/>
      <c r="CD41" s="1"/>
      <c r="CE41" s="2"/>
      <c r="CF41" s="1"/>
      <c r="CG41" s="1"/>
      <c r="CH41" s="1"/>
      <c r="CI41" s="1"/>
      <c r="CJ41" s="1"/>
      <c r="CK41" s="1"/>
      <c r="CL41" s="1"/>
    </row>
    <row r="42" spans="1:90" ht="14.65" x14ac:dyDescent="0.4">
      <c r="A42" s="1"/>
      <c r="B42" s="2"/>
      <c r="C42" s="1"/>
      <c r="D42" s="1"/>
      <c r="E42" s="1"/>
      <c r="F42" s="1"/>
      <c r="G42" s="1"/>
      <c r="H42" s="1"/>
      <c r="I42" s="1"/>
      <c r="J42" s="1"/>
      <c r="K42" s="2"/>
      <c r="L42" s="1"/>
      <c r="M42" s="1"/>
      <c r="N42" s="1"/>
      <c r="O42" s="1"/>
      <c r="P42" s="1"/>
      <c r="Q42" s="1"/>
      <c r="R42" s="1"/>
      <c r="S42" s="1"/>
      <c r="T42" s="2"/>
      <c r="U42" s="1"/>
      <c r="V42" s="1"/>
      <c r="W42" s="1"/>
      <c r="X42" s="1"/>
      <c r="Y42" s="1"/>
      <c r="Z42" s="1"/>
      <c r="AA42" s="1"/>
      <c r="AB42" s="1"/>
      <c r="AC42" s="2"/>
      <c r="AD42" s="1"/>
      <c r="AE42" s="1"/>
      <c r="AF42" s="1"/>
      <c r="AG42" s="1"/>
      <c r="AH42" s="1"/>
      <c r="AI42" s="1"/>
      <c r="AJ42" s="1"/>
      <c r="AK42" s="1"/>
      <c r="AL42" s="2"/>
      <c r="AM42" s="1"/>
      <c r="AN42" s="1"/>
      <c r="AO42" s="1"/>
      <c r="AP42" s="1"/>
      <c r="AQ42" s="1"/>
      <c r="AR42" s="1"/>
      <c r="AS42" s="1"/>
      <c r="AT42" s="1"/>
      <c r="AU42" s="2"/>
      <c r="AV42" s="1"/>
      <c r="AW42" s="1"/>
      <c r="AX42" s="1"/>
      <c r="AY42" s="1"/>
      <c r="AZ42" s="1"/>
      <c r="BA42" s="1"/>
      <c r="BB42" s="1"/>
      <c r="BC42" s="1"/>
      <c r="BD42" s="2"/>
      <c r="BE42" s="1"/>
      <c r="BF42" s="1"/>
      <c r="BG42" s="1"/>
      <c r="BH42" s="1"/>
      <c r="BI42" s="1"/>
      <c r="BJ42" s="1"/>
      <c r="BK42" s="1"/>
      <c r="BL42" s="1"/>
      <c r="BM42" s="2"/>
      <c r="BN42" s="1"/>
      <c r="BO42" s="1"/>
      <c r="BP42" s="1"/>
      <c r="BQ42" s="1"/>
      <c r="BR42" s="1"/>
      <c r="BS42" s="1"/>
      <c r="BT42" s="1"/>
      <c r="BU42" s="1"/>
      <c r="BV42" s="2"/>
      <c r="BW42" s="1"/>
      <c r="BX42" s="1"/>
      <c r="BY42" s="1"/>
      <c r="BZ42" s="1"/>
      <c r="CA42" s="1"/>
      <c r="CB42" s="1"/>
      <c r="CC42" s="1"/>
      <c r="CD42" s="1"/>
      <c r="CE42" s="2"/>
      <c r="CF42" s="1"/>
      <c r="CG42" s="1"/>
      <c r="CH42" s="1"/>
      <c r="CI42" s="1"/>
      <c r="CJ42" s="1"/>
      <c r="CK42" s="1"/>
      <c r="CL42" s="1"/>
    </row>
    <row r="43" spans="1:90" ht="14.65" x14ac:dyDescent="0.4">
      <c r="A43" s="1"/>
      <c r="B43" s="2"/>
      <c r="C43" s="1"/>
      <c r="D43" s="1"/>
      <c r="E43" s="1"/>
      <c r="F43" s="1"/>
      <c r="G43" s="1"/>
      <c r="H43" s="1"/>
      <c r="I43" s="1"/>
      <c r="J43" s="1"/>
      <c r="K43" s="2"/>
      <c r="L43" s="1"/>
      <c r="M43" s="1"/>
      <c r="N43" s="1"/>
      <c r="O43" s="1"/>
      <c r="P43" s="1"/>
      <c r="Q43" s="1"/>
      <c r="R43" s="1"/>
      <c r="S43" s="1"/>
      <c r="T43" s="2"/>
      <c r="U43" s="1"/>
      <c r="V43" s="1"/>
      <c r="W43" s="1"/>
      <c r="X43" s="1"/>
      <c r="Y43" s="1"/>
      <c r="Z43" s="1"/>
      <c r="AA43" s="1"/>
      <c r="AB43" s="1"/>
      <c r="AC43" s="2"/>
      <c r="AD43" s="1"/>
      <c r="AE43" s="1"/>
      <c r="AF43" s="1"/>
      <c r="AG43" s="1"/>
      <c r="AH43" s="1"/>
      <c r="AI43" s="1"/>
      <c r="AJ43" s="1"/>
      <c r="AK43" s="1"/>
      <c r="AL43" s="2"/>
      <c r="AM43" s="1"/>
      <c r="AN43" s="1"/>
      <c r="AO43" s="1"/>
      <c r="AP43" s="1"/>
      <c r="AQ43" s="1"/>
      <c r="AR43" s="1"/>
      <c r="AS43" s="1"/>
      <c r="AT43" s="1"/>
      <c r="AU43" s="2"/>
      <c r="AV43" s="1"/>
      <c r="AW43" s="1"/>
      <c r="AX43" s="1"/>
      <c r="AY43" s="1"/>
      <c r="AZ43" s="1"/>
      <c r="BA43" s="1"/>
      <c r="BB43" s="1"/>
      <c r="BC43" s="1"/>
      <c r="BD43" s="2"/>
      <c r="BE43" s="1"/>
      <c r="BF43" s="1"/>
      <c r="BG43" s="1"/>
      <c r="BH43" s="1"/>
      <c r="BI43" s="1"/>
      <c r="BJ43" s="1"/>
      <c r="BK43" s="1"/>
      <c r="BL43" s="1"/>
      <c r="BM43" s="2"/>
      <c r="BN43" s="1"/>
      <c r="BO43" s="1"/>
      <c r="BP43" s="1"/>
      <c r="BQ43" s="1"/>
      <c r="BR43" s="1"/>
      <c r="BS43" s="1"/>
      <c r="BT43" s="1"/>
      <c r="BU43" s="1"/>
      <c r="BV43" s="2"/>
      <c r="BW43" s="1"/>
      <c r="BX43" s="1"/>
      <c r="BY43" s="1"/>
      <c r="BZ43" s="1"/>
      <c r="CA43" s="1"/>
      <c r="CB43" s="1"/>
      <c r="CC43" s="1"/>
      <c r="CD43" s="1"/>
      <c r="CE43" s="2"/>
      <c r="CF43" s="1"/>
      <c r="CG43" s="1"/>
      <c r="CH43" s="1"/>
      <c r="CI43" s="1"/>
      <c r="CJ43" s="1"/>
      <c r="CK43" s="1"/>
      <c r="CL43" s="1"/>
    </row>
    <row r="44" spans="1:90" ht="14.65" x14ac:dyDescent="0.4">
      <c r="A44" s="1"/>
      <c r="B44" s="2"/>
      <c r="C44" s="1"/>
      <c r="D44" s="1"/>
      <c r="E44" s="1"/>
      <c r="F44" s="1"/>
      <c r="G44" s="1"/>
      <c r="H44" s="1"/>
      <c r="I44" s="1"/>
      <c r="J44" s="1"/>
      <c r="K44" s="2"/>
      <c r="L44" s="1"/>
      <c r="M44" s="1"/>
      <c r="N44" s="1"/>
      <c r="O44" s="1"/>
      <c r="P44" s="1"/>
      <c r="Q44" s="1"/>
      <c r="R44" s="1"/>
      <c r="S44" s="1"/>
      <c r="T44" s="2"/>
      <c r="U44" s="1"/>
      <c r="V44" s="1"/>
      <c r="W44" s="1"/>
      <c r="X44" s="1"/>
      <c r="Y44" s="1"/>
      <c r="Z44" s="1"/>
      <c r="AA44" s="1"/>
      <c r="AB44" s="1"/>
      <c r="AC44" s="2"/>
      <c r="AD44" s="1"/>
      <c r="AE44" s="1"/>
      <c r="AF44" s="1"/>
      <c r="AG44" s="1"/>
      <c r="AH44" s="1"/>
      <c r="AI44" s="1"/>
      <c r="AJ44" s="1"/>
      <c r="AK44" s="1"/>
      <c r="AL44" s="2"/>
      <c r="AM44" s="1"/>
      <c r="AN44" s="1"/>
      <c r="AO44" s="1"/>
      <c r="AP44" s="1"/>
      <c r="AQ44" s="1"/>
      <c r="AR44" s="1"/>
      <c r="AS44" s="1"/>
      <c r="AT44" s="1"/>
      <c r="AU44" s="2"/>
      <c r="AV44" s="1"/>
      <c r="AW44" s="1"/>
      <c r="AX44" s="1"/>
      <c r="AY44" s="1"/>
      <c r="AZ44" s="1"/>
      <c r="BA44" s="1"/>
      <c r="BB44" s="1"/>
      <c r="BC44" s="1"/>
      <c r="BD44" s="2"/>
      <c r="BE44" s="1"/>
      <c r="BF44" s="1"/>
      <c r="BG44" s="1"/>
      <c r="BH44" s="1"/>
      <c r="BI44" s="1"/>
      <c r="BJ44" s="1"/>
      <c r="BK44" s="1"/>
      <c r="BL44" s="1"/>
      <c r="BM44" s="2"/>
      <c r="BN44" s="1"/>
      <c r="BO44" s="1"/>
      <c r="BP44" s="1"/>
      <c r="BQ44" s="1"/>
      <c r="BR44" s="1"/>
      <c r="BS44" s="1"/>
      <c r="BT44" s="1"/>
      <c r="BU44" s="1"/>
      <c r="BV44" s="2"/>
      <c r="BW44" s="1"/>
      <c r="BX44" s="1"/>
      <c r="BY44" s="1"/>
      <c r="BZ44" s="1"/>
      <c r="CA44" s="1"/>
      <c r="CB44" s="1"/>
      <c r="CC44" s="1"/>
      <c r="CD44" s="1"/>
      <c r="CE44" s="2"/>
      <c r="CF44" s="1"/>
      <c r="CG44" s="1"/>
      <c r="CH44" s="1"/>
      <c r="CI44" s="1"/>
      <c r="CJ44" s="1"/>
      <c r="CK44" s="1"/>
      <c r="CL44" s="1"/>
    </row>
    <row r="45" spans="1:90" ht="14.65" x14ac:dyDescent="0.4">
      <c r="A45" s="1"/>
      <c r="B45" s="2"/>
      <c r="C45" s="1"/>
      <c r="D45" s="1"/>
      <c r="E45" s="1"/>
      <c r="F45" s="1"/>
      <c r="G45" s="1"/>
      <c r="H45" s="1"/>
      <c r="I45" s="1"/>
      <c r="J45" s="1"/>
      <c r="K45" s="2"/>
      <c r="L45" s="1"/>
      <c r="M45" s="1"/>
      <c r="N45" s="1"/>
      <c r="O45" s="1"/>
      <c r="P45" s="1"/>
      <c r="Q45" s="1"/>
      <c r="R45" s="1"/>
      <c r="S45" s="1"/>
      <c r="T45" s="2"/>
      <c r="U45" s="1"/>
      <c r="V45" s="1"/>
      <c r="W45" s="1"/>
      <c r="X45" s="1"/>
      <c r="Y45" s="1"/>
      <c r="Z45" s="1"/>
      <c r="AA45" s="1"/>
      <c r="AB45" s="1"/>
      <c r="AC45" s="2"/>
      <c r="AD45" s="1"/>
      <c r="AE45" s="1"/>
      <c r="AF45" s="1"/>
      <c r="AG45" s="1"/>
      <c r="AH45" s="1"/>
      <c r="AI45" s="1"/>
      <c r="AJ45" s="1"/>
      <c r="AK45" s="1"/>
      <c r="AL45" s="2"/>
      <c r="AM45" s="1"/>
      <c r="AN45" s="1"/>
      <c r="AO45" s="1"/>
      <c r="AP45" s="1"/>
      <c r="AQ45" s="1"/>
      <c r="AR45" s="1"/>
      <c r="AS45" s="1"/>
      <c r="AT45" s="1"/>
      <c r="AU45" s="2"/>
      <c r="AV45" s="1"/>
      <c r="AW45" s="1"/>
      <c r="AX45" s="1"/>
      <c r="AY45" s="1"/>
      <c r="AZ45" s="1"/>
      <c r="BA45" s="1"/>
      <c r="BB45" s="1"/>
      <c r="BC45" s="1"/>
      <c r="BD45" s="2"/>
      <c r="BE45" s="1"/>
      <c r="BF45" s="1"/>
      <c r="BG45" s="1"/>
      <c r="BH45" s="1"/>
      <c r="BI45" s="1"/>
      <c r="BJ45" s="1"/>
      <c r="BK45" s="1"/>
      <c r="BL45" s="1"/>
      <c r="BM45" s="2"/>
      <c r="BN45" s="1"/>
      <c r="BO45" s="1"/>
      <c r="BP45" s="1"/>
      <c r="BQ45" s="1"/>
      <c r="BR45" s="1"/>
      <c r="BS45" s="1"/>
      <c r="BT45" s="1"/>
      <c r="BU45" s="1"/>
      <c r="BV45" s="2"/>
      <c r="BW45" s="1"/>
      <c r="BX45" s="1"/>
      <c r="BY45" s="1"/>
      <c r="BZ45" s="1"/>
      <c r="CA45" s="1"/>
      <c r="CB45" s="1"/>
      <c r="CC45" s="1"/>
      <c r="CD45" s="1"/>
      <c r="CE45" s="2"/>
      <c r="CF45" s="1"/>
      <c r="CG45" s="1"/>
      <c r="CH45" s="1"/>
      <c r="CI45" s="1"/>
      <c r="CJ45" s="1"/>
      <c r="CK45" s="1"/>
      <c r="CL45" s="1"/>
    </row>
    <row r="46" spans="1:90" ht="14.65" x14ac:dyDescent="0.4">
      <c r="A46" s="1"/>
      <c r="B46" s="2"/>
      <c r="C46" s="1"/>
      <c r="D46" s="1"/>
      <c r="E46" s="1"/>
      <c r="F46" s="1"/>
      <c r="G46" s="1"/>
      <c r="H46" s="1"/>
      <c r="I46" s="1"/>
      <c r="J46" s="1"/>
      <c r="K46" s="2"/>
      <c r="L46" s="1"/>
      <c r="M46" s="1"/>
      <c r="N46" s="1"/>
      <c r="O46" s="1"/>
      <c r="P46" s="1"/>
      <c r="Q46" s="1"/>
      <c r="R46" s="1"/>
      <c r="S46" s="1"/>
      <c r="T46" s="2"/>
      <c r="U46" s="1"/>
      <c r="V46" s="1"/>
      <c r="W46" s="1"/>
      <c r="X46" s="1"/>
      <c r="Y46" s="1"/>
      <c r="Z46" s="1"/>
      <c r="AA46" s="1"/>
      <c r="AB46" s="1"/>
      <c r="AC46" s="2"/>
      <c r="AD46" s="1"/>
      <c r="AE46" s="1"/>
      <c r="AF46" s="1"/>
      <c r="AG46" s="1"/>
      <c r="AH46" s="1"/>
      <c r="AI46" s="1"/>
      <c r="AJ46" s="1"/>
      <c r="AK46" s="1"/>
      <c r="AL46" s="2"/>
      <c r="AM46" s="1"/>
      <c r="AN46" s="1"/>
      <c r="AO46" s="1"/>
      <c r="AP46" s="1"/>
      <c r="AQ46" s="1"/>
      <c r="AR46" s="1"/>
      <c r="AS46" s="1"/>
      <c r="AT46" s="1"/>
      <c r="AU46" s="2"/>
      <c r="AV46" s="1"/>
      <c r="AW46" s="1"/>
      <c r="AX46" s="1"/>
      <c r="AY46" s="1"/>
      <c r="AZ46" s="1"/>
      <c r="BA46" s="1"/>
      <c r="BB46" s="1"/>
      <c r="BC46" s="1"/>
      <c r="BD46" s="2"/>
      <c r="BE46" s="1"/>
      <c r="BF46" s="1"/>
      <c r="BG46" s="1"/>
      <c r="BH46" s="1"/>
      <c r="BI46" s="1"/>
      <c r="BJ46" s="1"/>
      <c r="BK46" s="1"/>
      <c r="BL46" s="1"/>
      <c r="BM46" s="2"/>
      <c r="BN46" s="1"/>
      <c r="BO46" s="1"/>
      <c r="BP46" s="1"/>
      <c r="BQ46" s="1"/>
      <c r="BR46" s="1"/>
      <c r="BS46" s="1"/>
      <c r="BT46" s="1"/>
      <c r="BU46" s="1"/>
      <c r="BV46" s="2"/>
      <c r="BW46" s="1"/>
      <c r="BX46" s="1"/>
      <c r="BY46" s="1"/>
      <c r="BZ46" s="1"/>
      <c r="CA46" s="1"/>
      <c r="CB46" s="1"/>
      <c r="CC46" s="1"/>
      <c r="CD46" s="1"/>
      <c r="CE46" s="2"/>
      <c r="CF46" s="1"/>
      <c r="CG46" s="1"/>
      <c r="CH46" s="1"/>
      <c r="CI46" s="1"/>
      <c r="CJ46" s="1"/>
      <c r="CK46" s="1"/>
      <c r="CL46" s="1"/>
    </row>
    <row r="47" spans="1:90" ht="14.65" x14ac:dyDescent="0.4">
      <c r="A47" s="1"/>
      <c r="B47" s="2"/>
      <c r="C47" s="1"/>
      <c r="D47" s="1"/>
      <c r="E47" s="1"/>
      <c r="F47" s="1"/>
      <c r="G47" s="1"/>
      <c r="H47" s="1"/>
      <c r="I47" s="1"/>
      <c r="J47" s="1"/>
      <c r="K47" s="2"/>
      <c r="L47" s="1"/>
      <c r="M47" s="1"/>
      <c r="N47" s="1"/>
      <c r="O47" s="1"/>
      <c r="P47" s="1"/>
      <c r="Q47" s="1"/>
      <c r="R47" s="1"/>
      <c r="S47" s="1"/>
      <c r="T47" s="2"/>
      <c r="U47" s="1"/>
      <c r="V47" s="1"/>
      <c r="W47" s="1"/>
      <c r="X47" s="1"/>
      <c r="Y47" s="1"/>
      <c r="Z47" s="1"/>
      <c r="AA47" s="1"/>
      <c r="AB47" s="1"/>
      <c r="AC47" s="2"/>
      <c r="AD47" s="1"/>
      <c r="AE47" s="1"/>
      <c r="AF47" s="1"/>
      <c r="AG47" s="1"/>
      <c r="AH47" s="1"/>
      <c r="AI47" s="1"/>
      <c r="AJ47" s="1"/>
      <c r="AK47" s="1"/>
      <c r="AL47" s="2"/>
      <c r="AM47" s="1"/>
      <c r="AN47" s="1"/>
      <c r="AO47" s="1"/>
      <c r="AP47" s="1"/>
      <c r="AQ47" s="1"/>
      <c r="AR47" s="1"/>
      <c r="AS47" s="1"/>
      <c r="AT47" s="1"/>
      <c r="AU47" s="2"/>
      <c r="AV47" s="1"/>
      <c r="AW47" s="1"/>
      <c r="AX47" s="1"/>
      <c r="AY47" s="1"/>
      <c r="AZ47" s="1"/>
      <c r="BA47" s="1"/>
      <c r="BB47" s="1"/>
      <c r="BC47" s="1"/>
      <c r="BD47" s="2"/>
      <c r="BE47" s="1"/>
      <c r="BF47" s="1"/>
      <c r="BG47" s="1"/>
      <c r="BH47" s="1"/>
      <c r="BI47" s="1"/>
      <c r="BJ47" s="1"/>
      <c r="BK47" s="1"/>
      <c r="BL47" s="1"/>
      <c r="BM47" s="2"/>
      <c r="BN47" s="1"/>
      <c r="BO47" s="1"/>
      <c r="BP47" s="1"/>
      <c r="BQ47" s="1"/>
      <c r="BR47" s="1"/>
      <c r="BS47" s="1"/>
      <c r="BT47" s="1"/>
      <c r="BU47" s="1"/>
      <c r="BV47" s="2"/>
      <c r="BW47" s="1"/>
      <c r="BX47" s="1"/>
      <c r="BY47" s="1"/>
      <c r="BZ47" s="1"/>
      <c r="CA47" s="1"/>
      <c r="CB47" s="1"/>
      <c r="CC47" s="1"/>
      <c r="CD47" s="1"/>
      <c r="CE47" s="2"/>
      <c r="CF47" s="1"/>
      <c r="CG47" s="1"/>
      <c r="CH47" s="1"/>
      <c r="CI47" s="1"/>
      <c r="CJ47" s="1"/>
      <c r="CK47" s="1"/>
      <c r="CL47" s="1"/>
    </row>
    <row r="48" spans="1:90" ht="14.65" x14ac:dyDescent="0.4">
      <c r="A48" s="1"/>
      <c r="B48" s="2"/>
      <c r="C48" s="1"/>
      <c r="D48" s="1"/>
      <c r="E48" s="1"/>
      <c r="F48" s="1"/>
      <c r="G48" s="1"/>
      <c r="H48" s="1"/>
      <c r="I48" s="1"/>
      <c r="J48" s="1"/>
      <c r="K48" s="2"/>
      <c r="L48" s="1"/>
      <c r="M48" s="1"/>
      <c r="N48" s="1"/>
      <c r="O48" s="1"/>
      <c r="P48" s="1"/>
      <c r="Q48" s="1"/>
      <c r="R48" s="1"/>
      <c r="S48" s="1"/>
      <c r="T48" s="2"/>
      <c r="U48" s="1"/>
      <c r="V48" s="3"/>
      <c r="W48" s="1"/>
      <c r="X48" s="1"/>
      <c r="Y48" s="1"/>
      <c r="Z48" s="1"/>
      <c r="AA48" s="1"/>
      <c r="AB48" s="1"/>
      <c r="AC48" s="2"/>
      <c r="AD48" s="1"/>
      <c r="AE48" s="1"/>
      <c r="AF48" s="1"/>
      <c r="AG48" s="1"/>
      <c r="AH48" s="1"/>
      <c r="AI48" s="1"/>
      <c r="AJ48" s="1"/>
      <c r="AK48" s="1"/>
      <c r="AL48" s="2"/>
      <c r="AM48" s="1"/>
      <c r="AN48" s="1"/>
      <c r="AO48" s="1"/>
      <c r="AP48" s="1"/>
      <c r="AQ48" s="1"/>
      <c r="AR48" s="1"/>
      <c r="AS48" s="1"/>
      <c r="AT48" s="1"/>
      <c r="AU48" s="2"/>
      <c r="AV48" s="1"/>
      <c r="AW48" s="1"/>
      <c r="AX48" s="1"/>
      <c r="AY48" s="1"/>
      <c r="AZ48" s="1"/>
      <c r="BA48" s="1"/>
      <c r="BB48" s="1"/>
      <c r="BC48" s="1"/>
      <c r="BD48" s="2"/>
      <c r="BE48" s="1"/>
      <c r="BF48" s="1"/>
      <c r="BG48" s="1"/>
      <c r="BH48" s="1"/>
      <c r="BI48" s="1"/>
      <c r="BJ48" s="1"/>
      <c r="BK48" s="1"/>
      <c r="BL48" s="1"/>
      <c r="BM48" s="2"/>
      <c r="BN48" s="1"/>
      <c r="BO48" s="1"/>
      <c r="BP48" s="1"/>
      <c r="BQ48" s="1"/>
      <c r="BR48" s="1"/>
      <c r="BS48" s="1"/>
      <c r="BT48" s="1"/>
      <c r="BU48" s="1"/>
      <c r="BV48" s="2"/>
      <c r="BW48" s="1"/>
      <c r="BX48" s="1"/>
      <c r="BY48" s="1"/>
      <c r="BZ48" s="1"/>
      <c r="CA48" s="1"/>
      <c r="CB48" s="1"/>
      <c r="CC48" s="1"/>
      <c r="CD48" s="1"/>
      <c r="CE48" s="2"/>
      <c r="CF48" s="1"/>
      <c r="CG48" s="1"/>
      <c r="CH48" s="1"/>
      <c r="CI48" s="1"/>
      <c r="CJ48" s="1"/>
      <c r="CK48" s="1"/>
      <c r="CL48" s="1"/>
    </row>
    <row r="49" spans="1:90" ht="14.65" x14ac:dyDescent="0.4">
      <c r="A49" s="1"/>
      <c r="B49" s="2"/>
      <c r="C49" s="1"/>
      <c r="D49" s="1"/>
      <c r="E49" s="1"/>
      <c r="F49" s="1"/>
      <c r="G49" s="1"/>
      <c r="H49" s="1"/>
      <c r="I49" s="1"/>
      <c r="J49" s="1"/>
      <c r="K49" s="2"/>
      <c r="L49" s="1"/>
      <c r="M49" s="1"/>
      <c r="N49" s="1"/>
      <c r="O49" s="1"/>
      <c r="P49" s="1"/>
      <c r="Q49" s="1"/>
      <c r="R49" s="1"/>
      <c r="S49" s="1"/>
      <c r="T49" s="2"/>
      <c r="U49" s="1"/>
      <c r="V49" s="1"/>
      <c r="W49" s="1"/>
      <c r="X49" s="1"/>
      <c r="Y49" s="1"/>
      <c r="Z49" s="1"/>
      <c r="AA49" s="1"/>
      <c r="AB49" s="1"/>
      <c r="AC49" s="2"/>
      <c r="AD49" s="1"/>
      <c r="AE49" s="1"/>
      <c r="AF49" s="1"/>
      <c r="AG49" s="1"/>
      <c r="AH49" s="1"/>
      <c r="AI49" s="1"/>
      <c r="AJ49" s="1"/>
      <c r="AK49" s="1"/>
      <c r="AL49" s="2"/>
      <c r="AM49" s="1"/>
      <c r="AN49" s="1"/>
      <c r="AO49" s="1"/>
      <c r="AP49" s="1"/>
      <c r="AQ49" s="1"/>
      <c r="AR49" s="1"/>
      <c r="AS49" s="1"/>
      <c r="AT49" s="1"/>
      <c r="AU49" s="2"/>
      <c r="AV49" s="1"/>
      <c r="AW49" s="1"/>
      <c r="AX49" s="1"/>
      <c r="AY49" s="1"/>
      <c r="AZ49" s="1"/>
      <c r="BA49" s="1"/>
      <c r="BB49" s="1"/>
      <c r="BC49" s="1"/>
      <c r="BD49" s="2"/>
      <c r="BE49" s="1"/>
      <c r="BF49" s="1"/>
      <c r="BG49" s="1"/>
      <c r="BH49" s="1"/>
      <c r="BI49" s="1"/>
      <c r="BJ49" s="1"/>
      <c r="BK49" s="1"/>
      <c r="BL49" s="1"/>
      <c r="BM49" s="2"/>
      <c r="BN49" s="1"/>
      <c r="BO49" s="1"/>
      <c r="BP49" s="1"/>
      <c r="BQ49" s="1"/>
      <c r="BR49" s="1"/>
      <c r="BS49" s="1"/>
      <c r="BT49" s="1"/>
      <c r="BU49" s="1"/>
      <c r="BV49" s="2"/>
      <c r="BW49" s="1"/>
      <c r="BX49" s="1"/>
      <c r="BY49" s="1"/>
      <c r="BZ49" s="1"/>
      <c r="CA49" s="1"/>
      <c r="CB49" s="1"/>
      <c r="CC49" s="1"/>
      <c r="CD49" s="1"/>
      <c r="CE49" s="2"/>
      <c r="CF49" s="1"/>
      <c r="CG49" s="1"/>
      <c r="CH49" s="1"/>
      <c r="CI49" s="1"/>
      <c r="CJ49" s="1"/>
      <c r="CK49" s="1"/>
      <c r="CL49" s="1"/>
    </row>
    <row r="50" spans="1:90" ht="14.65" x14ac:dyDescent="0.4">
      <c r="A50" s="1"/>
      <c r="B50" s="2"/>
      <c r="C50" s="1"/>
      <c r="D50" s="1"/>
      <c r="E50" s="1"/>
      <c r="F50" s="1"/>
      <c r="G50" s="1"/>
      <c r="H50" s="1"/>
      <c r="I50" s="1"/>
      <c r="J50" s="1"/>
      <c r="K50" s="2"/>
      <c r="L50" s="1"/>
      <c r="M50" s="1"/>
      <c r="N50" s="1"/>
      <c r="O50" s="1"/>
      <c r="P50" s="1"/>
      <c r="Q50" s="1"/>
      <c r="R50" s="1"/>
      <c r="S50" s="1"/>
      <c r="T50" s="2"/>
      <c r="U50" s="1"/>
      <c r="V50" s="1"/>
      <c r="W50" s="1"/>
      <c r="X50" s="1"/>
      <c r="Y50" s="1"/>
      <c r="Z50" s="1"/>
      <c r="AA50" s="1"/>
      <c r="AB50" s="1"/>
      <c r="AC50" s="2"/>
      <c r="AD50" s="1"/>
      <c r="AE50" s="1"/>
      <c r="AF50" s="1"/>
      <c r="AG50" s="1"/>
      <c r="AH50" s="1"/>
      <c r="AI50" s="1"/>
      <c r="AJ50" s="1"/>
      <c r="AK50" s="1"/>
      <c r="AL50" s="2"/>
      <c r="AM50" s="1"/>
      <c r="AN50" s="1"/>
      <c r="AO50" s="1"/>
      <c r="AP50" s="1"/>
      <c r="AQ50" s="1"/>
      <c r="AR50" s="1"/>
      <c r="AS50" s="1"/>
      <c r="AT50" s="1"/>
      <c r="AU50" s="2"/>
      <c r="AV50" s="1"/>
      <c r="AW50" s="1"/>
      <c r="AX50" s="1"/>
      <c r="AY50" s="1"/>
      <c r="AZ50" s="1"/>
      <c r="BA50" s="1"/>
      <c r="BB50" s="1"/>
      <c r="BC50" s="1"/>
      <c r="BD50" s="2"/>
      <c r="BE50" s="1"/>
      <c r="BF50" s="1"/>
      <c r="BG50" s="1"/>
      <c r="BH50" s="1"/>
      <c r="BI50" s="1"/>
      <c r="BJ50" s="1"/>
      <c r="BK50" s="1"/>
      <c r="BL50" s="1"/>
      <c r="BM50" s="2"/>
      <c r="BN50" s="1"/>
      <c r="BO50" s="1"/>
      <c r="BP50" s="1"/>
      <c r="BQ50" s="1"/>
      <c r="BR50" s="1"/>
      <c r="BS50" s="1"/>
      <c r="BT50" s="1"/>
      <c r="BU50" s="1"/>
      <c r="BV50" s="2"/>
      <c r="BW50" s="1"/>
      <c r="BX50" s="1"/>
      <c r="BY50" s="1"/>
      <c r="BZ50" s="1"/>
      <c r="CA50" s="1"/>
      <c r="CB50" s="1"/>
      <c r="CC50" s="1"/>
      <c r="CD50" s="1"/>
      <c r="CE50" s="2"/>
      <c r="CF50" s="1"/>
      <c r="CG50" s="1"/>
      <c r="CH50" s="1"/>
      <c r="CI50" s="1"/>
      <c r="CJ50" s="1"/>
      <c r="CK50" s="1"/>
      <c r="CL50" s="1"/>
    </row>
    <row r="51" spans="1:90" ht="14.65" x14ac:dyDescent="0.4">
      <c r="A51" s="1"/>
      <c r="B51" s="2"/>
      <c r="C51" s="1"/>
      <c r="D51" s="1"/>
      <c r="E51" s="1"/>
      <c r="F51" s="1"/>
      <c r="G51" s="1"/>
      <c r="H51" s="1"/>
      <c r="I51" s="1"/>
      <c r="J51" s="1"/>
      <c r="K51" s="2"/>
      <c r="L51" s="1"/>
      <c r="M51" s="1"/>
      <c r="N51" s="1"/>
      <c r="O51" s="1"/>
      <c r="P51" s="1"/>
      <c r="Q51" s="1"/>
      <c r="R51" s="1"/>
      <c r="S51" s="1"/>
      <c r="T51" s="2"/>
      <c r="U51" s="1"/>
      <c r="V51" s="1"/>
      <c r="W51" s="1"/>
      <c r="X51" s="1"/>
      <c r="Y51" s="1"/>
      <c r="Z51" s="1"/>
      <c r="AA51" s="1"/>
      <c r="AB51" s="1"/>
      <c r="AC51" s="2"/>
      <c r="AD51" s="1"/>
      <c r="AE51" s="1"/>
      <c r="AF51" s="1"/>
      <c r="AG51" s="1"/>
      <c r="AH51" s="1"/>
      <c r="AI51" s="1"/>
      <c r="AJ51" s="1"/>
      <c r="AK51" s="1"/>
      <c r="AL51" s="2"/>
      <c r="AM51" s="1"/>
      <c r="AN51" s="1"/>
      <c r="AO51" s="1"/>
      <c r="AP51" s="1"/>
      <c r="AQ51" s="1"/>
      <c r="AR51" s="1"/>
      <c r="AS51" s="1"/>
      <c r="AT51" s="1"/>
      <c r="AU51" s="2"/>
      <c r="AV51" s="1"/>
      <c r="AW51" s="1"/>
      <c r="AX51" s="1"/>
      <c r="AY51" s="1"/>
      <c r="AZ51" s="1"/>
      <c r="BA51" s="1"/>
      <c r="BB51" s="1"/>
      <c r="BC51" s="1"/>
      <c r="BD51" s="2"/>
      <c r="BE51" s="1"/>
      <c r="BF51" s="1"/>
      <c r="BG51" s="1"/>
      <c r="BH51" s="1"/>
      <c r="BI51" s="1"/>
      <c r="BJ51" s="1"/>
      <c r="BK51" s="1"/>
      <c r="BL51" s="1"/>
      <c r="BM51" s="2"/>
      <c r="BN51" s="1"/>
      <c r="BO51" s="1"/>
      <c r="BP51" s="1"/>
      <c r="BQ51" s="1"/>
      <c r="BR51" s="1"/>
      <c r="BS51" s="1"/>
      <c r="BT51" s="1"/>
      <c r="BU51" s="1"/>
      <c r="BV51" s="2"/>
      <c r="BW51" s="1"/>
      <c r="BX51" s="1"/>
      <c r="BY51" s="1"/>
      <c r="BZ51" s="1"/>
      <c r="CA51" s="1"/>
      <c r="CB51" s="1"/>
      <c r="CC51" s="1"/>
      <c r="CD51" s="1"/>
      <c r="CE51" s="2"/>
      <c r="CF51" s="1"/>
      <c r="CG51" s="1"/>
      <c r="CH51" s="1"/>
      <c r="CI51" s="1"/>
      <c r="CJ51" s="1"/>
      <c r="CK51" s="1"/>
      <c r="CL51" s="1"/>
    </row>
    <row r="52" spans="1:90" ht="14.65" x14ac:dyDescent="0.4">
      <c r="A52" s="1"/>
      <c r="B52" s="2"/>
      <c r="C52" s="1"/>
      <c r="D52" s="1"/>
      <c r="E52" s="1"/>
      <c r="F52" s="1"/>
      <c r="G52" s="1"/>
      <c r="H52" s="1"/>
      <c r="I52" s="1"/>
      <c r="J52" s="1"/>
      <c r="K52" s="2"/>
      <c r="L52" s="1"/>
      <c r="M52" s="1"/>
      <c r="N52" s="1"/>
      <c r="O52" s="1"/>
      <c r="P52" s="1"/>
      <c r="Q52" s="1"/>
      <c r="R52" s="1"/>
      <c r="S52" s="1"/>
      <c r="T52" s="2"/>
      <c r="U52" s="1"/>
      <c r="V52" s="1"/>
      <c r="W52" s="1"/>
      <c r="X52" s="1"/>
      <c r="Y52" s="1"/>
      <c r="Z52" s="1"/>
      <c r="AA52" s="1"/>
      <c r="AB52" s="1"/>
      <c r="AC52" s="2"/>
      <c r="AD52" s="1"/>
      <c r="AE52" s="1"/>
      <c r="AF52" s="1"/>
      <c r="AG52" s="1"/>
      <c r="AH52" s="1"/>
      <c r="AI52" s="1"/>
      <c r="AJ52" s="1"/>
      <c r="AK52" s="1"/>
      <c r="AL52" s="2"/>
      <c r="AM52" s="1"/>
      <c r="AN52" s="1"/>
      <c r="AO52" s="1"/>
      <c r="AP52" s="1"/>
      <c r="AQ52" s="1"/>
      <c r="AR52" s="1"/>
      <c r="AS52" s="1"/>
      <c r="AT52" s="1"/>
      <c r="AU52" s="2"/>
      <c r="AV52" s="1"/>
      <c r="AW52" s="1"/>
      <c r="AX52" s="1"/>
      <c r="AY52" s="1"/>
      <c r="AZ52" s="1"/>
      <c r="BA52" s="1"/>
      <c r="BB52" s="1"/>
      <c r="BC52" s="1"/>
      <c r="BD52" s="2"/>
      <c r="BE52" s="1"/>
      <c r="BF52" s="1"/>
      <c r="BG52" s="1"/>
      <c r="BH52" s="1"/>
      <c r="BI52" s="1"/>
      <c r="BJ52" s="1"/>
      <c r="BK52" s="1"/>
      <c r="BL52" s="1"/>
      <c r="BM52" s="2"/>
      <c r="BN52" s="1"/>
      <c r="BO52" s="1"/>
      <c r="BP52" s="1"/>
      <c r="BQ52" s="1"/>
      <c r="BR52" s="1"/>
      <c r="BS52" s="1"/>
      <c r="BT52" s="1"/>
      <c r="BU52" s="1"/>
      <c r="BV52" s="2"/>
      <c r="BW52" s="1"/>
      <c r="BX52" s="1"/>
      <c r="BY52" s="1"/>
      <c r="BZ52" s="1"/>
      <c r="CA52" s="1"/>
      <c r="CB52" s="1"/>
      <c r="CC52" s="1"/>
      <c r="CD52" s="1"/>
      <c r="CE52" s="2"/>
      <c r="CF52" s="1"/>
      <c r="CG52" s="1"/>
      <c r="CH52" s="1"/>
      <c r="CI52" s="1"/>
      <c r="CJ52" s="1"/>
      <c r="CK52" s="1"/>
      <c r="CL52" s="1"/>
    </row>
    <row r="53" spans="1:90" ht="14.65" x14ac:dyDescent="0.4">
      <c r="A53" s="1"/>
      <c r="B53" s="2"/>
      <c r="C53" s="1"/>
      <c r="D53" s="1"/>
      <c r="E53" s="1"/>
      <c r="F53" s="1"/>
      <c r="G53" s="1"/>
      <c r="H53" s="1"/>
      <c r="I53" s="1"/>
      <c r="J53" s="1"/>
      <c r="K53" s="2"/>
      <c r="L53" s="1"/>
      <c r="M53" s="1"/>
      <c r="N53" s="1"/>
      <c r="O53" s="1"/>
      <c r="P53" s="1"/>
      <c r="Q53" s="1"/>
      <c r="R53" s="1"/>
      <c r="S53" s="1"/>
      <c r="T53" s="2"/>
      <c r="U53" s="1"/>
      <c r="V53" s="1"/>
      <c r="W53" s="1"/>
      <c r="X53" s="1"/>
      <c r="Y53" s="1"/>
      <c r="Z53" s="1"/>
      <c r="AA53" s="1"/>
      <c r="AB53" s="1"/>
      <c r="AC53" s="2"/>
      <c r="AD53" s="1"/>
      <c r="AE53" s="1"/>
      <c r="AF53" s="1"/>
      <c r="AG53" s="1"/>
      <c r="AH53" s="1"/>
      <c r="AI53" s="1"/>
      <c r="AJ53" s="1"/>
      <c r="AK53" s="1"/>
      <c r="AL53" s="2"/>
      <c r="AM53" s="1"/>
      <c r="AN53" s="1"/>
      <c r="AO53" s="1"/>
      <c r="AP53" s="1"/>
      <c r="AQ53" s="1"/>
      <c r="AR53" s="1"/>
      <c r="AS53" s="1"/>
      <c r="AT53" s="1"/>
      <c r="AU53" s="2"/>
      <c r="AV53" s="1"/>
      <c r="AW53" s="1"/>
      <c r="AX53" s="1"/>
      <c r="AY53" s="1"/>
      <c r="AZ53" s="1"/>
      <c r="BA53" s="1"/>
      <c r="BB53" s="1"/>
      <c r="BC53" s="1"/>
      <c r="BD53" s="2"/>
      <c r="BE53" s="1"/>
      <c r="BF53" s="1"/>
      <c r="BG53" s="1"/>
      <c r="BH53" s="1"/>
      <c r="BI53" s="1"/>
      <c r="BJ53" s="1"/>
      <c r="BK53" s="1"/>
      <c r="BL53" s="1"/>
      <c r="BM53" s="2"/>
      <c r="BN53" s="1"/>
      <c r="BO53" s="1"/>
      <c r="BP53" s="1"/>
      <c r="BQ53" s="1"/>
      <c r="BR53" s="1"/>
      <c r="BS53" s="1"/>
      <c r="BT53" s="1"/>
      <c r="BU53" s="1"/>
      <c r="BV53" s="2"/>
      <c r="BW53" s="1"/>
      <c r="BX53" s="1"/>
      <c r="BY53" s="1"/>
      <c r="BZ53" s="1"/>
      <c r="CA53" s="1"/>
      <c r="CB53" s="1"/>
      <c r="CC53" s="1"/>
      <c r="CD53" s="1"/>
      <c r="CE53" s="2"/>
      <c r="CF53" s="1"/>
      <c r="CG53" s="1"/>
      <c r="CH53" s="1"/>
      <c r="CI53" s="1"/>
      <c r="CJ53" s="1"/>
      <c r="CK53" s="1"/>
      <c r="CL53" s="1"/>
    </row>
    <row r="54" spans="1:90" ht="14.65" x14ac:dyDescent="0.4">
      <c r="A54" s="1"/>
      <c r="B54" s="2"/>
      <c r="C54" s="1"/>
      <c r="D54" s="1"/>
      <c r="E54" s="1"/>
      <c r="F54" s="1"/>
      <c r="G54" s="1"/>
      <c r="H54" s="1"/>
      <c r="I54" s="1"/>
      <c r="J54" s="1"/>
      <c r="K54" s="2"/>
      <c r="L54" s="1"/>
      <c r="M54" s="1"/>
      <c r="N54" s="1"/>
      <c r="O54" s="1"/>
      <c r="P54" s="1"/>
      <c r="Q54" s="1"/>
      <c r="R54" s="1"/>
      <c r="S54" s="1"/>
      <c r="T54" s="2"/>
      <c r="U54" s="1"/>
      <c r="V54" s="1"/>
      <c r="W54" s="1"/>
      <c r="X54" s="1"/>
      <c r="Y54" s="1"/>
      <c r="Z54" s="1"/>
      <c r="AA54" s="1"/>
      <c r="AB54" s="1"/>
      <c r="AC54" s="2"/>
      <c r="AD54" s="1"/>
      <c r="AE54" s="1"/>
      <c r="AF54" s="1"/>
      <c r="AG54" s="1"/>
      <c r="AH54" s="1"/>
      <c r="AI54" s="1"/>
      <c r="AJ54" s="1"/>
      <c r="AK54" s="1"/>
      <c r="AL54" s="2"/>
      <c r="AM54" s="1"/>
      <c r="AN54" s="1"/>
      <c r="AO54" s="1"/>
      <c r="AP54" s="1"/>
      <c r="AQ54" s="1"/>
      <c r="AR54" s="1"/>
      <c r="AS54" s="1"/>
      <c r="AT54" s="1"/>
      <c r="AU54" s="2"/>
      <c r="AV54" s="1"/>
      <c r="AW54" s="1"/>
      <c r="AX54" s="1"/>
      <c r="AY54" s="1"/>
      <c r="AZ54" s="1"/>
      <c r="BA54" s="1"/>
      <c r="BB54" s="1"/>
      <c r="BC54" s="1"/>
      <c r="BD54" s="2"/>
      <c r="BE54" s="1"/>
      <c r="BF54" s="1"/>
      <c r="BG54" s="1"/>
      <c r="BH54" s="1"/>
      <c r="BI54" s="1"/>
      <c r="BJ54" s="1"/>
      <c r="BK54" s="1"/>
      <c r="BL54" s="1"/>
      <c r="BM54" s="2"/>
      <c r="BN54" s="1"/>
      <c r="BO54" s="1"/>
      <c r="BP54" s="1"/>
      <c r="BQ54" s="1"/>
      <c r="BR54" s="1"/>
      <c r="BS54" s="1"/>
      <c r="BT54" s="1"/>
      <c r="BU54" s="1"/>
      <c r="BV54" s="2"/>
      <c r="BW54" s="1"/>
      <c r="BX54" s="1"/>
      <c r="BY54" s="1"/>
      <c r="BZ54" s="1"/>
      <c r="CA54" s="1"/>
      <c r="CB54" s="1"/>
      <c r="CC54" s="1"/>
      <c r="CD54" s="1"/>
      <c r="CE54" s="2"/>
      <c r="CF54" s="1"/>
      <c r="CG54" s="1"/>
      <c r="CH54" s="1"/>
      <c r="CI54" s="1"/>
      <c r="CJ54" s="1"/>
      <c r="CK54" s="1"/>
      <c r="CL54" s="1"/>
    </row>
    <row r="55" spans="1:90" ht="14.65" x14ac:dyDescent="0.4">
      <c r="A55" s="1"/>
      <c r="B55" s="2"/>
      <c r="C55" s="1"/>
      <c r="D55" s="1"/>
      <c r="E55" s="1"/>
      <c r="F55" s="1"/>
      <c r="G55" s="1"/>
      <c r="H55" s="1"/>
      <c r="I55" s="1"/>
      <c r="J55" s="1"/>
      <c r="K55" s="2"/>
      <c r="L55" s="1"/>
      <c r="M55" s="1"/>
      <c r="N55" s="1"/>
      <c r="O55" s="1"/>
      <c r="P55" s="1"/>
      <c r="Q55" s="1"/>
      <c r="R55" s="1"/>
      <c r="S55" s="1"/>
      <c r="T55" s="2"/>
      <c r="U55" s="1"/>
      <c r="V55" s="1"/>
      <c r="W55" s="1"/>
      <c r="X55" s="1"/>
      <c r="Y55" s="1"/>
      <c r="Z55" s="1"/>
      <c r="AA55" s="1"/>
      <c r="AB55" s="1"/>
      <c r="AC55" s="2"/>
      <c r="AD55" s="1"/>
      <c r="AE55" s="1"/>
      <c r="AF55" s="1"/>
      <c r="AG55" s="1"/>
      <c r="AH55" s="1"/>
      <c r="AI55" s="1"/>
      <c r="AJ55" s="1"/>
      <c r="AK55" s="1"/>
      <c r="AL55" s="2"/>
      <c r="AM55" s="1"/>
      <c r="AN55" s="1"/>
      <c r="AO55" s="1"/>
      <c r="AP55" s="1"/>
      <c r="AQ55" s="1"/>
      <c r="AR55" s="1"/>
      <c r="AS55" s="1"/>
      <c r="AT55" s="1"/>
      <c r="AU55" s="2"/>
      <c r="AV55" s="1"/>
      <c r="AW55" s="1"/>
      <c r="AX55" s="1"/>
      <c r="AY55" s="1"/>
      <c r="AZ55" s="1"/>
      <c r="BA55" s="1"/>
      <c r="BB55" s="1"/>
      <c r="BC55" s="1"/>
      <c r="BD55" s="2"/>
      <c r="BE55" s="1"/>
      <c r="BF55" s="1"/>
      <c r="BG55" s="1"/>
      <c r="BH55" s="1"/>
      <c r="BI55" s="1"/>
      <c r="BJ55" s="1"/>
      <c r="BK55" s="1"/>
      <c r="BL55" s="1"/>
      <c r="BM55" s="2"/>
      <c r="BN55" s="1"/>
      <c r="BO55" s="1"/>
      <c r="BP55" s="1"/>
      <c r="BQ55" s="1"/>
      <c r="BR55" s="1"/>
      <c r="BS55" s="1"/>
      <c r="BT55" s="1"/>
      <c r="BU55" s="1"/>
      <c r="BV55" s="2"/>
      <c r="BW55" s="1"/>
      <c r="BX55" s="1"/>
      <c r="BY55" s="1"/>
      <c r="BZ55" s="1"/>
      <c r="CA55" s="1"/>
      <c r="CB55" s="1"/>
      <c r="CC55" s="1"/>
      <c r="CD55" s="1"/>
      <c r="CE55" s="2"/>
      <c r="CF55" s="1"/>
      <c r="CG55" s="1"/>
      <c r="CH55" s="1"/>
      <c r="CI55" s="1"/>
      <c r="CJ55" s="1"/>
      <c r="CK55" s="1"/>
      <c r="CL55" s="1"/>
    </row>
    <row r="56" spans="1:90" ht="14.65" x14ac:dyDescent="0.4">
      <c r="A56" s="1"/>
      <c r="B56" s="2"/>
      <c r="C56" s="1"/>
      <c r="D56" s="1"/>
      <c r="E56" s="1"/>
      <c r="F56" s="1"/>
      <c r="G56" s="1"/>
      <c r="H56" s="1"/>
      <c r="I56" s="1"/>
      <c r="J56" s="1"/>
      <c r="K56" s="2"/>
      <c r="L56" s="1"/>
      <c r="M56" s="1"/>
      <c r="N56" s="1"/>
      <c r="O56" s="1"/>
      <c r="P56" s="1"/>
      <c r="Q56" s="1"/>
      <c r="R56" s="1"/>
      <c r="S56" s="1"/>
      <c r="T56" s="2"/>
      <c r="U56" s="1"/>
      <c r="V56" s="1"/>
      <c r="W56" s="1"/>
      <c r="X56" s="1"/>
      <c r="Y56" s="1"/>
      <c r="Z56" s="1"/>
      <c r="AA56" s="1"/>
      <c r="AB56" s="1"/>
      <c r="AC56" s="2"/>
      <c r="AD56" s="1"/>
      <c r="AE56" s="1"/>
      <c r="AF56" s="1"/>
      <c r="AG56" s="1"/>
      <c r="AH56" s="1"/>
      <c r="AI56" s="1"/>
      <c r="AJ56" s="1"/>
      <c r="AK56" s="1"/>
      <c r="AL56" s="2"/>
      <c r="AM56" s="1"/>
      <c r="AN56" s="1"/>
      <c r="AO56" s="1"/>
      <c r="AP56" s="1"/>
      <c r="AQ56" s="1"/>
      <c r="AR56" s="1"/>
      <c r="AS56" s="1"/>
      <c r="AT56" s="1"/>
      <c r="AU56" s="2"/>
      <c r="AV56" s="1"/>
      <c r="AW56" s="1"/>
      <c r="AX56" s="1"/>
      <c r="AY56" s="1"/>
      <c r="AZ56" s="1"/>
      <c r="BA56" s="1"/>
      <c r="BB56" s="1"/>
      <c r="BC56" s="1"/>
      <c r="BD56" s="2"/>
      <c r="BE56" s="1"/>
      <c r="BF56" s="1"/>
      <c r="BG56" s="1"/>
      <c r="BH56" s="1"/>
      <c r="BI56" s="1"/>
      <c r="BJ56" s="1"/>
      <c r="BK56" s="1"/>
      <c r="BL56" s="1"/>
      <c r="BM56" s="2"/>
      <c r="BN56" s="1"/>
      <c r="BO56" s="1"/>
      <c r="BP56" s="1"/>
      <c r="BQ56" s="1"/>
      <c r="BR56" s="1"/>
      <c r="BS56" s="1"/>
      <c r="BT56" s="1"/>
      <c r="BU56" s="1"/>
      <c r="BV56" s="2"/>
      <c r="BW56" s="1"/>
      <c r="BX56" s="1"/>
      <c r="BY56" s="1"/>
      <c r="BZ56" s="1"/>
      <c r="CA56" s="1"/>
      <c r="CB56" s="1"/>
      <c r="CC56" s="1"/>
      <c r="CD56" s="1"/>
      <c r="CE56" s="2"/>
      <c r="CF56" s="1"/>
      <c r="CG56" s="1"/>
      <c r="CH56" s="1"/>
      <c r="CI56" s="1"/>
      <c r="CJ56" s="1"/>
      <c r="CK56" s="1"/>
      <c r="CL56" s="1"/>
    </row>
    <row r="57" spans="1:90" ht="14.65" x14ac:dyDescent="0.4">
      <c r="A57" s="1"/>
      <c r="B57" s="2"/>
      <c r="C57" s="1"/>
      <c r="D57" s="1"/>
      <c r="E57" s="1"/>
      <c r="F57" s="1"/>
      <c r="G57" s="1"/>
      <c r="H57" s="1"/>
      <c r="I57" s="1"/>
      <c r="J57" s="1"/>
      <c r="K57" s="2"/>
      <c r="L57" s="1"/>
      <c r="M57" s="1"/>
      <c r="N57" s="1"/>
      <c r="O57" s="1"/>
      <c r="P57" s="1"/>
      <c r="Q57" s="1"/>
      <c r="R57" s="1"/>
      <c r="S57" s="1"/>
      <c r="T57" s="2"/>
      <c r="U57" s="1"/>
      <c r="V57" s="1"/>
      <c r="W57" s="1"/>
      <c r="X57" s="1"/>
      <c r="Y57" s="1"/>
      <c r="Z57" s="1"/>
      <c r="AA57" s="1"/>
      <c r="AB57" s="1"/>
      <c r="AC57" s="2"/>
      <c r="AD57" s="1"/>
      <c r="AE57" s="1"/>
      <c r="AF57" s="1"/>
      <c r="AG57" s="1"/>
      <c r="AH57" s="1"/>
      <c r="AI57" s="1"/>
      <c r="AJ57" s="1"/>
      <c r="AK57" s="1"/>
      <c r="AL57" s="2"/>
      <c r="AM57" s="1"/>
      <c r="AN57" s="1"/>
      <c r="AO57" s="1"/>
      <c r="AP57" s="1"/>
      <c r="AQ57" s="1"/>
      <c r="AR57" s="1"/>
      <c r="AS57" s="1"/>
      <c r="AT57" s="1"/>
      <c r="AU57" s="2"/>
      <c r="AV57" s="1"/>
      <c r="AW57" s="1"/>
      <c r="AX57" s="1"/>
      <c r="AY57" s="1"/>
      <c r="AZ57" s="1"/>
      <c r="BA57" s="1"/>
      <c r="BB57" s="1"/>
      <c r="BC57" s="1"/>
      <c r="BD57" s="2"/>
      <c r="BE57" s="1"/>
      <c r="BF57" s="1"/>
      <c r="BG57" s="1"/>
      <c r="BH57" s="1"/>
      <c r="BI57" s="1"/>
      <c r="BJ57" s="1"/>
      <c r="BK57" s="1"/>
      <c r="BL57" s="1"/>
      <c r="BM57" s="2"/>
      <c r="BN57" s="1"/>
      <c r="BO57" s="1"/>
      <c r="BP57" s="1"/>
      <c r="BQ57" s="1"/>
      <c r="BR57" s="1"/>
      <c r="BS57" s="1"/>
      <c r="BT57" s="1"/>
      <c r="BU57" s="1"/>
      <c r="BV57" s="2"/>
      <c r="BW57" s="1"/>
      <c r="BX57" s="1"/>
      <c r="BY57" s="1"/>
      <c r="BZ57" s="1"/>
      <c r="CA57" s="1"/>
      <c r="CB57" s="1"/>
      <c r="CC57" s="1"/>
      <c r="CD57" s="1"/>
      <c r="CE57" s="2"/>
      <c r="CF57" s="1"/>
      <c r="CG57" s="1"/>
      <c r="CH57" s="1"/>
      <c r="CI57" s="1"/>
      <c r="CJ57" s="1"/>
      <c r="CK57" s="1"/>
      <c r="CL57" s="1"/>
    </row>
    <row r="58" spans="1:90" ht="14.65" x14ac:dyDescent="0.4">
      <c r="A58" s="1"/>
      <c r="B58" s="2"/>
      <c r="C58" s="1"/>
      <c r="D58" s="1"/>
      <c r="E58" s="1"/>
      <c r="F58" s="1"/>
      <c r="G58" s="1"/>
      <c r="H58" s="1"/>
      <c r="I58" s="1"/>
      <c r="J58" s="1"/>
      <c r="K58" s="2"/>
      <c r="L58" s="1"/>
      <c r="M58" s="1"/>
      <c r="N58" s="1"/>
      <c r="O58" s="1"/>
      <c r="P58" s="1"/>
      <c r="Q58" s="1"/>
      <c r="R58" s="1"/>
      <c r="S58" s="1"/>
      <c r="T58" s="2"/>
      <c r="U58" s="1"/>
      <c r="V58" s="1"/>
      <c r="W58" s="1"/>
      <c r="X58" s="1"/>
      <c r="Y58" s="1"/>
      <c r="Z58" s="1"/>
      <c r="AA58" s="1"/>
      <c r="AB58" s="1"/>
      <c r="AC58" s="2"/>
      <c r="AD58" s="1"/>
      <c r="AE58" s="1"/>
      <c r="AF58" s="1"/>
      <c r="AG58" s="1"/>
      <c r="AH58" s="1"/>
      <c r="AI58" s="1"/>
      <c r="AJ58" s="1"/>
      <c r="AK58" s="1"/>
      <c r="AL58" s="2"/>
      <c r="AM58" s="1"/>
      <c r="AN58" s="1"/>
      <c r="AO58" s="1"/>
      <c r="AP58" s="1"/>
      <c r="AQ58" s="1"/>
      <c r="AR58" s="1"/>
      <c r="AS58" s="1"/>
      <c r="AT58" s="1"/>
      <c r="AU58" s="2"/>
      <c r="AV58" s="1"/>
      <c r="AW58" s="1"/>
      <c r="AX58" s="1"/>
      <c r="AY58" s="1"/>
      <c r="AZ58" s="1"/>
      <c r="BA58" s="1"/>
      <c r="BB58" s="1"/>
      <c r="BC58" s="1"/>
      <c r="BD58" s="2"/>
      <c r="BE58" s="1"/>
      <c r="BF58" s="1"/>
      <c r="BG58" s="1"/>
      <c r="BH58" s="1"/>
      <c r="BI58" s="1"/>
      <c r="BJ58" s="1"/>
      <c r="BK58" s="1"/>
      <c r="BL58" s="1"/>
      <c r="BM58" s="2"/>
      <c r="BN58" s="1"/>
      <c r="BO58" s="1"/>
      <c r="BP58" s="1"/>
      <c r="BQ58" s="1"/>
      <c r="BR58" s="1"/>
      <c r="BS58" s="1"/>
      <c r="BT58" s="1"/>
      <c r="BU58" s="1"/>
      <c r="BV58" s="2"/>
      <c r="BW58" s="1"/>
      <c r="BX58" s="1"/>
      <c r="BY58" s="1"/>
      <c r="BZ58" s="1"/>
      <c r="CA58" s="1"/>
      <c r="CB58" s="1"/>
      <c r="CC58" s="1"/>
      <c r="CD58" s="1"/>
      <c r="CE58" s="2"/>
      <c r="CF58" s="1"/>
      <c r="CG58" s="1"/>
      <c r="CH58" s="1"/>
      <c r="CI58" s="1"/>
      <c r="CJ58" s="1"/>
      <c r="CK58" s="1"/>
      <c r="CL58" s="1"/>
    </row>
    <row r="59" spans="1:90" ht="14.65" x14ac:dyDescent="0.4">
      <c r="A59" s="1"/>
      <c r="B59" s="2"/>
      <c r="C59" s="1"/>
      <c r="D59" s="1"/>
      <c r="E59" s="1"/>
      <c r="F59" s="1"/>
      <c r="G59" s="1"/>
      <c r="H59" s="1"/>
      <c r="I59" s="1"/>
      <c r="J59" s="1"/>
      <c r="K59" s="2"/>
      <c r="L59" s="1"/>
      <c r="M59" s="1"/>
      <c r="N59" s="1"/>
      <c r="O59" s="1"/>
      <c r="P59" s="1"/>
      <c r="Q59" s="1"/>
      <c r="R59" s="1"/>
      <c r="S59" s="1"/>
      <c r="T59" s="2"/>
      <c r="U59" s="1"/>
      <c r="V59" s="1"/>
      <c r="W59" s="1"/>
      <c r="X59" s="1"/>
      <c r="Y59" s="1"/>
      <c r="Z59" s="1"/>
      <c r="AA59" s="1"/>
      <c r="AB59" s="1"/>
      <c r="AC59" s="2"/>
      <c r="AD59" s="1"/>
      <c r="AE59" s="1"/>
      <c r="AF59" s="1"/>
      <c r="AG59" s="1"/>
      <c r="AH59" s="1"/>
      <c r="AI59" s="1"/>
      <c r="AJ59" s="1"/>
      <c r="AK59" s="1"/>
      <c r="AL59" s="2"/>
      <c r="AM59" s="1"/>
      <c r="AN59" s="1"/>
      <c r="AO59" s="1"/>
      <c r="AP59" s="1"/>
      <c r="AQ59" s="1"/>
      <c r="AR59" s="1"/>
      <c r="AS59" s="1"/>
      <c r="AT59" s="1"/>
      <c r="AU59" s="2"/>
      <c r="AV59" s="1"/>
      <c r="AW59" s="1"/>
      <c r="AX59" s="1"/>
      <c r="AY59" s="1"/>
      <c r="AZ59" s="1"/>
      <c r="BA59" s="1"/>
      <c r="BB59" s="1"/>
      <c r="BC59" s="1"/>
      <c r="BD59" s="2"/>
      <c r="BE59" s="1"/>
      <c r="BF59" s="1"/>
      <c r="BG59" s="1"/>
      <c r="BH59" s="1"/>
      <c r="BI59" s="1"/>
      <c r="BJ59" s="1"/>
      <c r="BK59" s="1"/>
      <c r="BL59" s="1"/>
      <c r="BM59" s="2"/>
      <c r="BN59" s="1"/>
      <c r="BO59" s="1"/>
      <c r="BP59" s="1"/>
      <c r="BQ59" s="1"/>
      <c r="BR59" s="1"/>
      <c r="BS59" s="1"/>
      <c r="BT59" s="1"/>
      <c r="BU59" s="1"/>
      <c r="BV59" s="2"/>
      <c r="BW59" s="1"/>
      <c r="BX59" s="1"/>
      <c r="BY59" s="1"/>
      <c r="BZ59" s="1"/>
      <c r="CA59" s="1"/>
      <c r="CB59" s="1"/>
      <c r="CC59" s="1"/>
      <c r="CD59" s="1"/>
      <c r="CE59" s="2"/>
      <c r="CF59" s="1"/>
      <c r="CG59" s="1"/>
      <c r="CH59" s="1"/>
      <c r="CI59" s="1"/>
      <c r="CJ59" s="1"/>
      <c r="CK59" s="1"/>
      <c r="CL59" s="1"/>
    </row>
    <row r="60" spans="1:90" ht="14.65" x14ac:dyDescent="0.4">
      <c r="A60" s="1"/>
      <c r="B60" s="2"/>
      <c r="C60" s="1"/>
      <c r="D60" s="1"/>
      <c r="E60" s="1"/>
      <c r="F60" s="1"/>
      <c r="G60" s="1"/>
      <c r="H60" s="1"/>
      <c r="I60" s="1"/>
      <c r="J60" s="1"/>
      <c r="K60" s="2"/>
      <c r="L60" s="1"/>
      <c r="M60" s="1"/>
      <c r="N60" s="1"/>
      <c r="O60" s="1"/>
      <c r="P60" s="1"/>
      <c r="Q60" s="1"/>
      <c r="R60" s="1"/>
      <c r="S60" s="1"/>
      <c r="T60" s="2"/>
      <c r="U60" s="1"/>
      <c r="V60" s="1"/>
      <c r="W60" s="1"/>
      <c r="X60" s="1"/>
      <c r="Y60" s="1"/>
      <c r="Z60" s="1"/>
      <c r="AA60" s="1"/>
      <c r="AB60" s="1"/>
      <c r="AC60" s="2"/>
      <c r="AD60" s="1"/>
      <c r="AE60" s="1"/>
      <c r="AF60" s="1"/>
      <c r="AG60" s="1"/>
      <c r="AH60" s="1"/>
      <c r="AI60" s="1"/>
      <c r="AJ60" s="1"/>
      <c r="AK60" s="1"/>
      <c r="AL60" s="2"/>
      <c r="AM60" s="1"/>
      <c r="AN60" s="1"/>
      <c r="AO60" s="1"/>
      <c r="AP60" s="1"/>
      <c r="AQ60" s="1"/>
      <c r="AR60" s="1"/>
      <c r="AS60" s="1"/>
      <c r="AT60" s="1"/>
      <c r="AU60" s="2"/>
      <c r="AV60" s="1"/>
      <c r="AW60" s="1"/>
      <c r="AX60" s="1"/>
      <c r="AY60" s="1"/>
      <c r="AZ60" s="1"/>
      <c r="BA60" s="1"/>
      <c r="BB60" s="1"/>
      <c r="BC60" s="1"/>
      <c r="BD60" s="2"/>
      <c r="BE60" s="1"/>
      <c r="BF60" s="1"/>
      <c r="BG60" s="1"/>
      <c r="BH60" s="1"/>
      <c r="BI60" s="1"/>
      <c r="BJ60" s="1"/>
      <c r="BK60" s="1"/>
      <c r="BL60" s="1"/>
      <c r="BM60" s="2"/>
      <c r="BN60" s="1"/>
      <c r="BO60" s="1"/>
      <c r="BP60" s="1"/>
      <c r="BQ60" s="1"/>
      <c r="BR60" s="1"/>
      <c r="BS60" s="1"/>
      <c r="BT60" s="1"/>
      <c r="BU60" s="1"/>
      <c r="BV60" s="2"/>
      <c r="BW60" s="1"/>
      <c r="BX60" s="1"/>
      <c r="BY60" s="1"/>
      <c r="BZ60" s="1"/>
      <c r="CA60" s="1"/>
      <c r="CB60" s="1"/>
      <c r="CC60" s="1"/>
      <c r="CD60" s="1"/>
      <c r="CE60" s="2"/>
      <c r="CF60" s="1"/>
      <c r="CG60" s="1"/>
      <c r="CH60" s="1"/>
      <c r="CI60" s="1"/>
      <c r="CJ60" s="1"/>
      <c r="CK60" s="1"/>
      <c r="CL60" s="1"/>
    </row>
    <row r="61" spans="1:90" ht="14.65" x14ac:dyDescent="0.4">
      <c r="A61" s="1"/>
      <c r="B61" s="2"/>
      <c r="C61" s="1"/>
      <c r="D61" s="1"/>
      <c r="E61" s="1"/>
      <c r="F61" s="1"/>
      <c r="G61" s="1"/>
      <c r="H61" s="1"/>
      <c r="I61" s="1"/>
      <c r="J61" s="1"/>
      <c r="K61" s="2"/>
      <c r="L61" s="1"/>
      <c r="M61" s="1"/>
      <c r="N61" s="1"/>
      <c r="O61" s="1"/>
      <c r="P61" s="1"/>
      <c r="Q61" s="1"/>
      <c r="R61" s="1"/>
      <c r="S61" s="1"/>
      <c r="T61" s="2"/>
      <c r="U61" s="1"/>
      <c r="V61" s="1"/>
      <c r="W61" s="1"/>
      <c r="X61" s="1"/>
      <c r="Y61" s="1"/>
      <c r="Z61" s="1"/>
      <c r="AA61" s="1"/>
      <c r="AB61" s="1"/>
      <c r="AC61" s="2"/>
      <c r="AD61" s="1"/>
      <c r="AE61" s="1"/>
      <c r="AF61" s="1"/>
      <c r="AG61" s="1"/>
      <c r="AH61" s="1"/>
      <c r="AI61" s="1"/>
      <c r="AJ61" s="1"/>
      <c r="AK61" s="1"/>
      <c r="AL61" s="2"/>
      <c r="AM61" s="1"/>
      <c r="AN61" s="1"/>
      <c r="AO61" s="1"/>
      <c r="AP61" s="1"/>
      <c r="AQ61" s="1"/>
      <c r="AR61" s="1"/>
      <c r="AS61" s="1"/>
      <c r="AT61" s="1"/>
      <c r="AU61" s="2"/>
      <c r="AV61" s="1"/>
      <c r="AW61" s="1"/>
      <c r="AX61" s="1"/>
      <c r="AY61" s="1"/>
      <c r="AZ61" s="1"/>
      <c r="BA61" s="1"/>
      <c r="BB61" s="1"/>
      <c r="BC61" s="1"/>
      <c r="BD61" s="2"/>
      <c r="BE61" s="1"/>
      <c r="BF61" s="1"/>
      <c r="BG61" s="1"/>
      <c r="BH61" s="1"/>
      <c r="BI61" s="1"/>
      <c r="BJ61" s="1"/>
      <c r="BK61" s="1"/>
      <c r="BL61" s="1"/>
      <c r="BM61" s="2"/>
      <c r="BN61" s="1"/>
      <c r="BO61" s="1"/>
      <c r="BP61" s="1"/>
      <c r="BQ61" s="1"/>
      <c r="BR61" s="1"/>
      <c r="BS61" s="1"/>
      <c r="BT61" s="1"/>
      <c r="BU61" s="1"/>
      <c r="BV61" s="2"/>
      <c r="BW61" s="1"/>
      <c r="BX61" s="1"/>
      <c r="BY61" s="1"/>
      <c r="BZ61" s="1"/>
      <c r="CA61" s="1"/>
      <c r="CB61" s="1"/>
      <c r="CC61" s="1"/>
      <c r="CD61" s="1"/>
      <c r="CE61" s="2"/>
      <c r="CF61" s="1"/>
      <c r="CG61" s="1"/>
      <c r="CH61" s="1"/>
      <c r="CI61" s="1"/>
      <c r="CJ61" s="1"/>
      <c r="CK61" s="1"/>
      <c r="CL61" s="1"/>
    </row>
    <row r="62" spans="1:90" ht="14.65" x14ac:dyDescent="0.4">
      <c r="A62" s="1"/>
      <c r="B62" s="2"/>
      <c r="C62" s="1"/>
      <c r="D62" s="1"/>
      <c r="E62" s="1"/>
      <c r="F62" s="1"/>
      <c r="G62" s="1"/>
      <c r="H62" s="1"/>
      <c r="I62" s="1"/>
      <c r="J62" s="1"/>
      <c r="K62" s="2"/>
      <c r="L62" s="1"/>
      <c r="M62" s="1"/>
      <c r="N62" s="1"/>
      <c r="O62" s="1"/>
      <c r="P62" s="1"/>
      <c r="Q62" s="1"/>
      <c r="R62" s="1"/>
      <c r="S62" s="1"/>
      <c r="T62" s="2"/>
      <c r="U62" s="1"/>
      <c r="V62" s="1"/>
      <c r="W62" s="1"/>
      <c r="X62" s="1"/>
      <c r="Y62" s="1"/>
      <c r="Z62" s="1"/>
      <c r="AA62" s="1"/>
      <c r="AB62" s="1"/>
      <c r="AC62" s="2"/>
      <c r="AD62" s="1"/>
      <c r="AE62" s="1"/>
      <c r="AF62" s="1"/>
      <c r="AG62" s="1"/>
      <c r="AH62" s="1"/>
      <c r="AI62" s="1"/>
      <c r="AJ62" s="1"/>
      <c r="AK62" s="1"/>
      <c r="AL62" s="2"/>
      <c r="AM62" s="1"/>
      <c r="AN62" s="1"/>
      <c r="AO62" s="1"/>
      <c r="AP62" s="1"/>
      <c r="AQ62" s="1"/>
      <c r="AR62" s="1"/>
      <c r="AS62" s="1"/>
      <c r="AT62" s="1"/>
      <c r="AU62" s="2"/>
      <c r="AV62" s="1"/>
      <c r="AW62" s="1"/>
      <c r="AX62" s="1"/>
      <c r="AY62" s="1"/>
      <c r="AZ62" s="1"/>
      <c r="BA62" s="1"/>
      <c r="BB62" s="1"/>
      <c r="BC62" s="1"/>
      <c r="BD62" s="2"/>
      <c r="BE62" s="1"/>
      <c r="BF62" s="1"/>
      <c r="BG62" s="1"/>
      <c r="BH62" s="1"/>
      <c r="BI62" s="1"/>
      <c r="BJ62" s="1"/>
      <c r="BK62" s="1"/>
      <c r="BL62" s="1"/>
      <c r="BM62" s="2"/>
      <c r="BN62" s="1"/>
      <c r="BO62" s="1"/>
      <c r="BP62" s="1"/>
      <c r="BQ62" s="1"/>
      <c r="BR62" s="1"/>
      <c r="BS62" s="1"/>
      <c r="BT62" s="1"/>
      <c r="BU62" s="1"/>
      <c r="BV62" s="2"/>
      <c r="BW62" s="1"/>
      <c r="BX62" s="1"/>
      <c r="BY62" s="1"/>
      <c r="BZ62" s="1"/>
      <c r="CA62" s="1"/>
      <c r="CB62" s="1"/>
      <c r="CC62" s="1"/>
      <c r="CD62" s="1"/>
      <c r="CE62" s="2"/>
      <c r="CF62" s="1"/>
      <c r="CG62" s="1"/>
      <c r="CH62" s="1"/>
      <c r="CI62" s="1"/>
      <c r="CJ62" s="1"/>
      <c r="CK62" s="1"/>
      <c r="CL62" s="1"/>
    </row>
    <row r="63" spans="1:90" ht="14.65" x14ac:dyDescent="0.4">
      <c r="A63" s="1"/>
      <c r="B63" s="2"/>
      <c r="C63" s="1"/>
      <c r="D63" s="1"/>
      <c r="E63" s="1"/>
      <c r="F63" s="1"/>
      <c r="G63" s="1"/>
      <c r="H63" s="1"/>
      <c r="I63" s="1"/>
      <c r="J63" s="1"/>
      <c r="K63" s="2"/>
      <c r="L63" s="1"/>
      <c r="M63" s="1"/>
      <c r="N63" s="1"/>
      <c r="O63" s="1"/>
      <c r="P63" s="1"/>
      <c r="Q63" s="1"/>
      <c r="R63" s="1"/>
      <c r="S63" s="1"/>
      <c r="T63" s="2"/>
      <c r="U63" s="1"/>
      <c r="V63" s="1"/>
      <c r="W63" s="1"/>
      <c r="X63" s="1"/>
      <c r="Y63" s="1"/>
      <c r="Z63" s="1"/>
      <c r="AA63" s="1"/>
      <c r="AB63" s="1"/>
      <c r="AC63" s="2"/>
      <c r="AD63" s="1"/>
      <c r="AE63" s="1"/>
      <c r="AF63" s="1"/>
      <c r="AG63" s="1"/>
      <c r="AH63" s="1"/>
      <c r="AI63" s="1"/>
      <c r="AJ63" s="1"/>
      <c r="AK63" s="1"/>
      <c r="AL63" s="2"/>
      <c r="AM63" s="1"/>
      <c r="AN63" s="1"/>
      <c r="AO63" s="1"/>
      <c r="AP63" s="1"/>
      <c r="AQ63" s="1"/>
      <c r="AR63" s="1"/>
      <c r="AS63" s="1"/>
      <c r="AT63" s="1"/>
      <c r="AU63" s="2"/>
      <c r="AV63" s="1"/>
      <c r="AW63" s="1"/>
      <c r="AX63" s="1"/>
      <c r="AY63" s="1"/>
      <c r="AZ63" s="1"/>
      <c r="BA63" s="1"/>
      <c r="BB63" s="1"/>
      <c r="BC63" s="1"/>
      <c r="BD63" s="2"/>
      <c r="BE63" s="1"/>
      <c r="BF63" s="1"/>
      <c r="BG63" s="1"/>
      <c r="BH63" s="1"/>
      <c r="BI63" s="1"/>
      <c r="BJ63" s="1"/>
      <c r="BK63" s="1"/>
      <c r="BL63" s="1"/>
      <c r="BM63" s="2"/>
      <c r="BN63" s="1"/>
      <c r="BO63" s="1"/>
      <c r="BP63" s="1"/>
      <c r="BQ63" s="1"/>
      <c r="BR63" s="1"/>
      <c r="BS63" s="1"/>
      <c r="BT63" s="1"/>
      <c r="BU63" s="1"/>
      <c r="BV63" s="2"/>
      <c r="BW63" s="1"/>
      <c r="BX63" s="1"/>
      <c r="BY63" s="1"/>
      <c r="BZ63" s="1"/>
      <c r="CA63" s="1"/>
      <c r="CB63" s="1"/>
      <c r="CC63" s="1"/>
      <c r="CD63" s="1"/>
      <c r="CE63" s="2"/>
      <c r="CF63" s="1"/>
      <c r="CG63" s="1"/>
      <c r="CH63" s="1"/>
      <c r="CI63" s="1"/>
      <c r="CJ63" s="1"/>
      <c r="CK63" s="1"/>
      <c r="CL63" s="1"/>
    </row>
    <row r="64" spans="1:90" ht="14.65" x14ac:dyDescent="0.4">
      <c r="A64" s="1"/>
      <c r="B64" s="2"/>
      <c r="C64" s="1"/>
      <c r="D64" s="1"/>
      <c r="E64" s="1"/>
      <c r="F64" s="1"/>
      <c r="G64" s="1"/>
      <c r="H64" s="1"/>
      <c r="I64" s="1"/>
      <c r="J64" s="1"/>
      <c r="K64" s="2"/>
      <c r="L64" s="1"/>
      <c r="M64" s="1"/>
      <c r="N64" s="1"/>
      <c r="O64" s="1"/>
      <c r="P64" s="1"/>
      <c r="Q64" s="1"/>
      <c r="R64" s="1"/>
      <c r="S64" s="1"/>
      <c r="T64" s="2"/>
      <c r="U64" s="1"/>
      <c r="V64" s="1"/>
      <c r="W64" s="1"/>
      <c r="X64" s="1"/>
      <c r="Y64" s="1"/>
      <c r="Z64" s="1"/>
      <c r="AA64" s="1"/>
      <c r="AB64" s="1"/>
      <c r="AC64" s="2"/>
      <c r="AD64" s="1"/>
      <c r="AE64" s="1"/>
      <c r="AF64" s="1"/>
      <c r="AG64" s="1"/>
      <c r="AH64" s="1"/>
      <c r="AI64" s="1"/>
      <c r="AJ64" s="1"/>
      <c r="AK64" s="1"/>
      <c r="AL64" s="2"/>
      <c r="AM64" s="1"/>
      <c r="AN64" s="1"/>
      <c r="AO64" s="1"/>
      <c r="AP64" s="1"/>
      <c r="AQ64" s="1"/>
      <c r="AR64" s="1"/>
      <c r="AS64" s="1"/>
      <c r="AT64" s="1"/>
      <c r="AU64" s="2"/>
      <c r="AV64" s="1"/>
      <c r="AW64" s="1"/>
      <c r="AX64" s="1"/>
      <c r="AY64" s="1"/>
      <c r="AZ64" s="1"/>
      <c r="BA64" s="1"/>
      <c r="BB64" s="1"/>
      <c r="BC64" s="1"/>
      <c r="BD64" s="2"/>
      <c r="BE64" s="1"/>
      <c r="BF64" s="1"/>
      <c r="BG64" s="1"/>
      <c r="BH64" s="1"/>
      <c r="BI64" s="1"/>
      <c r="BJ64" s="1"/>
      <c r="BK64" s="1"/>
      <c r="BL64" s="1"/>
      <c r="BM64" s="2"/>
      <c r="BN64" s="1"/>
      <c r="BO64" s="1"/>
      <c r="BP64" s="1"/>
      <c r="BQ64" s="1"/>
      <c r="BR64" s="1"/>
      <c r="BS64" s="1"/>
      <c r="BT64" s="1"/>
      <c r="BU64" s="1"/>
      <c r="BV64" s="2"/>
      <c r="BW64" s="1"/>
      <c r="BX64" s="1"/>
      <c r="BY64" s="1"/>
      <c r="BZ64" s="1"/>
      <c r="CA64" s="1"/>
      <c r="CB64" s="1"/>
      <c r="CC64" s="1"/>
      <c r="CD64" s="1"/>
      <c r="CE64" s="2"/>
      <c r="CF64" s="1"/>
      <c r="CG64" s="1"/>
      <c r="CH64" s="1"/>
      <c r="CI64" s="1"/>
      <c r="CJ64" s="1"/>
      <c r="CK64" s="1"/>
      <c r="CL64" s="1"/>
    </row>
    <row r="65" spans="1:90" ht="14.65" x14ac:dyDescent="0.4">
      <c r="A65" s="1"/>
      <c r="B65" s="2"/>
      <c r="C65" s="1"/>
      <c r="D65" s="1"/>
      <c r="E65" s="1"/>
      <c r="F65" s="1"/>
      <c r="G65" s="1"/>
      <c r="H65" s="1"/>
      <c r="I65" s="1"/>
      <c r="J65" s="1"/>
      <c r="K65" s="2"/>
      <c r="L65" s="1"/>
      <c r="M65" s="1"/>
      <c r="N65" s="1"/>
      <c r="O65" s="1"/>
      <c r="P65" s="1"/>
      <c r="Q65" s="1"/>
      <c r="R65" s="1"/>
      <c r="S65" s="1"/>
      <c r="T65" s="2"/>
      <c r="U65" s="1"/>
      <c r="V65" s="1"/>
      <c r="W65" s="1"/>
      <c r="X65" s="1"/>
      <c r="Y65" s="1"/>
      <c r="Z65" s="1"/>
      <c r="AA65" s="1"/>
      <c r="AB65" s="1"/>
      <c r="AC65" s="2"/>
      <c r="AD65" s="1"/>
      <c r="AE65" s="1"/>
      <c r="AF65" s="1"/>
      <c r="AG65" s="1"/>
      <c r="AH65" s="1"/>
      <c r="AI65" s="1"/>
      <c r="AJ65" s="1"/>
      <c r="AK65" s="1"/>
      <c r="AL65" s="2"/>
      <c r="AM65" s="1"/>
      <c r="AN65" s="1"/>
      <c r="AO65" s="1"/>
      <c r="AP65" s="1"/>
      <c r="AQ65" s="1"/>
      <c r="AR65" s="1"/>
      <c r="AS65" s="1"/>
      <c r="AT65" s="1"/>
      <c r="AU65" s="2"/>
      <c r="AV65" s="1"/>
      <c r="AW65" s="1"/>
      <c r="AX65" s="1"/>
      <c r="AY65" s="1"/>
      <c r="AZ65" s="1"/>
      <c r="BA65" s="1"/>
      <c r="BB65" s="1"/>
      <c r="BC65" s="1"/>
      <c r="BD65" s="2"/>
      <c r="BE65" s="1"/>
      <c r="BF65" s="1"/>
      <c r="BG65" s="1"/>
      <c r="BH65" s="1"/>
      <c r="BI65" s="1"/>
      <c r="BJ65" s="1"/>
      <c r="BK65" s="1"/>
      <c r="BL65" s="1"/>
      <c r="BM65" s="2"/>
      <c r="BN65" s="1"/>
      <c r="BO65" s="1"/>
      <c r="BP65" s="1"/>
      <c r="BQ65" s="1"/>
      <c r="BR65" s="1"/>
      <c r="BS65" s="1"/>
      <c r="BT65" s="1"/>
      <c r="BU65" s="1"/>
      <c r="BV65" s="2"/>
      <c r="BW65" s="1"/>
      <c r="BX65" s="1"/>
      <c r="BY65" s="1"/>
      <c r="BZ65" s="1"/>
      <c r="CA65" s="1"/>
      <c r="CB65" s="1"/>
      <c r="CC65" s="1"/>
      <c r="CD65" s="1"/>
      <c r="CE65" s="2"/>
      <c r="CF65" s="1"/>
      <c r="CG65" s="1"/>
      <c r="CH65" s="1"/>
      <c r="CI65" s="1"/>
      <c r="CJ65" s="1"/>
      <c r="CK65" s="1"/>
      <c r="CL65" s="1"/>
    </row>
    <row r="66" spans="1:90" ht="14.65" x14ac:dyDescent="0.4">
      <c r="A66" s="1"/>
      <c r="B66" s="2"/>
      <c r="C66" s="1"/>
      <c r="D66" s="1"/>
      <c r="E66" s="1"/>
      <c r="F66" s="1"/>
      <c r="G66" s="1"/>
      <c r="H66" s="1"/>
      <c r="I66" s="1"/>
      <c r="J66" s="1"/>
      <c r="K66" s="2"/>
      <c r="L66" s="1"/>
      <c r="M66" s="1"/>
      <c r="N66" s="1"/>
      <c r="O66" s="1"/>
      <c r="P66" s="1"/>
      <c r="Q66" s="1"/>
      <c r="R66" s="1"/>
      <c r="S66" s="1"/>
      <c r="T66" s="2"/>
      <c r="U66" s="1"/>
      <c r="V66" s="1"/>
      <c r="W66" s="1"/>
      <c r="X66" s="1"/>
      <c r="Y66" s="1"/>
      <c r="Z66" s="1"/>
      <c r="AA66" s="1"/>
      <c r="AB66" s="1"/>
      <c r="AC66" s="2"/>
      <c r="AD66" s="1"/>
      <c r="AE66" s="1"/>
      <c r="AF66" s="1"/>
      <c r="AG66" s="1"/>
      <c r="AH66" s="1"/>
      <c r="AI66" s="1"/>
      <c r="AJ66" s="1"/>
      <c r="AK66" s="1"/>
      <c r="AL66" s="2"/>
      <c r="AM66" s="1"/>
      <c r="AN66" s="1"/>
      <c r="AO66" s="1"/>
      <c r="AP66" s="1"/>
      <c r="AQ66" s="1"/>
      <c r="AR66" s="1"/>
      <c r="AS66" s="1"/>
      <c r="AT66" s="1"/>
      <c r="AU66" s="2"/>
      <c r="AV66" s="1"/>
      <c r="AW66" s="1"/>
      <c r="AX66" s="1"/>
      <c r="AY66" s="1"/>
      <c r="AZ66" s="1"/>
      <c r="BA66" s="1"/>
      <c r="BB66" s="1"/>
      <c r="BC66" s="1"/>
      <c r="BD66" s="2"/>
      <c r="BE66" s="1"/>
      <c r="BF66" s="1"/>
      <c r="BG66" s="1"/>
      <c r="BH66" s="1"/>
      <c r="BI66" s="1"/>
      <c r="BJ66" s="1"/>
      <c r="BK66" s="1"/>
      <c r="BL66" s="1"/>
      <c r="BM66" s="2"/>
      <c r="BN66" s="1"/>
      <c r="BO66" s="1"/>
      <c r="BP66" s="1"/>
      <c r="BQ66" s="1"/>
      <c r="BR66" s="1"/>
      <c r="BS66" s="1"/>
      <c r="BT66" s="1"/>
      <c r="BU66" s="1"/>
      <c r="BV66" s="2"/>
      <c r="BW66" s="1"/>
      <c r="BX66" s="1"/>
      <c r="BY66" s="1"/>
      <c r="BZ66" s="1"/>
      <c r="CA66" s="1"/>
      <c r="CB66" s="1"/>
      <c r="CC66" s="1"/>
      <c r="CD66" s="1"/>
      <c r="CE66" s="2"/>
      <c r="CF66" s="1"/>
      <c r="CG66" s="1"/>
      <c r="CH66" s="1"/>
      <c r="CI66" s="1"/>
      <c r="CJ66" s="1"/>
      <c r="CK66" s="1"/>
      <c r="CL66" s="1"/>
    </row>
    <row r="67" spans="1:90" ht="14.65" x14ac:dyDescent="0.4">
      <c r="A67" s="1"/>
      <c r="B67" s="2"/>
      <c r="C67" s="1"/>
      <c r="D67" s="1"/>
      <c r="E67" s="1"/>
      <c r="F67" s="1"/>
      <c r="G67" s="1"/>
      <c r="H67" s="1"/>
      <c r="I67" s="1"/>
      <c r="J67" s="1"/>
      <c r="K67" s="2"/>
      <c r="L67" s="1"/>
      <c r="M67" s="1"/>
      <c r="N67" s="1"/>
      <c r="O67" s="1"/>
      <c r="P67" s="1"/>
      <c r="Q67" s="1"/>
      <c r="R67" s="1"/>
      <c r="S67" s="1"/>
      <c r="T67" s="2"/>
      <c r="U67" s="1"/>
      <c r="V67" s="1"/>
      <c r="W67" s="1"/>
      <c r="X67" s="1"/>
      <c r="Y67" s="1"/>
      <c r="Z67" s="1"/>
      <c r="AA67" s="1"/>
      <c r="AB67" s="1"/>
      <c r="AC67" s="2"/>
      <c r="AD67" s="1"/>
      <c r="AE67" s="1"/>
      <c r="AF67" s="1"/>
      <c r="AG67" s="1"/>
      <c r="AH67" s="1"/>
      <c r="AI67" s="1"/>
      <c r="AJ67" s="1"/>
      <c r="AK67" s="1"/>
      <c r="AL67" s="2"/>
      <c r="AM67" s="1"/>
      <c r="AN67" s="1"/>
      <c r="AO67" s="1"/>
      <c r="AP67" s="1"/>
      <c r="AQ67" s="1"/>
      <c r="AR67" s="1"/>
      <c r="AS67" s="1"/>
      <c r="AT67" s="1"/>
      <c r="AU67" s="2"/>
      <c r="AV67" s="1"/>
      <c r="AW67" s="1"/>
      <c r="AX67" s="1"/>
      <c r="AY67" s="1"/>
      <c r="AZ67" s="1"/>
      <c r="BA67" s="1"/>
      <c r="BB67" s="1"/>
      <c r="BC67" s="1"/>
      <c r="BD67" s="2"/>
      <c r="BE67" s="1"/>
      <c r="BF67" s="1"/>
      <c r="BG67" s="1"/>
      <c r="BH67" s="1"/>
      <c r="BI67" s="1"/>
      <c r="BJ67" s="1"/>
      <c r="BK67" s="1"/>
      <c r="BL67" s="1"/>
      <c r="BM67" s="2"/>
      <c r="BN67" s="1"/>
      <c r="BO67" s="1"/>
      <c r="BP67" s="1"/>
      <c r="BQ67" s="1"/>
      <c r="BR67" s="1"/>
      <c r="BS67" s="1"/>
      <c r="BT67" s="1"/>
      <c r="BU67" s="1"/>
      <c r="BV67" s="2"/>
      <c r="BW67" s="1"/>
      <c r="BX67" s="1"/>
      <c r="BY67" s="1"/>
      <c r="BZ67" s="1"/>
      <c r="CA67" s="1"/>
      <c r="CB67" s="1"/>
      <c r="CC67" s="1"/>
      <c r="CD67" s="1"/>
      <c r="CE67" s="2"/>
      <c r="CF67" s="1"/>
      <c r="CG67" s="1"/>
      <c r="CH67" s="1"/>
      <c r="CI67" s="1"/>
      <c r="CJ67" s="1"/>
      <c r="CK67" s="1"/>
      <c r="CL67" s="1"/>
    </row>
    <row r="68" spans="1:90" ht="14.65" x14ac:dyDescent="0.4">
      <c r="A68" s="1"/>
      <c r="B68" s="2"/>
      <c r="C68" s="1"/>
      <c r="D68" s="1"/>
      <c r="E68" s="1"/>
      <c r="F68" s="1"/>
      <c r="G68" s="1"/>
      <c r="H68" s="1"/>
      <c r="I68" s="1"/>
      <c r="J68" s="1"/>
      <c r="K68" s="2"/>
      <c r="L68" s="1"/>
      <c r="M68" s="1"/>
      <c r="N68" s="1"/>
      <c r="O68" s="1"/>
      <c r="P68" s="1"/>
      <c r="Q68" s="1"/>
      <c r="R68" s="1"/>
      <c r="S68" s="1"/>
      <c r="T68" s="2"/>
      <c r="U68" s="1"/>
      <c r="V68" s="1"/>
      <c r="W68" s="1"/>
      <c r="X68" s="1"/>
      <c r="Y68" s="1"/>
      <c r="Z68" s="1"/>
      <c r="AA68" s="1"/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2"/>
      <c r="AM68" s="1"/>
      <c r="AN68" s="1"/>
      <c r="AO68" s="1"/>
      <c r="AP68" s="1"/>
      <c r="AQ68" s="1"/>
      <c r="AR68" s="1"/>
      <c r="AS68" s="1"/>
      <c r="AT68" s="1"/>
      <c r="AU68" s="2"/>
      <c r="AV68" s="1"/>
      <c r="AW68" s="1"/>
      <c r="AX68" s="1"/>
      <c r="AY68" s="1"/>
      <c r="AZ68" s="1"/>
      <c r="BA68" s="1"/>
      <c r="BB68" s="1"/>
      <c r="BC68" s="1"/>
      <c r="BD68" s="2"/>
      <c r="BE68" s="1"/>
      <c r="BF68" s="1"/>
      <c r="BG68" s="1"/>
      <c r="BH68" s="1"/>
      <c r="BI68" s="1"/>
      <c r="BJ68" s="1"/>
      <c r="BK68" s="1"/>
      <c r="BL68" s="1"/>
      <c r="BM68" s="2"/>
      <c r="BN68" s="1"/>
      <c r="BO68" s="1"/>
      <c r="BP68" s="1"/>
      <c r="BQ68" s="1"/>
      <c r="BR68" s="1"/>
      <c r="BS68" s="1"/>
      <c r="BT68" s="1"/>
      <c r="BU68" s="1"/>
      <c r="BV68" s="2"/>
      <c r="BW68" s="1"/>
      <c r="BX68" s="1"/>
      <c r="BY68" s="1"/>
      <c r="BZ68" s="1"/>
      <c r="CA68" s="1"/>
      <c r="CB68" s="1"/>
      <c r="CC68" s="1"/>
      <c r="CD68" s="1"/>
      <c r="CE68" s="2"/>
      <c r="CF68" s="1"/>
      <c r="CG68" s="1"/>
      <c r="CH68" s="1"/>
      <c r="CI68" s="1"/>
      <c r="CJ68" s="1"/>
      <c r="CK68" s="1"/>
      <c r="CL68" s="1"/>
    </row>
    <row r="69" spans="1:90" ht="14.65" x14ac:dyDescent="0.4">
      <c r="A69" s="1"/>
      <c r="B69" s="2"/>
      <c r="C69" s="1"/>
      <c r="D69" s="1"/>
      <c r="E69" s="1"/>
      <c r="F69" s="1"/>
      <c r="G69" s="1"/>
      <c r="H69" s="1"/>
      <c r="I69" s="1"/>
      <c r="J69" s="1"/>
      <c r="K69" s="2"/>
      <c r="L69" s="1"/>
      <c r="M69" s="1"/>
      <c r="N69" s="1"/>
      <c r="O69" s="1"/>
      <c r="P69" s="1"/>
      <c r="Q69" s="1"/>
      <c r="R69" s="1"/>
      <c r="S69" s="1"/>
      <c r="T69" s="2"/>
      <c r="U69" s="1"/>
      <c r="V69" s="1"/>
      <c r="W69" s="1"/>
      <c r="X69" s="1"/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2"/>
      <c r="AM69" s="1"/>
      <c r="AN69" s="1"/>
      <c r="AO69" s="1"/>
      <c r="AP69" s="1"/>
      <c r="AQ69" s="1"/>
      <c r="AR69" s="1"/>
      <c r="AS69" s="1"/>
      <c r="AT69" s="1"/>
      <c r="AU69" s="2"/>
      <c r="AV69" s="1"/>
      <c r="AW69" s="1"/>
      <c r="AX69" s="1"/>
      <c r="AY69" s="1"/>
      <c r="AZ69" s="1"/>
      <c r="BA69" s="1"/>
      <c r="BB69" s="1"/>
      <c r="BC69" s="1"/>
      <c r="BD69" s="2"/>
      <c r="BE69" s="1"/>
      <c r="BF69" s="1"/>
      <c r="BG69" s="1"/>
      <c r="BH69" s="1"/>
      <c r="BI69" s="1"/>
      <c r="BJ69" s="1"/>
      <c r="BK69" s="1"/>
      <c r="BL69" s="1"/>
      <c r="BM69" s="2"/>
      <c r="BN69" s="1"/>
      <c r="BO69" s="1"/>
      <c r="BP69" s="1"/>
      <c r="BQ69" s="1"/>
      <c r="BR69" s="1"/>
      <c r="BS69" s="1"/>
      <c r="BT69" s="1"/>
      <c r="BU69" s="1"/>
      <c r="BV69" s="2"/>
      <c r="BW69" s="1"/>
      <c r="BX69" s="1"/>
      <c r="BY69" s="1"/>
      <c r="BZ69" s="1"/>
      <c r="CA69" s="1"/>
      <c r="CB69" s="1"/>
      <c r="CC69" s="1"/>
      <c r="CD69" s="1"/>
      <c r="CE69" s="2"/>
      <c r="CF69" s="1"/>
      <c r="CG69" s="1"/>
      <c r="CH69" s="1"/>
      <c r="CI69" s="1"/>
      <c r="CJ69" s="1"/>
      <c r="CK69" s="1"/>
      <c r="CL69" s="1"/>
    </row>
    <row r="70" spans="1:90" ht="14.65" x14ac:dyDescent="0.4">
      <c r="A70" s="1"/>
      <c r="B70" s="2"/>
      <c r="C70" s="1"/>
      <c r="D70" s="1"/>
      <c r="E70" s="1"/>
      <c r="F70" s="1"/>
      <c r="G70" s="1"/>
      <c r="H70" s="1"/>
      <c r="I70" s="1"/>
      <c r="J70" s="1"/>
      <c r="K70" s="2"/>
      <c r="L70" s="1"/>
      <c r="M70" s="1"/>
      <c r="N70" s="1"/>
      <c r="O70" s="1"/>
      <c r="P70" s="1"/>
      <c r="Q70" s="1"/>
      <c r="R70" s="1"/>
      <c r="S70" s="1"/>
      <c r="T70" s="2"/>
      <c r="U70" s="1"/>
      <c r="V70" s="1"/>
      <c r="W70" s="1"/>
      <c r="X70" s="1"/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2"/>
      <c r="AM70" s="1"/>
      <c r="AN70" s="1"/>
      <c r="AO70" s="1"/>
      <c r="AP70" s="1"/>
      <c r="AQ70" s="1"/>
      <c r="AR70" s="1"/>
      <c r="AS70" s="1"/>
      <c r="AT70" s="1"/>
      <c r="AU70" s="2"/>
      <c r="AV70" s="1"/>
      <c r="AW70" s="1"/>
      <c r="AX70" s="1"/>
      <c r="AY70" s="1"/>
      <c r="AZ70" s="1"/>
      <c r="BA70" s="1"/>
      <c r="BB70" s="1"/>
      <c r="BC70" s="1"/>
      <c r="BD70" s="2"/>
      <c r="BE70" s="1"/>
      <c r="BF70" s="1"/>
      <c r="BG70" s="1"/>
      <c r="BH70" s="1"/>
      <c r="BI70" s="1"/>
      <c r="BJ70" s="1"/>
      <c r="BK70" s="1"/>
      <c r="BL70" s="1"/>
      <c r="BM70" s="2"/>
      <c r="BN70" s="1"/>
      <c r="BO70" s="1"/>
      <c r="BP70" s="1"/>
      <c r="BQ70" s="1"/>
      <c r="BR70" s="1"/>
      <c r="BS70" s="1"/>
      <c r="BT70" s="1"/>
      <c r="BU70" s="1"/>
      <c r="BV70" s="2"/>
      <c r="BW70" s="1"/>
      <c r="BX70" s="1"/>
      <c r="BY70" s="1"/>
      <c r="BZ70" s="1"/>
      <c r="CA70" s="1"/>
      <c r="CB70" s="1"/>
      <c r="CC70" s="1"/>
      <c r="CD70" s="1"/>
      <c r="CE70" s="2"/>
      <c r="CF70" s="1"/>
      <c r="CG70" s="1"/>
      <c r="CH70" s="1"/>
      <c r="CI70" s="1"/>
      <c r="CJ70" s="1"/>
      <c r="CK70" s="1"/>
      <c r="CL70" s="1"/>
    </row>
    <row r="71" spans="1:90" ht="14.65" x14ac:dyDescent="0.4">
      <c r="A71" s="1"/>
      <c r="B71" s="2"/>
      <c r="C71" s="1"/>
      <c r="D71" s="1"/>
      <c r="E71" s="1"/>
      <c r="F71" s="1"/>
      <c r="G71" s="1"/>
      <c r="H71" s="1"/>
      <c r="I71" s="1"/>
      <c r="J71" s="1"/>
      <c r="K71" s="2"/>
      <c r="L71" s="1"/>
      <c r="M71" s="1"/>
      <c r="N71" s="1"/>
      <c r="O71" s="1"/>
      <c r="P71" s="1"/>
      <c r="Q71" s="1"/>
      <c r="R71" s="1"/>
      <c r="S71" s="1"/>
      <c r="T71" s="2"/>
      <c r="U71" s="1"/>
      <c r="V71" s="1"/>
      <c r="W71" s="1"/>
      <c r="X71" s="1"/>
      <c r="Y71" s="1"/>
      <c r="Z71" s="1"/>
      <c r="AA71" s="1"/>
      <c r="AB71" s="1"/>
      <c r="AC71" s="2"/>
      <c r="AD71" s="1"/>
      <c r="AE71" s="1"/>
      <c r="AF71" s="1"/>
      <c r="AG71" s="1"/>
      <c r="AH71" s="1"/>
      <c r="AI71" s="1"/>
      <c r="AJ71" s="1"/>
      <c r="AK71" s="1"/>
      <c r="AL71" s="2"/>
      <c r="AM71" s="1"/>
      <c r="AN71" s="1"/>
      <c r="AO71" s="1"/>
      <c r="AP71" s="1"/>
      <c r="AQ71" s="1"/>
      <c r="AR71" s="1"/>
      <c r="AS71" s="1"/>
      <c r="AT71" s="1"/>
      <c r="AU71" s="2"/>
      <c r="AV71" s="1"/>
      <c r="AW71" s="1"/>
      <c r="AX71" s="1"/>
      <c r="AY71" s="1"/>
      <c r="AZ71" s="1"/>
      <c r="BA71" s="1"/>
      <c r="BB71" s="1"/>
      <c r="BC71" s="1"/>
      <c r="BD71" s="2"/>
      <c r="BE71" s="1"/>
      <c r="BF71" s="1"/>
      <c r="BG71" s="1"/>
      <c r="BH71" s="1"/>
      <c r="BI71" s="1"/>
      <c r="BJ71" s="1"/>
      <c r="BK71" s="1"/>
      <c r="BL71" s="1"/>
      <c r="BM71" s="2"/>
      <c r="BN71" s="1"/>
      <c r="BO71" s="1"/>
      <c r="BP71" s="1"/>
      <c r="BQ71" s="1"/>
      <c r="BR71" s="1"/>
      <c r="BS71" s="1"/>
      <c r="BT71" s="1"/>
      <c r="BU71" s="1"/>
      <c r="BV71" s="2"/>
      <c r="BW71" s="1"/>
      <c r="BX71" s="1"/>
      <c r="BY71" s="1"/>
      <c r="BZ71" s="1"/>
      <c r="CA71" s="1"/>
      <c r="CB71" s="1"/>
      <c r="CC71" s="1"/>
      <c r="CD71" s="1"/>
      <c r="CE71" s="2"/>
      <c r="CF71" s="1"/>
      <c r="CG71" s="1"/>
      <c r="CH71" s="1"/>
      <c r="CI71" s="1"/>
      <c r="CJ71" s="1"/>
      <c r="CK71" s="1"/>
      <c r="CL71" s="1"/>
    </row>
    <row r="72" spans="1:90" ht="14.65" x14ac:dyDescent="0.4">
      <c r="A72" s="1"/>
      <c r="B72" s="2"/>
      <c r="C72" s="1"/>
      <c r="D72" s="1"/>
      <c r="E72" s="1"/>
      <c r="F72" s="1"/>
      <c r="G72" s="1"/>
      <c r="H72" s="1"/>
      <c r="I72" s="1"/>
      <c r="J72" s="1"/>
      <c r="K72" s="2"/>
      <c r="L72" s="1"/>
      <c r="M72" s="1"/>
      <c r="N72" s="1"/>
      <c r="O72" s="1"/>
      <c r="P72" s="1"/>
      <c r="Q72" s="1"/>
      <c r="R72" s="1"/>
      <c r="S72" s="1"/>
      <c r="T72" s="2"/>
      <c r="U72" s="1"/>
      <c r="V72" s="1"/>
      <c r="W72" s="1"/>
      <c r="X72" s="1"/>
      <c r="Y72" s="1"/>
      <c r="Z72" s="1"/>
      <c r="AA72" s="1"/>
      <c r="AB72" s="1"/>
      <c r="AC72" s="2"/>
      <c r="AD72" s="1"/>
      <c r="AE72" s="1"/>
      <c r="AF72" s="1"/>
      <c r="AG72" s="1"/>
      <c r="AH72" s="1"/>
      <c r="AI72" s="1"/>
      <c r="AJ72" s="1"/>
      <c r="AK72" s="1"/>
      <c r="AL72" s="2"/>
      <c r="AM72" s="1"/>
      <c r="AN72" s="1"/>
      <c r="AO72" s="1"/>
      <c r="AP72" s="1"/>
      <c r="AQ72" s="1"/>
      <c r="AR72" s="1"/>
      <c r="AS72" s="1"/>
      <c r="AT72" s="1"/>
      <c r="AU72" s="2"/>
      <c r="AV72" s="1"/>
      <c r="AW72" s="1"/>
      <c r="AX72" s="1"/>
      <c r="AY72" s="1"/>
      <c r="AZ72" s="1"/>
      <c r="BA72" s="1"/>
      <c r="BB72" s="1"/>
      <c r="BC72" s="1"/>
      <c r="BD72" s="2"/>
      <c r="BE72" s="1"/>
      <c r="BF72" s="1"/>
      <c r="BG72" s="1"/>
      <c r="BH72" s="1"/>
      <c r="BI72" s="1"/>
      <c r="BJ72" s="1"/>
      <c r="BK72" s="1"/>
      <c r="BL72" s="1"/>
      <c r="BM72" s="2"/>
      <c r="BN72" s="1"/>
      <c r="BO72" s="1"/>
      <c r="BP72" s="1"/>
      <c r="BQ72" s="1"/>
      <c r="BR72" s="1"/>
      <c r="BS72" s="1"/>
      <c r="BT72" s="1"/>
      <c r="BU72" s="1"/>
      <c r="BV72" s="2"/>
      <c r="BW72" s="1"/>
      <c r="BX72" s="1"/>
      <c r="BY72" s="1"/>
      <c r="BZ72" s="1"/>
      <c r="CA72" s="1"/>
      <c r="CB72" s="1"/>
      <c r="CC72" s="1"/>
      <c r="CD72" s="1"/>
      <c r="CE72" s="2"/>
      <c r="CF72" s="1"/>
      <c r="CG72" s="1"/>
      <c r="CH72" s="1"/>
      <c r="CI72" s="1"/>
      <c r="CJ72" s="1"/>
      <c r="CK72" s="1"/>
      <c r="CL72" s="1"/>
    </row>
    <row r="73" spans="1:90" ht="14.65" x14ac:dyDescent="0.4">
      <c r="A73" s="1"/>
      <c r="B73" s="2"/>
      <c r="C73" s="1"/>
      <c r="D73" s="1"/>
      <c r="E73" s="1"/>
      <c r="F73" s="1"/>
      <c r="G73" s="1"/>
      <c r="H73" s="1"/>
      <c r="I73" s="1"/>
      <c r="J73" s="1"/>
      <c r="K73" s="2"/>
      <c r="L73" s="1"/>
      <c r="M73" s="1"/>
      <c r="N73" s="1"/>
      <c r="O73" s="1"/>
      <c r="P73" s="1"/>
      <c r="Q73" s="1"/>
      <c r="R73" s="1"/>
      <c r="S73" s="1"/>
      <c r="T73" s="2"/>
      <c r="U73" s="1"/>
      <c r="V73" s="1"/>
      <c r="W73" s="1"/>
      <c r="X73" s="1"/>
      <c r="Y73" s="1"/>
      <c r="Z73" s="1"/>
      <c r="AA73" s="1"/>
      <c r="AB73" s="1"/>
      <c r="AC73" s="2"/>
      <c r="AD73" s="1"/>
      <c r="AE73" s="1"/>
      <c r="AF73" s="1"/>
      <c r="AG73" s="1"/>
      <c r="AH73" s="1"/>
      <c r="AI73" s="1"/>
      <c r="AJ73" s="1"/>
      <c r="AK73" s="1"/>
      <c r="AL73" s="2"/>
      <c r="AM73" s="1"/>
      <c r="AN73" s="1"/>
      <c r="AO73" s="1"/>
      <c r="AP73" s="1"/>
      <c r="AQ73" s="1"/>
      <c r="AR73" s="1"/>
      <c r="AS73" s="1"/>
      <c r="AT73" s="1"/>
      <c r="AU73" s="2"/>
      <c r="AV73" s="1"/>
      <c r="AW73" s="1"/>
      <c r="AX73" s="1"/>
      <c r="AY73" s="1"/>
      <c r="AZ73" s="1"/>
      <c r="BA73" s="1"/>
      <c r="BB73" s="1"/>
      <c r="BC73" s="1"/>
      <c r="BD73" s="2"/>
      <c r="BE73" s="1"/>
      <c r="BF73" s="1"/>
      <c r="BG73" s="1"/>
      <c r="BH73" s="1"/>
      <c r="BI73" s="1"/>
      <c r="BJ73" s="1"/>
      <c r="BK73" s="1"/>
      <c r="BL73" s="1"/>
      <c r="BM73" s="2"/>
      <c r="BN73" s="1"/>
      <c r="BO73" s="1"/>
      <c r="BP73" s="1"/>
      <c r="BQ73" s="1"/>
      <c r="BR73" s="1"/>
      <c r="BS73" s="1"/>
      <c r="BT73" s="1"/>
      <c r="BU73" s="1"/>
      <c r="BV73" s="2"/>
      <c r="BW73" s="1"/>
      <c r="BX73" s="1"/>
      <c r="BY73" s="1"/>
      <c r="BZ73" s="1"/>
      <c r="CA73" s="1"/>
      <c r="CB73" s="1"/>
      <c r="CC73" s="1"/>
      <c r="CD73" s="1"/>
      <c r="CE73" s="2"/>
      <c r="CF73" s="1"/>
      <c r="CG73" s="1"/>
      <c r="CH73" s="1"/>
      <c r="CI73" s="1"/>
      <c r="CJ73" s="1"/>
      <c r="CK73" s="1"/>
      <c r="CL73" s="1"/>
    </row>
    <row r="74" spans="1:90" ht="14.65" x14ac:dyDescent="0.4">
      <c r="A74" s="1"/>
      <c r="B74" s="2"/>
      <c r="C74" s="1"/>
      <c r="D74" s="1"/>
      <c r="E74" s="1"/>
      <c r="F74" s="1"/>
      <c r="G74" s="1"/>
      <c r="H74" s="1"/>
      <c r="I74" s="1"/>
      <c r="J74" s="1"/>
      <c r="K74" s="2"/>
      <c r="L74" s="1"/>
      <c r="M74" s="1"/>
      <c r="N74" s="1"/>
      <c r="O74" s="1"/>
      <c r="P74" s="1"/>
      <c r="Q74" s="1"/>
      <c r="R74" s="1"/>
      <c r="S74" s="1"/>
      <c r="T74" s="2"/>
      <c r="U74" s="1"/>
      <c r="V74" s="1"/>
      <c r="W74" s="1"/>
      <c r="X74" s="1"/>
      <c r="Y74" s="1"/>
      <c r="Z74" s="1"/>
      <c r="AA74" s="1"/>
      <c r="AB74" s="1"/>
      <c r="AC74" s="2"/>
      <c r="AD74" s="1"/>
      <c r="AE74" s="1"/>
      <c r="AF74" s="1"/>
      <c r="AG74" s="1"/>
      <c r="AH74" s="1"/>
      <c r="AI74" s="1"/>
      <c r="AJ74" s="1"/>
      <c r="AK74" s="1"/>
      <c r="AL74" s="2"/>
      <c r="AM74" s="1"/>
      <c r="AN74" s="1"/>
      <c r="AO74" s="1"/>
      <c r="AP74" s="1"/>
      <c r="AQ74" s="1"/>
      <c r="AR74" s="1"/>
      <c r="AS74" s="1"/>
      <c r="AT74" s="1"/>
      <c r="AU74" s="2"/>
      <c r="AV74" s="1"/>
      <c r="AW74" s="1"/>
      <c r="AX74" s="1"/>
      <c r="AY74" s="1"/>
      <c r="AZ74" s="1"/>
      <c r="BA74" s="1"/>
      <c r="BB74" s="1"/>
      <c r="BC74" s="1"/>
      <c r="BD74" s="2"/>
      <c r="BE74" s="1"/>
      <c r="BF74" s="1"/>
      <c r="BG74" s="1"/>
      <c r="BH74" s="1"/>
      <c r="BI74" s="1"/>
      <c r="BJ74" s="1"/>
      <c r="BK74" s="1"/>
      <c r="BL74" s="1"/>
      <c r="BM74" s="2"/>
      <c r="BN74" s="1"/>
      <c r="BO74" s="1"/>
      <c r="BP74" s="1"/>
      <c r="BQ74" s="1"/>
      <c r="BR74" s="1"/>
      <c r="BS74" s="1"/>
      <c r="BT74" s="1"/>
      <c r="BU74" s="1"/>
      <c r="BV74" s="2"/>
      <c r="BW74" s="1"/>
      <c r="BX74" s="1"/>
      <c r="BY74" s="1"/>
      <c r="BZ74" s="1"/>
      <c r="CA74" s="1"/>
      <c r="CB74" s="1"/>
      <c r="CC74" s="1"/>
      <c r="CD74" s="1"/>
      <c r="CE74" s="2"/>
      <c r="CF74" s="1"/>
      <c r="CG74" s="1"/>
      <c r="CH74" s="1"/>
      <c r="CI74" s="1"/>
      <c r="CJ74" s="1"/>
      <c r="CK74" s="1"/>
      <c r="CL74" s="1"/>
    </row>
    <row r="75" spans="1:90" ht="14.65" x14ac:dyDescent="0.4">
      <c r="A75" s="1"/>
      <c r="B75" s="2"/>
      <c r="C75" s="1"/>
      <c r="D75" s="1"/>
      <c r="E75" s="1"/>
      <c r="F75" s="1"/>
      <c r="G75" s="1"/>
      <c r="H75" s="1"/>
      <c r="I75" s="1"/>
      <c r="J75" s="1"/>
      <c r="K75" s="2"/>
      <c r="L75" s="1"/>
      <c r="M75" s="1"/>
      <c r="N75" s="1"/>
      <c r="O75" s="1"/>
      <c r="P75" s="1"/>
      <c r="Q75" s="1"/>
      <c r="R75" s="1"/>
      <c r="S75" s="1"/>
      <c r="T75" s="2"/>
      <c r="U75" s="1"/>
      <c r="V75" s="1"/>
      <c r="W75" s="1"/>
      <c r="X75" s="1"/>
      <c r="Y75" s="1"/>
      <c r="Z75" s="1"/>
      <c r="AA75" s="1"/>
      <c r="AB75" s="1"/>
      <c r="AC75" s="2"/>
      <c r="AD75" s="1"/>
      <c r="AE75" s="1"/>
      <c r="AF75" s="1"/>
      <c r="AG75" s="1"/>
      <c r="AH75" s="1"/>
      <c r="AI75" s="1"/>
      <c r="AJ75" s="1"/>
      <c r="AK75" s="1"/>
      <c r="AL75" s="2"/>
      <c r="AM75" s="1"/>
      <c r="AN75" s="1"/>
      <c r="AO75" s="1"/>
      <c r="AP75" s="1"/>
      <c r="AQ75" s="1"/>
      <c r="AR75" s="1"/>
      <c r="AS75" s="1"/>
      <c r="AT75" s="1"/>
      <c r="AU75" s="2"/>
      <c r="AV75" s="1"/>
      <c r="AW75" s="1"/>
      <c r="AX75" s="1"/>
      <c r="AY75" s="1"/>
      <c r="AZ75" s="1"/>
      <c r="BA75" s="1"/>
      <c r="BB75" s="1"/>
      <c r="BC75" s="1"/>
      <c r="BD75" s="2"/>
      <c r="BE75" s="1"/>
      <c r="BF75" s="1"/>
      <c r="BG75" s="1"/>
      <c r="BH75" s="1"/>
      <c r="BI75" s="1"/>
      <c r="BJ75" s="1"/>
      <c r="BK75" s="1"/>
      <c r="BL75" s="1"/>
      <c r="BM75" s="2"/>
      <c r="BN75" s="1"/>
      <c r="BO75" s="1"/>
      <c r="BP75" s="1"/>
      <c r="BQ75" s="1"/>
      <c r="BR75" s="1"/>
      <c r="BS75" s="1"/>
      <c r="BT75" s="1"/>
      <c r="BU75" s="1"/>
      <c r="BV75" s="2"/>
      <c r="BW75" s="1"/>
      <c r="BX75" s="1"/>
      <c r="BY75" s="1"/>
      <c r="BZ75" s="1"/>
      <c r="CA75" s="1"/>
      <c r="CB75" s="1"/>
      <c r="CC75" s="1"/>
      <c r="CD75" s="1"/>
      <c r="CE75" s="2"/>
      <c r="CF75" s="1"/>
      <c r="CG75" s="1"/>
      <c r="CH75" s="1"/>
      <c r="CI75" s="1"/>
      <c r="CJ75" s="1"/>
      <c r="CK75" s="1"/>
      <c r="CL75" s="1"/>
    </row>
    <row r="76" spans="1:90" ht="14.65" x14ac:dyDescent="0.4">
      <c r="A76" s="1"/>
      <c r="B76" s="2"/>
      <c r="C76" s="1"/>
      <c r="D76" s="1"/>
      <c r="E76" s="1"/>
      <c r="F76" s="1"/>
      <c r="G76" s="1"/>
      <c r="H76" s="1"/>
      <c r="I76" s="1"/>
      <c r="J76" s="1"/>
      <c r="K76" s="2"/>
      <c r="L76" s="1"/>
      <c r="M76" s="1"/>
      <c r="N76" s="1"/>
      <c r="O76" s="1"/>
      <c r="P76" s="1"/>
      <c r="Q76" s="1"/>
      <c r="R76" s="1"/>
      <c r="S76" s="1"/>
      <c r="T76" s="2"/>
      <c r="U76" s="1"/>
      <c r="V76" s="1"/>
      <c r="W76" s="1"/>
      <c r="X76" s="1"/>
      <c r="Y76" s="1"/>
      <c r="Z76" s="1"/>
      <c r="AA76" s="1"/>
      <c r="AB76" s="1"/>
      <c r="AC76" s="2"/>
      <c r="AD76" s="1"/>
      <c r="AE76" s="1"/>
      <c r="AF76" s="1"/>
      <c r="AG76" s="1"/>
      <c r="AH76" s="1"/>
      <c r="AI76" s="1"/>
      <c r="AJ76" s="1"/>
      <c r="AK76" s="1"/>
      <c r="AL76" s="2"/>
      <c r="AM76" s="1"/>
      <c r="AN76" s="1"/>
      <c r="AO76" s="1"/>
      <c r="AP76" s="1"/>
      <c r="AQ76" s="1"/>
      <c r="AR76" s="1"/>
      <c r="AS76" s="1"/>
      <c r="AT76" s="1"/>
      <c r="AU76" s="2"/>
      <c r="AV76" s="1"/>
      <c r="AW76" s="1"/>
      <c r="AX76" s="1"/>
      <c r="AY76" s="1"/>
      <c r="AZ76" s="1"/>
      <c r="BA76" s="1"/>
      <c r="BB76" s="1"/>
      <c r="BC76" s="1"/>
      <c r="BD76" s="2"/>
      <c r="BE76" s="1"/>
      <c r="BF76" s="1"/>
      <c r="BG76" s="1"/>
      <c r="BH76" s="1"/>
      <c r="BI76" s="1"/>
      <c r="BJ76" s="1"/>
      <c r="BK76" s="1"/>
      <c r="BL76" s="1"/>
      <c r="BM76" s="2"/>
      <c r="BN76" s="1"/>
      <c r="BO76" s="1"/>
      <c r="BP76" s="1"/>
      <c r="BQ76" s="1"/>
      <c r="BR76" s="1"/>
      <c r="BS76" s="1"/>
      <c r="BT76" s="1"/>
      <c r="BU76" s="1"/>
      <c r="BV76" s="2"/>
      <c r="BW76" s="1"/>
      <c r="BX76" s="1"/>
      <c r="BY76" s="1"/>
      <c r="BZ76" s="1"/>
      <c r="CA76" s="1"/>
      <c r="CB76" s="1"/>
      <c r="CC76" s="1"/>
      <c r="CD76" s="1"/>
      <c r="CE76" s="2"/>
      <c r="CF76" s="1"/>
      <c r="CG76" s="1"/>
      <c r="CH76" s="1"/>
      <c r="CI76" s="1"/>
      <c r="CJ76" s="1"/>
      <c r="CK76" s="1"/>
      <c r="CL76" s="1"/>
    </row>
    <row r="77" spans="1:90" ht="14.65" x14ac:dyDescent="0.4">
      <c r="A77" s="1"/>
      <c r="B77" s="2"/>
      <c r="C77" s="1"/>
      <c r="D77" s="1"/>
      <c r="E77" s="1"/>
      <c r="F77" s="1"/>
      <c r="G77" s="1"/>
      <c r="H77" s="1"/>
      <c r="I77" s="1"/>
      <c r="J77" s="1"/>
      <c r="K77" s="2"/>
      <c r="L77" s="1"/>
      <c r="M77" s="1"/>
      <c r="N77" s="1"/>
      <c r="O77" s="1"/>
      <c r="P77" s="1"/>
      <c r="Q77" s="1"/>
      <c r="R77" s="1"/>
      <c r="S77" s="1"/>
      <c r="T77" s="2"/>
      <c r="U77" s="1"/>
      <c r="V77" s="1"/>
      <c r="W77" s="1"/>
      <c r="X77" s="1"/>
      <c r="Y77" s="1"/>
      <c r="Z77" s="1"/>
      <c r="AA77" s="1"/>
      <c r="AB77" s="1"/>
      <c r="AC77" s="2"/>
      <c r="AD77" s="1"/>
      <c r="AE77" s="1"/>
      <c r="AF77" s="1"/>
      <c r="AG77" s="1"/>
      <c r="AH77" s="1"/>
      <c r="AI77" s="1"/>
      <c r="AJ77" s="1"/>
      <c r="AK77" s="1"/>
      <c r="AL77" s="2"/>
      <c r="AM77" s="1"/>
      <c r="AN77" s="1"/>
      <c r="AO77" s="1"/>
      <c r="AP77" s="1"/>
      <c r="AQ77" s="1"/>
      <c r="AR77" s="1"/>
      <c r="AS77" s="1"/>
      <c r="AT77" s="1"/>
      <c r="AU77" s="2"/>
      <c r="AV77" s="1"/>
      <c r="AW77" s="1"/>
      <c r="AX77" s="1"/>
      <c r="AY77" s="1"/>
      <c r="AZ77" s="1"/>
      <c r="BA77" s="1"/>
      <c r="BB77" s="1"/>
      <c r="BC77" s="1"/>
      <c r="BD77" s="2"/>
      <c r="BE77" s="1"/>
      <c r="BF77" s="1"/>
      <c r="BG77" s="1"/>
      <c r="BH77" s="1"/>
      <c r="BI77" s="1"/>
      <c r="BJ77" s="1"/>
      <c r="BK77" s="1"/>
      <c r="BL77" s="1"/>
      <c r="BM77" s="2"/>
      <c r="BN77" s="1"/>
      <c r="BO77" s="1"/>
      <c r="BP77" s="1"/>
      <c r="BQ77" s="1"/>
      <c r="BR77" s="1"/>
      <c r="BS77" s="1"/>
      <c r="BT77" s="1"/>
      <c r="BU77" s="1"/>
      <c r="BV77" s="2"/>
      <c r="BW77" s="1"/>
      <c r="BX77" s="1"/>
      <c r="BY77" s="1"/>
      <c r="BZ77" s="1"/>
      <c r="CA77" s="1"/>
      <c r="CB77" s="1"/>
      <c r="CC77" s="1"/>
      <c r="CD77" s="1"/>
      <c r="CE77" s="2"/>
      <c r="CF77" s="1"/>
      <c r="CG77" s="1"/>
      <c r="CH77" s="1"/>
      <c r="CI77" s="1"/>
      <c r="CJ77" s="1"/>
      <c r="CK77" s="1"/>
      <c r="CL77" s="1"/>
    </row>
    <row r="78" spans="1:90" ht="14.65" x14ac:dyDescent="0.4">
      <c r="A78" s="1"/>
      <c r="B78" s="2"/>
      <c r="C78" s="1"/>
      <c r="D78" s="1"/>
      <c r="E78" s="1"/>
      <c r="F78" s="1"/>
      <c r="G78" s="1"/>
      <c r="H78" s="1"/>
      <c r="I78" s="1"/>
      <c r="J78" s="1"/>
      <c r="K78" s="2"/>
      <c r="L78" s="1"/>
      <c r="M78" s="1"/>
      <c r="N78" s="1"/>
      <c r="O78" s="1"/>
      <c r="P78" s="1"/>
      <c r="Q78" s="1"/>
      <c r="R78" s="1"/>
      <c r="S78" s="1"/>
      <c r="T78" s="2"/>
      <c r="U78" s="1"/>
      <c r="V78" s="1"/>
      <c r="W78" s="1"/>
      <c r="X78" s="1"/>
      <c r="Y78" s="1"/>
      <c r="Z78" s="1"/>
      <c r="AA78" s="1"/>
      <c r="AB78" s="1"/>
      <c r="AC78" s="2"/>
      <c r="AD78" s="1"/>
      <c r="AE78" s="1"/>
      <c r="AF78" s="1"/>
      <c r="AG78" s="1"/>
      <c r="AH78" s="1"/>
      <c r="AI78" s="1"/>
      <c r="AJ78" s="1"/>
      <c r="AK78" s="1"/>
      <c r="AL78" s="2"/>
      <c r="AM78" s="1"/>
      <c r="AN78" s="1"/>
      <c r="AO78" s="1"/>
      <c r="AP78" s="1"/>
      <c r="AQ78" s="1"/>
      <c r="AR78" s="1"/>
      <c r="AS78" s="1"/>
      <c r="AT78" s="1"/>
      <c r="AU78" s="2"/>
      <c r="AV78" s="1"/>
      <c r="AW78" s="1"/>
      <c r="AX78" s="1"/>
      <c r="AY78" s="1"/>
      <c r="AZ78" s="1"/>
      <c r="BA78" s="1"/>
      <c r="BB78" s="1"/>
      <c r="BC78" s="1"/>
      <c r="BD78" s="2"/>
      <c r="BE78" s="1"/>
      <c r="BF78" s="1"/>
      <c r="BG78" s="1"/>
      <c r="BH78" s="1"/>
      <c r="BI78" s="1"/>
      <c r="BJ78" s="1"/>
      <c r="BK78" s="1"/>
      <c r="BL78" s="1"/>
      <c r="BM78" s="2"/>
      <c r="BN78" s="1"/>
      <c r="BO78" s="1"/>
      <c r="BP78" s="1"/>
      <c r="BQ78" s="1"/>
      <c r="BR78" s="1"/>
      <c r="BS78" s="1"/>
      <c r="BT78" s="1"/>
      <c r="BU78" s="1"/>
      <c r="BV78" s="2"/>
      <c r="BW78" s="1"/>
      <c r="BX78" s="1"/>
      <c r="BY78" s="1"/>
      <c r="BZ78" s="1"/>
      <c r="CA78" s="1"/>
      <c r="CB78" s="1"/>
      <c r="CC78" s="1"/>
      <c r="CD78" s="1"/>
      <c r="CE78" s="2"/>
      <c r="CF78" s="1"/>
      <c r="CG78" s="1"/>
      <c r="CH78" s="1"/>
      <c r="CI78" s="1"/>
      <c r="CJ78" s="1"/>
      <c r="CK78" s="1"/>
      <c r="CL78" s="1"/>
    </row>
    <row r="79" spans="1:90" ht="14.65" x14ac:dyDescent="0.4">
      <c r="A79" s="1"/>
      <c r="B79" s="2"/>
      <c r="C79" s="1"/>
      <c r="D79" s="1"/>
      <c r="E79" s="1"/>
      <c r="F79" s="1"/>
      <c r="G79" s="1"/>
      <c r="H79" s="1"/>
      <c r="I79" s="1"/>
      <c r="J79" s="1"/>
      <c r="K79" s="2"/>
      <c r="L79" s="1"/>
      <c r="M79" s="1"/>
      <c r="N79" s="1"/>
      <c r="O79" s="1"/>
      <c r="P79" s="1"/>
      <c r="Q79" s="1"/>
      <c r="R79" s="1"/>
      <c r="S79" s="1"/>
      <c r="T79" s="2"/>
      <c r="U79" s="1"/>
      <c r="V79" s="1"/>
      <c r="W79" s="1"/>
      <c r="X79" s="1"/>
      <c r="Y79" s="1"/>
      <c r="Z79" s="1"/>
      <c r="AA79" s="1"/>
      <c r="AB79" s="1"/>
      <c r="AC79" s="2"/>
      <c r="AD79" s="1"/>
      <c r="AE79" s="1"/>
      <c r="AF79" s="1"/>
      <c r="AG79" s="1"/>
      <c r="AH79" s="1"/>
      <c r="AI79" s="1"/>
      <c r="AJ79" s="1"/>
      <c r="AK79" s="1"/>
      <c r="AL79" s="2"/>
      <c r="AM79" s="1"/>
      <c r="AN79" s="1"/>
      <c r="AO79" s="1"/>
      <c r="AP79" s="1"/>
      <c r="AQ79" s="1"/>
      <c r="AR79" s="1"/>
      <c r="AS79" s="1"/>
      <c r="AT79" s="1"/>
      <c r="AU79" s="2"/>
      <c r="AV79" s="1"/>
      <c r="AW79" s="1"/>
      <c r="AX79" s="1"/>
      <c r="AY79" s="1"/>
      <c r="AZ79" s="1"/>
      <c r="BA79" s="1"/>
      <c r="BB79" s="1"/>
      <c r="BC79" s="1"/>
      <c r="BD79" s="2"/>
      <c r="BE79" s="1"/>
      <c r="BF79" s="1"/>
      <c r="BG79" s="1"/>
      <c r="BH79" s="1"/>
      <c r="BI79" s="1"/>
      <c r="BJ79" s="1"/>
      <c r="BK79" s="1"/>
      <c r="BL79" s="1"/>
      <c r="BM79" s="2"/>
      <c r="BN79" s="1"/>
      <c r="BO79" s="1"/>
      <c r="BP79" s="1"/>
      <c r="BQ79" s="1"/>
      <c r="BR79" s="1"/>
      <c r="BS79" s="1"/>
      <c r="BT79" s="1"/>
      <c r="BU79" s="1"/>
      <c r="BV79" s="2"/>
      <c r="BW79" s="1"/>
      <c r="BX79" s="1"/>
      <c r="BY79" s="1"/>
      <c r="BZ79" s="1"/>
      <c r="CA79" s="1"/>
      <c r="CB79" s="1"/>
      <c r="CC79" s="1"/>
      <c r="CD79" s="1"/>
      <c r="CE79" s="2"/>
      <c r="CF79" s="1"/>
      <c r="CG79" s="1"/>
      <c r="CH79" s="1"/>
      <c r="CI79" s="1"/>
      <c r="CJ79" s="1"/>
      <c r="CK79" s="1"/>
      <c r="CL79" s="1"/>
    </row>
    <row r="80" spans="1:90" ht="14.65" x14ac:dyDescent="0.4">
      <c r="A80" s="1"/>
      <c r="B80" s="2"/>
      <c r="C80" s="1"/>
      <c r="D80" s="1"/>
      <c r="E80" s="1"/>
      <c r="F80" s="1"/>
      <c r="G80" s="1"/>
      <c r="H80" s="1"/>
      <c r="I80" s="1"/>
      <c r="J80" s="1"/>
      <c r="K80" s="2"/>
      <c r="L80" s="1"/>
      <c r="M80" s="1"/>
      <c r="N80" s="1"/>
      <c r="O80" s="1"/>
      <c r="P80" s="1"/>
      <c r="Q80" s="1"/>
      <c r="R80" s="1"/>
      <c r="S80" s="1"/>
      <c r="T80" s="2"/>
      <c r="U80" s="1"/>
      <c r="V80" s="1"/>
      <c r="W80" s="1"/>
      <c r="X80" s="1"/>
      <c r="Y80" s="1"/>
      <c r="Z80" s="1"/>
      <c r="AA80" s="1"/>
      <c r="AB80" s="1"/>
      <c r="AC80" s="2"/>
      <c r="AD80" s="1"/>
      <c r="AE80" s="1"/>
      <c r="AF80" s="1"/>
      <c r="AG80" s="1"/>
      <c r="AH80" s="1"/>
      <c r="AI80" s="1"/>
      <c r="AJ80" s="1"/>
      <c r="AK80" s="1"/>
      <c r="AL80" s="2"/>
      <c r="AM80" s="1"/>
      <c r="AN80" s="1"/>
      <c r="AO80" s="1"/>
      <c r="AP80" s="1"/>
      <c r="AQ80" s="1"/>
      <c r="AR80" s="1"/>
      <c r="AS80" s="1"/>
      <c r="AT80" s="1"/>
      <c r="AU80" s="2"/>
      <c r="AV80" s="1"/>
      <c r="AW80" s="1"/>
      <c r="AX80" s="1"/>
      <c r="AY80" s="1"/>
      <c r="AZ80" s="1"/>
      <c r="BA80" s="1"/>
      <c r="BB80" s="1"/>
      <c r="BC80" s="1"/>
      <c r="BD80" s="2"/>
      <c r="BE80" s="1"/>
      <c r="BF80" s="1"/>
      <c r="BG80" s="1"/>
      <c r="BH80" s="1"/>
      <c r="BI80" s="1"/>
      <c r="BJ80" s="1"/>
      <c r="BK80" s="1"/>
      <c r="BL80" s="1"/>
      <c r="BM80" s="2"/>
      <c r="BN80" s="1"/>
      <c r="BO80" s="1"/>
      <c r="BP80" s="1"/>
      <c r="BQ80" s="1"/>
      <c r="BR80" s="1"/>
      <c r="BS80" s="1"/>
      <c r="BT80" s="1"/>
      <c r="BU80" s="1"/>
      <c r="BV80" s="2"/>
      <c r="BW80" s="1"/>
      <c r="BX80" s="1"/>
      <c r="BY80" s="1"/>
      <c r="BZ80" s="1"/>
      <c r="CA80" s="1"/>
      <c r="CB80" s="1"/>
      <c r="CC80" s="1"/>
      <c r="CD80" s="1"/>
      <c r="CE80" s="2"/>
      <c r="CF80" s="1"/>
      <c r="CG80" s="1"/>
      <c r="CH80" s="1"/>
      <c r="CI80" s="1"/>
      <c r="CJ80" s="1"/>
      <c r="CK80" s="1"/>
      <c r="CL80" s="1"/>
    </row>
    <row r="81" spans="1:90" ht="14.65" x14ac:dyDescent="0.4">
      <c r="A81" s="1"/>
      <c r="B81" s="2"/>
      <c r="C81" s="1"/>
      <c r="D81" s="1"/>
      <c r="E81" s="1"/>
      <c r="F81" s="1"/>
      <c r="G81" s="1"/>
      <c r="H81" s="1"/>
      <c r="I81" s="1"/>
      <c r="J81" s="1"/>
      <c r="K81" s="2"/>
      <c r="L81" s="1"/>
      <c r="M81" s="1"/>
      <c r="N81" s="1"/>
      <c r="O81" s="1"/>
      <c r="P81" s="1"/>
      <c r="Q81" s="1"/>
      <c r="R81" s="1"/>
      <c r="S81" s="1"/>
      <c r="T81" s="2"/>
      <c r="U81" s="1"/>
      <c r="V81" s="1"/>
      <c r="W81" s="1"/>
      <c r="X81" s="1"/>
      <c r="Y81" s="1"/>
      <c r="Z81" s="1"/>
      <c r="AA81" s="1"/>
      <c r="AB81" s="1"/>
      <c r="AC81" s="2"/>
      <c r="AD81" s="1"/>
      <c r="AE81" s="1"/>
      <c r="AF81" s="1"/>
      <c r="AG81" s="1"/>
      <c r="AH81" s="1"/>
      <c r="AI81" s="1"/>
      <c r="AJ81" s="1"/>
      <c r="AK81" s="1"/>
      <c r="AL81" s="2"/>
      <c r="AM81" s="1"/>
      <c r="AN81" s="1"/>
      <c r="AO81" s="1"/>
      <c r="AP81" s="1"/>
      <c r="AQ81" s="1"/>
      <c r="AR81" s="1"/>
      <c r="AS81" s="1"/>
      <c r="AT81" s="1"/>
      <c r="AU81" s="2"/>
      <c r="AV81" s="1"/>
      <c r="AW81" s="1"/>
      <c r="AX81" s="1"/>
      <c r="AY81" s="1"/>
      <c r="AZ81" s="1"/>
      <c r="BA81" s="1"/>
      <c r="BB81" s="1"/>
      <c r="BC81" s="1"/>
      <c r="BD81" s="2"/>
      <c r="BE81" s="1"/>
      <c r="BF81" s="1"/>
      <c r="BG81" s="1"/>
      <c r="BH81" s="1"/>
      <c r="BI81" s="1"/>
      <c r="BJ81" s="1"/>
      <c r="BK81" s="1"/>
      <c r="BL81" s="1"/>
      <c r="BM81" s="2"/>
      <c r="BN81" s="1"/>
      <c r="BO81" s="1"/>
      <c r="BP81" s="1"/>
      <c r="BQ81" s="1"/>
      <c r="BR81" s="1"/>
      <c r="BS81" s="1"/>
      <c r="BT81" s="1"/>
      <c r="BU81" s="1"/>
      <c r="BV81" s="2"/>
      <c r="BW81" s="1"/>
      <c r="BX81" s="1"/>
      <c r="BY81" s="1"/>
      <c r="BZ81" s="1"/>
      <c r="CA81" s="1"/>
      <c r="CB81" s="1"/>
      <c r="CC81" s="1"/>
      <c r="CD81" s="1"/>
      <c r="CE81" s="2"/>
      <c r="CF81" s="1"/>
      <c r="CG81" s="1"/>
      <c r="CH81" s="1"/>
      <c r="CI81" s="1"/>
      <c r="CJ81" s="1"/>
      <c r="CK81" s="1"/>
      <c r="CL81" s="1"/>
    </row>
    <row r="82" spans="1:90" ht="14.65" x14ac:dyDescent="0.4">
      <c r="A82" s="1"/>
      <c r="B82" s="2"/>
      <c r="C82" s="1"/>
      <c r="D82" s="1"/>
      <c r="E82" s="1"/>
      <c r="F82" s="1"/>
      <c r="G82" s="1"/>
      <c r="H82" s="1"/>
      <c r="I82" s="1"/>
      <c r="J82" s="1"/>
      <c r="K82" s="2"/>
      <c r="L82" s="1"/>
      <c r="M82" s="1"/>
      <c r="N82" s="1"/>
      <c r="O82" s="1"/>
      <c r="P82" s="1"/>
      <c r="Q82" s="1"/>
      <c r="R82" s="1"/>
      <c r="S82" s="1"/>
      <c r="T82" s="2"/>
      <c r="U82" s="1"/>
      <c r="V82" s="1"/>
      <c r="W82" s="1"/>
      <c r="X82" s="1"/>
      <c r="Y82" s="1"/>
      <c r="Z82" s="1"/>
      <c r="AA82" s="1"/>
      <c r="AB82" s="1"/>
      <c r="AC82" s="2"/>
      <c r="AD82" s="1"/>
      <c r="AE82" s="1"/>
      <c r="AF82" s="1"/>
      <c r="AG82" s="1"/>
      <c r="AH82" s="1"/>
      <c r="AI82" s="1"/>
      <c r="AJ82" s="1"/>
      <c r="AK82" s="1"/>
      <c r="AL82" s="2"/>
      <c r="AM82" s="1"/>
      <c r="AN82" s="1"/>
      <c r="AO82" s="1"/>
      <c r="AP82" s="1"/>
      <c r="AQ82" s="1"/>
      <c r="AR82" s="1"/>
      <c r="AS82" s="1"/>
      <c r="AT82" s="1"/>
      <c r="AU82" s="2"/>
      <c r="AV82" s="1"/>
      <c r="AW82" s="1"/>
      <c r="AX82" s="1"/>
      <c r="AY82" s="1"/>
      <c r="AZ82" s="1"/>
      <c r="BA82" s="1"/>
      <c r="BB82" s="1"/>
      <c r="BC82" s="1"/>
      <c r="BD82" s="2"/>
      <c r="BE82" s="1"/>
      <c r="BF82" s="1"/>
      <c r="BG82" s="1"/>
      <c r="BH82" s="1"/>
      <c r="BI82" s="1"/>
      <c r="BJ82" s="1"/>
      <c r="BK82" s="1"/>
      <c r="BL82" s="1"/>
      <c r="BM82" s="2"/>
      <c r="BN82" s="1"/>
      <c r="BO82" s="1"/>
      <c r="BP82" s="1"/>
      <c r="BQ82" s="1"/>
      <c r="BR82" s="1"/>
      <c r="BS82" s="1"/>
      <c r="BT82" s="1"/>
      <c r="BU82" s="1"/>
      <c r="BV82" s="2"/>
      <c r="BW82" s="1"/>
      <c r="BX82" s="1"/>
      <c r="BY82" s="1"/>
      <c r="BZ82" s="1"/>
      <c r="CA82" s="1"/>
      <c r="CB82" s="1"/>
      <c r="CC82" s="1"/>
      <c r="CD82" s="1"/>
      <c r="CE82" s="2"/>
      <c r="CF82" s="1"/>
      <c r="CG82" s="1"/>
      <c r="CH82" s="1"/>
      <c r="CI82" s="1"/>
      <c r="CJ82" s="1"/>
      <c r="CK82" s="1"/>
      <c r="CL82" s="1"/>
    </row>
    <row r="83" spans="1:90" ht="14.65" x14ac:dyDescent="0.4">
      <c r="A83" s="1"/>
      <c r="B83" s="2"/>
      <c r="C83" s="1"/>
      <c r="D83" s="1"/>
      <c r="E83" s="1"/>
      <c r="F83" s="1"/>
      <c r="G83" s="1"/>
      <c r="H83" s="1"/>
      <c r="I83" s="1"/>
      <c r="J83" s="1"/>
      <c r="K83" s="2"/>
      <c r="L83" s="1"/>
      <c r="M83" s="1"/>
      <c r="N83" s="1"/>
      <c r="O83" s="1"/>
      <c r="P83" s="1"/>
      <c r="Q83" s="1"/>
      <c r="R83" s="1"/>
      <c r="S83" s="1"/>
      <c r="T83" s="2"/>
      <c r="U83" s="1"/>
      <c r="V83" s="1"/>
      <c r="W83" s="1"/>
      <c r="X83" s="1"/>
      <c r="Y83" s="1"/>
      <c r="Z83" s="1"/>
      <c r="AA83" s="1"/>
      <c r="AB83" s="1"/>
      <c r="AC83" s="2"/>
      <c r="AD83" s="1"/>
      <c r="AE83" s="1"/>
      <c r="AF83" s="1"/>
      <c r="AG83" s="1"/>
      <c r="AH83" s="1"/>
      <c r="AI83" s="1"/>
      <c r="AJ83" s="1"/>
      <c r="AK83" s="1"/>
      <c r="AL83" s="2"/>
      <c r="AM83" s="1"/>
      <c r="AN83" s="1"/>
      <c r="AO83" s="1"/>
      <c r="AP83" s="1"/>
      <c r="AQ83" s="1"/>
      <c r="AR83" s="1"/>
      <c r="AS83" s="1"/>
      <c r="AT83" s="1"/>
      <c r="AU83" s="2"/>
      <c r="AV83" s="1"/>
      <c r="AW83" s="1"/>
      <c r="AX83" s="1"/>
      <c r="AY83" s="1"/>
      <c r="AZ83" s="1"/>
      <c r="BA83" s="1"/>
      <c r="BB83" s="1"/>
      <c r="BC83" s="1"/>
      <c r="BD83" s="2"/>
      <c r="BE83" s="1"/>
      <c r="BF83" s="1"/>
      <c r="BG83" s="1"/>
      <c r="BH83" s="1"/>
      <c r="BI83" s="1"/>
      <c r="BJ83" s="1"/>
      <c r="BK83" s="1"/>
      <c r="BL83" s="1"/>
      <c r="BM83" s="2"/>
      <c r="BN83" s="1"/>
      <c r="BO83" s="1"/>
      <c r="BP83" s="1"/>
      <c r="BQ83" s="1"/>
      <c r="BR83" s="1"/>
      <c r="BS83" s="1"/>
      <c r="BT83" s="1"/>
      <c r="BU83" s="1"/>
      <c r="BV83" s="2"/>
      <c r="BW83" s="1"/>
      <c r="BX83" s="1"/>
      <c r="BY83" s="1"/>
      <c r="BZ83" s="1"/>
      <c r="CA83" s="1"/>
      <c r="CB83" s="1"/>
      <c r="CC83" s="1"/>
      <c r="CD83" s="1"/>
      <c r="CE83" s="2"/>
      <c r="CF83" s="1"/>
      <c r="CG83" s="1"/>
      <c r="CH83" s="1"/>
      <c r="CI83" s="1"/>
      <c r="CJ83" s="1"/>
      <c r="CK83" s="1"/>
      <c r="CL83" s="1"/>
    </row>
    <row r="84" spans="1:90" ht="14.65" x14ac:dyDescent="0.4">
      <c r="A84" s="1"/>
      <c r="B84" s="2"/>
      <c r="C84" s="1"/>
      <c r="D84" s="1"/>
      <c r="E84" s="1"/>
      <c r="F84" s="1"/>
      <c r="G84" s="1"/>
      <c r="H84" s="1"/>
      <c r="I84" s="1"/>
      <c r="J84" s="1"/>
      <c r="K84" s="2"/>
      <c r="L84" s="1"/>
      <c r="M84" s="1"/>
      <c r="N84" s="1"/>
      <c r="O84" s="1"/>
      <c r="P84" s="1"/>
      <c r="Q84" s="1"/>
      <c r="R84" s="1"/>
      <c r="S84" s="1"/>
      <c r="T84" s="2"/>
      <c r="U84" s="1"/>
      <c r="V84" s="1"/>
      <c r="W84" s="1"/>
      <c r="X84" s="1"/>
      <c r="Y84" s="1"/>
      <c r="Z84" s="1"/>
      <c r="AA84" s="1"/>
      <c r="AB84" s="1"/>
      <c r="AC84" s="2"/>
      <c r="AD84" s="1"/>
      <c r="AE84" s="1"/>
      <c r="AF84" s="1"/>
      <c r="AG84" s="1"/>
      <c r="AH84" s="1"/>
      <c r="AI84" s="1"/>
      <c r="AJ84" s="1"/>
      <c r="AK84" s="1"/>
      <c r="AL84" s="2"/>
      <c r="AM84" s="1"/>
      <c r="AN84" s="1"/>
      <c r="AO84" s="1"/>
      <c r="AP84" s="1"/>
      <c r="AQ84" s="1"/>
      <c r="AR84" s="1"/>
      <c r="AS84" s="1"/>
      <c r="AT84" s="1"/>
      <c r="AU84" s="2"/>
      <c r="AV84" s="1"/>
      <c r="AW84" s="1"/>
      <c r="AX84" s="1"/>
      <c r="AY84" s="1"/>
      <c r="AZ84" s="1"/>
      <c r="BA84" s="1"/>
      <c r="BB84" s="1"/>
      <c r="BC84" s="1"/>
      <c r="BD84" s="2"/>
      <c r="BE84" s="1"/>
      <c r="BF84" s="1"/>
      <c r="BG84" s="1"/>
      <c r="BH84" s="1"/>
      <c r="BI84" s="1"/>
      <c r="BJ84" s="1"/>
      <c r="BK84" s="1"/>
      <c r="BL84" s="1"/>
      <c r="BM84" s="2"/>
      <c r="BN84" s="1"/>
      <c r="BO84" s="1"/>
      <c r="BP84" s="1"/>
      <c r="BQ84" s="1"/>
      <c r="BR84" s="1"/>
      <c r="BS84" s="1"/>
      <c r="BT84" s="1"/>
      <c r="BU84" s="1"/>
      <c r="BV84" s="2"/>
      <c r="BW84" s="1"/>
      <c r="BX84" s="1"/>
      <c r="BY84" s="1"/>
      <c r="BZ84" s="1"/>
      <c r="CA84" s="1"/>
      <c r="CB84" s="1"/>
      <c r="CC84" s="1"/>
      <c r="CD84" s="1"/>
      <c r="CE84" s="2"/>
      <c r="CF84" s="1"/>
      <c r="CG84" s="1"/>
      <c r="CH84" s="1"/>
      <c r="CI84" s="1"/>
      <c r="CJ84" s="1"/>
      <c r="CK84" s="1"/>
      <c r="CL84" s="1"/>
    </row>
    <row r="85" spans="1:90" ht="14.65" x14ac:dyDescent="0.4">
      <c r="A85" s="1"/>
      <c r="B85" s="2"/>
      <c r="C85" s="1"/>
      <c r="D85" s="1"/>
      <c r="E85" s="1"/>
      <c r="F85" s="1"/>
      <c r="G85" s="1"/>
      <c r="H85" s="1"/>
      <c r="I85" s="1"/>
      <c r="J85" s="1"/>
      <c r="K85" s="2"/>
      <c r="L85" s="1"/>
      <c r="M85" s="1"/>
      <c r="N85" s="1"/>
      <c r="O85" s="1"/>
      <c r="P85" s="1"/>
      <c r="Q85" s="1"/>
      <c r="R85" s="1"/>
      <c r="S85" s="1"/>
      <c r="T85" s="2"/>
      <c r="U85" s="1"/>
      <c r="V85" s="1"/>
      <c r="W85" s="1"/>
      <c r="X85" s="1"/>
      <c r="Y85" s="1"/>
      <c r="Z85" s="1"/>
      <c r="AA85" s="1"/>
      <c r="AB85" s="1"/>
      <c r="AC85" s="2"/>
      <c r="AD85" s="1"/>
      <c r="AE85" s="1"/>
      <c r="AF85" s="1"/>
      <c r="AG85" s="1"/>
      <c r="AH85" s="1"/>
      <c r="AI85" s="1"/>
      <c r="AJ85" s="1"/>
      <c r="AK85" s="1"/>
      <c r="AL85" s="2"/>
      <c r="AM85" s="1"/>
      <c r="AN85" s="1"/>
      <c r="AO85" s="1"/>
      <c r="AP85" s="1"/>
      <c r="AQ85" s="1"/>
      <c r="AR85" s="1"/>
      <c r="AS85" s="1"/>
      <c r="AT85" s="1"/>
      <c r="AU85" s="2"/>
      <c r="AV85" s="1"/>
      <c r="AW85" s="1"/>
      <c r="AX85" s="1"/>
      <c r="AY85" s="1"/>
      <c r="AZ85" s="1"/>
      <c r="BA85" s="1"/>
      <c r="BB85" s="1"/>
      <c r="BC85" s="1"/>
      <c r="BD85" s="2"/>
      <c r="BE85" s="1"/>
      <c r="BF85" s="1"/>
      <c r="BG85" s="1"/>
      <c r="BH85" s="1"/>
      <c r="BI85" s="1"/>
      <c r="BJ85" s="1"/>
      <c r="BK85" s="1"/>
      <c r="BL85" s="1"/>
      <c r="BM85" s="2"/>
      <c r="BN85" s="1"/>
      <c r="BO85" s="1"/>
      <c r="BP85" s="1"/>
      <c r="BQ85" s="1"/>
      <c r="BR85" s="1"/>
      <c r="BS85" s="1"/>
      <c r="BT85" s="1"/>
      <c r="BU85" s="1"/>
      <c r="BV85" s="2"/>
      <c r="BW85" s="1"/>
      <c r="BX85" s="1"/>
      <c r="BY85" s="1"/>
      <c r="BZ85" s="1"/>
      <c r="CA85" s="1"/>
      <c r="CB85" s="1"/>
      <c r="CC85" s="1"/>
      <c r="CD85" s="1"/>
      <c r="CE85" s="2"/>
      <c r="CF85" s="1"/>
      <c r="CG85" s="1"/>
      <c r="CH85" s="1"/>
      <c r="CI85" s="1"/>
      <c r="CJ85" s="1"/>
      <c r="CK85" s="1"/>
      <c r="CL85" s="1"/>
    </row>
    <row r="86" spans="1:90" ht="14.65" x14ac:dyDescent="0.4">
      <c r="A86" s="1"/>
      <c r="B86" s="2"/>
      <c r="C86" s="1"/>
      <c r="D86" s="1"/>
      <c r="E86" s="1"/>
      <c r="F86" s="1"/>
      <c r="G86" s="1"/>
      <c r="H86" s="1"/>
      <c r="I86" s="1"/>
      <c r="J86" s="1"/>
      <c r="K86" s="2"/>
      <c r="L86" s="1"/>
      <c r="M86" s="1"/>
      <c r="N86" s="1"/>
      <c r="O86" s="1"/>
      <c r="P86" s="1"/>
      <c r="Q86" s="1"/>
      <c r="R86" s="1"/>
      <c r="S86" s="1"/>
      <c r="T86" s="2"/>
      <c r="U86" s="1"/>
      <c r="V86" s="1"/>
      <c r="W86" s="1"/>
      <c r="X86" s="1"/>
      <c r="Y86" s="1"/>
      <c r="Z86" s="1"/>
      <c r="AA86" s="1"/>
      <c r="AB86" s="1"/>
      <c r="AC86" s="2"/>
      <c r="AD86" s="1"/>
      <c r="AE86" s="1"/>
      <c r="AF86" s="1"/>
      <c r="AG86" s="1"/>
      <c r="AH86" s="1"/>
      <c r="AI86" s="1"/>
      <c r="AJ86" s="1"/>
      <c r="AK86" s="1"/>
      <c r="AL86" s="2"/>
      <c r="AM86" s="1"/>
      <c r="AN86" s="1"/>
      <c r="AO86" s="1"/>
      <c r="AP86" s="1"/>
      <c r="AQ86" s="1"/>
      <c r="AR86" s="1"/>
      <c r="AS86" s="1"/>
      <c r="AT86" s="1"/>
      <c r="AU86" s="2"/>
      <c r="AV86" s="1"/>
      <c r="AW86" s="1"/>
      <c r="AX86" s="1"/>
      <c r="AY86" s="1"/>
      <c r="AZ86" s="1"/>
      <c r="BA86" s="1"/>
      <c r="BB86" s="1"/>
      <c r="BC86" s="1"/>
      <c r="BD86" s="2"/>
      <c r="BE86" s="1"/>
      <c r="BF86" s="1"/>
      <c r="BG86" s="1"/>
      <c r="BH86" s="1"/>
      <c r="BI86" s="1"/>
      <c r="BJ86" s="1"/>
      <c r="BK86" s="1"/>
      <c r="BL86" s="1"/>
      <c r="BM86" s="2"/>
      <c r="BN86" s="1"/>
      <c r="BO86" s="1"/>
      <c r="BP86" s="1"/>
      <c r="BQ86" s="1"/>
      <c r="BR86" s="1"/>
      <c r="BS86" s="1"/>
      <c r="BT86" s="1"/>
      <c r="BU86" s="1"/>
      <c r="BV86" s="2"/>
      <c r="BW86" s="1"/>
      <c r="BX86" s="1"/>
      <c r="BY86" s="1"/>
      <c r="BZ86" s="1"/>
      <c r="CA86" s="1"/>
      <c r="CB86" s="1"/>
      <c r="CC86" s="1"/>
      <c r="CD86" s="1"/>
      <c r="CE86" s="2"/>
      <c r="CF86" s="1"/>
      <c r="CG86" s="1"/>
      <c r="CH86" s="1"/>
      <c r="CI86" s="1"/>
      <c r="CJ86" s="1"/>
      <c r="CK86" s="1"/>
      <c r="CL86" s="1"/>
    </row>
    <row r="87" spans="1:90" ht="14.65" x14ac:dyDescent="0.4">
      <c r="A87" s="1"/>
      <c r="B87" s="2"/>
      <c r="C87" s="1"/>
      <c r="D87" s="1"/>
      <c r="E87" s="1"/>
      <c r="F87" s="1"/>
      <c r="G87" s="1"/>
      <c r="H87" s="1"/>
      <c r="I87" s="1"/>
      <c r="J87" s="1"/>
      <c r="K87" s="2"/>
      <c r="L87" s="1"/>
      <c r="M87" s="1"/>
      <c r="N87" s="1"/>
      <c r="O87" s="1"/>
      <c r="P87" s="1"/>
      <c r="Q87" s="1"/>
      <c r="R87" s="1"/>
      <c r="S87" s="1"/>
      <c r="T87" s="2"/>
      <c r="U87" s="1"/>
      <c r="V87" s="1"/>
      <c r="W87" s="1"/>
      <c r="X87" s="1"/>
      <c r="Y87" s="1"/>
      <c r="Z87" s="1"/>
      <c r="AA87" s="1"/>
      <c r="AB87" s="1"/>
      <c r="AC87" s="2"/>
      <c r="AD87" s="1"/>
      <c r="AE87" s="1"/>
      <c r="AF87" s="1"/>
      <c r="AG87" s="1"/>
      <c r="AH87" s="1"/>
      <c r="AI87" s="1"/>
      <c r="AJ87" s="1"/>
      <c r="AK87" s="1"/>
      <c r="AL87" s="2"/>
      <c r="AM87" s="1"/>
      <c r="AN87" s="1"/>
      <c r="AO87" s="1"/>
      <c r="AP87" s="1"/>
      <c r="AQ87" s="1"/>
      <c r="AR87" s="1"/>
      <c r="AS87" s="1"/>
      <c r="AT87" s="1"/>
      <c r="AU87" s="2"/>
      <c r="AV87" s="1"/>
      <c r="AW87" s="1"/>
      <c r="AX87" s="1"/>
      <c r="AY87" s="1"/>
      <c r="AZ87" s="1"/>
      <c r="BA87" s="1"/>
      <c r="BB87" s="1"/>
      <c r="BC87" s="1"/>
      <c r="BD87" s="2"/>
      <c r="BE87" s="1"/>
      <c r="BF87" s="1"/>
      <c r="BG87" s="1"/>
      <c r="BH87" s="1"/>
      <c r="BI87" s="1"/>
      <c r="BJ87" s="1"/>
      <c r="BK87" s="1"/>
      <c r="BL87" s="1"/>
      <c r="BM87" s="2"/>
      <c r="BN87" s="1"/>
      <c r="BO87" s="1"/>
      <c r="BP87" s="1"/>
      <c r="BQ87" s="1"/>
      <c r="BR87" s="1"/>
      <c r="BS87" s="1"/>
      <c r="BT87" s="1"/>
      <c r="BU87" s="1"/>
      <c r="BV87" s="2"/>
      <c r="BW87" s="1"/>
      <c r="BX87" s="1"/>
      <c r="BY87" s="1"/>
      <c r="BZ87" s="1"/>
      <c r="CA87" s="1"/>
      <c r="CB87" s="1"/>
      <c r="CC87" s="1"/>
      <c r="CD87" s="1"/>
      <c r="CE87" s="2"/>
      <c r="CF87" s="1"/>
      <c r="CG87" s="1"/>
      <c r="CH87" s="1"/>
      <c r="CI87" s="1"/>
      <c r="CJ87" s="1"/>
      <c r="CK87" s="1"/>
      <c r="CL87" s="1"/>
    </row>
    <row r="88" spans="1:90" ht="14.65" x14ac:dyDescent="0.4">
      <c r="A88" s="1"/>
      <c r="B88" s="2"/>
      <c r="C88" s="1"/>
      <c r="D88" s="1"/>
      <c r="E88" s="1"/>
      <c r="F88" s="1"/>
      <c r="G88" s="1"/>
      <c r="H88" s="1"/>
      <c r="I88" s="1"/>
      <c r="J88" s="1"/>
      <c r="K88" s="2"/>
      <c r="L88" s="1"/>
      <c r="M88" s="1"/>
      <c r="N88" s="1"/>
      <c r="O88" s="1"/>
      <c r="P88" s="1"/>
      <c r="Q88" s="1"/>
      <c r="R88" s="1"/>
      <c r="S88" s="1"/>
      <c r="T88" s="2"/>
      <c r="U88" s="2"/>
      <c r="V88" s="1"/>
      <c r="W88" s="1"/>
      <c r="X88" s="1"/>
      <c r="Y88" s="1"/>
      <c r="Z88" s="1"/>
      <c r="AA88" s="1"/>
      <c r="AB88" s="1"/>
      <c r="AC88" s="2"/>
      <c r="AD88" s="1"/>
      <c r="AE88" s="1"/>
      <c r="AF88" s="1"/>
      <c r="AG88" s="1"/>
      <c r="AH88" s="1"/>
      <c r="AI88" s="1"/>
      <c r="AJ88" s="1"/>
      <c r="AK88" s="1"/>
      <c r="AL88" s="2"/>
      <c r="AM88" s="1"/>
      <c r="AN88" s="1"/>
      <c r="AO88" s="1"/>
      <c r="AP88" s="1"/>
      <c r="AQ88" s="1"/>
      <c r="AR88" s="1"/>
      <c r="AS88" s="1"/>
      <c r="AT88" s="1"/>
      <c r="AU88" s="2"/>
      <c r="AV88" s="1"/>
      <c r="AW88" s="1"/>
      <c r="AX88" s="1"/>
      <c r="AY88" s="1"/>
      <c r="AZ88" s="1"/>
      <c r="BA88" s="1"/>
      <c r="BB88" s="1"/>
      <c r="BC88" s="1"/>
      <c r="BD88" s="2"/>
      <c r="BE88" s="1"/>
      <c r="BF88" s="1"/>
      <c r="BG88" s="1"/>
      <c r="BH88" s="1"/>
      <c r="BI88" s="1"/>
      <c r="BJ88" s="1"/>
      <c r="BK88" s="1"/>
      <c r="BL88" s="1"/>
      <c r="BM88" s="2"/>
      <c r="BN88" s="1"/>
      <c r="BO88" s="1"/>
      <c r="BP88" s="1"/>
      <c r="BQ88" s="1"/>
      <c r="BR88" s="1"/>
      <c r="BS88" s="1"/>
      <c r="BT88" s="1"/>
      <c r="BU88" s="1"/>
      <c r="BV88" s="2"/>
      <c r="BW88" s="1"/>
      <c r="BX88" s="1"/>
      <c r="BY88" s="1"/>
      <c r="BZ88" s="1"/>
      <c r="CA88" s="1"/>
      <c r="CB88" s="1"/>
      <c r="CC88" s="1"/>
      <c r="CD88" s="1"/>
      <c r="CE88" s="2"/>
      <c r="CF88" s="1"/>
      <c r="CG88" s="1"/>
      <c r="CH88" s="1"/>
      <c r="CI88" s="1"/>
      <c r="CJ88" s="1"/>
      <c r="CK88" s="1"/>
      <c r="CL88" s="1"/>
    </row>
    <row r="89" spans="1:90" ht="14.65" x14ac:dyDescent="0.4">
      <c r="A89" s="1"/>
      <c r="B89" s="2"/>
      <c r="C89" s="1"/>
      <c r="D89" s="1"/>
      <c r="E89" s="1"/>
      <c r="F89" s="1"/>
      <c r="G89" s="1"/>
      <c r="H89" s="1"/>
      <c r="I89" s="1"/>
      <c r="J89" s="1"/>
      <c r="K89" s="2"/>
      <c r="L89" s="1"/>
      <c r="M89" s="1"/>
      <c r="N89" s="1"/>
      <c r="O89" s="1"/>
      <c r="P89" s="1"/>
      <c r="Q89" s="1"/>
      <c r="R89" s="1"/>
      <c r="S89" s="1"/>
      <c r="T89" s="2"/>
      <c r="U89" s="2"/>
      <c r="V89" s="1"/>
      <c r="W89" s="1"/>
      <c r="X89" s="1"/>
      <c r="Y89" s="1"/>
      <c r="Z89" s="1"/>
      <c r="AA89" s="1"/>
      <c r="AB89" s="1"/>
      <c r="AC89" s="2"/>
      <c r="AD89" s="1"/>
      <c r="AE89" s="1"/>
      <c r="AF89" s="1"/>
      <c r="AG89" s="1"/>
      <c r="AH89" s="1"/>
      <c r="AI89" s="1"/>
      <c r="AJ89" s="1"/>
      <c r="AK89" s="1"/>
      <c r="AL89" s="2"/>
      <c r="AM89" s="1"/>
      <c r="AN89" s="1"/>
      <c r="AO89" s="1"/>
      <c r="AP89" s="1"/>
      <c r="AQ89" s="1"/>
      <c r="AR89" s="1"/>
      <c r="AS89" s="1"/>
      <c r="AT89" s="1"/>
      <c r="AU89" s="2"/>
      <c r="AV89" s="1"/>
      <c r="AW89" s="1"/>
      <c r="AX89" s="1"/>
      <c r="AY89" s="1"/>
      <c r="AZ89" s="1"/>
      <c r="BA89" s="1"/>
      <c r="BB89" s="1"/>
      <c r="BC89" s="1"/>
      <c r="BD89" s="2"/>
      <c r="BE89" s="1"/>
      <c r="BF89" s="1"/>
      <c r="BG89" s="1"/>
      <c r="BH89" s="1"/>
      <c r="BI89" s="1"/>
      <c r="BJ89" s="1"/>
      <c r="BK89" s="1"/>
      <c r="BL89" s="1"/>
      <c r="BM89" s="2"/>
      <c r="BN89" s="1"/>
      <c r="BO89" s="1"/>
      <c r="BP89" s="1"/>
      <c r="BQ89" s="1"/>
      <c r="BR89" s="1"/>
      <c r="BS89" s="1"/>
      <c r="BT89" s="1"/>
      <c r="BU89" s="1"/>
      <c r="BV89" s="2"/>
      <c r="BW89" s="1"/>
      <c r="BX89" s="1"/>
      <c r="BY89" s="1"/>
      <c r="BZ89" s="1"/>
      <c r="CA89" s="1"/>
      <c r="CB89" s="1"/>
      <c r="CC89" s="1"/>
      <c r="CD89" s="1"/>
      <c r="CE89" s="2"/>
      <c r="CF89" s="1"/>
      <c r="CG89" s="1"/>
      <c r="CH89" s="1"/>
      <c r="CI89" s="1"/>
      <c r="CJ89" s="1"/>
      <c r="CK89" s="1"/>
      <c r="CL89" s="1"/>
    </row>
    <row r="90" spans="1:90" ht="14.65" x14ac:dyDescent="0.4">
      <c r="A90" s="1"/>
      <c r="B90" s="2"/>
      <c r="C90" s="1"/>
      <c r="D90" s="1"/>
      <c r="E90" s="1"/>
      <c r="F90" s="1"/>
      <c r="G90" s="1"/>
      <c r="H90" s="1"/>
      <c r="I90" s="1"/>
      <c r="J90" s="1"/>
      <c r="K90" s="2"/>
      <c r="L90" s="1"/>
      <c r="M90" s="1"/>
      <c r="N90" s="1"/>
      <c r="O90" s="1"/>
      <c r="P90" s="1"/>
      <c r="Q90" s="1"/>
      <c r="R90" s="1"/>
      <c r="S90" s="1"/>
      <c r="T90" s="2"/>
      <c r="U90" s="1"/>
      <c r="V90" s="1"/>
      <c r="W90" s="1"/>
      <c r="X90" s="1"/>
      <c r="Y90" s="1"/>
      <c r="Z90" s="1"/>
      <c r="AA90" s="1"/>
      <c r="AB90" s="1"/>
      <c r="AC90" s="2"/>
      <c r="AD90" s="1"/>
      <c r="AE90" s="1"/>
      <c r="AF90" s="1"/>
      <c r="AG90" s="1"/>
      <c r="AH90" s="1"/>
      <c r="AI90" s="1"/>
      <c r="AJ90" s="1"/>
      <c r="AK90" s="1"/>
      <c r="AL90" s="2"/>
      <c r="AM90" s="1"/>
      <c r="AN90" s="1"/>
      <c r="AO90" s="1"/>
      <c r="AP90" s="1"/>
      <c r="AQ90" s="1"/>
      <c r="AR90" s="1"/>
      <c r="AS90" s="1"/>
      <c r="AT90" s="1"/>
      <c r="AU90" s="2"/>
      <c r="AV90" s="1"/>
      <c r="AW90" s="1"/>
      <c r="AX90" s="1"/>
      <c r="AY90" s="1"/>
      <c r="AZ90" s="1"/>
      <c r="BA90" s="1"/>
      <c r="BB90" s="1"/>
      <c r="BC90" s="1"/>
      <c r="BD90" s="2"/>
      <c r="BE90" s="1"/>
      <c r="BF90" s="1"/>
      <c r="BG90" s="1"/>
      <c r="BH90" s="1"/>
      <c r="BI90" s="1"/>
      <c r="BJ90" s="1"/>
      <c r="BK90" s="1"/>
      <c r="BL90" s="1"/>
      <c r="BM90" s="2"/>
      <c r="BN90" s="1"/>
      <c r="BO90" s="1"/>
      <c r="BP90" s="1"/>
      <c r="BQ90" s="1"/>
      <c r="BR90" s="1"/>
      <c r="BS90" s="1"/>
      <c r="BT90" s="1"/>
      <c r="BU90" s="1"/>
      <c r="BV90" s="2"/>
      <c r="BW90" s="1"/>
      <c r="BX90" s="1"/>
      <c r="BY90" s="1"/>
      <c r="BZ90" s="1"/>
      <c r="CA90" s="1"/>
      <c r="CB90" s="1"/>
      <c r="CC90" s="1"/>
      <c r="CD90" s="1"/>
      <c r="CE90" s="2"/>
      <c r="CF90" s="1"/>
      <c r="CG90" s="1"/>
      <c r="CH90" s="1"/>
      <c r="CI90" s="1"/>
      <c r="CJ90" s="1"/>
      <c r="CK90" s="1"/>
      <c r="CL90" s="1"/>
    </row>
    <row r="91" spans="1:90" ht="14.65" x14ac:dyDescent="0.4">
      <c r="A91" s="1"/>
      <c r="B91" s="2"/>
      <c r="C91" s="1"/>
      <c r="D91" s="1"/>
      <c r="E91" s="1"/>
      <c r="F91" s="1"/>
      <c r="G91" s="1"/>
      <c r="H91" s="1"/>
      <c r="I91" s="1"/>
      <c r="J91" s="1"/>
      <c r="K91" s="2"/>
      <c r="L91" s="1"/>
      <c r="M91" s="1"/>
      <c r="N91" s="1"/>
      <c r="O91" s="1"/>
      <c r="P91" s="1"/>
      <c r="Q91" s="1"/>
      <c r="R91" s="1"/>
      <c r="S91" s="1"/>
      <c r="T91" s="2"/>
      <c r="U91" s="1"/>
      <c r="V91" s="1"/>
      <c r="W91" s="1"/>
      <c r="X91" s="1"/>
      <c r="Y91" s="1"/>
      <c r="Z91" s="1"/>
      <c r="AA91" s="1"/>
      <c r="AB91" s="1"/>
      <c r="AC91" s="2"/>
      <c r="AD91" s="1"/>
      <c r="AE91" s="1"/>
      <c r="AF91" s="1"/>
      <c r="AG91" s="1"/>
      <c r="AH91" s="1"/>
      <c r="AI91" s="1"/>
      <c r="AJ91" s="1"/>
      <c r="AK91" s="1"/>
      <c r="AL91" s="2"/>
      <c r="AM91" s="1"/>
      <c r="AN91" s="1"/>
      <c r="AO91" s="1"/>
      <c r="AP91" s="1"/>
      <c r="AQ91" s="1"/>
      <c r="AR91" s="1"/>
      <c r="AS91" s="1"/>
      <c r="AT91" s="1"/>
      <c r="AU91" s="2"/>
      <c r="AV91" s="1"/>
      <c r="AW91" s="1"/>
      <c r="AX91" s="1"/>
      <c r="AY91" s="1"/>
      <c r="AZ91" s="1"/>
      <c r="BA91" s="1"/>
      <c r="BB91" s="1"/>
      <c r="BC91" s="1"/>
      <c r="BD91" s="2"/>
      <c r="BE91" s="1"/>
      <c r="BF91" s="1"/>
      <c r="BG91" s="1"/>
      <c r="BH91" s="1"/>
      <c r="BI91" s="1"/>
      <c r="BJ91" s="1"/>
      <c r="BK91" s="1"/>
      <c r="BL91" s="1"/>
      <c r="BM91" s="2"/>
      <c r="BN91" s="1"/>
      <c r="BO91" s="1"/>
      <c r="BP91" s="1"/>
      <c r="BQ91" s="1"/>
      <c r="BR91" s="1"/>
      <c r="BS91" s="1"/>
      <c r="BT91" s="1"/>
      <c r="BU91" s="1"/>
      <c r="BV91" s="2"/>
      <c r="BW91" s="1"/>
      <c r="BX91" s="1"/>
      <c r="BY91" s="1"/>
      <c r="BZ91" s="1"/>
      <c r="CA91" s="1"/>
      <c r="CB91" s="1"/>
      <c r="CC91" s="1"/>
      <c r="CD91" s="1"/>
      <c r="CE91" s="2"/>
      <c r="CF91" s="1"/>
      <c r="CG91" s="1"/>
      <c r="CH91" s="1"/>
      <c r="CI91" s="1"/>
      <c r="CJ91" s="1"/>
      <c r="CK91" s="1"/>
      <c r="CL91" s="1"/>
    </row>
    <row r="92" spans="1:90" ht="14.65" x14ac:dyDescent="0.4">
      <c r="A92" s="1"/>
      <c r="B92" s="2"/>
      <c r="C92" s="1"/>
      <c r="D92" s="1"/>
      <c r="E92" s="1"/>
      <c r="F92" s="1"/>
      <c r="G92" s="1"/>
      <c r="H92" s="1"/>
      <c r="I92" s="1"/>
      <c r="J92" s="1"/>
      <c r="K92" s="2"/>
      <c r="L92" s="1"/>
      <c r="M92" s="1"/>
      <c r="N92" s="1"/>
      <c r="O92" s="1"/>
      <c r="P92" s="1"/>
      <c r="Q92" s="1"/>
      <c r="R92" s="1"/>
      <c r="S92" s="1"/>
      <c r="T92" s="2"/>
      <c r="U92" s="1"/>
      <c r="V92" s="1"/>
      <c r="W92" s="1"/>
      <c r="X92" s="1"/>
      <c r="Y92" s="1"/>
      <c r="Z92" s="1"/>
      <c r="AA92" s="1"/>
      <c r="AB92" s="1"/>
      <c r="AC92" s="2"/>
      <c r="AD92" s="1"/>
      <c r="AE92" s="1"/>
      <c r="AF92" s="1"/>
      <c r="AG92" s="1"/>
      <c r="AH92" s="1"/>
      <c r="AI92" s="1"/>
      <c r="AJ92" s="1"/>
      <c r="AK92" s="1"/>
      <c r="AL92" s="2"/>
      <c r="AM92" s="1"/>
      <c r="AN92" s="1"/>
      <c r="AO92" s="1"/>
      <c r="AP92" s="1"/>
      <c r="AQ92" s="1"/>
      <c r="AR92" s="1"/>
      <c r="AS92" s="1"/>
      <c r="AT92" s="1"/>
      <c r="AU92" s="2"/>
      <c r="AV92" s="1"/>
      <c r="AW92" s="1"/>
      <c r="AX92" s="1"/>
      <c r="AY92" s="1"/>
      <c r="AZ92" s="1"/>
      <c r="BA92" s="1"/>
      <c r="BB92" s="1"/>
      <c r="BC92" s="1"/>
      <c r="BD92" s="2"/>
      <c r="BE92" s="1"/>
      <c r="BF92" s="1"/>
      <c r="BG92" s="1"/>
      <c r="BH92" s="1"/>
      <c r="BI92" s="1"/>
      <c r="BJ92" s="1"/>
      <c r="BK92" s="1"/>
      <c r="BL92" s="1"/>
      <c r="BM92" s="2"/>
      <c r="BN92" s="1"/>
      <c r="BO92" s="1"/>
      <c r="BP92" s="1"/>
      <c r="BQ92" s="1"/>
      <c r="BR92" s="1"/>
      <c r="BS92" s="1"/>
      <c r="BT92" s="1"/>
      <c r="BU92" s="1"/>
      <c r="BV92" s="2"/>
      <c r="BW92" s="1"/>
      <c r="BX92" s="1"/>
      <c r="BY92" s="1"/>
      <c r="BZ92" s="1"/>
      <c r="CA92" s="1"/>
      <c r="CB92" s="1"/>
      <c r="CC92" s="1"/>
      <c r="CD92" s="1"/>
      <c r="CE92" s="2"/>
      <c r="CF92" s="1"/>
      <c r="CG92" s="1"/>
      <c r="CH92" s="1"/>
      <c r="CI92" s="1"/>
      <c r="CJ92" s="1"/>
      <c r="CK92" s="1"/>
      <c r="CL92" s="1"/>
    </row>
    <row r="93" spans="1:90" ht="14.65" x14ac:dyDescent="0.4">
      <c r="A93" s="1"/>
      <c r="B93" s="2"/>
      <c r="C93" s="1"/>
      <c r="D93" s="1"/>
      <c r="E93" s="1"/>
      <c r="F93" s="1"/>
      <c r="G93" s="1"/>
      <c r="H93" s="1"/>
      <c r="I93" s="1"/>
      <c r="J93" s="1"/>
      <c r="K93" s="2"/>
      <c r="L93" s="1"/>
      <c r="M93" s="1"/>
      <c r="N93" s="1"/>
      <c r="O93" s="1"/>
      <c r="P93" s="1"/>
      <c r="Q93" s="1"/>
      <c r="R93" s="1"/>
      <c r="S93" s="1"/>
      <c r="T93" s="2"/>
      <c r="U93" s="1"/>
      <c r="V93" s="1"/>
      <c r="W93" s="1"/>
      <c r="X93" s="1"/>
      <c r="Y93" s="1"/>
      <c r="Z93" s="1"/>
      <c r="AA93" s="1"/>
      <c r="AB93" s="1"/>
      <c r="AC93" s="2"/>
      <c r="AD93" s="1"/>
      <c r="AE93" s="1"/>
      <c r="AF93" s="1"/>
      <c r="AG93" s="1"/>
      <c r="AH93" s="1"/>
      <c r="AI93" s="1"/>
      <c r="AJ93" s="1"/>
      <c r="AK93" s="1"/>
      <c r="AL93" s="2"/>
      <c r="AM93" s="1"/>
      <c r="AN93" s="1"/>
      <c r="AO93" s="1"/>
      <c r="AP93" s="1"/>
      <c r="AQ93" s="1"/>
      <c r="AR93" s="1"/>
      <c r="AS93" s="1"/>
      <c r="AT93" s="1"/>
      <c r="AU93" s="2"/>
      <c r="AV93" s="1"/>
      <c r="AW93" s="1"/>
      <c r="AX93" s="1"/>
      <c r="AY93" s="1"/>
      <c r="AZ93" s="1"/>
      <c r="BA93" s="1"/>
      <c r="BB93" s="1"/>
      <c r="BC93" s="1"/>
      <c r="BD93" s="2"/>
      <c r="BE93" s="1"/>
      <c r="BF93" s="1"/>
      <c r="BG93" s="1"/>
      <c r="BH93" s="1"/>
      <c r="BI93" s="1"/>
      <c r="BJ93" s="1"/>
      <c r="BK93" s="1"/>
      <c r="BL93" s="1"/>
      <c r="BM93" s="2"/>
      <c r="BN93" s="1"/>
      <c r="BO93" s="1"/>
      <c r="BP93" s="1"/>
      <c r="BQ93" s="1"/>
      <c r="BR93" s="1"/>
      <c r="BS93" s="1"/>
      <c r="BT93" s="1"/>
      <c r="BU93" s="1"/>
      <c r="BV93" s="2"/>
      <c r="BW93" s="1"/>
      <c r="BX93" s="1"/>
      <c r="BY93" s="1"/>
      <c r="BZ93" s="1"/>
      <c r="CA93" s="1"/>
      <c r="CB93" s="1"/>
      <c r="CC93" s="1"/>
      <c r="CD93" s="1"/>
      <c r="CE93" s="2"/>
      <c r="CF93" s="1"/>
      <c r="CG93" s="1"/>
      <c r="CH93" s="1"/>
      <c r="CI93" s="1"/>
      <c r="CJ93" s="1"/>
      <c r="CK93" s="1"/>
      <c r="CL93" s="1"/>
    </row>
    <row r="94" spans="1:90" ht="14.65" x14ac:dyDescent="0.4">
      <c r="A94" s="1"/>
      <c r="B94" s="2"/>
      <c r="C94" s="1"/>
      <c r="D94" s="1"/>
      <c r="E94" s="1"/>
      <c r="F94" s="1"/>
      <c r="G94" s="1"/>
      <c r="H94" s="1"/>
      <c r="I94" s="1"/>
      <c r="J94" s="1"/>
      <c r="K94" s="2"/>
      <c r="L94" s="1"/>
      <c r="M94" s="1"/>
      <c r="N94" s="1"/>
      <c r="O94" s="1"/>
      <c r="P94" s="1"/>
      <c r="Q94" s="1"/>
      <c r="R94" s="1"/>
      <c r="S94" s="1"/>
      <c r="T94" s="2"/>
      <c r="U94" s="1"/>
      <c r="V94" s="1"/>
      <c r="W94" s="1"/>
      <c r="X94" s="1"/>
      <c r="Y94" s="1"/>
      <c r="Z94" s="1"/>
      <c r="AA94" s="1"/>
      <c r="AB94" s="1"/>
      <c r="AC94" s="2"/>
      <c r="AD94" s="1"/>
      <c r="AE94" s="1"/>
      <c r="AF94" s="1"/>
      <c r="AG94" s="1"/>
      <c r="AH94" s="1"/>
      <c r="AI94" s="1"/>
      <c r="AJ94" s="1"/>
      <c r="AK94" s="1"/>
      <c r="AL94" s="2"/>
      <c r="AM94" s="1"/>
      <c r="AN94" s="1"/>
      <c r="AO94" s="1"/>
      <c r="AP94" s="1"/>
      <c r="AQ94" s="1"/>
      <c r="AR94" s="1"/>
      <c r="AS94" s="1"/>
      <c r="AT94" s="1"/>
      <c r="AU94" s="2"/>
      <c r="AV94" s="1"/>
      <c r="AW94" s="1"/>
      <c r="AX94" s="1"/>
      <c r="AY94" s="1"/>
      <c r="AZ94" s="1"/>
      <c r="BA94" s="1"/>
      <c r="BB94" s="1"/>
      <c r="BC94" s="1"/>
      <c r="BD94" s="2"/>
      <c r="BE94" s="1"/>
      <c r="BF94" s="1"/>
      <c r="BG94" s="1"/>
      <c r="BH94" s="1"/>
      <c r="BI94" s="1"/>
      <c r="BJ94" s="1"/>
      <c r="BK94" s="1"/>
      <c r="BL94" s="1"/>
      <c r="BM94" s="2"/>
      <c r="BN94" s="1"/>
      <c r="BO94" s="1"/>
      <c r="BP94" s="1"/>
      <c r="BQ94" s="1"/>
      <c r="BR94" s="1"/>
      <c r="BS94" s="1"/>
      <c r="BT94" s="1"/>
      <c r="BU94" s="1"/>
      <c r="BV94" s="2"/>
      <c r="BW94" s="1"/>
      <c r="BX94" s="1"/>
      <c r="BY94" s="1"/>
      <c r="BZ94" s="1"/>
      <c r="CA94" s="1"/>
      <c r="CB94" s="1"/>
      <c r="CC94" s="1"/>
      <c r="CD94" s="1"/>
      <c r="CE94" s="2"/>
      <c r="CF94" s="1"/>
      <c r="CG94" s="1"/>
      <c r="CH94" s="1"/>
      <c r="CI94" s="1"/>
      <c r="CJ94" s="1"/>
      <c r="CK94" s="1"/>
      <c r="CL94" s="1"/>
    </row>
    <row r="95" spans="1:90" ht="14.65" x14ac:dyDescent="0.4">
      <c r="A95" s="1"/>
      <c r="B95" s="2"/>
      <c r="C95" s="1"/>
      <c r="D95" s="1"/>
      <c r="E95" s="1"/>
      <c r="F95" s="1"/>
      <c r="G95" s="1"/>
      <c r="H95" s="1"/>
      <c r="I95" s="1"/>
      <c r="J95" s="1"/>
      <c r="K95" s="2"/>
      <c r="L95" s="1"/>
      <c r="M95" s="1"/>
      <c r="N95" s="1"/>
      <c r="O95" s="1"/>
      <c r="P95" s="1"/>
      <c r="Q95" s="1"/>
      <c r="R95" s="1"/>
      <c r="S95" s="1"/>
      <c r="T95" s="2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1"/>
      <c r="AI95" s="1"/>
      <c r="AJ95" s="1"/>
      <c r="AK95" s="1"/>
      <c r="AL95" s="2"/>
      <c r="AM95" s="1"/>
      <c r="AN95" s="1"/>
      <c r="AO95" s="1"/>
      <c r="AP95" s="1"/>
      <c r="AQ95" s="1"/>
      <c r="AR95" s="1"/>
      <c r="AS95" s="1"/>
      <c r="AT95" s="1"/>
      <c r="AU95" s="2"/>
      <c r="AV95" s="1"/>
      <c r="AW95" s="1"/>
      <c r="AX95" s="1"/>
      <c r="AY95" s="1"/>
      <c r="AZ95" s="1"/>
      <c r="BA95" s="1"/>
      <c r="BB95" s="1"/>
      <c r="BC95" s="1"/>
      <c r="BD95" s="2"/>
      <c r="BE95" s="1"/>
      <c r="BF95" s="1"/>
      <c r="BG95" s="1"/>
      <c r="BH95" s="1"/>
      <c r="BI95" s="1"/>
      <c r="BJ95" s="1"/>
      <c r="BK95" s="1"/>
      <c r="BL95" s="1"/>
      <c r="BM95" s="2"/>
      <c r="BN95" s="1"/>
      <c r="BO95" s="1"/>
      <c r="BP95" s="1"/>
      <c r="BQ95" s="1"/>
      <c r="BR95" s="1"/>
      <c r="BS95" s="1"/>
      <c r="BT95" s="1"/>
      <c r="BU95" s="1"/>
      <c r="BV95" s="2"/>
      <c r="BW95" s="1"/>
      <c r="BX95" s="1"/>
      <c r="BY95" s="1"/>
      <c r="BZ95" s="1"/>
      <c r="CA95" s="1"/>
      <c r="CB95" s="1"/>
      <c r="CC95" s="1"/>
      <c r="CD95" s="1"/>
      <c r="CE95" s="2"/>
      <c r="CF95" s="1"/>
      <c r="CG95" s="1"/>
      <c r="CH95" s="1"/>
      <c r="CI95" s="1"/>
      <c r="CJ95" s="1"/>
      <c r="CK95" s="1"/>
      <c r="CL95" s="1"/>
    </row>
    <row r="96" spans="1:90" ht="14.65" x14ac:dyDescent="0.4">
      <c r="A96" s="1"/>
      <c r="B96" s="2"/>
      <c r="C96" s="1"/>
      <c r="D96" s="1"/>
      <c r="E96" s="1"/>
      <c r="F96" s="1"/>
      <c r="G96" s="1"/>
      <c r="H96" s="1"/>
      <c r="I96" s="1"/>
      <c r="J96" s="1"/>
      <c r="K96" s="2"/>
      <c r="L96" s="1"/>
      <c r="M96" s="1"/>
      <c r="N96" s="1"/>
      <c r="O96" s="1"/>
      <c r="P96" s="1"/>
      <c r="Q96" s="1"/>
      <c r="R96" s="1"/>
      <c r="S96" s="1"/>
      <c r="T96" s="2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1"/>
      <c r="AI96" s="1"/>
      <c r="AJ96" s="1"/>
      <c r="AK96" s="1"/>
      <c r="AL96" s="2"/>
      <c r="AM96" s="1"/>
      <c r="AN96" s="1"/>
      <c r="AO96" s="1"/>
      <c r="AP96" s="1"/>
      <c r="AQ96" s="1"/>
      <c r="AR96" s="1"/>
      <c r="AS96" s="1"/>
      <c r="AT96" s="1"/>
      <c r="AU96" s="2"/>
      <c r="AV96" s="1"/>
      <c r="AW96" s="1"/>
      <c r="AX96" s="1"/>
      <c r="AY96" s="1"/>
      <c r="AZ96" s="1"/>
      <c r="BA96" s="1"/>
      <c r="BB96" s="1"/>
      <c r="BC96" s="1"/>
      <c r="BD96" s="2"/>
      <c r="BE96" s="1"/>
      <c r="BF96" s="1"/>
      <c r="BG96" s="1"/>
      <c r="BH96" s="1"/>
      <c r="BI96" s="1"/>
      <c r="BJ96" s="1"/>
      <c r="BK96" s="1"/>
      <c r="BL96" s="1"/>
      <c r="BM96" s="2"/>
      <c r="BN96" s="1"/>
      <c r="BO96" s="1"/>
      <c r="BP96" s="1"/>
      <c r="BQ96" s="1"/>
      <c r="BR96" s="1"/>
      <c r="BS96" s="1"/>
      <c r="BT96" s="1"/>
      <c r="BU96" s="1"/>
      <c r="BV96" s="2"/>
      <c r="BW96" s="1"/>
      <c r="BX96" s="1"/>
      <c r="BY96" s="1"/>
      <c r="BZ96" s="1"/>
      <c r="CA96" s="1"/>
      <c r="CB96" s="1"/>
      <c r="CC96" s="1"/>
      <c r="CD96" s="1"/>
      <c r="CE96" s="2"/>
      <c r="CF96" s="1"/>
      <c r="CG96" s="1"/>
      <c r="CH96" s="1"/>
      <c r="CI96" s="1"/>
      <c r="CJ96" s="1"/>
      <c r="CK96" s="1"/>
      <c r="CL96" s="1"/>
    </row>
    <row r="97" spans="1:90" ht="14.65" x14ac:dyDescent="0.4">
      <c r="A97" s="1"/>
      <c r="B97" s="2"/>
      <c r="C97" s="1"/>
      <c r="D97" s="1"/>
      <c r="E97" s="1"/>
      <c r="F97" s="1"/>
      <c r="G97" s="1"/>
      <c r="H97" s="1"/>
      <c r="I97" s="1"/>
      <c r="J97" s="1"/>
      <c r="K97" s="2"/>
      <c r="L97" s="1"/>
      <c r="M97" s="1"/>
      <c r="N97" s="1"/>
      <c r="O97" s="1"/>
      <c r="P97" s="1"/>
      <c r="Q97" s="1"/>
      <c r="R97" s="1"/>
      <c r="S97" s="1"/>
      <c r="T97" s="2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1"/>
      <c r="AI97" s="1"/>
      <c r="AJ97" s="1"/>
      <c r="AK97" s="1"/>
      <c r="AL97" s="2"/>
      <c r="AM97" s="1"/>
      <c r="AN97" s="1"/>
      <c r="AO97" s="1"/>
      <c r="AP97" s="1"/>
      <c r="AQ97" s="1"/>
      <c r="AR97" s="1"/>
      <c r="AS97" s="1"/>
      <c r="AT97" s="1"/>
      <c r="AU97" s="2"/>
      <c r="AV97" s="1"/>
      <c r="AW97" s="1"/>
      <c r="AX97" s="1"/>
      <c r="AY97" s="1"/>
      <c r="AZ97" s="1"/>
      <c r="BA97" s="1"/>
      <c r="BB97" s="1"/>
      <c r="BC97" s="1"/>
      <c r="BD97" s="2"/>
      <c r="BE97" s="1"/>
      <c r="BF97" s="1"/>
      <c r="BG97" s="1"/>
      <c r="BH97" s="1"/>
      <c r="BI97" s="1"/>
      <c r="BJ97" s="1"/>
      <c r="BK97" s="1"/>
      <c r="BL97" s="1"/>
      <c r="BM97" s="2"/>
      <c r="BN97" s="1"/>
      <c r="BO97" s="1"/>
      <c r="BP97" s="1"/>
      <c r="BQ97" s="1"/>
      <c r="BR97" s="1"/>
      <c r="BS97" s="1"/>
      <c r="BT97" s="1"/>
      <c r="BU97" s="1"/>
      <c r="BV97" s="2"/>
      <c r="BW97" s="1"/>
      <c r="BX97" s="1"/>
      <c r="BY97" s="1"/>
      <c r="BZ97" s="1"/>
      <c r="CA97" s="1"/>
      <c r="CB97" s="1"/>
      <c r="CC97" s="1"/>
      <c r="CD97" s="1"/>
      <c r="CE97" s="2"/>
      <c r="CF97" s="1"/>
      <c r="CG97" s="1"/>
      <c r="CH97" s="1"/>
      <c r="CI97" s="1"/>
      <c r="CJ97" s="1"/>
      <c r="CK97" s="1"/>
      <c r="CL97" s="1"/>
    </row>
    <row r="98" spans="1:90" ht="14.65" x14ac:dyDescent="0.4">
      <c r="A98" s="1"/>
      <c r="B98" s="2"/>
      <c r="C98" s="1"/>
      <c r="D98" s="1"/>
      <c r="E98" s="1"/>
      <c r="F98" s="1"/>
      <c r="G98" s="1"/>
      <c r="H98" s="1"/>
      <c r="I98" s="1"/>
      <c r="J98" s="1"/>
      <c r="K98" s="2"/>
      <c r="L98" s="1"/>
      <c r="M98" s="1"/>
      <c r="N98" s="1"/>
      <c r="O98" s="1"/>
      <c r="P98" s="1"/>
      <c r="Q98" s="1"/>
      <c r="R98" s="1"/>
      <c r="S98" s="1"/>
      <c r="T98" s="2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2"/>
      <c r="AM98" s="1"/>
      <c r="AN98" s="1"/>
      <c r="AO98" s="1"/>
      <c r="AP98" s="1"/>
      <c r="AQ98" s="1"/>
      <c r="AR98" s="1"/>
      <c r="AS98" s="1"/>
      <c r="AT98" s="1"/>
      <c r="AU98" s="2"/>
      <c r="AV98" s="1"/>
      <c r="AW98" s="1"/>
      <c r="AX98" s="1"/>
      <c r="AY98" s="1"/>
      <c r="AZ98" s="1"/>
      <c r="BA98" s="1"/>
      <c r="BB98" s="1"/>
      <c r="BC98" s="1"/>
      <c r="BD98" s="2"/>
      <c r="BE98" s="1"/>
      <c r="BF98" s="1"/>
      <c r="BG98" s="1"/>
      <c r="BH98" s="1"/>
      <c r="BI98" s="1"/>
      <c r="BJ98" s="1"/>
      <c r="BK98" s="1"/>
      <c r="BL98" s="1"/>
      <c r="BM98" s="2"/>
      <c r="BN98" s="1"/>
      <c r="BO98" s="1"/>
      <c r="BP98" s="1"/>
      <c r="BQ98" s="1"/>
      <c r="BR98" s="1"/>
      <c r="BS98" s="1"/>
      <c r="BT98" s="1"/>
      <c r="BU98" s="1"/>
      <c r="BV98" s="2"/>
      <c r="BW98" s="1"/>
      <c r="BX98" s="1"/>
      <c r="BY98" s="1"/>
      <c r="BZ98" s="1"/>
      <c r="CA98" s="1"/>
      <c r="CB98" s="1"/>
      <c r="CC98" s="1"/>
      <c r="CD98" s="1"/>
      <c r="CE98" s="2"/>
      <c r="CF98" s="1"/>
      <c r="CG98" s="1"/>
      <c r="CH98" s="1"/>
      <c r="CI98" s="1"/>
      <c r="CJ98" s="1"/>
      <c r="CK98" s="1"/>
      <c r="CL98" s="1"/>
    </row>
    <row r="99" spans="1:90" ht="14.65" x14ac:dyDescent="0.4">
      <c r="A99" s="1"/>
      <c r="B99" s="2"/>
      <c r="C99" s="1"/>
      <c r="D99" s="1"/>
      <c r="E99" s="1"/>
      <c r="F99" s="1"/>
      <c r="G99" s="1"/>
      <c r="H99" s="1"/>
      <c r="I99" s="1"/>
      <c r="J99" s="1"/>
      <c r="K99" s="2"/>
      <c r="L99" s="1"/>
      <c r="M99" s="1"/>
      <c r="N99" s="1"/>
      <c r="O99" s="1"/>
      <c r="P99" s="1"/>
      <c r="Q99" s="1"/>
      <c r="R99" s="1"/>
      <c r="S99" s="1"/>
      <c r="T99" s="2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2"/>
      <c r="AM99" s="1"/>
      <c r="AN99" s="1"/>
      <c r="AO99" s="1"/>
      <c r="AP99" s="1"/>
      <c r="AQ99" s="1"/>
      <c r="AR99" s="1"/>
      <c r="AS99" s="1"/>
      <c r="AT99" s="1"/>
      <c r="AU99" s="2"/>
      <c r="AV99" s="1"/>
      <c r="AW99" s="1"/>
      <c r="AX99" s="1"/>
      <c r="AY99" s="1"/>
      <c r="AZ99" s="1"/>
      <c r="BA99" s="1"/>
      <c r="BB99" s="1"/>
      <c r="BC99" s="1"/>
      <c r="BD99" s="2"/>
      <c r="BE99" s="1"/>
      <c r="BF99" s="1"/>
      <c r="BG99" s="1"/>
      <c r="BH99" s="1"/>
      <c r="BI99" s="1"/>
      <c r="BJ99" s="1"/>
      <c r="BK99" s="1"/>
      <c r="BL99" s="1"/>
      <c r="BM99" s="2"/>
      <c r="BN99" s="1"/>
      <c r="BO99" s="1"/>
      <c r="BP99" s="1"/>
      <c r="BQ99" s="1"/>
      <c r="BR99" s="1"/>
      <c r="BS99" s="1"/>
      <c r="BT99" s="1"/>
      <c r="BU99" s="1"/>
      <c r="BV99" s="2"/>
      <c r="BW99" s="1"/>
      <c r="BX99" s="1"/>
      <c r="BY99" s="1"/>
      <c r="BZ99" s="1"/>
      <c r="CA99" s="1"/>
      <c r="CB99" s="1"/>
      <c r="CC99" s="1"/>
      <c r="CD99" s="1"/>
      <c r="CE99" s="2"/>
      <c r="CF99" s="1"/>
      <c r="CG99" s="1"/>
      <c r="CH99" s="1"/>
      <c r="CI99" s="1"/>
      <c r="CJ99" s="1"/>
      <c r="CK99" s="1"/>
      <c r="CL99" s="1"/>
    </row>
    <row r="100" spans="1:90" ht="14.65" x14ac:dyDescent="0.4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2"/>
      <c r="L100" s="1"/>
      <c r="M100" s="1"/>
      <c r="N100" s="1"/>
      <c r="O100" s="1"/>
      <c r="P100" s="1"/>
      <c r="Q100" s="1"/>
      <c r="R100" s="1"/>
      <c r="S100" s="1"/>
      <c r="T100" s="2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2"/>
      <c r="AM100" s="1"/>
      <c r="AN100" s="1"/>
      <c r="AO100" s="1"/>
      <c r="AP100" s="1"/>
      <c r="AQ100" s="1"/>
      <c r="AR100" s="1"/>
      <c r="AS100" s="1"/>
      <c r="AT100" s="1"/>
      <c r="AU100" s="2"/>
      <c r="AV100" s="1"/>
      <c r="AW100" s="1"/>
      <c r="AX100" s="1"/>
      <c r="AY100" s="1"/>
      <c r="AZ100" s="1"/>
      <c r="BA100" s="1"/>
      <c r="BB100" s="1"/>
      <c r="BC100" s="1"/>
      <c r="BD100" s="2"/>
      <c r="BE100" s="1"/>
      <c r="BF100" s="1"/>
      <c r="BG100" s="1"/>
      <c r="BH100" s="1"/>
      <c r="BI100" s="1"/>
      <c r="BJ100" s="1"/>
      <c r="BK100" s="1"/>
      <c r="BL100" s="1"/>
      <c r="BM100" s="2"/>
      <c r="BN100" s="1"/>
      <c r="BO100" s="1"/>
      <c r="BP100" s="1"/>
      <c r="BQ100" s="1"/>
      <c r="BR100" s="1"/>
      <c r="BS100" s="1"/>
      <c r="BT100" s="1"/>
      <c r="BU100" s="1"/>
      <c r="BV100" s="2"/>
      <c r="BW100" s="1"/>
      <c r="BX100" s="1"/>
      <c r="BY100" s="1"/>
      <c r="BZ100" s="1"/>
      <c r="CA100" s="1"/>
      <c r="CB100" s="1"/>
      <c r="CC100" s="1"/>
      <c r="CD100" s="1"/>
      <c r="CE100" s="2"/>
      <c r="CF100" s="1"/>
      <c r="CG100" s="1"/>
      <c r="CH100" s="1"/>
      <c r="CI100" s="1"/>
      <c r="CJ100" s="1"/>
      <c r="CK100" s="1"/>
      <c r="CL100" s="1"/>
    </row>
    <row r="101" spans="1:90" ht="14.65" x14ac:dyDescent="0.4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2"/>
      <c r="L101" s="1"/>
      <c r="M101" s="1"/>
      <c r="N101" s="1"/>
      <c r="O101" s="1"/>
      <c r="P101" s="1"/>
      <c r="Q101" s="1"/>
      <c r="R101" s="1"/>
      <c r="S101" s="1"/>
      <c r="T101" s="2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2"/>
      <c r="AM101" s="1"/>
      <c r="AN101" s="1"/>
      <c r="AO101" s="1"/>
      <c r="AP101" s="1"/>
      <c r="AQ101" s="1"/>
      <c r="AR101" s="1"/>
      <c r="AS101" s="1"/>
      <c r="AT101" s="1"/>
      <c r="AU101" s="2"/>
      <c r="AV101" s="1"/>
      <c r="AW101" s="1"/>
      <c r="AX101" s="1"/>
      <c r="AY101" s="1"/>
      <c r="AZ101" s="1"/>
      <c r="BA101" s="1"/>
      <c r="BB101" s="1"/>
      <c r="BC101" s="1"/>
      <c r="BD101" s="2"/>
      <c r="BE101" s="1"/>
      <c r="BF101" s="1"/>
      <c r="BG101" s="1"/>
      <c r="BH101" s="1"/>
      <c r="BI101" s="1"/>
      <c r="BJ101" s="1"/>
      <c r="BK101" s="1"/>
      <c r="BL101" s="1"/>
      <c r="BM101" s="2"/>
      <c r="BN101" s="1"/>
      <c r="BO101" s="1"/>
      <c r="BP101" s="1"/>
      <c r="BQ101" s="1"/>
      <c r="BR101" s="1"/>
      <c r="BS101" s="1"/>
      <c r="BT101" s="1"/>
      <c r="BU101" s="1"/>
      <c r="BV101" s="2"/>
      <c r="BW101" s="1"/>
      <c r="BX101" s="1"/>
      <c r="BY101" s="1"/>
      <c r="BZ101" s="1"/>
      <c r="CA101" s="1"/>
      <c r="CB101" s="1"/>
      <c r="CC101" s="1"/>
      <c r="CD101" s="1"/>
      <c r="CE101" s="2"/>
      <c r="CF101" s="1"/>
      <c r="CG101" s="1"/>
      <c r="CH101" s="1"/>
      <c r="CI101" s="1"/>
      <c r="CJ101" s="1"/>
      <c r="CK101" s="1"/>
      <c r="CL101" s="1"/>
    </row>
    <row r="102" spans="1:90" ht="14.65" x14ac:dyDescent="0.4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2"/>
      <c r="L102" s="1"/>
      <c r="M102" s="1"/>
      <c r="N102" s="1"/>
      <c r="O102" s="1"/>
      <c r="P102" s="1"/>
      <c r="Q102" s="1"/>
      <c r="R102" s="1"/>
      <c r="S102" s="1"/>
      <c r="T102" s="2"/>
      <c r="U102" s="1"/>
      <c r="V102" s="1"/>
      <c r="W102" s="1"/>
      <c r="X102" s="1"/>
      <c r="Y102" s="1"/>
      <c r="Z102" s="1"/>
      <c r="AA102" s="1"/>
      <c r="AB102" s="1"/>
      <c r="AC102" s="2"/>
      <c r="AD102" s="1"/>
      <c r="AE102" s="1"/>
      <c r="AF102" s="1"/>
      <c r="AG102" s="1"/>
      <c r="AH102" s="1"/>
      <c r="AI102" s="1"/>
      <c r="AJ102" s="1"/>
      <c r="AK102" s="1"/>
      <c r="AL102" s="2"/>
      <c r="AM102" s="1"/>
      <c r="AN102" s="1"/>
      <c r="AO102" s="1"/>
      <c r="AP102" s="1"/>
      <c r="AQ102" s="1"/>
      <c r="AR102" s="1"/>
      <c r="AS102" s="1"/>
      <c r="AT102" s="1"/>
      <c r="AU102" s="2"/>
      <c r="AV102" s="1"/>
      <c r="AW102" s="1"/>
      <c r="AX102" s="1"/>
      <c r="AY102" s="1"/>
      <c r="AZ102" s="1"/>
      <c r="BA102" s="1"/>
      <c r="BB102" s="1"/>
      <c r="BC102" s="1"/>
      <c r="BD102" s="2"/>
      <c r="BE102" s="1"/>
      <c r="BF102" s="1"/>
      <c r="BG102" s="1"/>
      <c r="BH102" s="1"/>
      <c r="BI102" s="1"/>
      <c r="BJ102" s="1"/>
      <c r="BK102" s="1"/>
      <c r="BL102" s="1"/>
      <c r="BM102" s="2"/>
      <c r="BN102" s="1"/>
      <c r="BO102" s="1"/>
      <c r="BP102" s="1"/>
      <c r="BQ102" s="1"/>
      <c r="BR102" s="1"/>
      <c r="BS102" s="1"/>
      <c r="BT102" s="1"/>
      <c r="BU102" s="1"/>
      <c r="BV102" s="2"/>
      <c r="BW102" s="1"/>
      <c r="BX102" s="1"/>
      <c r="BY102" s="1"/>
      <c r="BZ102" s="1"/>
      <c r="CA102" s="1"/>
      <c r="CB102" s="1"/>
      <c r="CC102" s="1"/>
      <c r="CD102" s="1"/>
      <c r="CE102" s="2"/>
      <c r="CF102" s="1"/>
      <c r="CG102" s="1"/>
      <c r="CH102" s="1"/>
      <c r="CI102" s="1"/>
      <c r="CJ102" s="1"/>
      <c r="CK102" s="1"/>
      <c r="CL102" s="1"/>
    </row>
    <row r="103" spans="1:90" ht="14.65" x14ac:dyDescent="0.4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2"/>
      <c r="L103" s="1"/>
      <c r="M103" s="1"/>
      <c r="N103" s="1"/>
      <c r="O103" s="1"/>
      <c r="P103" s="1"/>
      <c r="Q103" s="1"/>
      <c r="R103" s="1"/>
      <c r="S103" s="1"/>
      <c r="T103" s="2"/>
      <c r="U103" s="1"/>
      <c r="V103" s="1"/>
      <c r="W103" s="1"/>
      <c r="X103" s="1"/>
      <c r="Y103" s="1"/>
      <c r="Z103" s="1"/>
      <c r="AA103" s="1"/>
      <c r="AB103" s="1"/>
      <c r="AC103" s="2"/>
      <c r="AD103" s="1"/>
      <c r="AE103" s="1"/>
      <c r="AF103" s="1"/>
      <c r="AG103" s="1"/>
      <c r="AH103" s="1"/>
      <c r="AI103" s="1"/>
      <c r="AJ103" s="1"/>
      <c r="AK103" s="1"/>
      <c r="AL103" s="2"/>
      <c r="AM103" s="1"/>
      <c r="AN103" s="1"/>
      <c r="AO103" s="1"/>
      <c r="AP103" s="1"/>
      <c r="AQ103" s="1"/>
      <c r="AR103" s="1"/>
      <c r="AS103" s="1"/>
      <c r="AT103" s="1"/>
      <c r="AU103" s="2"/>
      <c r="AV103" s="1"/>
      <c r="AW103" s="1"/>
      <c r="AX103" s="1"/>
      <c r="AY103" s="1"/>
      <c r="AZ103" s="1"/>
      <c r="BA103" s="1"/>
      <c r="BB103" s="1"/>
      <c r="BC103" s="1"/>
      <c r="BD103" s="2"/>
      <c r="BE103" s="1"/>
      <c r="BF103" s="1"/>
      <c r="BG103" s="1"/>
      <c r="BH103" s="1"/>
      <c r="BI103" s="1"/>
      <c r="BJ103" s="1"/>
      <c r="BK103" s="1"/>
      <c r="BL103" s="1"/>
      <c r="BM103" s="2"/>
      <c r="BN103" s="1"/>
      <c r="BO103" s="1"/>
      <c r="BP103" s="1"/>
      <c r="BQ103" s="1"/>
      <c r="BR103" s="1"/>
      <c r="BS103" s="1"/>
      <c r="BT103" s="1"/>
      <c r="BU103" s="1"/>
      <c r="BV103" s="2"/>
      <c r="BW103" s="1"/>
      <c r="BX103" s="1"/>
      <c r="BY103" s="1"/>
      <c r="BZ103" s="1"/>
      <c r="CA103" s="1"/>
      <c r="CB103" s="1"/>
      <c r="CC103" s="1"/>
      <c r="CD103" s="1"/>
      <c r="CE103" s="2"/>
      <c r="CF103" s="1"/>
      <c r="CG103" s="1"/>
      <c r="CH103" s="1"/>
      <c r="CI103" s="1"/>
      <c r="CJ103" s="1"/>
      <c r="CK103" s="1"/>
      <c r="CL103" s="1"/>
    </row>
    <row r="104" spans="1:90" ht="14.65" x14ac:dyDescent="0.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2"/>
      <c r="L104" s="1"/>
      <c r="M104" s="1"/>
      <c r="N104" s="1"/>
      <c r="O104" s="1"/>
      <c r="P104" s="1"/>
      <c r="Q104" s="1"/>
      <c r="R104" s="1"/>
      <c r="S104" s="1"/>
      <c r="T104" s="2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2"/>
      <c r="AM104" s="1"/>
      <c r="AN104" s="1"/>
      <c r="AO104" s="1"/>
      <c r="AP104" s="1"/>
      <c r="AQ104" s="1"/>
      <c r="AR104" s="1"/>
      <c r="AS104" s="1"/>
      <c r="AT104" s="1"/>
      <c r="AU104" s="2"/>
      <c r="AV104" s="1"/>
      <c r="AW104" s="1"/>
      <c r="AX104" s="1"/>
      <c r="AY104" s="1"/>
      <c r="AZ104" s="1"/>
      <c r="BA104" s="1"/>
      <c r="BB104" s="1"/>
      <c r="BC104" s="1"/>
      <c r="BD104" s="2"/>
      <c r="BE104" s="1"/>
      <c r="BF104" s="1"/>
      <c r="BG104" s="1"/>
      <c r="BH104" s="1"/>
      <c r="BI104" s="1"/>
      <c r="BJ104" s="1"/>
      <c r="BK104" s="1"/>
      <c r="BL104" s="1"/>
      <c r="BM104" s="2"/>
      <c r="BN104" s="1"/>
      <c r="BO104" s="1"/>
      <c r="BP104" s="1"/>
      <c r="BQ104" s="1"/>
      <c r="BR104" s="1"/>
      <c r="BS104" s="1"/>
      <c r="BT104" s="1"/>
      <c r="BU104" s="1"/>
      <c r="BV104" s="2"/>
      <c r="BW104" s="1"/>
      <c r="BX104" s="1"/>
      <c r="BY104" s="1"/>
      <c r="BZ104" s="1"/>
      <c r="CA104" s="1"/>
      <c r="CB104" s="1"/>
      <c r="CC104" s="1"/>
      <c r="CD104" s="1"/>
      <c r="CE104" s="2"/>
      <c r="CF104" s="1"/>
      <c r="CG104" s="1"/>
      <c r="CH104" s="1"/>
      <c r="CI104" s="1"/>
      <c r="CJ104" s="1"/>
      <c r="CK104" s="1"/>
      <c r="CL104" s="1"/>
    </row>
    <row r="105" spans="1:90" ht="14.65" x14ac:dyDescent="0.4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2"/>
      <c r="L105" s="1"/>
      <c r="M105" s="1"/>
      <c r="N105" s="1"/>
      <c r="O105" s="1"/>
      <c r="P105" s="1"/>
      <c r="Q105" s="1"/>
      <c r="R105" s="1"/>
      <c r="S105" s="1"/>
      <c r="T105" s="2"/>
      <c r="U105" s="1"/>
      <c r="V105" s="1"/>
      <c r="W105" s="1"/>
      <c r="X105" s="1"/>
      <c r="Y105" s="1"/>
      <c r="Z105" s="1"/>
      <c r="AA105" s="1"/>
      <c r="AB105" s="1"/>
      <c r="AC105" s="2"/>
      <c r="AD105" s="1"/>
      <c r="AE105" s="1"/>
      <c r="AF105" s="1"/>
      <c r="AG105" s="1"/>
      <c r="AH105" s="1"/>
      <c r="AI105" s="1"/>
      <c r="AJ105" s="1"/>
      <c r="AK105" s="1"/>
      <c r="AL105" s="2"/>
      <c r="AM105" s="1"/>
      <c r="AN105" s="1"/>
      <c r="AO105" s="1"/>
      <c r="AP105" s="1"/>
      <c r="AQ105" s="1"/>
      <c r="AR105" s="1"/>
      <c r="AS105" s="1"/>
      <c r="AT105" s="1"/>
      <c r="AU105" s="2"/>
      <c r="AV105" s="1"/>
      <c r="AW105" s="1"/>
      <c r="AX105" s="1"/>
      <c r="AY105" s="1"/>
      <c r="AZ105" s="1"/>
      <c r="BA105" s="1"/>
      <c r="BB105" s="1"/>
      <c r="BC105" s="1"/>
      <c r="BD105" s="2"/>
      <c r="BE105" s="1"/>
      <c r="BF105" s="1"/>
      <c r="BG105" s="1"/>
      <c r="BH105" s="1"/>
      <c r="BI105" s="1"/>
      <c r="BJ105" s="1"/>
      <c r="BK105" s="1"/>
      <c r="BL105" s="1"/>
      <c r="BM105" s="2"/>
      <c r="BN105" s="1"/>
      <c r="BO105" s="1"/>
      <c r="BP105" s="1"/>
      <c r="BQ105" s="1"/>
      <c r="BR105" s="1"/>
      <c r="BS105" s="1"/>
      <c r="BT105" s="1"/>
      <c r="BU105" s="1"/>
      <c r="BV105" s="2"/>
      <c r="BW105" s="1"/>
      <c r="BX105" s="1"/>
      <c r="BY105" s="1"/>
      <c r="BZ105" s="1"/>
      <c r="CA105" s="1"/>
      <c r="CB105" s="1"/>
      <c r="CC105" s="1"/>
      <c r="CD105" s="1"/>
      <c r="CE105" s="2"/>
      <c r="CF105" s="1"/>
      <c r="CG105" s="1"/>
      <c r="CH105" s="1"/>
      <c r="CI105" s="1"/>
      <c r="CJ105" s="1"/>
      <c r="CK105" s="1"/>
      <c r="CL105" s="1"/>
    </row>
    <row r="106" spans="1:90" ht="14.65" x14ac:dyDescent="0.4">
      <c r="A106" s="1"/>
      <c r="B106" s="2"/>
      <c r="C106" s="3"/>
      <c r="D106" s="3"/>
      <c r="E106" s="1"/>
      <c r="F106" s="1"/>
      <c r="G106" s="1"/>
      <c r="H106" s="1"/>
      <c r="I106" s="1"/>
      <c r="J106" s="1"/>
      <c r="K106" s="2"/>
      <c r="L106" s="1"/>
      <c r="M106" s="1"/>
      <c r="N106" s="1"/>
      <c r="O106" s="1"/>
      <c r="P106" s="1"/>
      <c r="Q106" s="1"/>
      <c r="R106" s="1"/>
      <c r="S106" s="1"/>
      <c r="T106" s="2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"/>
      <c r="AH106" s="1"/>
      <c r="AI106" s="1"/>
      <c r="AJ106" s="1"/>
      <c r="AK106" s="1"/>
      <c r="AL106" s="2"/>
      <c r="AM106" s="1"/>
      <c r="AN106" s="1"/>
      <c r="AO106" s="1"/>
      <c r="AP106" s="1"/>
      <c r="AQ106" s="1"/>
      <c r="AR106" s="1"/>
      <c r="AS106" s="1"/>
      <c r="AT106" s="1"/>
      <c r="AU106" s="2"/>
      <c r="AV106" s="1"/>
      <c r="AW106" s="1"/>
      <c r="AX106" s="1"/>
      <c r="AY106" s="1"/>
      <c r="AZ106" s="1"/>
      <c r="BA106" s="1"/>
      <c r="BB106" s="1"/>
      <c r="BC106" s="1"/>
      <c r="BD106" s="2"/>
      <c r="BE106" s="1"/>
      <c r="BF106" s="1"/>
      <c r="BG106" s="1"/>
      <c r="BH106" s="1"/>
      <c r="BI106" s="1"/>
      <c r="BJ106" s="1"/>
      <c r="BK106" s="1"/>
      <c r="BL106" s="1"/>
      <c r="BM106" s="2"/>
      <c r="BN106" s="1"/>
      <c r="BO106" s="1"/>
      <c r="BP106" s="1"/>
      <c r="BQ106" s="1"/>
      <c r="BR106" s="1"/>
      <c r="BS106" s="1"/>
      <c r="BT106" s="1"/>
      <c r="BU106" s="1"/>
      <c r="BV106" s="2"/>
      <c r="BW106" s="1"/>
      <c r="BX106" s="1"/>
      <c r="BY106" s="1"/>
      <c r="BZ106" s="1"/>
      <c r="CA106" s="1"/>
      <c r="CB106" s="1"/>
      <c r="CC106" s="1"/>
      <c r="CD106" s="1"/>
      <c r="CE106" s="2"/>
      <c r="CF106" s="1"/>
      <c r="CG106" s="1"/>
      <c r="CH106" s="1"/>
      <c r="CI106" s="1"/>
      <c r="CJ106" s="1"/>
      <c r="CK106" s="1"/>
      <c r="CL106" s="1"/>
    </row>
    <row r="107" spans="1:90" ht="14.65" x14ac:dyDescent="0.4">
      <c r="A107" s="1"/>
      <c r="B107" s="2"/>
      <c r="C107" s="3"/>
      <c r="D107" s="3"/>
      <c r="E107" s="1"/>
      <c r="F107" s="1"/>
      <c r="G107" s="1"/>
      <c r="H107" s="1"/>
      <c r="I107" s="1"/>
      <c r="J107" s="1"/>
      <c r="K107" s="2"/>
      <c r="L107" s="1"/>
      <c r="M107" s="1"/>
      <c r="N107" s="1"/>
      <c r="O107" s="1"/>
      <c r="P107" s="1"/>
      <c r="Q107" s="1"/>
      <c r="R107" s="1"/>
      <c r="S107" s="1"/>
      <c r="T107" s="2"/>
      <c r="U107" s="1"/>
      <c r="V107" s="1"/>
      <c r="W107" s="1"/>
      <c r="X107" s="1"/>
      <c r="Y107" s="1"/>
      <c r="Z107" s="1"/>
      <c r="AA107" s="1"/>
      <c r="AB107" s="1"/>
      <c r="AC107" s="2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2"/>
      <c r="AV107" s="1"/>
      <c r="AW107" s="1"/>
      <c r="AX107" s="1"/>
      <c r="AY107" s="1"/>
      <c r="AZ107" s="1"/>
      <c r="BA107" s="1"/>
      <c r="BB107" s="1"/>
      <c r="BC107" s="1"/>
      <c r="BD107" s="2"/>
      <c r="BE107" s="1"/>
      <c r="BF107" s="1"/>
      <c r="BG107" s="1"/>
      <c r="BH107" s="1"/>
      <c r="BI107" s="1"/>
      <c r="BJ107" s="1"/>
      <c r="BK107" s="1"/>
      <c r="BL107" s="1"/>
      <c r="BM107" s="2"/>
      <c r="BN107" s="1"/>
      <c r="BO107" s="1"/>
      <c r="BP107" s="1"/>
      <c r="BQ107" s="1"/>
      <c r="BR107" s="1"/>
      <c r="BS107" s="1"/>
      <c r="BT107" s="1"/>
      <c r="BU107" s="1"/>
      <c r="BV107" s="2"/>
      <c r="BW107" s="1"/>
      <c r="BX107" s="1"/>
      <c r="BY107" s="1"/>
      <c r="BZ107" s="1"/>
      <c r="CA107" s="1"/>
      <c r="CB107" s="1"/>
      <c r="CC107" s="1"/>
      <c r="CD107" s="1"/>
      <c r="CE107" s="2"/>
      <c r="CF107" s="1"/>
      <c r="CG107" s="1"/>
      <c r="CH107" s="1"/>
      <c r="CI107" s="1"/>
      <c r="CJ107" s="1"/>
      <c r="CK107" s="1"/>
      <c r="CL107" s="1"/>
    </row>
    <row r="108" spans="1:90" ht="14.65" x14ac:dyDescent="0.4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2"/>
      <c r="L108" s="1"/>
      <c r="M108" s="1"/>
      <c r="N108" s="1"/>
      <c r="O108" s="1"/>
      <c r="P108" s="1"/>
      <c r="Q108" s="1"/>
      <c r="R108" s="1"/>
      <c r="S108" s="1"/>
      <c r="T108" s="2"/>
      <c r="U108" s="1"/>
      <c r="V108" s="1"/>
      <c r="W108" s="1"/>
      <c r="X108" s="1"/>
      <c r="Y108" s="1"/>
      <c r="Z108" s="1"/>
      <c r="AA108" s="1"/>
      <c r="AB108" s="1"/>
      <c r="AC108" s="2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2"/>
      <c r="AV108" s="1"/>
      <c r="AW108" s="1"/>
      <c r="AX108" s="1"/>
      <c r="AY108" s="1"/>
      <c r="AZ108" s="1"/>
      <c r="BA108" s="1"/>
      <c r="BB108" s="1"/>
      <c r="BC108" s="1"/>
      <c r="BD108" s="2"/>
      <c r="BE108" s="1"/>
      <c r="BF108" s="1"/>
      <c r="BG108" s="1"/>
      <c r="BH108" s="1"/>
      <c r="BI108" s="1"/>
      <c r="BJ108" s="1"/>
      <c r="BK108" s="1"/>
      <c r="BL108" s="1"/>
      <c r="BM108" s="2"/>
      <c r="BN108" s="1"/>
      <c r="BO108" s="1"/>
      <c r="BP108" s="1"/>
      <c r="BQ108" s="1"/>
      <c r="BR108" s="1"/>
      <c r="BS108" s="1"/>
      <c r="BT108" s="1"/>
      <c r="BU108" s="1"/>
      <c r="BV108" s="2"/>
      <c r="BW108" s="1"/>
      <c r="BX108" s="1"/>
      <c r="BY108" s="1"/>
      <c r="BZ108" s="1"/>
      <c r="CA108" s="1"/>
      <c r="CB108" s="1"/>
      <c r="CC108" s="1"/>
      <c r="CD108" s="1"/>
      <c r="CE108" s="2"/>
      <c r="CF108" s="1"/>
      <c r="CG108" s="1"/>
      <c r="CH108" s="1"/>
      <c r="CI108" s="1"/>
      <c r="CJ108" s="1"/>
      <c r="CK108" s="1"/>
      <c r="CL108" s="1"/>
    </row>
    <row r="109" spans="1:90" ht="14.65" x14ac:dyDescent="0.4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2"/>
      <c r="L109" s="1"/>
      <c r="M109" s="1"/>
      <c r="N109" s="1"/>
      <c r="O109" s="1"/>
      <c r="P109" s="1"/>
      <c r="Q109" s="1"/>
      <c r="R109" s="1"/>
      <c r="S109" s="1"/>
      <c r="T109" s="2"/>
      <c r="U109" s="1"/>
      <c r="V109" s="1"/>
      <c r="W109" s="1"/>
      <c r="X109" s="1"/>
      <c r="Y109" s="1"/>
      <c r="Z109" s="1"/>
      <c r="AA109" s="1"/>
      <c r="AB109" s="1"/>
      <c r="AC109" s="2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2"/>
      <c r="AV109" s="1"/>
      <c r="AW109" s="1"/>
      <c r="AX109" s="1"/>
      <c r="AY109" s="1"/>
      <c r="AZ109" s="1"/>
      <c r="BA109" s="1"/>
      <c r="BB109" s="1"/>
      <c r="BC109" s="1"/>
      <c r="BD109" s="2"/>
      <c r="BE109" s="1"/>
      <c r="BF109" s="1"/>
      <c r="BG109" s="1"/>
      <c r="BH109" s="1"/>
      <c r="BI109" s="1"/>
      <c r="BJ109" s="1"/>
      <c r="BK109" s="1"/>
      <c r="BL109" s="1"/>
      <c r="BM109" s="2"/>
      <c r="BN109" s="1"/>
      <c r="BO109" s="1"/>
      <c r="BP109" s="1"/>
      <c r="BQ109" s="1"/>
      <c r="BR109" s="1"/>
      <c r="BS109" s="1"/>
      <c r="BT109" s="1"/>
      <c r="BU109" s="1"/>
      <c r="BV109" s="2"/>
      <c r="BW109" s="1"/>
      <c r="BX109" s="1"/>
      <c r="BY109" s="1"/>
      <c r="BZ109" s="1"/>
      <c r="CA109" s="1"/>
      <c r="CB109" s="1"/>
      <c r="CC109" s="1"/>
      <c r="CD109" s="1"/>
      <c r="CE109" s="2"/>
      <c r="CF109" s="1"/>
      <c r="CG109" s="1"/>
      <c r="CH109" s="1"/>
      <c r="CI109" s="1"/>
      <c r="CJ109" s="1"/>
      <c r="CK109" s="1"/>
      <c r="CL109" s="1"/>
    </row>
    <row r="110" spans="1:90" ht="14.65" x14ac:dyDescent="0.4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2"/>
      <c r="L110" s="1"/>
      <c r="M110" s="1"/>
      <c r="N110" s="1"/>
      <c r="O110" s="1"/>
      <c r="P110" s="1"/>
      <c r="Q110" s="1"/>
      <c r="R110" s="1"/>
      <c r="S110" s="1"/>
      <c r="T110" s="2"/>
      <c r="U110" s="1"/>
      <c r="V110" s="1"/>
      <c r="W110" s="1"/>
      <c r="X110" s="1"/>
      <c r="Y110" s="1"/>
      <c r="Z110" s="1"/>
      <c r="AA110" s="1"/>
      <c r="AB110" s="1"/>
      <c r="AC110" s="2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2"/>
      <c r="AV110" s="1"/>
      <c r="AW110" s="1"/>
      <c r="AX110" s="1"/>
      <c r="AY110" s="1"/>
      <c r="AZ110" s="1"/>
      <c r="BA110" s="1"/>
      <c r="BB110" s="1"/>
      <c r="BC110" s="1"/>
      <c r="BD110" s="2"/>
      <c r="BE110" s="1"/>
      <c r="BF110" s="1"/>
      <c r="BG110" s="1"/>
      <c r="BH110" s="1"/>
      <c r="BI110" s="1"/>
      <c r="BJ110" s="1"/>
      <c r="BK110" s="1"/>
      <c r="BL110" s="1"/>
      <c r="BM110" s="2"/>
      <c r="BN110" s="1"/>
      <c r="BO110" s="1"/>
      <c r="BP110" s="1"/>
      <c r="BQ110" s="1"/>
      <c r="BR110" s="1"/>
      <c r="BS110" s="1"/>
      <c r="BT110" s="1"/>
      <c r="BU110" s="1"/>
      <c r="BV110" s="2"/>
      <c r="BW110" s="1"/>
      <c r="BX110" s="1"/>
      <c r="BY110" s="1"/>
      <c r="BZ110" s="1"/>
      <c r="CA110" s="1"/>
      <c r="CB110" s="1"/>
      <c r="CC110" s="1"/>
      <c r="CD110" s="1"/>
      <c r="CE110" s="2"/>
      <c r="CF110" s="1"/>
      <c r="CG110" s="1"/>
      <c r="CH110" s="1"/>
      <c r="CI110" s="1"/>
      <c r="CJ110" s="1"/>
      <c r="CK110" s="1"/>
      <c r="CL110" s="1"/>
    </row>
    <row r="111" spans="1:90" ht="14.65" x14ac:dyDescent="0.4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2"/>
      <c r="L111" s="1"/>
      <c r="M111" s="1"/>
      <c r="N111" s="1"/>
      <c r="O111" s="1"/>
      <c r="P111" s="1"/>
      <c r="Q111" s="1"/>
      <c r="R111" s="1"/>
      <c r="S111" s="1"/>
      <c r="T111" s="2"/>
      <c r="U111" s="1"/>
      <c r="V111" s="1"/>
      <c r="W111" s="1"/>
      <c r="X111" s="1"/>
      <c r="Y111" s="1"/>
      <c r="Z111" s="1"/>
      <c r="AA111" s="1"/>
      <c r="AB111" s="1"/>
      <c r="AC111" s="2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2"/>
      <c r="AV111" s="1"/>
      <c r="AW111" s="1"/>
      <c r="AX111" s="1"/>
      <c r="AY111" s="1"/>
      <c r="AZ111" s="1"/>
      <c r="BA111" s="1"/>
      <c r="BB111" s="1"/>
      <c r="BC111" s="1"/>
      <c r="BD111" s="2"/>
      <c r="BE111" s="1"/>
      <c r="BF111" s="1"/>
      <c r="BG111" s="1"/>
      <c r="BH111" s="1"/>
      <c r="BI111" s="1"/>
      <c r="BJ111" s="1"/>
      <c r="BK111" s="1"/>
      <c r="BL111" s="1"/>
      <c r="BM111" s="2"/>
      <c r="BN111" s="1"/>
      <c r="BO111" s="1"/>
      <c r="BP111" s="1"/>
      <c r="BQ111" s="1"/>
      <c r="BR111" s="1"/>
      <c r="BS111" s="1"/>
      <c r="BT111" s="1"/>
      <c r="BU111" s="1"/>
      <c r="BV111" s="2"/>
      <c r="BW111" s="1"/>
      <c r="BX111" s="1"/>
      <c r="BY111" s="1"/>
      <c r="BZ111" s="1"/>
      <c r="CA111" s="1"/>
      <c r="CB111" s="1"/>
      <c r="CC111" s="1"/>
      <c r="CD111" s="1"/>
      <c r="CE111" s="2"/>
      <c r="CF111" s="1"/>
      <c r="CG111" s="1"/>
      <c r="CH111" s="1"/>
      <c r="CI111" s="1"/>
      <c r="CJ111" s="1"/>
      <c r="CK111" s="1"/>
      <c r="CL111" s="1"/>
    </row>
    <row r="112" spans="1:90" ht="14.65" x14ac:dyDescent="0.4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2"/>
      <c r="L112" s="1"/>
      <c r="M112" s="1"/>
      <c r="N112" s="1"/>
      <c r="O112" s="1"/>
      <c r="P112" s="1"/>
      <c r="Q112" s="1"/>
      <c r="R112" s="1"/>
      <c r="S112" s="1"/>
      <c r="T112" s="2"/>
      <c r="U112" s="1"/>
      <c r="V112" s="1"/>
      <c r="W112" s="1"/>
      <c r="X112" s="1"/>
      <c r="Y112" s="1"/>
      <c r="Z112" s="1"/>
      <c r="AA112" s="1"/>
      <c r="AB112" s="1"/>
      <c r="AC112" s="2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2"/>
      <c r="AV112" s="1"/>
      <c r="AW112" s="1"/>
      <c r="AX112" s="1"/>
      <c r="AY112" s="1"/>
      <c r="AZ112" s="1"/>
      <c r="BA112" s="1"/>
      <c r="BB112" s="1"/>
      <c r="BC112" s="1"/>
      <c r="BD112" s="2"/>
      <c r="BE112" s="1"/>
      <c r="BF112" s="1"/>
      <c r="BG112" s="1"/>
      <c r="BH112" s="1"/>
      <c r="BI112" s="1"/>
      <c r="BJ112" s="1"/>
      <c r="BK112" s="1"/>
      <c r="BL112" s="1"/>
      <c r="BM112" s="2"/>
      <c r="BN112" s="1"/>
      <c r="BO112" s="1"/>
      <c r="BP112" s="1"/>
      <c r="BQ112" s="1"/>
      <c r="BR112" s="1"/>
      <c r="BS112" s="1"/>
      <c r="BT112" s="1"/>
      <c r="BU112" s="1"/>
      <c r="BV112" s="2"/>
      <c r="BW112" s="1"/>
      <c r="BX112" s="1"/>
      <c r="BY112" s="1"/>
      <c r="BZ112" s="1"/>
      <c r="CA112" s="1"/>
      <c r="CB112" s="1"/>
      <c r="CC112" s="1"/>
      <c r="CD112" s="1"/>
      <c r="CE112" s="2"/>
      <c r="CF112" s="1"/>
      <c r="CG112" s="1"/>
      <c r="CH112" s="1"/>
      <c r="CI112" s="1"/>
      <c r="CJ112" s="1"/>
      <c r="CK112" s="1"/>
      <c r="CL112" s="1"/>
    </row>
    <row r="113" spans="1:90" ht="14.65" x14ac:dyDescent="0.4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2"/>
      <c r="L113" s="1"/>
      <c r="M113" s="1"/>
      <c r="N113" s="1"/>
      <c r="O113" s="1"/>
      <c r="P113" s="1"/>
      <c r="Q113" s="1"/>
      <c r="R113" s="1"/>
      <c r="S113" s="1"/>
      <c r="T113" s="2"/>
      <c r="U113" s="1"/>
      <c r="V113" s="1"/>
      <c r="W113" s="1"/>
      <c r="X113" s="1"/>
      <c r="Y113" s="1"/>
      <c r="Z113" s="1"/>
      <c r="AA113" s="1"/>
      <c r="AB113" s="1"/>
      <c r="AC113" s="2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2"/>
      <c r="AV113" s="1"/>
      <c r="AW113" s="1"/>
      <c r="AX113" s="1"/>
      <c r="AY113" s="1"/>
      <c r="AZ113" s="1"/>
      <c r="BA113" s="1"/>
      <c r="BB113" s="1"/>
      <c r="BC113" s="1"/>
      <c r="BD113" s="2"/>
      <c r="BE113" s="1"/>
      <c r="BF113" s="1"/>
      <c r="BG113" s="1"/>
      <c r="BH113" s="1"/>
      <c r="BI113" s="1"/>
      <c r="BJ113" s="1"/>
      <c r="BK113" s="1"/>
      <c r="BL113" s="1"/>
      <c r="BM113" s="2"/>
      <c r="BN113" s="1"/>
      <c r="BO113" s="1"/>
      <c r="BP113" s="1"/>
      <c r="BQ113" s="1"/>
      <c r="BR113" s="1"/>
      <c r="BS113" s="1"/>
      <c r="BT113" s="1"/>
      <c r="BU113" s="1"/>
      <c r="BV113" s="2"/>
      <c r="BW113" s="1"/>
      <c r="BX113" s="1"/>
      <c r="BY113" s="1"/>
      <c r="BZ113" s="1"/>
      <c r="CA113" s="1"/>
      <c r="CB113" s="1"/>
      <c r="CC113" s="1"/>
      <c r="CD113" s="1"/>
      <c r="CE113" s="2"/>
      <c r="CF113" s="1"/>
      <c r="CG113" s="1"/>
      <c r="CH113" s="1"/>
      <c r="CI113" s="1"/>
      <c r="CJ113" s="1"/>
      <c r="CK113" s="1"/>
      <c r="CL113" s="1"/>
    </row>
    <row r="114" spans="1:90" ht="14.65" x14ac:dyDescent="0.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2"/>
      <c r="L114" s="1"/>
      <c r="M114" s="1"/>
      <c r="N114" s="1"/>
      <c r="O114" s="1"/>
      <c r="P114" s="1"/>
      <c r="Q114" s="1"/>
      <c r="R114" s="1"/>
      <c r="S114" s="1"/>
      <c r="T114" s="2"/>
      <c r="U114" s="1"/>
      <c r="V114" s="1"/>
      <c r="W114" s="1"/>
      <c r="X114" s="1"/>
      <c r="Y114" s="1"/>
      <c r="Z114" s="1"/>
      <c r="AA114" s="1"/>
      <c r="AB114" s="1"/>
      <c r="AC114" s="2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2"/>
      <c r="AV114" s="1"/>
      <c r="AW114" s="1"/>
      <c r="AX114" s="1"/>
      <c r="AY114" s="1"/>
      <c r="AZ114" s="1"/>
      <c r="BA114" s="1"/>
      <c r="BB114" s="1"/>
      <c r="BC114" s="1"/>
      <c r="BD114" s="2"/>
      <c r="BE114" s="1"/>
      <c r="BF114" s="1"/>
      <c r="BG114" s="1"/>
      <c r="BH114" s="1"/>
      <c r="BI114" s="1"/>
      <c r="BJ114" s="1"/>
      <c r="BK114" s="1"/>
      <c r="BL114" s="1"/>
      <c r="BM114" s="2"/>
      <c r="BN114" s="1"/>
      <c r="BO114" s="1"/>
      <c r="BP114" s="1"/>
      <c r="BQ114" s="1"/>
      <c r="BR114" s="1"/>
      <c r="BS114" s="1"/>
      <c r="BT114" s="1"/>
      <c r="BU114" s="1"/>
      <c r="BV114" s="2"/>
      <c r="BW114" s="1"/>
      <c r="BX114" s="1"/>
      <c r="BY114" s="1"/>
      <c r="BZ114" s="1"/>
      <c r="CA114" s="1"/>
      <c r="CB114" s="1"/>
      <c r="CC114" s="1"/>
      <c r="CD114" s="1"/>
      <c r="CE114" s="2"/>
      <c r="CF114" s="1"/>
      <c r="CG114" s="1"/>
      <c r="CH114" s="1"/>
      <c r="CI114" s="1"/>
      <c r="CJ114" s="1"/>
      <c r="CK114" s="1"/>
      <c r="CL114" s="1"/>
    </row>
    <row r="115" spans="1:90" ht="14.65" x14ac:dyDescent="0.4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2"/>
      <c r="L115" s="1"/>
      <c r="M115" s="1"/>
      <c r="N115" s="1"/>
      <c r="O115" s="1"/>
      <c r="P115" s="1"/>
      <c r="Q115" s="1"/>
      <c r="R115" s="1"/>
      <c r="S115" s="1"/>
      <c r="T115" s="2"/>
      <c r="U115" s="1"/>
      <c r="V115" s="1"/>
      <c r="W115" s="1"/>
      <c r="X115" s="1"/>
      <c r="Y115" s="1"/>
      <c r="Z115" s="1"/>
      <c r="AA115" s="1"/>
      <c r="AB115" s="1"/>
      <c r="AC115" s="2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2"/>
      <c r="AV115" s="1"/>
      <c r="AW115" s="1"/>
      <c r="AX115" s="1"/>
      <c r="AY115" s="1"/>
      <c r="AZ115" s="1"/>
      <c r="BA115" s="1"/>
      <c r="BB115" s="1"/>
      <c r="BC115" s="1"/>
      <c r="BD115" s="2"/>
      <c r="BE115" s="1"/>
      <c r="BF115" s="1"/>
      <c r="BG115" s="1"/>
      <c r="BH115" s="1"/>
      <c r="BI115" s="1"/>
      <c r="BJ115" s="1"/>
      <c r="BK115" s="1"/>
      <c r="BL115" s="1"/>
      <c r="BM115" s="2"/>
      <c r="BN115" s="1"/>
      <c r="BO115" s="1"/>
      <c r="BP115" s="1"/>
      <c r="BQ115" s="1"/>
      <c r="BR115" s="1"/>
      <c r="BS115" s="1"/>
      <c r="BT115" s="1"/>
      <c r="BU115" s="1"/>
      <c r="BV115" s="2"/>
      <c r="BW115" s="1"/>
      <c r="BX115" s="1"/>
      <c r="BY115" s="1"/>
      <c r="BZ115" s="1"/>
      <c r="CA115" s="1"/>
      <c r="CB115" s="1"/>
      <c r="CC115" s="1"/>
      <c r="CD115" s="1"/>
      <c r="CE115" s="2"/>
      <c r="CF115" s="1"/>
      <c r="CG115" s="1"/>
      <c r="CH115" s="1"/>
      <c r="CI115" s="1"/>
      <c r="CJ115" s="1"/>
      <c r="CK115" s="1"/>
      <c r="CL115" s="1"/>
    </row>
    <row r="116" spans="1:90" ht="14.65" x14ac:dyDescent="0.4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2"/>
      <c r="L116" s="1"/>
      <c r="M116" s="1"/>
      <c r="N116" s="1"/>
      <c r="O116" s="1"/>
      <c r="P116" s="1"/>
      <c r="Q116" s="1"/>
      <c r="R116" s="1"/>
      <c r="S116" s="1"/>
      <c r="T116" s="2"/>
      <c r="U116" s="1"/>
      <c r="V116" s="1"/>
      <c r="W116" s="1"/>
      <c r="X116" s="1"/>
      <c r="Y116" s="1"/>
      <c r="Z116" s="1"/>
      <c r="AA116" s="1"/>
      <c r="AB116" s="1"/>
      <c r="AC116" s="2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2"/>
      <c r="AV116" s="1"/>
      <c r="AW116" s="1"/>
      <c r="AX116" s="1"/>
      <c r="AY116" s="1"/>
      <c r="AZ116" s="1"/>
      <c r="BA116" s="1"/>
      <c r="BB116" s="1"/>
      <c r="BC116" s="1"/>
      <c r="BD116" s="2"/>
      <c r="BE116" s="1"/>
      <c r="BF116" s="1"/>
      <c r="BG116" s="1"/>
      <c r="BH116" s="1"/>
      <c r="BI116" s="1"/>
      <c r="BJ116" s="1"/>
      <c r="BK116" s="1"/>
      <c r="BL116" s="1"/>
      <c r="BM116" s="2"/>
      <c r="BN116" s="1"/>
      <c r="BO116" s="1"/>
      <c r="BP116" s="1"/>
      <c r="BQ116" s="1"/>
      <c r="BR116" s="1"/>
      <c r="BS116" s="1"/>
      <c r="BT116" s="1"/>
      <c r="BU116" s="1"/>
      <c r="BV116" s="2"/>
      <c r="BW116" s="1"/>
      <c r="BX116" s="1"/>
      <c r="BY116" s="1"/>
      <c r="BZ116" s="1"/>
      <c r="CA116" s="1"/>
      <c r="CB116" s="1"/>
      <c r="CC116" s="1"/>
      <c r="CD116" s="1"/>
      <c r="CE116" s="2"/>
      <c r="CF116" s="1"/>
      <c r="CG116" s="1"/>
      <c r="CH116" s="1"/>
      <c r="CI116" s="1"/>
      <c r="CJ116" s="1"/>
      <c r="CK116" s="1"/>
      <c r="CL116" s="1"/>
    </row>
    <row r="117" spans="1:90" ht="14.65" x14ac:dyDescent="0.4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2"/>
      <c r="L117" s="1"/>
      <c r="M117" s="1"/>
      <c r="N117" s="1"/>
      <c r="O117" s="1"/>
      <c r="P117" s="1"/>
      <c r="Q117" s="1"/>
      <c r="R117" s="1"/>
      <c r="S117" s="1"/>
      <c r="T117" s="2"/>
      <c r="U117" s="1"/>
      <c r="V117" s="3"/>
      <c r="W117" s="1"/>
      <c r="X117" s="1"/>
      <c r="Y117" s="1"/>
      <c r="Z117" s="1"/>
      <c r="AA117" s="1"/>
      <c r="AB117" s="1"/>
      <c r="AC117" s="2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2"/>
      <c r="AV117" s="1"/>
      <c r="AW117" s="1"/>
      <c r="AX117" s="1"/>
      <c r="AY117" s="1"/>
      <c r="AZ117" s="1"/>
      <c r="BA117" s="1"/>
      <c r="BB117" s="1"/>
      <c r="BC117" s="1"/>
      <c r="BD117" s="2"/>
      <c r="BE117" s="1"/>
      <c r="BF117" s="1"/>
      <c r="BG117" s="1"/>
      <c r="BH117" s="1"/>
      <c r="BI117" s="1"/>
      <c r="BJ117" s="1"/>
      <c r="BK117" s="1"/>
      <c r="BL117" s="1"/>
      <c r="BM117" s="2"/>
      <c r="BN117" s="1"/>
      <c r="BO117" s="1"/>
      <c r="BP117" s="1"/>
      <c r="BQ117" s="1"/>
      <c r="BR117" s="1"/>
      <c r="BS117" s="1"/>
      <c r="BT117" s="1"/>
      <c r="BU117" s="1"/>
      <c r="BV117" s="2"/>
      <c r="BW117" s="1"/>
      <c r="BX117" s="1"/>
      <c r="BY117" s="1"/>
      <c r="BZ117" s="1"/>
      <c r="CA117" s="1"/>
      <c r="CB117" s="1"/>
      <c r="CC117" s="1"/>
      <c r="CD117" s="1"/>
      <c r="CE117" s="2"/>
      <c r="CF117" s="1"/>
      <c r="CG117" s="1"/>
      <c r="CH117" s="1"/>
      <c r="CI117" s="1"/>
      <c r="CJ117" s="1"/>
      <c r="CK117" s="1"/>
      <c r="CL117" s="1"/>
    </row>
    <row r="118" spans="1:90" ht="14.65" x14ac:dyDescent="0.4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2"/>
      <c r="L118" s="1"/>
      <c r="M118" s="1"/>
      <c r="N118" s="1"/>
      <c r="O118" s="1"/>
      <c r="P118" s="1"/>
      <c r="Q118" s="1"/>
      <c r="R118" s="1"/>
      <c r="S118" s="1"/>
      <c r="T118" s="2"/>
      <c r="U118" s="1"/>
      <c r="V118" s="1"/>
      <c r="W118" s="1"/>
      <c r="X118" s="1"/>
      <c r="Y118" s="1"/>
      <c r="Z118" s="1"/>
      <c r="AA118" s="1"/>
      <c r="AB118" s="1"/>
      <c r="AC118" s="2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2"/>
      <c r="AV118" s="1"/>
      <c r="AW118" s="1"/>
      <c r="AX118" s="1"/>
      <c r="AY118" s="1"/>
      <c r="AZ118" s="1"/>
      <c r="BA118" s="1"/>
      <c r="BB118" s="1"/>
      <c r="BC118" s="1"/>
      <c r="BD118" s="2"/>
      <c r="BE118" s="1"/>
      <c r="BF118" s="1"/>
      <c r="BG118" s="1"/>
      <c r="BH118" s="1"/>
      <c r="BI118" s="1"/>
      <c r="BJ118" s="1"/>
      <c r="BK118" s="1"/>
      <c r="BL118" s="1"/>
      <c r="BM118" s="2"/>
      <c r="BN118" s="1"/>
      <c r="BO118" s="1"/>
      <c r="BP118" s="1"/>
      <c r="BQ118" s="1"/>
      <c r="BR118" s="1"/>
      <c r="BS118" s="1"/>
      <c r="BT118" s="1"/>
      <c r="BU118" s="1"/>
      <c r="BV118" s="2"/>
      <c r="BW118" s="1"/>
      <c r="BX118" s="1"/>
      <c r="BY118" s="1"/>
      <c r="BZ118" s="1"/>
      <c r="CA118" s="1"/>
      <c r="CB118" s="1"/>
      <c r="CC118" s="1"/>
      <c r="CD118" s="1"/>
      <c r="CE118" s="2"/>
      <c r="CF118" s="1"/>
      <c r="CG118" s="1"/>
      <c r="CH118" s="1"/>
      <c r="CI118" s="1"/>
      <c r="CJ118" s="1"/>
      <c r="CK118" s="1"/>
      <c r="CL118" s="1"/>
    </row>
    <row r="119" spans="1:90" ht="14.65" x14ac:dyDescent="0.4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2"/>
      <c r="L119" s="1"/>
      <c r="M119" s="1"/>
      <c r="N119" s="1"/>
      <c r="O119" s="1"/>
      <c r="P119" s="1"/>
      <c r="Q119" s="1"/>
      <c r="R119" s="1"/>
      <c r="S119" s="1"/>
      <c r="T119" s="2"/>
      <c r="U119" s="1"/>
      <c r="V119" s="1"/>
      <c r="W119" s="1"/>
      <c r="X119" s="1"/>
      <c r="Y119" s="1"/>
      <c r="Z119" s="1"/>
      <c r="AA119" s="1"/>
      <c r="AB119" s="1"/>
      <c r="AC119" s="2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2"/>
      <c r="AV119" s="1"/>
      <c r="AW119" s="1"/>
      <c r="AX119" s="1"/>
      <c r="AY119" s="1"/>
      <c r="AZ119" s="1"/>
      <c r="BA119" s="1"/>
      <c r="BB119" s="1"/>
      <c r="BC119" s="1"/>
      <c r="BD119" s="2"/>
      <c r="BE119" s="1"/>
      <c r="BF119" s="1"/>
      <c r="BG119" s="1"/>
      <c r="BH119" s="1"/>
      <c r="BI119" s="1"/>
      <c r="BJ119" s="1"/>
      <c r="BK119" s="1"/>
      <c r="BL119" s="1"/>
      <c r="BM119" s="2"/>
      <c r="BN119" s="1"/>
      <c r="BO119" s="1"/>
      <c r="BP119" s="1"/>
      <c r="BQ119" s="1"/>
      <c r="BR119" s="1"/>
      <c r="BS119" s="1"/>
      <c r="BT119" s="1"/>
      <c r="BU119" s="1"/>
      <c r="BV119" s="2"/>
      <c r="BW119" s="1"/>
      <c r="BX119" s="1"/>
      <c r="BY119" s="1"/>
      <c r="BZ119" s="1"/>
      <c r="CA119" s="1"/>
      <c r="CB119" s="1"/>
      <c r="CC119" s="1"/>
      <c r="CD119" s="1"/>
      <c r="CE119" s="2"/>
      <c r="CF119" s="1"/>
      <c r="CG119" s="1"/>
      <c r="CH119" s="1"/>
      <c r="CI119" s="1"/>
      <c r="CJ119" s="1"/>
      <c r="CK119" s="1"/>
      <c r="CL119" s="1"/>
    </row>
    <row r="120" spans="1:90" ht="14.65" x14ac:dyDescent="0.4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2"/>
      <c r="L120" s="1"/>
      <c r="M120" s="1"/>
      <c r="N120" s="1"/>
      <c r="O120" s="1"/>
      <c r="P120" s="1"/>
      <c r="Q120" s="1"/>
      <c r="R120" s="1"/>
      <c r="S120" s="1"/>
      <c r="T120" s="2"/>
      <c r="U120" s="1"/>
      <c r="V120" s="1"/>
      <c r="W120" s="1"/>
      <c r="X120" s="1"/>
      <c r="Y120" s="1"/>
      <c r="Z120" s="1"/>
      <c r="AA120" s="1"/>
      <c r="AB120" s="1"/>
      <c r="AC120" s="2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2"/>
      <c r="AV120" s="1"/>
      <c r="AW120" s="1"/>
      <c r="AX120" s="1"/>
      <c r="AY120" s="1"/>
      <c r="AZ120" s="1"/>
      <c r="BA120" s="1"/>
      <c r="BB120" s="1"/>
      <c r="BC120" s="1"/>
      <c r="BD120" s="2"/>
      <c r="BE120" s="1"/>
      <c r="BF120" s="1"/>
      <c r="BG120" s="1"/>
      <c r="BH120" s="1"/>
      <c r="BI120" s="1"/>
      <c r="BJ120" s="1"/>
      <c r="BK120" s="1"/>
      <c r="BL120" s="1"/>
      <c r="BM120" s="2"/>
      <c r="BN120" s="1"/>
      <c r="BO120" s="1"/>
      <c r="BP120" s="1"/>
      <c r="BQ120" s="1"/>
      <c r="BR120" s="1"/>
      <c r="BS120" s="1"/>
      <c r="BT120" s="1"/>
      <c r="BU120" s="1"/>
      <c r="BV120" s="2"/>
      <c r="BW120" s="1"/>
      <c r="BX120" s="1"/>
      <c r="BY120" s="1"/>
      <c r="BZ120" s="1"/>
      <c r="CA120" s="1"/>
      <c r="CB120" s="1"/>
      <c r="CC120" s="1"/>
      <c r="CD120" s="1"/>
      <c r="CE120" s="2"/>
      <c r="CF120" s="1"/>
      <c r="CG120" s="1"/>
      <c r="CH120" s="1"/>
      <c r="CI120" s="1"/>
      <c r="CJ120" s="1"/>
      <c r="CK120" s="1"/>
      <c r="CL120" s="1"/>
    </row>
    <row r="121" spans="1:90" ht="14.65" x14ac:dyDescent="0.4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2"/>
      <c r="L121" s="1"/>
      <c r="M121" s="1"/>
      <c r="N121" s="1"/>
      <c r="O121" s="1"/>
      <c r="P121" s="1"/>
      <c r="Q121" s="1"/>
      <c r="R121" s="1"/>
      <c r="S121" s="1"/>
      <c r="T121" s="2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2"/>
      <c r="AV121" s="1"/>
      <c r="AW121" s="1"/>
      <c r="AX121" s="1"/>
      <c r="AY121" s="1"/>
      <c r="AZ121" s="1"/>
      <c r="BA121" s="1"/>
      <c r="BB121" s="1"/>
      <c r="BC121" s="1"/>
      <c r="BD121" s="2"/>
      <c r="BE121" s="1"/>
      <c r="BF121" s="1"/>
      <c r="BG121" s="1"/>
      <c r="BH121" s="1"/>
      <c r="BI121" s="1"/>
      <c r="BJ121" s="1"/>
      <c r="BK121" s="1"/>
      <c r="BL121" s="1"/>
      <c r="BM121" s="2"/>
      <c r="BN121" s="1"/>
      <c r="BO121" s="1"/>
      <c r="BP121" s="1"/>
      <c r="BQ121" s="1"/>
      <c r="BR121" s="1"/>
      <c r="BS121" s="1"/>
      <c r="BT121" s="1"/>
      <c r="BU121" s="1"/>
      <c r="BV121" s="2"/>
      <c r="BW121" s="1"/>
      <c r="BX121" s="1"/>
      <c r="BY121" s="1"/>
      <c r="BZ121" s="1"/>
      <c r="CA121" s="1"/>
      <c r="CB121" s="1"/>
      <c r="CC121" s="1"/>
      <c r="CD121" s="1"/>
      <c r="CE121" s="2"/>
      <c r="CF121" s="1"/>
      <c r="CG121" s="1"/>
      <c r="CH121" s="1"/>
      <c r="CI121" s="1"/>
      <c r="CJ121" s="1"/>
      <c r="CK121" s="1"/>
      <c r="CL121" s="1"/>
    </row>
    <row r="122" spans="1:90" ht="14.65" x14ac:dyDescent="0.4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2"/>
      <c r="L122" s="1"/>
      <c r="M122" s="1"/>
      <c r="N122" s="1"/>
      <c r="O122" s="1"/>
      <c r="P122" s="1"/>
      <c r="Q122" s="1"/>
      <c r="R122" s="1"/>
      <c r="S122" s="1"/>
      <c r="T122" s="2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2"/>
      <c r="AV122" s="1"/>
      <c r="AW122" s="1"/>
      <c r="AX122" s="1"/>
      <c r="AY122" s="1"/>
      <c r="AZ122" s="1"/>
      <c r="BA122" s="1"/>
      <c r="BB122" s="1"/>
      <c r="BC122" s="1"/>
      <c r="BD122" s="2"/>
      <c r="BE122" s="1"/>
      <c r="BF122" s="1"/>
      <c r="BG122" s="1"/>
      <c r="BH122" s="1"/>
      <c r="BI122" s="1"/>
      <c r="BJ122" s="1"/>
      <c r="BK122" s="1"/>
      <c r="BL122" s="1"/>
      <c r="BM122" s="2"/>
      <c r="BN122" s="1"/>
      <c r="BO122" s="1"/>
      <c r="BP122" s="1"/>
      <c r="BQ122" s="1"/>
      <c r="BR122" s="1"/>
      <c r="BS122" s="1"/>
      <c r="BT122" s="1"/>
      <c r="BU122" s="1"/>
      <c r="BV122" s="2"/>
      <c r="BW122" s="1"/>
      <c r="BX122" s="1"/>
      <c r="BY122" s="1"/>
      <c r="BZ122" s="1"/>
      <c r="CA122" s="1"/>
      <c r="CB122" s="1"/>
      <c r="CC122" s="1"/>
      <c r="CD122" s="1"/>
      <c r="CE122" s="2"/>
      <c r="CF122" s="1"/>
      <c r="CG122" s="1"/>
      <c r="CH122" s="1"/>
      <c r="CI122" s="1"/>
      <c r="CJ122" s="1"/>
      <c r="CK122" s="1"/>
      <c r="CL122" s="1"/>
    </row>
    <row r="123" spans="1:90" ht="14.65" x14ac:dyDescent="0.4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2"/>
      <c r="L123" s="1"/>
      <c r="M123" s="1"/>
      <c r="N123" s="1"/>
      <c r="O123" s="1"/>
      <c r="P123" s="1"/>
      <c r="Q123" s="1"/>
      <c r="R123" s="1"/>
      <c r="S123" s="1"/>
      <c r="T123" s="2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"/>
      <c r="AH123" s="1"/>
      <c r="AI123" s="1"/>
      <c r="AJ123" s="1"/>
      <c r="AK123" s="1"/>
      <c r="AL123" s="2"/>
      <c r="AM123" s="1"/>
      <c r="AN123" s="1"/>
      <c r="AO123" s="1"/>
      <c r="AP123" s="1"/>
      <c r="AQ123" s="1"/>
      <c r="AR123" s="1"/>
      <c r="AS123" s="1"/>
      <c r="AT123" s="1"/>
      <c r="AU123" s="2"/>
      <c r="AV123" s="1"/>
      <c r="AW123" s="1"/>
      <c r="AX123" s="1"/>
      <c r="AY123" s="1"/>
      <c r="AZ123" s="1"/>
      <c r="BA123" s="1"/>
      <c r="BB123" s="1"/>
      <c r="BC123" s="1"/>
      <c r="BD123" s="2"/>
      <c r="BE123" s="1"/>
      <c r="BF123" s="1"/>
      <c r="BG123" s="1"/>
      <c r="BH123" s="1"/>
      <c r="BI123" s="1"/>
      <c r="BJ123" s="1"/>
      <c r="BK123" s="1"/>
      <c r="BL123" s="1"/>
      <c r="BM123" s="2"/>
      <c r="BN123" s="1"/>
      <c r="BO123" s="1"/>
      <c r="BP123" s="1"/>
      <c r="BQ123" s="1"/>
      <c r="BR123" s="1"/>
      <c r="BS123" s="1"/>
      <c r="BT123" s="1"/>
      <c r="BU123" s="1"/>
      <c r="BV123" s="2"/>
      <c r="BW123" s="1"/>
      <c r="BX123" s="1"/>
      <c r="BY123" s="1"/>
      <c r="BZ123" s="1"/>
      <c r="CA123" s="1"/>
      <c r="CB123" s="1"/>
      <c r="CC123" s="1"/>
      <c r="CD123" s="1"/>
      <c r="CE123" s="2"/>
      <c r="CF123" s="1"/>
      <c r="CG123" s="1"/>
      <c r="CH123" s="1"/>
      <c r="CI123" s="1"/>
      <c r="CJ123" s="1"/>
      <c r="CK123" s="1"/>
      <c r="CL123" s="1"/>
    </row>
    <row r="124" spans="1:90" ht="14.65" x14ac:dyDescent="0.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2"/>
      <c r="L124" s="1"/>
      <c r="M124" s="1"/>
      <c r="N124" s="1"/>
      <c r="O124" s="1"/>
      <c r="P124" s="1"/>
      <c r="Q124" s="1"/>
      <c r="R124" s="1"/>
      <c r="S124" s="1"/>
      <c r="T124" s="2"/>
      <c r="U124" s="1"/>
      <c r="V124" s="1"/>
      <c r="W124" s="1"/>
      <c r="X124" s="1"/>
      <c r="Y124" s="1"/>
      <c r="Z124" s="1"/>
      <c r="AA124" s="1"/>
      <c r="AB124" s="1"/>
      <c r="AC124" s="2"/>
      <c r="AD124" s="1"/>
      <c r="AE124" s="1"/>
      <c r="AF124" s="1"/>
      <c r="AG124" s="1"/>
      <c r="AH124" s="1"/>
      <c r="AI124" s="1"/>
      <c r="AJ124" s="1"/>
      <c r="AK124" s="1"/>
      <c r="AL124" s="2"/>
      <c r="AM124" s="1"/>
      <c r="AN124" s="1"/>
      <c r="AO124" s="1"/>
      <c r="AP124" s="1"/>
      <c r="AQ124" s="1"/>
      <c r="AR124" s="1"/>
      <c r="AS124" s="1"/>
      <c r="AT124" s="1"/>
      <c r="AU124" s="2"/>
      <c r="AV124" s="1"/>
      <c r="AW124" s="1"/>
      <c r="AX124" s="1"/>
      <c r="AY124" s="1"/>
      <c r="AZ124" s="1"/>
      <c r="BA124" s="1"/>
      <c r="BB124" s="1"/>
      <c r="BC124" s="1"/>
      <c r="BD124" s="2"/>
      <c r="BE124" s="1"/>
      <c r="BF124" s="1"/>
      <c r="BG124" s="1"/>
      <c r="BH124" s="1"/>
      <c r="BI124" s="1"/>
      <c r="BJ124" s="1"/>
      <c r="BK124" s="1"/>
      <c r="BL124" s="1"/>
      <c r="BM124" s="2"/>
      <c r="BN124" s="1"/>
      <c r="BO124" s="1"/>
      <c r="BP124" s="1"/>
      <c r="BQ124" s="1"/>
      <c r="BR124" s="1"/>
      <c r="BS124" s="1"/>
      <c r="BT124" s="1"/>
      <c r="BU124" s="1"/>
      <c r="BV124" s="2"/>
      <c r="BW124" s="1"/>
      <c r="BX124" s="1"/>
      <c r="BY124" s="1"/>
      <c r="BZ124" s="1"/>
      <c r="CA124" s="1"/>
      <c r="CB124" s="1"/>
      <c r="CC124" s="1"/>
      <c r="CD124" s="1"/>
      <c r="CE124" s="2"/>
      <c r="CF124" s="1"/>
      <c r="CG124" s="1"/>
      <c r="CH124" s="1"/>
      <c r="CI124" s="1"/>
      <c r="CJ124" s="1"/>
      <c r="CK124" s="1"/>
      <c r="CL124" s="1"/>
    </row>
    <row r="125" spans="1:90" ht="14.65" x14ac:dyDescent="0.4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2"/>
      <c r="L125" s="1"/>
      <c r="M125" s="1"/>
      <c r="N125" s="1"/>
      <c r="O125" s="1"/>
      <c r="P125" s="1"/>
      <c r="Q125" s="1"/>
      <c r="R125" s="1"/>
      <c r="S125" s="1"/>
      <c r="T125" s="2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"/>
      <c r="AH125" s="1"/>
      <c r="AI125" s="1"/>
      <c r="AJ125" s="1"/>
      <c r="AK125" s="1"/>
      <c r="AL125" s="2"/>
      <c r="AM125" s="1"/>
      <c r="AN125" s="1"/>
      <c r="AO125" s="1"/>
      <c r="AP125" s="1"/>
      <c r="AQ125" s="1"/>
      <c r="AR125" s="1"/>
      <c r="AS125" s="1"/>
      <c r="AT125" s="1"/>
      <c r="AU125" s="2"/>
      <c r="AV125" s="1"/>
      <c r="AW125" s="1"/>
      <c r="AX125" s="1"/>
      <c r="AY125" s="1"/>
      <c r="AZ125" s="1"/>
      <c r="BA125" s="1"/>
      <c r="BB125" s="1"/>
      <c r="BC125" s="1"/>
      <c r="BD125" s="2"/>
      <c r="BE125" s="1"/>
      <c r="BF125" s="1"/>
      <c r="BG125" s="1"/>
      <c r="BH125" s="1"/>
      <c r="BI125" s="1"/>
      <c r="BJ125" s="1"/>
      <c r="BK125" s="1"/>
      <c r="BL125" s="1"/>
      <c r="BM125" s="2"/>
      <c r="BN125" s="1"/>
      <c r="BO125" s="1"/>
      <c r="BP125" s="1"/>
      <c r="BQ125" s="1"/>
      <c r="BR125" s="1"/>
      <c r="BS125" s="1"/>
      <c r="BT125" s="1"/>
      <c r="BU125" s="1"/>
      <c r="BV125" s="2"/>
      <c r="BW125" s="1"/>
      <c r="BX125" s="1"/>
      <c r="BY125" s="1"/>
      <c r="BZ125" s="1"/>
      <c r="CA125" s="1"/>
      <c r="CB125" s="1"/>
      <c r="CC125" s="1"/>
      <c r="CD125" s="1"/>
      <c r="CE125" s="2"/>
      <c r="CF125" s="1"/>
      <c r="CG125" s="1"/>
      <c r="CH125" s="1"/>
      <c r="CI125" s="1"/>
      <c r="CJ125" s="1"/>
      <c r="CK125" s="1"/>
      <c r="CL125" s="1"/>
    </row>
    <row r="126" spans="1:90" ht="14.65" x14ac:dyDescent="0.4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2"/>
      <c r="L126" s="1"/>
      <c r="M126" s="1"/>
      <c r="N126" s="1"/>
      <c r="O126" s="1"/>
      <c r="P126" s="1"/>
      <c r="Q126" s="1"/>
      <c r="R126" s="1"/>
      <c r="S126" s="1"/>
      <c r="T126" s="2"/>
      <c r="U126" s="1"/>
      <c r="V126" s="1"/>
      <c r="W126" s="1"/>
      <c r="X126" s="1"/>
      <c r="Y126" s="1"/>
      <c r="Z126" s="1"/>
      <c r="AA126" s="1"/>
      <c r="AB126" s="1"/>
      <c r="AC126" s="2"/>
      <c r="AD126" s="1"/>
      <c r="AE126" s="1"/>
      <c r="AF126" s="1"/>
      <c r="AG126" s="1"/>
      <c r="AH126" s="1"/>
      <c r="AI126" s="1"/>
      <c r="AJ126" s="1"/>
      <c r="AK126" s="1"/>
      <c r="AL126" s="2"/>
      <c r="AM126" s="1"/>
      <c r="AN126" s="1"/>
      <c r="AO126" s="1"/>
      <c r="AP126" s="1"/>
      <c r="AQ126" s="1"/>
      <c r="AR126" s="1"/>
      <c r="AS126" s="1"/>
      <c r="AT126" s="1"/>
      <c r="AU126" s="2"/>
      <c r="AV126" s="1"/>
      <c r="AW126" s="1"/>
      <c r="AX126" s="1"/>
      <c r="AY126" s="1"/>
      <c r="AZ126" s="1"/>
      <c r="BA126" s="1"/>
      <c r="BB126" s="1"/>
      <c r="BC126" s="1"/>
      <c r="BD126" s="2"/>
      <c r="BE126" s="1"/>
      <c r="BF126" s="1"/>
      <c r="BG126" s="1"/>
      <c r="BH126" s="1"/>
      <c r="BI126" s="1"/>
      <c r="BJ126" s="1"/>
      <c r="BK126" s="1"/>
      <c r="BL126" s="1"/>
      <c r="BM126" s="2"/>
      <c r="BN126" s="1"/>
      <c r="BO126" s="1"/>
      <c r="BP126" s="1"/>
      <c r="BQ126" s="1"/>
      <c r="BR126" s="1"/>
      <c r="BS126" s="1"/>
      <c r="BT126" s="1"/>
      <c r="BU126" s="1"/>
      <c r="BV126" s="2"/>
      <c r="BW126" s="1"/>
      <c r="BX126" s="1"/>
      <c r="BY126" s="1"/>
      <c r="BZ126" s="1"/>
      <c r="CA126" s="1"/>
      <c r="CB126" s="1"/>
      <c r="CC126" s="1"/>
      <c r="CD126" s="1"/>
      <c r="CE126" s="2"/>
      <c r="CF126" s="1"/>
      <c r="CG126" s="1"/>
      <c r="CH126" s="1"/>
      <c r="CI126" s="1"/>
      <c r="CJ126" s="1"/>
      <c r="CK126" s="1"/>
      <c r="CL126" s="1"/>
    </row>
    <row r="127" spans="1:90" ht="14.65" x14ac:dyDescent="0.4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2"/>
      <c r="L127" s="1"/>
      <c r="M127" s="1"/>
      <c r="N127" s="1"/>
      <c r="O127" s="1"/>
      <c r="P127" s="1"/>
      <c r="Q127" s="1"/>
      <c r="R127" s="1"/>
      <c r="S127" s="1"/>
      <c r="T127" s="2"/>
      <c r="U127" s="1"/>
      <c r="V127" s="1"/>
      <c r="W127" s="1"/>
      <c r="X127" s="1"/>
      <c r="Y127" s="1"/>
      <c r="Z127" s="1"/>
      <c r="AA127" s="1"/>
      <c r="AB127" s="1"/>
      <c r="AC127" s="2"/>
      <c r="AD127" s="1"/>
      <c r="AE127" s="1"/>
      <c r="AF127" s="1"/>
      <c r="AG127" s="1"/>
      <c r="AH127" s="1"/>
      <c r="AI127" s="1"/>
      <c r="AJ127" s="1"/>
      <c r="AK127" s="1"/>
      <c r="AL127" s="2"/>
      <c r="AM127" s="1"/>
      <c r="AN127" s="1"/>
      <c r="AO127" s="1"/>
      <c r="AP127" s="1"/>
      <c r="AQ127" s="1"/>
      <c r="AR127" s="1"/>
      <c r="AS127" s="1"/>
      <c r="AT127" s="1"/>
      <c r="AU127" s="2"/>
      <c r="AV127" s="1"/>
      <c r="AW127" s="1"/>
      <c r="AX127" s="1"/>
      <c r="AY127" s="1"/>
      <c r="AZ127" s="1"/>
      <c r="BA127" s="1"/>
      <c r="BB127" s="1"/>
      <c r="BC127" s="1"/>
      <c r="BD127" s="2"/>
      <c r="BE127" s="1"/>
      <c r="BF127" s="1"/>
      <c r="BG127" s="1"/>
      <c r="BH127" s="1"/>
      <c r="BI127" s="1"/>
      <c r="BJ127" s="1"/>
      <c r="BK127" s="1"/>
      <c r="BL127" s="1"/>
      <c r="BM127" s="2"/>
      <c r="BN127" s="1"/>
      <c r="BO127" s="1"/>
      <c r="BP127" s="1"/>
      <c r="BQ127" s="1"/>
      <c r="BR127" s="1"/>
      <c r="BS127" s="1"/>
      <c r="BT127" s="1"/>
      <c r="BU127" s="1"/>
      <c r="BV127" s="2"/>
      <c r="BW127" s="1"/>
      <c r="BX127" s="1"/>
      <c r="BY127" s="1"/>
      <c r="BZ127" s="1"/>
      <c r="CA127" s="1"/>
      <c r="CB127" s="1"/>
      <c r="CC127" s="1"/>
      <c r="CD127" s="1"/>
      <c r="CE127" s="2"/>
      <c r="CF127" s="1"/>
      <c r="CG127" s="1"/>
      <c r="CH127" s="1"/>
      <c r="CI127" s="1"/>
      <c r="CJ127" s="1"/>
      <c r="CK127" s="1"/>
      <c r="CL127" s="1"/>
    </row>
    <row r="128" spans="1:90" ht="14.65" x14ac:dyDescent="0.4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2"/>
      <c r="L128" s="1"/>
      <c r="M128" s="1"/>
      <c r="N128" s="1"/>
      <c r="O128" s="1"/>
      <c r="P128" s="1"/>
      <c r="Q128" s="1"/>
      <c r="R128" s="1"/>
      <c r="S128" s="1"/>
      <c r="T128" s="2"/>
      <c r="U128" s="1"/>
      <c r="V128" s="1"/>
      <c r="W128" s="1"/>
      <c r="X128" s="1"/>
      <c r="Y128" s="1"/>
      <c r="Z128" s="1"/>
      <c r="AA128" s="1"/>
      <c r="AB128" s="1"/>
      <c r="AC128" s="2"/>
      <c r="AD128" s="1"/>
      <c r="AE128" s="1"/>
      <c r="AF128" s="1"/>
      <c r="AG128" s="1"/>
      <c r="AH128" s="1"/>
      <c r="AI128" s="1"/>
      <c r="AJ128" s="1"/>
      <c r="AK128" s="1"/>
      <c r="AL128" s="2"/>
      <c r="AM128" s="1"/>
      <c r="AN128" s="1"/>
      <c r="AO128" s="1"/>
      <c r="AP128" s="1"/>
      <c r="AQ128" s="1"/>
      <c r="AR128" s="1"/>
      <c r="AS128" s="1"/>
      <c r="AT128" s="1"/>
      <c r="AU128" s="2"/>
      <c r="AV128" s="1"/>
      <c r="AW128" s="1"/>
      <c r="AX128" s="1"/>
      <c r="AY128" s="1"/>
      <c r="AZ128" s="1"/>
      <c r="BA128" s="1"/>
      <c r="BB128" s="1"/>
      <c r="BC128" s="1"/>
      <c r="BD128" s="2"/>
      <c r="BE128" s="1"/>
      <c r="BF128" s="1"/>
      <c r="BG128" s="1"/>
      <c r="BH128" s="1"/>
      <c r="BI128" s="1"/>
      <c r="BJ128" s="1"/>
      <c r="BK128" s="1"/>
      <c r="BL128" s="1"/>
      <c r="BM128" s="2"/>
      <c r="BN128" s="1"/>
      <c r="BO128" s="1"/>
      <c r="BP128" s="1"/>
      <c r="BQ128" s="1"/>
      <c r="BR128" s="1"/>
      <c r="BS128" s="1"/>
      <c r="BT128" s="1"/>
      <c r="BU128" s="1"/>
      <c r="BV128" s="2"/>
      <c r="BW128" s="1"/>
      <c r="BX128" s="1"/>
      <c r="BY128" s="1"/>
      <c r="BZ128" s="1"/>
      <c r="CA128" s="1"/>
      <c r="CB128" s="1"/>
      <c r="CC128" s="1"/>
      <c r="CD128" s="1"/>
      <c r="CE128" s="2"/>
      <c r="CF128" s="1"/>
      <c r="CG128" s="1"/>
      <c r="CH128" s="1"/>
      <c r="CI128" s="1"/>
      <c r="CJ128" s="1"/>
      <c r="CK128" s="1"/>
      <c r="CL128" s="1"/>
    </row>
    <row r="129" spans="1:90" ht="14.65" x14ac:dyDescent="0.4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2"/>
      <c r="L129" s="1"/>
      <c r="M129" s="1"/>
      <c r="N129" s="1"/>
      <c r="O129" s="1"/>
      <c r="P129" s="1"/>
      <c r="Q129" s="1"/>
      <c r="R129" s="1"/>
      <c r="S129" s="1"/>
      <c r="T129" s="2"/>
      <c r="U129" s="1"/>
      <c r="V129" s="1"/>
      <c r="W129" s="1"/>
      <c r="X129" s="1"/>
      <c r="Y129" s="1"/>
      <c r="Z129" s="1"/>
      <c r="AA129" s="1"/>
      <c r="AB129" s="1"/>
      <c r="AC129" s="2"/>
      <c r="AD129" s="1"/>
      <c r="AE129" s="1"/>
      <c r="AF129" s="1"/>
      <c r="AG129" s="1"/>
      <c r="AH129" s="1"/>
      <c r="AI129" s="1"/>
      <c r="AJ129" s="1"/>
      <c r="AK129" s="1"/>
      <c r="AL129" s="2"/>
      <c r="AM129" s="1"/>
      <c r="AN129" s="1"/>
      <c r="AO129" s="1"/>
      <c r="AP129" s="1"/>
      <c r="AQ129" s="1"/>
      <c r="AR129" s="1"/>
      <c r="AS129" s="1"/>
      <c r="AT129" s="1"/>
      <c r="AU129" s="2"/>
      <c r="AV129" s="1"/>
      <c r="AW129" s="1"/>
      <c r="AX129" s="1"/>
      <c r="AY129" s="1"/>
      <c r="AZ129" s="1"/>
      <c r="BA129" s="1"/>
      <c r="BB129" s="1"/>
      <c r="BC129" s="1"/>
      <c r="BD129" s="2"/>
      <c r="BE129" s="1"/>
      <c r="BF129" s="1"/>
      <c r="BG129" s="1"/>
      <c r="BH129" s="1"/>
      <c r="BI129" s="1"/>
      <c r="BJ129" s="1"/>
      <c r="BK129" s="1"/>
      <c r="BL129" s="1"/>
      <c r="BM129" s="2"/>
      <c r="BN129" s="1"/>
      <c r="BO129" s="1"/>
      <c r="BP129" s="1"/>
      <c r="BQ129" s="1"/>
      <c r="BR129" s="1"/>
      <c r="BS129" s="1"/>
      <c r="BT129" s="1"/>
      <c r="BU129" s="1"/>
      <c r="BV129" s="2"/>
      <c r="BW129" s="1"/>
      <c r="BX129" s="1"/>
      <c r="BY129" s="1"/>
      <c r="BZ129" s="1"/>
      <c r="CA129" s="1"/>
      <c r="CB129" s="1"/>
      <c r="CC129" s="1"/>
      <c r="CD129" s="1"/>
      <c r="CE129" s="2"/>
      <c r="CF129" s="1"/>
      <c r="CG129" s="1"/>
      <c r="CH129" s="1"/>
      <c r="CI129" s="1"/>
      <c r="CJ129" s="1"/>
      <c r="CK129" s="1"/>
      <c r="CL129" s="1"/>
    </row>
    <row r="130" spans="1:90" ht="14.65" x14ac:dyDescent="0.4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2"/>
      <c r="L130" s="1"/>
      <c r="M130" s="1"/>
      <c r="N130" s="1"/>
      <c r="O130" s="1"/>
      <c r="P130" s="1"/>
      <c r="Q130" s="1"/>
      <c r="R130" s="1"/>
      <c r="S130" s="1"/>
      <c r="T130" s="2"/>
      <c r="U130" s="1"/>
      <c r="V130" s="1"/>
      <c r="W130" s="1"/>
      <c r="X130" s="1"/>
      <c r="Y130" s="1"/>
      <c r="Z130" s="1"/>
      <c r="AA130" s="1"/>
      <c r="AB130" s="1"/>
      <c r="AC130" s="2"/>
      <c r="AD130" s="1"/>
      <c r="AE130" s="1"/>
      <c r="AF130" s="1"/>
      <c r="AG130" s="1"/>
      <c r="AH130" s="1"/>
      <c r="AI130" s="1"/>
      <c r="AJ130" s="1"/>
      <c r="AK130" s="1"/>
      <c r="AL130" s="2"/>
      <c r="AM130" s="1"/>
      <c r="AN130" s="1"/>
      <c r="AO130" s="1"/>
      <c r="AP130" s="1"/>
      <c r="AQ130" s="1"/>
      <c r="AR130" s="1"/>
      <c r="AS130" s="1"/>
      <c r="AT130" s="1"/>
      <c r="AU130" s="2"/>
      <c r="AV130" s="1"/>
      <c r="AW130" s="1"/>
      <c r="AX130" s="1"/>
      <c r="AY130" s="1"/>
      <c r="AZ130" s="1"/>
      <c r="BA130" s="1"/>
      <c r="BB130" s="1"/>
      <c r="BC130" s="1"/>
      <c r="BD130" s="2"/>
      <c r="BE130" s="1"/>
      <c r="BF130" s="1"/>
      <c r="BG130" s="1"/>
      <c r="BH130" s="1"/>
      <c r="BI130" s="1"/>
      <c r="BJ130" s="1"/>
      <c r="BK130" s="1"/>
      <c r="BL130" s="1"/>
      <c r="BM130" s="2"/>
      <c r="BN130" s="1"/>
      <c r="BO130" s="1"/>
      <c r="BP130" s="1"/>
      <c r="BQ130" s="1"/>
      <c r="BR130" s="1"/>
      <c r="BS130" s="1"/>
      <c r="BT130" s="1"/>
      <c r="BU130" s="1"/>
      <c r="BV130" s="2"/>
      <c r="BW130" s="1"/>
      <c r="BX130" s="1"/>
      <c r="BY130" s="1"/>
      <c r="BZ130" s="1"/>
      <c r="CA130" s="1"/>
      <c r="CB130" s="1"/>
      <c r="CC130" s="1"/>
      <c r="CD130" s="1"/>
      <c r="CE130" s="2"/>
      <c r="CF130" s="1"/>
      <c r="CG130" s="1"/>
      <c r="CH130" s="1"/>
      <c r="CI130" s="1"/>
      <c r="CJ130" s="1"/>
      <c r="CK130" s="1"/>
      <c r="CL130" s="1"/>
    </row>
    <row r="131" spans="1:90" ht="14.65" x14ac:dyDescent="0.4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2"/>
      <c r="L131" s="1"/>
      <c r="M131" s="1"/>
      <c r="N131" s="1"/>
      <c r="O131" s="1"/>
      <c r="P131" s="1"/>
      <c r="Q131" s="1"/>
      <c r="R131" s="1"/>
      <c r="S131" s="1"/>
      <c r="T131" s="2"/>
      <c r="U131" s="1"/>
      <c r="V131" s="1"/>
      <c r="W131" s="1"/>
      <c r="X131" s="1"/>
      <c r="Y131" s="1"/>
      <c r="Z131" s="1"/>
      <c r="AA131" s="1"/>
      <c r="AB131" s="1"/>
      <c r="AC131" s="2"/>
      <c r="AD131" s="1"/>
      <c r="AE131" s="1"/>
      <c r="AF131" s="1"/>
      <c r="AG131" s="1"/>
      <c r="AH131" s="1"/>
      <c r="AI131" s="1"/>
      <c r="AJ131" s="1"/>
      <c r="AK131" s="1"/>
      <c r="AL131" s="2"/>
      <c r="AM131" s="1"/>
      <c r="AN131" s="1"/>
      <c r="AO131" s="1"/>
      <c r="AP131" s="1"/>
      <c r="AQ131" s="1"/>
      <c r="AR131" s="1"/>
      <c r="AS131" s="1"/>
      <c r="AT131" s="1"/>
      <c r="AU131" s="2"/>
      <c r="AV131" s="1"/>
      <c r="AW131" s="1"/>
      <c r="AX131" s="1"/>
      <c r="AY131" s="1"/>
      <c r="AZ131" s="1"/>
      <c r="BA131" s="1"/>
      <c r="BB131" s="1"/>
      <c r="BC131" s="1"/>
      <c r="BD131" s="2"/>
      <c r="BE131" s="1"/>
      <c r="BF131" s="1"/>
      <c r="BG131" s="1"/>
      <c r="BH131" s="1"/>
      <c r="BI131" s="1"/>
      <c r="BJ131" s="1"/>
      <c r="BK131" s="1"/>
      <c r="BL131" s="1"/>
      <c r="BM131" s="2"/>
      <c r="BN131" s="1"/>
      <c r="BO131" s="1"/>
      <c r="BP131" s="1"/>
      <c r="BQ131" s="1"/>
      <c r="BR131" s="1"/>
      <c r="BS131" s="1"/>
      <c r="BT131" s="1"/>
      <c r="BU131" s="1"/>
      <c r="BV131" s="2"/>
      <c r="BW131" s="1"/>
      <c r="BX131" s="1"/>
      <c r="BY131" s="1"/>
      <c r="BZ131" s="1"/>
      <c r="CA131" s="1"/>
      <c r="CB131" s="1"/>
      <c r="CC131" s="1"/>
      <c r="CD131" s="1"/>
      <c r="CE131" s="2"/>
      <c r="CF131" s="1"/>
      <c r="CG131" s="1"/>
      <c r="CH131" s="1"/>
      <c r="CI131" s="1"/>
      <c r="CJ131" s="1"/>
      <c r="CK131" s="1"/>
      <c r="CL131" s="1"/>
    </row>
    <row r="132" spans="1:90" ht="14.65" x14ac:dyDescent="0.4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2"/>
      <c r="L132" s="1"/>
      <c r="M132" s="1"/>
      <c r="N132" s="1"/>
      <c r="O132" s="1"/>
      <c r="P132" s="1"/>
      <c r="Q132" s="1"/>
      <c r="R132" s="1"/>
      <c r="S132" s="1"/>
      <c r="T132" s="2"/>
      <c r="U132" s="1"/>
      <c r="V132" s="1"/>
      <c r="W132" s="1"/>
      <c r="X132" s="1"/>
      <c r="Y132" s="1"/>
      <c r="Z132" s="1"/>
      <c r="AA132" s="1"/>
      <c r="AB132" s="1"/>
      <c r="AC132" s="2"/>
      <c r="AD132" s="1"/>
      <c r="AE132" s="1"/>
      <c r="AF132" s="1"/>
      <c r="AG132" s="1"/>
      <c r="AH132" s="1"/>
      <c r="AI132" s="1"/>
      <c r="AJ132" s="1"/>
      <c r="AK132" s="1"/>
      <c r="AL132" s="2"/>
      <c r="AM132" s="1"/>
      <c r="AN132" s="1"/>
      <c r="AO132" s="1"/>
      <c r="AP132" s="1"/>
      <c r="AQ132" s="1"/>
      <c r="AR132" s="1"/>
      <c r="AS132" s="1"/>
      <c r="AT132" s="1"/>
      <c r="AU132" s="2"/>
      <c r="AV132" s="1"/>
      <c r="AW132" s="1"/>
      <c r="AX132" s="1"/>
      <c r="AY132" s="1"/>
      <c r="AZ132" s="1"/>
      <c r="BA132" s="1"/>
      <c r="BB132" s="1"/>
      <c r="BC132" s="1"/>
      <c r="BD132" s="2"/>
      <c r="BE132" s="1"/>
      <c r="BF132" s="1"/>
      <c r="BG132" s="1"/>
      <c r="BH132" s="1"/>
      <c r="BI132" s="1"/>
      <c r="BJ132" s="1"/>
      <c r="BK132" s="1"/>
      <c r="BL132" s="1"/>
      <c r="BM132" s="2"/>
      <c r="BN132" s="1"/>
      <c r="BO132" s="1"/>
      <c r="BP132" s="1"/>
      <c r="BQ132" s="1"/>
      <c r="BR132" s="1"/>
      <c r="BS132" s="1"/>
      <c r="BT132" s="1"/>
      <c r="BU132" s="1"/>
      <c r="BV132" s="2"/>
      <c r="BW132" s="1"/>
      <c r="BX132" s="1"/>
      <c r="BY132" s="1"/>
      <c r="BZ132" s="1"/>
      <c r="CA132" s="1"/>
      <c r="CB132" s="1"/>
      <c r="CC132" s="1"/>
      <c r="CD132" s="1"/>
      <c r="CE132" s="2"/>
      <c r="CF132" s="1"/>
      <c r="CG132" s="1"/>
      <c r="CH132" s="1"/>
      <c r="CI132" s="1"/>
      <c r="CJ132" s="1"/>
      <c r="CK132" s="1"/>
      <c r="CL132" s="1"/>
    </row>
    <row r="133" spans="1:90" ht="14.65" x14ac:dyDescent="0.4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2"/>
      <c r="L133" s="1"/>
      <c r="M133" s="1"/>
      <c r="N133" s="1"/>
      <c r="O133" s="1"/>
      <c r="P133" s="1"/>
      <c r="Q133" s="1"/>
      <c r="R133" s="1"/>
      <c r="S133" s="1"/>
      <c r="T133" s="2"/>
      <c r="U133" s="1"/>
      <c r="V133" s="1"/>
      <c r="W133" s="1"/>
      <c r="X133" s="1"/>
      <c r="Y133" s="1"/>
      <c r="Z133" s="1"/>
      <c r="AA133" s="1"/>
      <c r="AB133" s="1"/>
      <c r="AC133" s="2"/>
      <c r="AD133" s="1"/>
      <c r="AE133" s="1"/>
      <c r="AF133" s="1"/>
      <c r="AG133" s="1"/>
      <c r="AH133" s="1"/>
      <c r="AI133" s="1"/>
      <c r="AJ133" s="1"/>
      <c r="AK133" s="1"/>
      <c r="AL133" s="2"/>
      <c r="AM133" s="1"/>
      <c r="AN133" s="1"/>
      <c r="AO133" s="1"/>
      <c r="AP133" s="1"/>
      <c r="AQ133" s="1"/>
      <c r="AR133" s="1"/>
      <c r="AS133" s="1"/>
      <c r="AT133" s="1"/>
      <c r="AU133" s="2"/>
      <c r="AV133" s="1"/>
      <c r="AW133" s="1"/>
      <c r="AX133" s="1"/>
      <c r="AY133" s="1"/>
      <c r="AZ133" s="1"/>
      <c r="BA133" s="1"/>
      <c r="BB133" s="1"/>
      <c r="BC133" s="1"/>
      <c r="BD133" s="2"/>
      <c r="BE133" s="1"/>
      <c r="BF133" s="1"/>
      <c r="BG133" s="1"/>
      <c r="BH133" s="1"/>
      <c r="BI133" s="1"/>
      <c r="BJ133" s="1"/>
      <c r="BK133" s="1"/>
      <c r="BL133" s="1"/>
      <c r="BM133" s="2"/>
      <c r="BN133" s="1"/>
      <c r="BO133" s="1"/>
      <c r="BP133" s="1"/>
      <c r="BQ133" s="1"/>
      <c r="BR133" s="1"/>
      <c r="BS133" s="1"/>
      <c r="BT133" s="1"/>
      <c r="BU133" s="1"/>
      <c r="BV133" s="2"/>
      <c r="BW133" s="1"/>
      <c r="BX133" s="1"/>
      <c r="BY133" s="1"/>
      <c r="BZ133" s="1"/>
      <c r="CA133" s="1"/>
      <c r="CB133" s="1"/>
      <c r="CC133" s="1"/>
      <c r="CD133" s="1"/>
      <c r="CE133" s="2"/>
      <c r="CF133" s="1"/>
      <c r="CG133" s="1"/>
      <c r="CH133" s="1"/>
      <c r="CI133" s="1"/>
      <c r="CJ133" s="1"/>
      <c r="CK133" s="1"/>
      <c r="CL133" s="1"/>
    </row>
    <row r="134" spans="1:90" ht="14.65" x14ac:dyDescent="0.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2"/>
      <c r="L134" s="1"/>
      <c r="M134" s="1"/>
      <c r="N134" s="1"/>
      <c r="O134" s="1"/>
      <c r="P134" s="1"/>
      <c r="Q134" s="1"/>
      <c r="R134" s="1"/>
      <c r="S134" s="1"/>
      <c r="T134" s="2"/>
      <c r="U134" s="1"/>
      <c r="V134" s="1"/>
      <c r="W134" s="1"/>
      <c r="X134" s="1"/>
      <c r="Y134" s="1"/>
      <c r="Z134" s="1"/>
      <c r="AA134" s="1"/>
      <c r="AB134" s="1"/>
      <c r="AC134" s="2"/>
      <c r="AD134" s="1"/>
      <c r="AE134" s="1"/>
      <c r="AF134" s="1"/>
      <c r="AG134" s="1"/>
      <c r="AH134" s="1"/>
      <c r="AI134" s="1"/>
      <c r="AJ134" s="1"/>
      <c r="AK134" s="1"/>
      <c r="AL134" s="2"/>
      <c r="AM134" s="1"/>
      <c r="AN134" s="1"/>
      <c r="AO134" s="1"/>
      <c r="AP134" s="1"/>
      <c r="AQ134" s="1"/>
      <c r="AR134" s="1"/>
      <c r="AS134" s="1"/>
      <c r="AT134" s="1"/>
      <c r="AU134" s="2"/>
      <c r="AV134" s="1"/>
      <c r="AW134" s="1"/>
      <c r="AX134" s="1"/>
      <c r="AY134" s="1"/>
      <c r="AZ134" s="1"/>
      <c r="BA134" s="1"/>
      <c r="BB134" s="1"/>
      <c r="BC134" s="1"/>
      <c r="BD134" s="2"/>
      <c r="BE134" s="1"/>
      <c r="BF134" s="1"/>
      <c r="BG134" s="1"/>
      <c r="BH134" s="1"/>
      <c r="BI134" s="1"/>
      <c r="BJ134" s="1"/>
      <c r="BK134" s="1"/>
      <c r="BL134" s="1"/>
      <c r="BM134" s="2"/>
      <c r="BN134" s="1"/>
      <c r="BO134" s="1"/>
      <c r="BP134" s="1"/>
      <c r="BQ134" s="1"/>
      <c r="BR134" s="1"/>
      <c r="BS134" s="1"/>
      <c r="BT134" s="1"/>
      <c r="BU134" s="1"/>
      <c r="BV134" s="2"/>
      <c r="BW134" s="1"/>
      <c r="BX134" s="1"/>
      <c r="BY134" s="1"/>
      <c r="BZ134" s="1"/>
      <c r="CA134" s="1"/>
      <c r="CB134" s="1"/>
      <c r="CC134" s="1"/>
      <c r="CD134" s="1"/>
      <c r="CE134" s="2"/>
      <c r="CF134" s="1"/>
      <c r="CG134" s="1"/>
      <c r="CH134" s="1"/>
      <c r="CI134" s="1"/>
      <c r="CJ134" s="1"/>
      <c r="CK134" s="1"/>
      <c r="CL134" s="1"/>
    </row>
    <row r="135" spans="1:90" ht="14.65" x14ac:dyDescent="0.4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2"/>
      <c r="L135" s="1"/>
      <c r="M135" s="1"/>
      <c r="N135" s="1"/>
      <c r="O135" s="1"/>
      <c r="P135" s="1"/>
      <c r="Q135" s="1"/>
      <c r="R135" s="1"/>
      <c r="S135" s="1"/>
      <c r="T135" s="2"/>
      <c r="U135" s="1"/>
      <c r="V135" s="1"/>
      <c r="W135" s="1"/>
      <c r="X135" s="1"/>
      <c r="Y135" s="1"/>
      <c r="Z135" s="1"/>
      <c r="AA135" s="1"/>
      <c r="AB135" s="1"/>
      <c r="AC135" s="2"/>
      <c r="AD135" s="1"/>
      <c r="AE135" s="1"/>
      <c r="AF135" s="1"/>
      <c r="AG135" s="1"/>
      <c r="AH135" s="1"/>
      <c r="AI135" s="1"/>
      <c r="AJ135" s="1"/>
      <c r="AK135" s="1"/>
      <c r="AL135" s="2"/>
      <c r="AM135" s="1"/>
      <c r="AN135" s="1"/>
      <c r="AO135" s="1"/>
      <c r="AP135" s="1"/>
      <c r="AQ135" s="1"/>
      <c r="AR135" s="1"/>
      <c r="AS135" s="1"/>
      <c r="AT135" s="1"/>
      <c r="AU135" s="2"/>
      <c r="AV135" s="1"/>
      <c r="AW135" s="1"/>
      <c r="AX135" s="1"/>
      <c r="AY135" s="1"/>
      <c r="AZ135" s="1"/>
      <c r="BA135" s="1"/>
      <c r="BB135" s="1"/>
      <c r="BC135" s="1"/>
      <c r="BD135" s="2"/>
      <c r="BE135" s="1"/>
      <c r="BF135" s="1"/>
      <c r="BG135" s="1"/>
      <c r="BH135" s="1"/>
      <c r="BI135" s="1"/>
      <c r="BJ135" s="1"/>
      <c r="BK135" s="1"/>
      <c r="BL135" s="1"/>
      <c r="BM135" s="2"/>
      <c r="BN135" s="1"/>
      <c r="BO135" s="1"/>
      <c r="BP135" s="1"/>
      <c r="BQ135" s="1"/>
      <c r="BR135" s="1"/>
      <c r="BS135" s="1"/>
      <c r="BT135" s="1"/>
      <c r="BU135" s="1"/>
      <c r="BV135" s="2"/>
      <c r="BW135" s="1"/>
      <c r="BX135" s="1"/>
      <c r="BY135" s="1"/>
      <c r="BZ135" s="1"/>
      <c r="CA135" s="1"/>
      <c r="CB135" s="1"/>
      <c r="CC135" s="1"/>
      <c r="CD135" s="1"/>
      <c r="CE135" s="2"/>
      <c r="CF135" s="1"/>
      <c r="CG135" s="1"/>
      <c r="CH135" s="1"/>
      <c r="CI135" s="1"/>
      <c r="CJ135" s="1"/>
      <c r="CK135" s="1"/>
      <c r="CL135" s="1"/>
    </row>
    <row r="136" spans="1:90" ht="14.65" x14ac:dyDescent="0.4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2"/>
      <c r="L136" s="1"/>
      <c r="M136" s="1"/>
      <c r="N136" s="1"/>
      <c r="O136" s="1"/>
      <c r="P136" s="1"/>
      <c r="Q136" s="1"/>
      <c r="R136" s="1"/>
      <c r="S136" s="1"/>
      <c r="T136" s="2"/>
      <c r="U136" s="1"/>
      <c r="V136" s="1"/>
      <c r="W136" s="1"/>
      <c r="X136" s="1"/>
      <c r="Y136" s="1"/>
      <c r="Z136" s="1"/>
      <c r="AA136" s="1"/>
      <c r="AB136" s="1"/>
      <c r="AC136" s="2"/>
      <c r="AD136" s="1"/>
      <c r="AE136" s="1"/>
      <c r="AF136" s="1"/>
      <c r="AG136" s="1"/>
      <c r="AH136" s="1"/>
      <c r="AI136" s="1"/>
      <c r="AJ136" s="1"/>
      <c r="AK136" s="1"/>
      <c r="AL136" s="2"/>
      <c r="AM136" s="1"/>
      <c r="AN136" s="1"/>
      <c r="AO136" s="1"/>
      <c r="AP136" s="1"/>
      <c r="AQ136" s="1"/>
      <c r="AR136" s="1"/>
      <c r="AS136" s="1"/>
      <c r="AT136" s="1"/>
      <c r="AU136" s="2"/>
      <c r="AV136" s="1"/>
      <c r="AW136" s="1"/>
      <c r="AX136" s="1"/>
      <c r="AY136" s="1"/>
      <c r="AZ136" s="1"/>
      <c r="BA136" s="1"/>
      <c r="BB136" s="1"/>
      <c r="BC136" s="1"/>
      <c r="BD136" s="2"/>
      <c r="BE136" s="1"/>
      <c r="BF136" s="1"/>
      <c r="BG136" s="1"/>
      <c r="BH136" s="1"/>
      <c r="BI136" s="1"/>
      <c r="BJ136" s="1"/>
      <c r="BK136" s="1"/>
      <c r="BL136" s="1"/>
      <c r="BM136" s="2"/>
      <c r="BN136" s="1"/>
      <c r="BO136" s="1"/>
      <c r="BP136" s="1"/>
      <c r="BQ136" s="1"/>
      <c r="BR136" s="1"/>
      <c r="BS136" s="1"/>
      <c r="BT136" s="1"/>
      <c r="BU136" s="1"/>
      <c r="BV136" s="2"/>
      <c r="BW136" s="1"/>
      <c r="BX136" s="1"/>
      <c r="BY136" s="1"/>
      <c r="BZ136" s="1"/>
      <c r="CA136" s="1"/>
      <c r="CB136" s="1"/>
      <c r="CC136" s="1"/>
      <c r="CD136" s="1"/>
      <c r="CE136" s="2"/>
      <c r="CF136" s="1"/>
      <c r="CG136" s="1"/>
      <c r="CH136" s="1"/>
      <c r="CI136" s="1"/>
      <c r="CJ136" s="1"/>
      <c r="CK136" s="1"/>
      <c r="CL136" s="1"/>
    </row>
    <row r="137" spans="1:90" ht="14.65" x14ac:dyDescent="0.4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2"/>
      <c r="L137" s="1"/>
      <c r="M137" s="1"/>
      <c r="N137" s="1"/>
      <c r="O137" s="1"/>
      <c r="P137" s="1"/>
      <c r="Q137" s="1"/>
      <c r="R137" s="1"/>
      <c r="S137" s="1"/>
      <c r="T137" s="2"/>
      <c r="U137" s="1"/>
      <c r="V137" s="1"/>
      <c r="W137" s="1"/>
      <c r="X137" s="1"/>
      <c r="Y137" s="1"/>
      <c r="Z137" s="1"/>
      <c r="AA137" s="1"/>
      <c r="AB137" s="1"/>
      <c r="AC137" s="2"/>
      <c r="AD137" s="1"/>
      <c r="AE137" s="1"/>
      <c r="AF137" s="1"/>
      <c r="AG137" s="1"/>
      <c r="AH137" s="1"/>
      <c r="AI137" s="1"/>
      <c r="AJ137" s="1"/>
      <c r="AK137" s="1"/>
      <c r="AL137" s="2"/>
      <c r="AM137" s="1"/>
      <c r="AN137" s="1"/>
      <c r="AO137" s="1"/>
      <c r="AP137" s="1"/>
      <c r="AQ137" s="1"/>
      <c r="AR137" s="1"/>
      <c r="AS137" s="1"/>
      <c r="AT137" s="1"/>
      <c r="AU137" s="2"/>
      <c r="AV137" s="1"/>
      <c r="AW137" s="1"/>
      <c r="AX137" s="1"/>
      <c r="AY137" s="1"/>
      <c r="AZ137" s="1"/>
      <c r="BA137" s="1"/>
      <c r="BB137" s="1"/>
      <c r="BC137" s="1"/>
      <c r="BD137" s="2"/>
      <c r="BE137" s="1"/>
      <c r="BF137" s="1"/>
      <c r="BG137" s="1"/>
      <c r="BH137" s="1"/>
      <c r="BI137" s="1"/>
      <c r="BJ137" s="1"/>
      <c r="BK137" s="1"/>
      <c r="BL137" s="1"/>
      <c r="BM137" s="2"/>
      <c r="BN137" s="1"/>
      <c r="BO137" s="1"/>
      <c r="BP137" s="1"/>
      <c r="BQ137" s="1"/>
      <c r="BR137" s="1"/>
      <c r="BS137" s="1"/>
      <c r="BT137" s="1"/>
      <c r="BU137" s="1"/>
      <c r="BV137" s="2"/>
      <c r="BW137" s="1"/>
      <c r="BX137" s="1"/>
      <c r="BY137" s="1"/>
      <c r="BZ137" s="1"/>
      <c r="CA137" s="1"/>
      <c r="CB137" s="1"/>
      <c r="CC137" s="1"/>
      <c r="CD137" s="1"/>
      <c r="CE137" s="2"/>
      <c r="CF137" s="1"/>
      <c r="CG137" s="1"/>
      <c r="CH137" s="1"/>
      <c r="CI137" s="1"/>
      <c r="CJ137" s="1"/>
      <c r="CK137" s="1"/>
      <c r="CL137" s="1"/>
    </row>
    <row r="138" spans="1:90" ht="14.65" x14ac:dyDescent="0.4">
      <c r="A138" s="1"/>
      <c r="B138" s="2"/>
      <c r="C138" s="3"/>
      <c r="D138" s="1"/>
      <c r="E138" s="1"/>
      <c r="F138" s="1"/>
      <c r="G138" s="1"/>
      <c r="H138" s="1"/>
      <c r="I138" s="1"/>
      <c r="J138" s="1"/>
      <c r="K138" s="2"/>
      <c r="L138" s="1"/>
      <c r="M138" s="1"/>
      <c r="N138" s="1"/>
      <c r="O138" s="1"/>
      <c r="P138" s="1"/>
      <c r="Q138" s="1"/>
      <c r="R138" s="1"/>
      <c r="S138" s="1"/>
      <c r="T138" s="2"/>
      <c r="U138" s="1"/>
      <c r="V138" s="1"/>
      <c r="W138" s="1"/>
      <c r="X138" s="1"/>
      <c r="Y138" s="1"/>
      <c r="Z138" s="1"/>
      <c r="AA138" s="1"/>
      <c r="AB138" s="1"/>
      <c r="AC138" s="2"/>
      <c r="AD138" s="1"/>
      <c r="AE138" s="1"/>
      <c r="AF138" s="1"/>
      <c r="AG138" s="1"/>
      <c r="AH138" s="1"/>
      <c r="AI138" s="1"/>
      <c r="AJ138" s="1"/>
      <c r="AK138" s="1"/>
      <c r="AL138" s="2"/>
      <c r="AM138" s="1"/>
      <c r="AN138" s="1"/>
      <c r="AO138" s="1"/>
      <c r="AP138" s="1"/>
      <c r="AQ138" s="1"/>
      <c r="AR138" s="1"/>
      <c r="AS138" s="1"/>
      <c r="AT138" s="1"/>
      <c r="AU138" s="2"/>
      <c r="AV138" s="1"/>
      <c r="AW138" s="1"/>
      <c r="AX138" s="1"/>
      <c r="AY138" s="1"/>
      <c r="AZ138" s="1"/>
      <c r="BA138" s="1"/>
      <c r="BB138" s="1"/>
      <c r="BC138" s="1"/>
      <c r="BD138" s="2"/>
      <c r="BE138" s="1"/>
      <c r="BF138" s="1"/>
      <c r="BG138" s="1"/>
      <c r="BH138" s="1"/>
      <c r="BI138" s="1"/>
      <c r="BJ138" s="1"/>
      <c r="BK138" s="1"/>
      <c r="BL138" s="1"/>
      <c r="BM138" s="2"/>
      <c r="BN138" s="1"/>
      <c r="BO138" s="1"/>
      <c r="BP138" s="1"/>
      <c r="BQ138" s="1"/>
      <c r="BR138" s="1"/>
      <c r="BS138" s="1"/>
      <c r="BT138" s="1"/>
      <c r="BU138" s="1"/>
      <c r="BV138" s="2"/>
      <c r="BW138" s="1"/>
      <c r="BX138" s="1"/>
      <c r="BY138" s="1"/>
      <c r="BZ138" s="1"/>
      <c r="CA138" s="1"/>
      <c r="CB138" s="1"/>
      <c r="CC138" s="1"/>
      <c r="CD138" s="1"/>
      <c r="CE138" s="2"/>
      <c r="CF138" s="1"/>
      <c r="CG138" s="1"/>
      <c r="CH138" s="1"/>
      <c r="CI138" s="1"/>
      <c r="CJ138" s="1"/>
      <c r="CK138" s="1"/>
      <c r="CL138" s="1"/>
    </row>
    <row r="139" spans="1:90" ht="14.65" x14ac:dyDescent="0.4">
      <c r="A139" s="1"/>
      <c r="B139" s="2"/>
      <c r="C139" s="3"/>
      <c r="D139" s="1"/>
      <c r="E139" s="1"/>
      <c r="F139" s="1"/>
      <c r="G139" s="1"/>
      <c r="H139" s="1"/>
      <c r="I139" s="1"/>
      <c r="J139" s="1"/>
      <c r="K139" s="2"/>
      <c r="L139" s="1"/>
      <c r="M139" s="1"/>
      <c r="N139" s="1"/>
      <c r="O139" s="1"/>
      <c r="P139" s="1"/>
      <c r="Q139" s="1"/>
      <c r="R139" s="1"/>
      <c r="S139" s="1"/>
      <c r="T139" s="2"/>
      <c r="U139" s="1"/>
      <c r="V139" s="1"/>
      <c r="W139" s="1"/>
      <c r="X139" s="1"/>
      <c r="Y139" s="1"/>
      <c r="Z139" s="1"/>
      <c r="AA139" s="1"/>
      <c r="AB139" s="1"/>
      <c r="AC139" s="2"/>
      <c r="AD139" s="1"/>
      <c r="AE139" s="1"/>
      <c r="AF139" s="1"/>
      <c r="AG139" s="1"/>
      <c r="AH139" s="1"/>
      <c r="AI139" s="1"/>
      <c r="AJ139" s="1"/>
      <c r="AK139" s="1"/>
      <c r="AL139" s="2"/>
      <c r="AM139" s="1"/>
      <c r="AN139" s="1"/>
      <c r="AO139" s="1"/>
      <c r="AP139" s="1"/>
      <c r="AQ139" s="1"/>
      <c r="AR139" s="1"/>
      <c r="AS139" s="1"/>
      <c r="AT139" s="1"/>
      <c r="AU139" s="2"/>
      <c r="AV139" s="1"/>
      <c r="AW139" s="1"/>
      <c r="AX139" s="1"/>
      <c r="AY139" s="1"/>
      <c r="AZ139" s="1"/>
      <c r="BA139" s="1"/>
      <c r="BB139" s="1"/>
      <c r="BC139" s="1"/>
      <c r="BD139" s="2"/>
      <c r="BE139" s="1"/>
      <c r="BF139" s="1"/>
      <c r="BG139" s="1"/>
      <c r="BH139" s="1"/>
      <c r="BI139" s="1"/>
      <c r="BJ139" s="1"/>
      <c r="BK139" s="1"/>
      <c r="BL139" s="1"/>
      <c r="BM139" s="2"/>
      <c r="BN139" s="1"/>
      <c r="BO139" s="1"/>
      <c r="BP139" s="1"/>
      <c r="BQ139" s="1"/>
      <c r="BR139" s="1"/>
      <c r="BS139" s="1"/>
      <c r="BT139" s="1"/>
      <c r="BU139" s="1"/>
      <c r="BV139" s="2"/>
      <c r="BW139" s="1"/>
      <c r="BX139" s="1"/>
      <c r="BY139" s="1"/>
      <c r="BZ139" s="1"/>
      <c r="CA139" s="1"/>
      <c r="CB139" s="1"/>
      <c r="CC139" s="1"/>
      <c r="CD139" s="1"/>
      <c r="CE139" s="2"/>
      <c r="CF139" s="1"/>
      <c r="CG139" s="1"/>
      <c r="CH139" s="1"/>
      <c r="CI139" s="1"/>
      <c r="CJ139" s="1"/>
      <c r="CK139" s="1"/>
      <c r="CL139" s="1"/>
    </row>
    <row r="140" spans="1:90" ht="14.65" x14ac:dyDescent="0.4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2"/>
      <c r="L140" s="1"/>
      <c r="M140" s="1"/>
      <c r="N140" s="1"/>
      <c r="O140" s="1"/>
      <c r="P140" s="1"/>
      <c r="Q140" s="1"/>
      <c r="R140" s="1"/>
      <c r="S140" s="1"/>
      <c r="T140" s="2"/>
      <c r="U140" s="1"/>
      <c r="V140" s="1"/>
      <c r="W140" s="1"/>
      <c r="X140" s="1"/>
      <c r="Y140" s="1"/>
      <c r="Z140" s="1"/>
      <c r="AA140" s="1"/>
      <c r="AB140" s="1"/>
      <c r="AC140" s="2"/>
      <c r="AD140" s="1"/>
      <c r="AE140" s="1"/>
      <c r="AF140" s="1"/>
      <c r="AG140" s="1"/>
      <c r="AH140" s="1"/>
      <c r="AI140" s="1"/>
      <c r="AJ140" s="1"/>
      <c r="AK140" s="1"/>
      <c r="AL140" s="2"/>
      <c r="AM140" s="1"/>
      <c r="AN140" s="1"/>
      <c r="AO140" s="1"/>
      <c r="AP140" s="1"/>
      <c r="AQ140" s="1"/>
      <c r="AR140" s="1"/>
      <c r="AS140" s="1"/>
      <c r="AT140" s="1"/>
      <c r="AU140" s="2"/>
      <c r="AV140" s="1"/>
      <c r="AW140" s="1"/>
      <c r="AX140" s="1"/>
      <c r="AY140" s="1"/>
      <c r="AZ140" s="1"/>
      <c r="BA140" s="1"/>
      <c r="BB140" s="1"/>
      <c r="BC140" s="1"/>
      <c r="BD140" s="2"/>
      <c r="BE140" s="1"/>
      <c r="BF140" s="1"/>
      <c r="BG140" s="1"/>
      <c r="BH140" s="1"/>
      <c r="BI140" s="1"/>
      <c r="BJ140" s="1"/>
      <c r="BK140" s="1"/>
      <c r="BL140" s="1"/>
      <c r="BM140" s="2"/>
      <c r="BN140" s="1"/>
      <c r="BO140" s="1"/>
      <c r="BP140" s="1"/>
      <c r="BQ140" s="1"/>
      <c r="BR140" s="1"/>
      <c r="BS140" s="1"/>
      <c r="BT140" s="1"/>
      <c r="BU140" s="1"/>
      <c r="BV140" s="2"/>
      <c r="BW140" s="1"/>
      <c r="BX140" s="1"/>
      <c r="BY140" s="1"/>
      <c r="BZ140" s="1"/>
      <c r="CA140" s="1"/>
      <c r="CB140" s="1"/>
      <c r="CC140" s="1"/>
      <c r="CD140" s="1"/>
      <c r="CE140" s="2"/>
      <c r="CF140" s="1"/>
      <c r="CG140" s="1"/>
      <c r="CH140" s="1"/>
      <c r="CI140" s="1"/>
      <c r="CJ140" s="1"/>
      <c r="CK140" s="1"/>
      <c r="CL140" s="1"/>
    </row>
    <row r="141" spans="1:90" ht="14.65" x14ac:dyDescent="0.4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2"/>
      <c r="L141" s="1"/>
      <c r="M141" s="1"/>
      <c r="N141" s="1"/>
      <c r="O141" s="1"/>
      <c r="P141" s="1"/>
      <c r="Q141" s="1"/>
      <c r="R141" s="1"/>
      <c r="S141" s="1"/>
      <c r="T141" s="2"/>
      <c r="U141" s="1"/>
      <c r="V141" s="1"/>
      <c r="W141" s="1"/>
      <c r="X141" s="1"/>
      <c r="Y141" s="1"/>
      <c r="Z141" s="1"/>
      <c r="AA141" s="1"/>
      <c r="AB141" s="1"/>
      <c r="AC141" s="2"/>
      <c r="AD141" s="1"/>
      <c r="AE141" s="1"/>
      <c r="AF141" s="1"/>
      <c r="AG141" s="1"/>
      <c r="AH141" s="1"/>
      <c r="AI141" s="1"/>
      <c r="AJ141" s="1"/>
      <c r="AK141" s="1"/>
      <c r="AL141" s="2"/>
      <c r="AM141" s="1"/>
      <c r="AN141" s="1"/>
      <c r="AO141" s="1"/>
      <c r="AP141" s="1"/>
      <c r="AQ141" s="1"/>
      <c r="AR141" s="1"/>
      <c r="AS141" s="1"/>
      <c r="AT141" s="1"/>
      <c r="AU141" s="2"/>
      <c r="AV141" s="1"/>
      <c r="AW141" s="1"/>
      <c r="AX141" s="1"/>
      <c r="AY141" s="1"/>
      <c r="AZ141" s="1"/>
      <c r="BA141" s="1"/>
      <c r="BB141" s="1"/>
      <c r="BC141" s="1"/>
      <c r="BD141" s="2"/>
      <c r="BE141" s="1"/>
      <c r="BF141" s="1"/>
      <c r="BG141" s="1"/>
      <c r="BH141" s="1"/>
      <c r="BI141" s="1"/>
      <c r="BJ141" s="1"/>
      <c r="BK141" s="1"/>
      <c r="BL141" s="1"/>
      <c r="BM141" s="2"/>
      <c r="BN141" s="1"/>
      <c r="BO141" s="1"/>
      <c r="BP141" s="1"/>
      <c r="BQ141" s="1"/>
      <c r="BR141" s="1"/>
      <c r="BS141" s="1"/>
      <c r="BT141" s="1"/>
      <c r="BU141" s="1"/>
      <c r="BV141" s="2"/>
      <c r="BW141" s="1"/>
      <c r="BX141" s="1"/>
      <c r="BY141" s="1"/>
      <c r="BZ141" s="1"/>
      <c r="CA141" s="1"/>
      <c r="CB141" s="1"/>
      <c r="CC141" s="1"/>
      <c r="CD141" s="1"/>
      <c r="CE141" s="2"/>
      <c r="CF141" s="1"/>
      <c r="CG141" s="1"/>
      <c r="CH141" s="1"/>
      <c r="CI141" s="1"/>
      <c r="CJ141" s="1"/>
      <c r="CK141" s="1"/>
      <c r="CL141" s="1"/>
    </row>
    <row r="142" spans="1:90" ht="14.65" x14ac:dyDescent="0.4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2"/>
      <c r="L142" s="1"/>
      <c r="M142" s="1"/>
      <c r="N142" s="1"/>
      <c r="O142" s="1"/>
      <c r="P142" s="1"/>
      <c r="Q142" s="1"/>
      <c r="R142" s="1"/>
      <c r="S142" s="1"/>
      <c r="T142" s="2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1"/>
      <c r="AH142" s="1"/>
      <c r="AI142" s="1"/>
      <c r="AJ142" s="1"/>
      <c r="AK142" s="1"/>
      <c r="AL142" s="2"/>
      <c r="AM142" s="1"/>
      <c r="AN142" s="1"/>
      <c r="AO142" s="1"/>
      <c r="AP142" s="1"/>
      <c r="AQ142" s="1"/>
      <c r="AR142" s="1"/>
      <c r="AS142" s="1"/>
      <c r="AT142" s="1"/>
      <c r="AU142" s="2"/>
      <c r="AV142" s="1"/>
      <c r="AW142" s="1"/>
      <c r="AX142" s="1"/>
      <c r="AY142" s="1"/>
      <c r="AZ142" s="1"/>
      <c r="BA142" s="1"/>
      <c r="BB142" s="1"/>
      <c r="BC142" s="1"/>
      <c r="BD142" s="2"/>
      <c r="BE142" s="1"/>
      <c r="BF142" s="1"/>
      <c r="BG142" s="1"/>
      <c r="BH142" s="1"/>
      <c r="BI142" s="1"/>
      <c r="BJ142" s="1"/>
      <c r="BK142" s="1"/>
      <c r="BL142" s="1"/>
      <c r="BM142" s="2"/>
      <c r="BN142" s="1"/>
      <c r="BO142" s="1"/>
      <c r="BP142" s="1"/>
      <c r="BQ142" s="1"/>
      <c r="BR142" s="1"/>
      <c r="BS142" s="1"/>
      <c r="BT142" s="1"/>
      <c r="BU142" s="1"/>
      <c r="BV142" s="2"/>
      <c r="BW142" s="1"/>
      <c r="BX142" s="1"/>
      <c r="BY142" s="1"/>
      <c r="BZ142" s="1"/>
      <c r="CA142" s="1"/>
      <c r="CB142" s="1"/>
      <c r="CC142" s="1"/>
      <c r="CD142" s="1"/>
      <c r="CE142" s="2"/>
      <c r="CF142" s="1"/>
      <c r="CG142" s="1"/>
      <c r="CH142" s="1"/>
      <c r="CI142" s="1"/>
      <c r="CJ142" s="1"/>
      <c r="CK142" s="1"/>
      <c r="CL142" s="1"/>
    </row>
    <row r="143" spans="1:90" ht="14.65" x14ac:dyDescent="0.4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2"/>
      <c r="L143" s="1"/>
      <c r="M143" s="1"/>
      <c r="N143" s="1"/>
      <c r="O143" s="1"/>
      <c r="P143" s="1"/>
      <c r="Q143" s="1"/>
      <c r="R143" s="1"/>
      <c r="S143" s="1"/>
      <c r="T143" s="2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1"/>
      <c r="AH143" s="1"/>
      <c r="AI143" s="1"/>
      <c r="AJ143" s="1"/>
      <c r="AK143" s="1"/>
      <c r="AL143" s="2"/>
      <c r="AM143" s="1"/>
      <c r="AN143" s="1"/>
      <c r="AO143" s="1"/>
      <c r="AP143" s="1"/>
      <c r="AQ143" s="1"/>
      <c r="AR143" s="1"/>
      <c r="AS143" s="1"/>
      <c r="AT143" s="1"/>
      <c r="AU143" s="2"/>
      <c r="AV143" s="1"/>
      <c r="AW143" s="1"/>
      <c r="AX143" s="1"/>
      <c r="AY143" s="1"/>
      <c r="AZ143" s="1"/>
      <c r="BA143" s="1"/>
      <c r="BB143" s="1"/>
      <c r="BC143" s="1"/>
      <c r="BD143" s="2"/>
      <c r="BE143" s="1"/>
      <c r="BF143" s="1"/>
      <c r="BG143" s="1"/>
      <c r="BH143" s="1"/>
      <c r="BI143" s="1"/>
      <c r="BJ143" s="1"/>
      <c r="BK143" s="1"/>
      <c r="BL143" s="1"/>
      <c r="BM143" s="2"/>
      <c r="BN143" s="1"/>
      <c r="BO143" s="1"/>
      <c r="BP143" s="1"/>
      <c r="BQ143" s="1"/>
      <c r="BR143" s="1"/>
      <c r="BS143" s="1"/>
      <c r="BT143" s="1"/>
      <c r="BU143" s="1"/>
      <c r="BV143" s="2"/>
      <c r="BW143" s="1"/>
      <c r="BX143" s="1"/>
      <c r="BY143" s="1"/>
      <c r="BZ143" s="1"/>
      <c r="CA143" s="1"/>
      <c r="CB143" s="1"/>
      <c r="CC143" s="1"/>
      <c r="CD143" s="1"/>
      <c r="CE143" s="2"/>
      <c r="CF143" s="1"/>
      <c r="CG143" s="1"/>
      <c r="CH143" s="1"/>
      <c r="CI143" s="1"/>
      <c r="CJ143" s="1"/>
      <c r="CK143" s="1"/>
      <c r="CL143" s="1"/>
    </row>
    <row r="144" spans="1:90" ht="14.65" x14ac:dyDescent="0.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2"/>
      <c r="L144" s="1"/>
      <c r="M144" s="1"/>
      <c r="N144" s="1"/>
      <c r="O144" s="1"/>
      <c r="P144" s="1"/>
      <c r="Q144" s="1"/>
      <c r="R144" s="1"/>
      <c r="S144" s="1"/>
      <c r="T144" s="2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1"/>
      <c r="AH144" s="1"/>
      <c r="AI144" s="1"/>
      <c r="AJ144" s="1"/>
      <c r="AK144" s="1"/>
      <c r="AL144" s="2"/>
      <c r="AM144" s="1"/>
      <c r="AN144" s="1"/>
      <c r="AO144" s="1"/>
      <c r="AP144" s="1"/>
      <c r="AQ144" s="1"/>
      <c r="AR144" s="1"/>
      <c r="AS144" s="1"/>
      <c r="AT144" s="1"/>
      <c r="AU144" s="2"/>
      <c r="AV144" s="1"/>
      <c r="AW144" s="1"/>
      <c r="AX144" s="1"/>
      <c r="AY144" s="1"/>
      <c r="AZ144" s="1"/>
      <c r="BA144" s="1"/>
      <c r="BB144" s="1"/>
      <c r="BC144" s="1"/>
      <c r="BD144" s="2"/>
      <c r="BE144" s="1"/>
      <c r="BF144" s="1"/>
      <c r="BG144" s="1"/>
      <c r="BH144" s="1"/>
      <c r="BI144" s="1"/>
      <c r="BJ144" s="1"/>
      <c r="BK144" s="1"/>
      <c r="BL144" s="1"/>
      <c r="BM144" s="2"/>
      <c r="BN144" s="1"/>
      <c r="BO144" s="1"/>
      <c r="BP144" s="1"/>
      <c r="BQ144" s="1"/>
      <c r="BR144" s="1"/>
      <c r="BS144" s="1"/>
      <c r="BT144" s="1"/>
      <c r="BU144" s="1"/>
      <c r="BV144" s="2"/>
      <c r="BW144" s="1"/>
      <c r="BX144" s="1"/>
      <c r="BY144" s="1"/>
      <c r="BZ144" s="1"/>
      <c r="CA144" s="1"/>
      <c r="CB144" s="1"/>
      <c r="CC144" s="1"/>
      <c r="CD144" s="1"/>
      <c r="CE144" s="2"/>
      <c r="CF144" s="1"/>
      <c r="CG144" s="1"/>
      <c r="CH144" s="1"/>
      <c r="CI144" s="1"/>
      <c r="CJ144" s="1"/>
      <c r="CK144" s="1"/>
      <c r="CL144" s="1"/>
    </row>
    <row r="145" spans="1:90" ht="14.65" x14ac:dyDescent="0.4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2"/>
      <c r="L145" s="1"/>
      <c r="M145" s="1"/>
      <c r="N145" s="1"/>
      <c r="O145" s="1"/>
      <c r="P145" s="1"/>
      <c r="Q145" s="1"/>
      <c r="R145" s="1"/>
      <c r="S145" s="1"/>
      <c r="T145" s="2"/>
      <c r="U145" s="1"/>
      <c r="V145" s="1"/>
      <c r="W145" s="1"/>
      <c r="X145" s="1"/>
      <c r="Y145" s="1"/>
      <c r="Z145" s="1"/>
      <c r="AA145" s="1"/>
      <c r="AB145" s="1"/>
      <c r="AC145" s="2"/>
      <c r="AD145" s="1"/>
      <c r="AE145" s="1"/>
      <c r="AF145" s="1"/>
      <c r="AG145" s="1"/>
      <c r="AH145" s="1"/>
      <c r="AI145" s="1"/>
      <c r="AJ145" s="1"/>
      <c r="AK145" s="1"/>
      <c r="AL145" s="2"/>
      <c r="AM145" s="1"/>
      <c r="AN145" s="1"/>
      <c r="AO145" s="1"/>
      <c r="AP145" s="1"/>
      <c r="AQ145" s="1"/>
      <c r="AR145" s="1"/>
      <c r="AS145" s="1"/>
      <c r="AT145" s="1"/>
      <c r="AU145" s="2"/>
      <c r="AV145" s="1"/>
      <c r="AW145" s="1"/>
      <c r="AX145" s="1"/>
      <c r="AY145" s="1"/>
      <c r="AZ145" s="1"/>
      <c r="BA145" s="1"/>
      <c r="BB145" s="1"/>
      <c r="BC145" s="1"/>
      <c r="BD145" s="2"/>
      <c r="BE145" s="1"/>
      <c r="BF145" s="1"/>
      <c r="BG145" s="1"/>
      <c r="BH145" s="1"/>
      <c r="BI145" s="1"/>
      <c r="BJ145" s="1"/>
      <c r="BK145" s="1"/>
      <c r="BL145" s="1"/>
      <c r="BM145" s="2"/>
      <c r="BN145" s="1"/>
      <c r="BO145" s="1"/>
      <c r="BP145" s="1"/>
      <c r="BQ145" s="1"/>
      <c r="BR145" s="1"/>
      <c r="BS145" s="1"/>
      <c r="BT145" s="1"/>
      <c r="BU145" s="1"/>
      <c r="BV145" s="2"/>
      <c r="BW145" s="1"/>
      <c r="BX145" s="1"/>
      <c r="BY145" s="1"/>
      <c r="BZ145" s="1"/>
      <c r="CA145" s="1"/>
      <c r="CB145" s="1"/>
      <c r="CC145" s="1"/>
      <c r="CD145" s="1"/>
      <c r="CE145" s="2"/>
      <c r="CF145" s="1"/>
      <c r="CG145" s="1"/>
      <c r="CH145" s="1"/>
      <c r="CI145" s="1"/>
      <c r="CJ145" s="1"/>
      <c r="CK145" s="1"/>
      <c r="CL145" s="1"/>
    </row>
    <row r="146" spans="1:90" ht="14.65" x14ac:dyDescent="0.4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2"/>
      <c r="L146" s="2"/>
      <c r="M146" s="1"/>
      <c r="N146" s="1"/>
      <c r="O146" s="1"/>
      <c r="P146" s="1"/>
      <c r="Q146" s="1"/>
      <c r="R146" s="1"/>
      <c r="S146" s="1"/>
      <c r="T146" s="2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2"/>
      <c r="AM146" s="1"/>
      <c r="AN146" s="1"/>
      <c r="AO146" s="1"/>
      <c r="AP146" s="1"/>
      <c r="AQ146" s="1"/>
      <c r="AR146" s="1"/>
      <c r="AS146" s="1"/>
      <c r="AT146" s="1"/>
      <c r="AU146" s="2"/>
      <c r="AV146" s="1"/>
      <c r="AW146" s="1"/>
      <c r="AX146" s="1"/>
      <c r="AY146" s="1"/>
      <c r="AZ146" s="1"/>
      <c r="BA146" s="1"/>
      <c r="BB146" s="1"/>
      <c r="BC146" s="1"/>
      <c r="BD146" s="2"/>
      <c r="BE146" s="1"/>
      <c r="BF146" s="1"/>
      <c r="BG146" s="1"/>
      <c r="BH146" s="1"/>
      <c r="BI146" s="1"/>
      <c r="BJ146" s="1"/>
      <c r="BK146" s="1"/>
      <c r="BL146" s="1"/>
      <c r="BM146" s="2"/>
      <c r="BN146" s="1"/>
      <c r="BO146" s="1"/>
      <c r="BP146" s="1"/>
      <c r="BQ146" s="1"/>
      <c r="BR146" s="1"/>
      <c r="BS146" s="1"/>
      <c r="BT146" s="1"/>
      <c r="BU146" s="1"/>
      <c r="BV146" s="2"/>
      <c r="BW146" s="1"/>
      <c r="BX146" s="1"/>
      <c r="BY146" s="1"/>
      <c r="BZ146" s="1"/>
      <c r="CA146" s="1"/>
      <c r="CB146" s="1"/>
      <c r="CC146" s="1"/>
      <c r="CD146" s="1"/>
      <c r="CE146" s="2"/>
      <c r="CF146" s="1"/>
      <c r="CG146" s="1"/>
      <c r="CH146" s="1"/>
      <c r="CI146" s="1"/>
      <c r="CJ146" s="1"/>
      <c r="CK146" s="1"/>
      <c r="CL146" s="1"/>
    </row>
    <row r="147" spans="1:90" ht="14.65" x14ac:dyDescent="0.4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2"/>
      <c r="L147" s="2"/>
      <c r="M147" s="1"/>
      <c r="N147" s="1"/>
      <c r="O147" s="1"/>
      <c r="P147" s="1"/>
      <c r="Q147" s="1"/>
      <c r="R147" s="1"/>
      <c r="S147" s="1"/>
      <c r="T147" s="2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2"/>
      <c r="AM147" s="1"/>
      <c r="AN147" s="1"/>
      <c r="AO147" s="1"/>
      <c r="AP147" s="1"/>
      <c r="AQ147" s="1"/>
      <c r="AR147" s="1"/>
      <c r="AS147" s="1"/>
      <c r="AT147" s="1"/>
      <c r="AU147" s="2"/>
      <c r="AV147" s="1"/>
      <c r="AW147" s="1"/>
      <c r="AX147" s="1"/>
      <c r="AY147" s="1"/>
      <c r="AZ147" s="1"/>
      <c r="BA147" s="1"/>
      <c r="BB147" s="1"/>
      <c r="BC147" s="1"/>
      <c r="BD147" s="2"/>
      <c r="BE147" s="1"/>
      <c r="BF147" s="1"/>
      <c r="BG147" s="1"/>
      <c r="BH147" s="1"/>
      <c r="BI147" s="1"/>
      <c r="BJ147" s="1"/>
      <c r="BK147" s="1"/>
      <c r="BL147" s="1"/>
      <c r="BM147" s="2"/>
      <c r="BN147" s="1"/>
      <c r="BO147" s="1"/>
      <c r="BP147" s="1"/>
      <c r="BQ147" s="1"/>
      <c r="BR147" s="1"/>
      <c r="BS147" s="1"/>
      <c r="BT147" s="1"/>
      <c r="BU147" s="1"/>
      <c r="BV147" s="2"/>
      <c r="BW147" s="1"/>
      <c r="BX147" s="1"/>
      <c r="BY147" s="1"/>
      <c r="BZ147" s="1"/>
      <c r="CA147" s="1"/>
      <c r="CB147" s="1"/>
      <c r="CC147" s="1"/>
      <c r="CD147" s="1"/>
      <c r="CE147" s="2"/>
      <c r="CF147" s="1"/>
      <c r="CG147" s="1"/>
      <c r="CH147" s="1"/>
      <c r="CI147" s="1"/>
      <c r="CJ147" s="1"/>
      <c r="CK147" s="1"/>
      <c r="CL147" s="1"/>
    </row>
    <row r="148" spans="1:90" ht="14.65" x14ac:dyDescent="0.4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2"/>
      <c r="L148" s="1"/>
      <c r="M148" s="1"/>
      <c r="N148" s="1"/>
      <c r="O148" s="1"/>
      <c r="P148" s="1"/>
      <c r="Q148" s="1"/>
      <c r="R148" s="1"/>
      <c r="S148" s="1"/>
      <c r="T148" s="2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2"/>
      <c r="AM148" s="1"/>
      <c r="AN148" s="1"/>
      <c r="AO148" s="1"/>
      <c r="AP148" s="1"/>
      <c r="AQ148" s="1"/>
      <c r="AR148" s="1"/>
      <c r="AS148" s="1"/>
      <c r="AT148" s="1"/>
      <c r="AU148" s="2"/>
      <c r="AV148" s="1"/>
      <c r="AW148" s="1"/>
      <c r="AX148" s="1"/>
      <c r="AY148" s="1"/>
      <c r="AZ148" s="1"/>
      <c r="BA148" s="1"/>
      <c r="BB148" s="1"/>
      <c r="BC148" s="1"/>
      <c r="BD148" s="2"/>
      <c r="BE148" s="1"/>
      <c r="BF148" s="1"/>
      <c r="BG148" s="1"/>
      <c r="BH148" s="1"/>
      <c r="BI148" s="1"/>
      <c r="BJ148" s="1"/>
      <c r="BK148" s="1"/>
      <c r="BL148" s="1"/>
      <c r="BM148" s="2"/>
      <c r="BN148" s="1"/>
      <c r="BO148" s="1"/>
      <c r="BP148" s="1"/>
      <c r="BQ148" s="1"/>
      <c r="BR148" s="1"/>
      <c r="BS148" s="1"/>
      <c r="BT148" s="1"/>
      <c r="BU148" s="1"/>
      <c r="BV148" s="2"/>
      <c r="BW148" s="1"/>
      <c r="BX148" s="1"/>
      <c r="BY148" s="1"/>
      <c r="BZ148" s="1"/>
      <c r="CA148" s="1"/>
      <c r="CB148" s="1"/>
      <c r="CC148" s="1"/>
      <c r="CD148" s="1"/>
      <c r="CE148" s="2"/>
      <c r="CF148" s="1"/>
      <c r="CG148" s="1"/>
      <c r="CH148" s="1"/>
      <c r="CI148" s="1"/>
      <c r="CJ148" s="1"/>
      <c r="CK148" s="1"/>
      <c r="CL148" s="1"/>
    </row>
    <row r="149" spans="1:90" ht="14.65" x14ac:dyDescent="0.4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2"/>
      <c r="L149" s="1"/>
      <c r="M149" s="1"/>
      <c r="N149" s="1"/>
      <c r="O149" s="1"/>
      <c r="P149" s="1"/>
      <c r="Q149" s="1"/>
      <c r="R149" s="1"/>
      <c r="S149" s="1"/>
      <c r="T149" s="2"/>
      <c r="U149" s="1"/>
      <c r="V149" s="1"/>
      <c r="W149" s="1"/>
      <c r="X149" s="1"/>
      <c r="Y149" s="1"/>
      <c r="Z149" s="1"/>
      <c r="AA149" s="1"/>
      <c r="AB149" s="1"/>
      <c r="AC149" s="2"/>
      <c r="AD149" s="1"/>
      <c r="AE149" s="1"/>
      <c r="AF149" s="1"/>
      <c r="AG149" s="1"/>
      <c r="AH149" s="1"/>
      <c r="AI149" s="1"/>
      <c r="AJ149" s="1"/>
      <c r="AK149" s="1"/>
      <c r="AL149" s="2"/>
      <c r="AM149" s="1"/>
      <c r="AN149" s="1"/>
      <c r="AO149" s="1"/>
      <c r="AP149" s="1"/>
      <c r="AQ149" s="1"/>
      <c r="AR149" s="1"/>
      <c r="AS149" s="1"/>
      <c r="AT149" s="1"/>
      <c r="AU149" s="2"/>
      <c r="AV149" s="1"/>
      <c r="AW149" s="1"/>
      <c r="AX149" s="1"/>
      <c r="AY149" s="1"/>
      <c r="AZ149" s="1"/>
      <c r="BA149" s="1"/>
      <c r="BB149" s="1"/>
      <c r="BC149" s="1"/>
      <c r="BD149" s="2"/>
      <c r="BE149" s="1"/>
      <c r="BF149" s="1"/>
      <c r="BG149" s="1"/>
      <c r="BH149" s="1"/>
      <c r="BI149" s="1"/>
      <c r="BJ149" s="1"/>
      <c r="BK149" s="1"/>
      <c r="BL149" s="1"/>
      <c r="BM149" s="2"/>
      <c r="BN149" s="1"/>
      <c r="BO149" s="1"/>
      <c r="BP149" s="1"/>
      <c r="BQ149" s="1"/>
      <c r="BR149" s="1"/>
      <c r="BS149" s="1"/>
      <c r="BT149" s="1"/>
      <c r="BU149" s="1"/>
      <c r="BV149" s="2"/>
      <c r="BW149" s="1"/>
      <c r="BX149" s="1"/>
      <c r="BY149" s="1"/>
      <c r="BZ149" s="1"/>
      <c r="CA149" s="1"/>
      <c r="CB149" s="1"/>
      <c r="CC149" s="1"/>
      <c r="CD149" s="1"/>
      <c r="CE149" s="2"/>
      <c r="CF149" s="1"/>
      <c r="CG149" s="1"/>
      <c r="CH149" s="1"/>
      <c r="CI149" s="1"/>
      <c r="CJ149" s="1"/>
      <c r="CK149" s="1"/>
      <c r="CL149" s="1"/>
    </row>
    <row r="150" spans="1:90" ht="14.65" x14ac:dyDescent="0.4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2"/>
      <c r="L150" s="1"/>
      <c r="M150" s="1"/>
      <c r="N150" s="1"/>
      <c r="O150" s="1"/>
      <c r="P150" s="1"/>
      <c r="Q150" s="1"/>
      <c r="R150" s="1"/>
      <c r="S150" s="1"/>
      <c r="T150" s="2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2"/>
      <c r="AM150" s="1"/>
      <c r="AN150" s="1"/>
      <c r="AO150" s="1"/>
      <c r="AP150" s="1"/>
      <c r="AQ150" s="1"/>
      <c r="AR150" s="1"/>
      <c r="AS150" s="1"/>
      <c r="AT150" s="1"/>
      <c r="AU150" s="2"/>
      <c r="AV150" s="1"/>
      <c r="AW150" s="1"/>
      <c r="AX150" s="1"/>
      <c r="AY150" s="1"/>
      <c r="AZ150" s="1"/>
      <c r="BA150" s="1"/>
      <c r="BB150" s="1"/>
      <c r="BC150" s="1"/>
      <c r="BD150" s="2"/>
      <c r="BE150" s="1"/>
      <c r="BF150" s="1"/>
      <c r="BG150" s="1"/>
      <c r="BH150" s="1"/>
      <c r="BI150" s="1"/>
      <c r="BJ150" s="1"/>
      <c r="BK150" s="1"/>
      <c r="BL150" s="1"/>
      <c r="BM150" s="2"/>
      <c r="BN150" s="1"/>
      <c r="BO150" s="1"/>
      <c r="BP150" s="1"/>
      <c r="BQ150" s="1"/>
      <c r="BR150" s="1"/>
      <c r="BS150" s="1"/>
      <c r="BT150" s="1"/>
      <c r="BU150" s="1"/>
      <c r="BV150" s="2"/>
      <c r="BW150" s="1"/>
      <c r="BX150" s="1"/>
      <c r="BY150" s="1"/>
      <c r="BZ150" s="1"/>
      <c r="CA150" s="1"/>
      <c r="CB150" s="1"/>
      <c r="CC150" s="1"/>
      <c r="CD150" s="1"/>
      <c r="CE150" s="2"/>
      <c r="CF150" s="1"/>
      <c r="CG150" s="1"/>
      <c r="CH150" s="1"/>
      <c r="CI150" s="1"/>
      <c r="CJ150" s="1"/>
      <c r="CK150" s="1"/>
      <c r="CL150" s="1"/>
    </row>
    <row r="151" spans="1:90" ht="14.65" x14ac:dyDescent="0.4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2"/>
      <c r="L151" s="1"/>
      <c r="M151" s="1"/>
      <c r="N151" s="1"/>
      <c r="O151" s="1"/>
      <c r="P151" s="1"/>
      <c r="Q151" s="1"/>
      <c r="R151" s="1"/>
      <c r="S151" s="1"/>
      <c r="T151" s="2"/>
      <c r="U151" s="1"/>
      <c r="V151" s="1"/>
      <c r="W151" s="1"/>
      <c r="X151" s="1"/>
      <c r="Y151" s="1"/>
      <c r="Z151" s="1"/>
      <c r="AA151" s="1"/>
      <c r="AB151" s="1"/>
      <c r="AC151" s="2"/>
      <c r="AD151" s="1"/>
      <c r="AE151" s="1"/>
      <c r="AF151" s="1"/>
      <c r="AG151" s="1"/>
      <c r="AH151" s="1"/>
      <c r="AI151" s="1"/>
      <c r="AJ151" s="1"/>
      <c r="AK151" s="1"/>
      <c r="AL151" s="2"/>
      <c r="AM151" s="1"/>
      <c r="AN151" s="1"/>
      <c r="AO151" s="1"/>
      <c r="AP151" s="1"/>
      <c r="AQ151" s="1"/>
      <c r="AR151" s="1"/>
      <c r="AS151" s="1"/>
      <c r="AT151" s="1"/>
      <c r="AU151" s="2"/>
      <c r="AV151" s="1"/>
      <c r="AW151" s="1"/>
      <c r="AX151" s="1"/>
      <c r="AY151" s="1"/>
      <c r="AZ151" s="1"/>
      <c r="BA151" s="1"/>
      <c r="BB151" s="1"/>
      <c r="BC151" s="1"/>
      <c r="BD151" s="2"/>
      <c r="BE151" s="1"/>
      <c r="BF151" s="1"/>
      <c r="BG151" s="1"/>
      <c r="BH151" s="1"/>
      <c r="BI151" s="1"/>
      <c r="BJ151" s="1"/>
      <c r="BK151" s="1"/>
      <c r="BL151" s="1"/>
      <c r="BM151" s="2"/>
      <c r="BN151" s="1"/>
      <c r="BO151" s="1"/>
      <c r="BP151" s="1"/>
      <c r="BQ151" s="1"/>
      <c r="BR151" s="1"/>
      <c r="BS151" s="1"/>
      <c r="BT151" s="1"/>
      <c r="BU151" s="1"/>
      <c r="BV151" s="2"/>
      <c r="BW151" s="1"/>
      <c r="BX151" s="1"/>
      <c r="BY151" s="1"/>
      <c r="BZ151" s="1"/>
      <c r="CA151" s="1"/>
      <c r="CB151" s="1"/>
      <c r="CC151" s="1"/>
      <c r="CD151" s="1"/>
      <c r="CE151" s="2"/>
      <c r="CF151" s="1"/>
      <c r="CG151" s="1"/>
      <c r="CH151" s="1"/>
      <c r="CI151" s="1"/>
      <c r="CJ151" s="1"/>
      <c r="CK151" s="1"/>
      <c r="CL151" s="1"/>
    </row>
    <row r="152" spans="1:90" ht="14.65" x14ac:dyDescent="0.4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2"/>
      <c r="L152" s="1"/>
      <c r="M152" s="1"/>
      <c r="N152" s="1"/>
      <c r="O152" s="1"/>
      <c r="P152" s="1"/>
      <c r="Q152" s="1"/>
      <c r="R152" s="1"/>
      <c r="S152" s="1"/>
      <c r="T152" s="2"/>
      <c r="U152" s="1"/>
      <c r="V152" s="1"/>
      <c r="W152" s="1"/>
      <c r="X152" s="1"/>
      <c r="Y152" s="1"/>
      <c r="Z152" s="1"/>
      <c r="AA152" s="1"/>
      <c r="AB152" s="1"/>
      <c r="AC152" s="2"/>
      <c r="AD152" s="1"/>
      <c r="AE152" s="1"/>
      <c r="AF152" s="1"/>
      <c r="AG152" s="1"/>
      <c r="AH152" s="1"/>
      <c r="AI152" s="1"/>
      <c r="AJ152" s="1"/>
      <c r="AK152" s="1"/>
      <c r="AL152" s="2"/>
      <c r="AM152" s="1"/>
      <c r="AN152" s="1"/>
      <c r="AO152" s="1"/>
      <c r="AP152" s="1"/>
      <c r="AQ152" s="1"/>
      <c r="AR152" s="1"/>
      <c r="AS152" s="1"/>
      <c r="AT152" s="1"/>
      <c r="AU152" s="2"/>
      <c r="AV152" s="1"/>
      <c r="AW152" s="1"/>
      <c r="AX152" s="1"/>
      <c r="AY152" s="1"/>
      <c r="AZ152" s="1"/>
      <c r="BA152" s="1"/>
      <c r="BB152" s="1"/>
      <c r="BC152" s="1"/>
      <c r="BD152" s="2"/>
      <c r="BE152" s="1"/>
      <c r="BF152" s="1"/>
      <c r="BG152" s="1"/>
      <c r="BH152" s="1"/>
      <c r="BI152" s="1"/>
      <c r="BJ152" s="1"/>
      <c r="BK152" s="1"/>
      <c r="BL152" s="1"/>
      <c r="BM152" s="2"/>
      <c r="BN152" s="1"/>
      <c r="BO152" s="1"/>
      <c r="BP152" s="1"/>
      <c r="BQ152" s="1"/>
      <c r="BR152" s="1"/>
      <c r="BS152" s="1"/>
      <c r="BT152" s="1"/>
      <c r="BU152" s="1"/>
      <c r="BV152" s="2"/>
      <c r="BW152" s="1"/>
      <c r="BX152" s="1"/>
      <c r="BY152" s="1"/>
      <c r="BZ152" s="1"/>
      <c r="CA152" s="1"/>
      <c r="CB152" s="1"/>
      <c r="CC152" s="1"/>
      <c r="CD152" s="1"/>
      <c r="CE152" s="2"/>
      <c r="CF152" s="1"/>
      <c r="CG152" s="1"/>
      <c r="CH152" s="1"/>
      <c r="CI152" s="1"/>
      <c r="CJ152" s="1"/>
      <c r="CK152" s="1"/>
      <c r="CL152" s="1"/>
    </row>
    <row r="153" spans="1:90" ht="14.65" x14ac:dyDescent="0.4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2"/>
      <c r="L153" s="1"/>
      <c r="M153" s="1"/>
      <c r="N153" s="1"/>
      <c r="O153" s="1"/>
      <c r="P153" s="1"/>
      <c r="Q153" s="1"/>
      <c r="R153" s="1"/>
      <c r="S153" s="1"/>
      <c r="T153" s="2"/>
      <c r="U153" s="1"/>
      <c r="V153" s="1"/>
      <c r="W153" s="1"/>
      <c r="X153" s="1"/>
      <c r="Y153" s="1"/>
      <c r="Z153" s="1"/>
      <c r="AA153" s="1"/>
      <c r="AB153" s="1"/>
      <c r="AC153" s="2"/>
      <c r="AD153" s="1"/>
      <c r="AE153" s="1"/>
      <c r="AF153" s="1"/>
      <c r="AG153" s="1"/>
      <c r="AH153" s="1"/>
      <c r="AI153" s="1"/>
      <c r="AJ153" s="1"/>
      <c r="AK153" s="1"/>
      <c r="AL153" s="2"/>
      <c r="AM153" s="1"/>
      <c r="AN153" s="1"/>
      <c r="AO153" s="1"/>
      <c r="AP153" s="1"/>
      <c r="AQ153" s="1"/>
      <c r="AR153" s="1"/>
      <c r="AS153" s="1"/>
      <c r="AT153" s="1"/>
      <c r="AU153" s="2"/>
      <c r="AV153" s="1"/>
      <c r="AW153" s="1"/>
      <c r="AX153" s="1"/>
      <c r="AY153" s="1"/>
      <c r="AZ153" s="1"/>
      <c r="BA153" s="1"/>
      <c r="BB153" s="1"/>
      <c r="BC153" s="1"/>
      <c r="BD153" s="2"/>
      <c r="BE153" s="1"/>
      <c r="BF153" s="1"/>
      <c r="BG153" s="1"/>
      <c r="BH153" s="1"/>
      <c r="BI153" s="1"/>
      <c r="BJ153" s="1"/>
      <c r="BK153" s="1"/>
      <c r="BL153" s="1"/>
      <c r="BM153" s="2"/>
      <c r="BN153" s="1"/>
      <c r="BO153" s="1"/>
      <c r="BP153" s="1"/>
      <c r="BQ153" s="1"/>
      <c r="BR153" s="1"/>
      <c r="BS153" s="1"/>
      <c r="BT153" s="1"/>
      <c r="BU153" s="1"/>
      <c r="BV153" s="2"/>
      <c r="BW153" s="1"/>
      <c r="BX153" s="1"/>
      <c r="BY153" s="1"/>
      <c r="BZ153" s="1"/>
      <c r="CA153" s="1"/>
      <c r="CB153" s="1"/>
      <c r="CC153" s="1"/>
      <c r="CD153" s="1"/>
      <c r="CE153" s="2"/>
      <c r="CF153" s="1"/>
      <c r="CG153" s="1"/>
      <c r="CH153" s="1"/>
      <c r="CI153" s="1"/>
      <c r="CJ153" s="1"/>
      <c r="CK153" s="1"/>
      <c r="CL153" s="1"/>
    </row>
    <row r="154" spans="1:90" ht="14.65" x14ac:dyDescent="0.4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2"/>
      <c r="L154" s="1"/>
      <c r="M154" s="1"/>
      <c r="N154" s="1"/>
      <c r="O154" s="1"/>
      <c r="P154" s="1"/>
      <c r="Q154" s="1"/>
      <c r="R154" s="1"/>
      <c r="S154" s="1"/>
      <c r="T154" s="2"/>
      <c r="U154" s="1"/>
      <c r="V154" s="1"/>
      <c r="W154" s="1"/>
      <c r="X154" s="1"/>
      <c r="Y154" s="1"/>
      <c r="Z154" s="1"/>
      <c r="AA154" s="1"/>
      <c r="AB154" s="1"/>
      <c r="AC154" s="2"/>
      <c r="AD154" s="1"/>
      <c r="AE154" s="1"/>
      <c r="AF154" s="1"/>
      <c r="AG154" s="1"/>
      <c r="AH154" s="1"/>
      <c r="AI154" s="1"/>
      <c r="AJ154" s="1"/>
      <c r="AK154" s="1"/>
      <c r="AL154" s="2"/>
      <c r="AM154" s="1"/>
      <c r="AN154" s="1"/>
      <c r="AO154" s="1"/>
      <c r="AP154" s="1"/>
      <c r="AQ154" s="1"/>
      <c r="AR154" s="1"/>
      <c r="AS154" s="1"/>
      <c r="AT154" s="1"/>
      <c r="AU154" s="2"/>
      <c r="AV154" s="1"/>
      <c r="AW154" s="1"/>
      <c r="AX154" s="1"/>
      <c r="AY154" s="1"/>
      <c r="AZ154" s="1"/>
      <c r="BA154" s="1"/>
      <c r="BB154" s="1"/>
      <c r="BC154" s="1"/>
      <c r="BD154" s="2"/>
      <c r="BE154" s="1"/>
      <c r="BF154" s="1"/>
      <c r="BG154" s="1"/>
      <c r="BH154" s="1"/>
      <c r="BI154" s="1"/>
      <c r="BJ154" s="1"/>
      <c r="BK154" s="1"/>
      <c r="BL154" s="1"/>
      <c r="BM154" s="2"/>
      <c r="BN154" s="1"/>
      <c r="BO154" s="1"/>
      <c r="BP154" s="1"/>
      <c r="BQ154" s="1"/>
      <c r="BR154" s="1"/>
      <c r="BS154" s="1"/>
      <c r="BT154" s="1"/>
      <c r="BU154" s="1"/>
      <c r="BV154" s="2"/>
      <c r="BW154" s="1"/>
      <c r="BX154" s="1"/>
      <c r="BY154" s="1"/>
      <c r="BZ154" s="1"/>
      <c r="CA154" s="1"/>
      <c r="CB154" s="1"/>
      <c r="CC154" s="1"/>
      <c r="CD154" s="1"/>
      <c r="CE154" s="2"/>
      <c r="CF154" s="1"/>
      <c r="CG154" s="1"/>
      <c r="CH154" s="1"/>
      <c r="CI154" s="1"/>
      <c r="CJ154" s="1"/>
      <c r="CK154" s="1"/>
      <c r="CL154" s="1"/>
    </row>
    <row r="155" spans="1:90" ht="14.65" x14ac:dyDescent="0.4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2"/>
      <c r="L155" s="1"/>
      <c r="M155" s="1"/>
      <c r="N155" s="1"/>
      <c r="O155" s="1"/>
      <c r="P155" s="1"/>
      <c r="Q155" s="1"/>
      <c r="R155" s="1"/>
      <c r="S155" s="1"/>
      <c r="T155" s="2"/>
      <c r="U155" s="1"/>
      <c r="V155" s="1"/>
      <c r="W155" s="1"/>
      <c r="X155" s="1"/>
      <c r="Y155" s="1"/>
      <c r="Z155" s="1"/>
      <c r="AA155" s="1"/>
      <c r="AB155" s="1"/>
      <c r="AC155" s="2"/>
      <c r="AD155" s="1"/>
      <c r="AE155" s="1"/>
      <c r="AF155" s="1"/>
      <c r="AG155" s="1"/>
      <c r="AH155" s="1"/>
      <c r="AI155" s="1"/>
      <c r="AJ155" s="1"/>
      <c r="AK155" s="1"/>
      <c r="AL155" s="2"/>
      <c r="AM155" s="1"/>
      <c r="AN155" s="1"/>
      <c r="AO155" s="1"/>
      <c r="AP155" s="1"/>
      <c r="AQ155" s="1"/>
      <c r="AR155" s="1"/>
      <c r="AS155" s="1"/>
      <c r="AT155" s="1"/>
      <c r="AU155" s="2"/>
      <c r="AV155" s="1"/>
      <c r="AW155" s="1"/>
      <c r="AX155" s="1"/>
      <c r="AY155" s="1"/>
      <c r="AZ155" s="1"/>
      <c r="BA155" s="1"/>
      <c r="BB155" s="1"/>
      <c r="BC155" s="1"/>
      <c r="BD155" s="2"/>
      <c r="BE155" s="1"/>
      <c r="BF155" s="1"/>
      <c r="BG155" s="1"/>
      <c r="BH155" s="1"/>
      <c r="BI155" s="1"/>
      <c r="BJ155" s="1"/>
      <c r="BK155" s="1"/>
      <c r="BL155" s="1"/>
      <c r="BM155" s="2"/>
      <c r="BN155" s="1"/>
      <c r="BO155" s="1"/>
      <c r="BP155" s="1"/>
      <c r="BQ155" s="1"/>
      <c r="BR155" s="1"/>
      <c r="BS155" s="1"/>
      <c r="BT155" s="1"/>
      <c r="BU155" s="1"/>
      <c r="BV155" s="2"/>
      <c r="BW155" s="1"/>
      <c r="BX155" s="1"/>
      <c r="BY155" s="1"/>
      <c r="BZ155" s="1"/>
      <c r="CA155" s="1"/>
      <c r="CB155" s="1"/>
      <c r="CC155" s="1"/>
      <c r="CD155" s="1"/>
      <c r="CE155" s="2"/>
      <c r="CF155" s="1"/>
      <c r="CG155" s="1"/>
      <c r="CH155" s="1"/>
      <c r="CI155" s="1"/>
      <c r="CJ155" s="1"/>
      <c r="CK155" s="1"/>
      <c r="CL155" s="1"/>
    </row>
    <row r="156" spans="1:90" ht="14.65" x14ac:dyDescent="0.4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2"/>
      <c r="L156" s="1"/>
      <c r="M156" s="1"/>
      <c r="N156" s="1"/>
      <c r="O156" s="1"/>
      <c r="P156" s="1"/>
      <c r="Q156" s="1"/>
      <c r="R156" s="1"/>
      <c r="S156" s="1"/>
      <c r="T156" s="2"/>
      <c r="U156" s="1"/>
      <c r="V156" s="1"/>
      <c r="W156" s="1"/>
      <c r="X156" s="1"/>
      <c r="Y156" s="1"/>
      <c r="Z156" s="1"/>
      <c r="AA156" s="1"/>
      <c r="AB156" s="1"/>
      <c r="AC156" s="2"/>
      <c r="AD156" s="1"/>
      <c r="AE156" s="1"/>
      <c r="AF156" s="1"/>
      <c r="AG156" s="1"/>
      <c r="AH156" s="1"/>
      <c r="AI156" s="1"/>
      <c r="AJ156" s="1"/>
      <c r="AK156" s="1"/>
      <c r="AL156" s="2"/>
      <c r="AM156" s="1"/>
      <c r="AN156" s="1"/>
      <c r="AO156" s="1"/>
      <c r="AP156" s="1"/>
      <c r="AQ156" s="1"/>
      <c r="AR156" s="1"/>
      <c r="AS156" s="1"/>
      <c r="AT156" s="1"/>
      <c r="AU156" s="2"/>
      <c r="AV156" s="1"/>
      <c r="AW156" s="1"/>
      <c r="AX156" s="1"/>
      <c r="AY156" s="1"/>
      <c r="AZ156" s="1"/>
      <c r="BA156" s="1"/>
      <c r="BB156" s="1"/>
      <c r="BC156" s="1"/>
      <c r="BD156" s="2"/>
      <c r="BE156" s="1"/>
      <c r="BF156" s="1"/>
      <c r="BG156" s="1"/>
      <c r="BH156" s="1"/>
      <c r="BI156" s="1"/>
      <c r="BJ156" s="1"/>
      <c r="BK156" s="1"/>
      <c r="BL156" s="1"/>
      <c r="BM156" s="2"/>
      <c r="BN156" s="1"/>
      <c r="BO156" s="1"/>
      <c r="BP156" s="1"/>
      <c r="BQ156" s="1"/>
      <c r="BR156" s="1"/>
      <c r="BS156" s="1"/>
      <c r="BT156" s="1"/>
      <c r="BU156" s="1"/>
      <c r="BV156" s="2"/>
      <c r="BW156" s="1"/>
      <c r="BX156" s="1"/>
      <c r="BY156" s="1"/>
      <c r="BZ156" s="1"/>
      <c r="CA156" s="1"/>
      <c r="CB156" s="1"/>
      <c r="CC156" s="1"/>
      <c r="CD156" s="1"/>
      <c r="CE156" s="2"/>
      <c r="CF156" s="1"/>
      <c r="CG156" s="1"/>
      <c r="CH156" s="1"/>
      <c r="CI156" s="1"/>
      <c r="CJ156" s="1"/>
      <c r="CK156" s="1"/>
      <c r="CL156" s="1"/>
    </row>
    <row r="157" spans="1:90" ht="14.65" x14ac:dyDescent="0.4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2"/>
      <c r="L157" s="1"/>
      <c r="M157" s="1"/>
      <c r="N157" s="1"/>
      <c r="O157" s="1"/>
      <c r="P157" s="1"/>
      <c r="Q157" s="1"/>
      <c r="R157" s="1"/>
      <c r="S157" s="1"/>
      <c r="T157" s="2"/>
      <c r="U157" s="1"/>
      <c r="V157" s="1"/>
      <c r="W157" s="1"/>
      <c r="X157" s="1"/>
      <c r="Y157" s="1"/>
      <c r="Z157" s="1"/>
      <c r="AA157" s="1"/>
      <c r="AB157" s="1"/>
      <c r="AC157" s="2"/>
      <c r="AD157" s="1"/>
      <c r="AE157" s="1"/>
      <c r="AF157" s="1"/>
      <c r="AG157" s="1"/>
      <c r="AH157" s="1"/>
      <c r="AI157" s="1"/>
      <c r="AJ157" s="1"/>
      <c r="AK157" s="1"/>
      <c r="AL157" s="2"/>
      <c r="AM157" s="1"/>
      <c r="AN157" s="1"/>
      <c r="AO157" s="1"/>
      <c r="AP157" s="1"/>
      <c r="AQ157" s="1"/>
      <c r="AR157" s="1"/>
      <c r="AS157" s="1"/>
      <c r="AT157" s="1"/>
      <c r="AU157" s="2"/>
      <c r="AV157" s="1"/>
      <c r="AW157" s="1"/>
      <c r="AX157" s="1"/>
      <c r="AY157" s="1"/>
      <c r="AZ157" s="1"/>
      <c r="BA157" s="1"/>
      <c r="BB157" s="1"/>
      <c r="BC157" s="1"/>
      <c r="BD157" s="2"/>
      <c r="BE157" s="1"/>
      <c r="BF157" s="1"/>
      <c r="BG157" s="1"/>
      <c r="BH157" s="1"/>
      <c r="BI157" s="1"/>
      <c r="BJ157" s="1"/>
      <c r="BK157" s="1"/>
      <c r="BL157" s="1"/>
      <c r="BM157" s="2"/>
      <c r="BN157" s="1"/>
      <c r="BO157" s="1"/>
      <c r="BP157" s="1"/>
      <c r="BQ157" s="1"/>
      <c r="BR157" s="1"/>
      <c r="BS157" s="1"/>
      <c r="BT157" s="1"/>
      <c r="BU157" s="1"/>
      <c r="BV157" s="2"/>
      <c r="BW157" s="1"/>
      <c r="BX157" s="1"/>
      <c r="BY157" s="1"/>
      <c r="BZ157" s="1"/>
      <c r="CA157" s="1"/>
      <c r="CB157" s="1"/>
      <c r="CC157" s="1"/>
      <c r="CD157" s="1"/>
      <c r="CE157" s="2"/>
      <c r="CF157" s="1"/>
      <c r="CG157" s="1"/>
      <c r="CH157" s="1"/>
      <c r="CI157" s="1"/>
      <c r="CJ157" s="1"/>
      <c r="CK157" s="1"/>
      <c r="CL157" s="1"/>
    </row>
    <row r="158" spans="1:90" ht="14.65" x14ac:dyDescent="0.4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2"/>
      <c r="L158" s="1"/>
      <c r="M158" s="1"/>
      <c r="N158" s="1"/>
      <c r="O158" s="1"/>
      <c r="P158" s="1"/>
      <c r="Q158" s="1"/>
      <c r="R158" s="1"/>
      <c r="S158" s="1"/>
      <c r="T158" s="2"/>
      <c r="U158" s="1"/>
      <c r="V158" s="1"/>
      <c r="W158" s="1"/>
      <c r="X158" s="1"/>
      <c r="Y158" s="1"/>
      <c r="Z158" s="1"/>
      <c r="AA158" s="1"/>
      <c r="AB158" s="1"/>
      <c r="AC158" s="2"/>
      <c r="AD158" s="1"/>
      <c r="AE158" s="1"/>
      <c r="AF158" s="1"/>
      <c r="AG158" s="1"/>
      <c r="AH158" s="1"/>
      <c r="AI158" s="1"/>
      <c r="AJ158" s="1"/>
      <c r="AK158" s="1"/>
      <c r="AL158" s="2"/>
      <c r="AM158" s="1"/>
      <c r="AN158" s="1"/>
      <c r="AO158" s="1"/>
      <c r="AP158" s="1"/>
      <c r="AQ158" s="1"/>
      <c r="AR158" s="1"/>
      <c r="AS158" s="1"/>
      <c r="AT158" s="1"/>
      <c r="AU158" s="2"/>
      <c r="AV158" s="1"/>
      <c r="AW158" s="1"/>
      <c r="AX158" s="1"/>
      <c r="AY158" s="1"/>
      <c r="AZ158" s="1"/>
      <c r="BA158" s="1"/>
      <c r="BB158" s="1"/>
      <c r="BC158" s="1"/>
      <c r="BD158" s="2"/>
      <c r="BE158" s="1"/>
      <c r="BF158" s="1"/>
      <c r="BG158" s="1"/>
      <c r="BH158" s="1"/>
      <c r="BI158" s="1"/>
      <c r="BJ158" s="1"/>
      <c r="BK158" s="1"/>
      <c r="BL158" s="1"/>
      <c r="BM158" s="2"/>
      <c r="BN158" s="1"/>
      <c r="BO158" s="1"/>
      <c r="BP158" s="1"/>
      <c r="BQ158" s="1"/>
      <c r="BR158" s="1"/>
      <c r="BS158" s="1"/>
      <c r="BT158" s="1"/>
      <c r="BU158" s="1"/>
      <c r="BV158" s="2"/>
      <c r="BW158" s="1"/>
      <c r="BX158" s="1"/>
      <c r="BY158" s="1"/>
      <c r="BZ158" s="1"/>
      <c r="CA158" s="1"/>
      <c r="CB158" s="1"/>
      <c r="CC158" s="1"/>
      <c r="CD158" s="1"/>
      <c r="CE158" s="2"/>
      <c r="CF158" s="1"/>
      <c r="CG158" s="1"/>
      <c r="CH158" s="1"/>
      <c r="CI158" s="1"/>
      <c r="CJ158" s="1"/>
      <c r="CK158" s="1"/>
      <c r="CL158" s="1"/>
    </row>
    <row r="159" spans="1:90" ht="14.65" x14ac:dyDescent="0.4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2"/>
      <c r="L159" s="1"/>
      <c r="M159" s="1"/>
      <c r="N159" s="1"/>
      <c r="O159" s="1"/>
      <c r="P159" s="1"/>
      <c r="Q159" s="1"/>
      <c r="R159" s="1"/>
      <c r="S159" s="1"/>
      <c r="T159" s="2"/>
      <c r="U159" s="1"/>
      <c r="V159" s="1"/>
      <c r="W159" s="1"/>
      <c r="X159" s="1"/>
      <c r="Y159" s="1"/>
      <c r="Z159" s="1"/>
      <c r="AA159" s="1"/>
      <c r="AB159" s="1"/>
      <c r="AC159" s="2"/>
      <c r="AD159" s="1"/>
      <c r="AE159" s="1"/>
      <c r="AF159" s="1"/>
      <c r="AG159" s="1"/>
      <c r="AH159" s="1"/>
      <c r="AI159" s="1"/>
      <c r="AJ159" s="1"/>
      <c r="AK159" s="1"/>
      <c r="AL159" s="2"/>
      <c r="AM159" s="1"/>
      <c r="AN159" s="1"/>
      <c r="AO159" s="1"/>
      <c r="AP159" s="1"/>
      <c r="AQ159" s="1"/>
      <c r="AR159" s="1"/>
      <c r="AS159" s="1"/>
      <c r="AT159" s="1"/>
      <c r="AU159" s="2"/>
      <c r="AV159" s="1"/>
      <c r="AW159" s="1"/>
      <c r="AX159" s="1"/>
      <c r="AY159" s="1"/>
      <c r="AZ159" s="1"/>
      <c r="BA159" s="1"/>
      <c r="BB159" s="1"/>
      <c r="BC159" s="1"/>
      <c r="BD159" s="2"/>
      <c r="BE159" s="1"/>
      <c r="BF159" s="1"/>
      <c r="BG159" s="1"/>
      <c r="BH159" s="1"/>
      <c r="BI159" s="1"/>
      <c r="BJ159" s="1"/>
      <c r="BK159" s="1"/>
      <c r="BL159" s="1"/>
      <c r="BM159" s="2"/>
      <c r="BN159" s="1"/>
      <c r="BO159" s="1"/>
      <c r="BP159" s="1"/>
      <c r="BQ159" s="1"/>
      <c r="BR159" s="1"/>
      <c r="BS159" s="1"/>
      <c r="BT159" s="1"/>
      <c r="BU159" s="1"/>
      <c r="BV159" s="2"/>
      <c r="BW159" s="1"/>
      <c r="BX159" s="1"/>
      <c r="BY159" s="1"/>
      <c r="BZ159" s="1"/>
      <c r="CA159" s="1"/>
      <c r="CB159" s="1"/>
      <c r="CC159" s="1"/>
      <c r="CD159" s="1"/>
      <c r="CE159" s="2"/>
      <c r="CF159" s="1"/>
      <c r="CG159" s="1"/>
      <c r="CH159" s="1"/>
      <c r="CI159" s="1"/>
      <c r="CJ159" s="1"/>
      <c r="CK159" s="1"/>
      <c r="CL159" s="1"/>
    </row>
    <row r="160" spans="1:90" ht="14.65" x14ac:dyDescent="0.4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2"/>
      <c r="L160" s="1"/>
      <c r="M160" s="1"/>
      <c r="N160" s="1"/>
      <c r="O160" s="1"/>
      <c r="P160" s="1"/>
      <c r="Q160" s="1"/>
      <c r="R160" s="1"/>
      <c r="S160" s="1"/>
      <c r="T160" s="2"/>
      <c r="U160" s="1"/>
      <c r="V160" s="1"/>
      <c r="W160" s="1"/>
      <c r="X160" s="1"/>
      <c r="Y160" s="1"/>
      <c r="Z160" s="1"/>
      <c r="AA160" s="1"/>
      <c r="AB160" s="1"/>
      <c r="AC160" s="2"/>
      <c r="AD160" s="1"/>
      <c r="AE160" s="1"/>
      <c r="AF160" s="1"/>
      <c r="AG160" s="1"/>
      <c r="AH160" s="1"/>
      <c r="AI160" s="1"/>
      <c r="AJ160" s="1"/>
      <c r="AK160" s="1"/>
      <c r="AL160" s="2"/>
      <c r="AM160" s="1"/>
      <c r="AN160" s="1"/>
      <c r="AO160" s="1"/>
      <c r="AP160" s="1"/>
      <c r="AQ160" s="1"/>
      <c r="AR160" s="1"/>
      <c r="AS160" s="1"/>
      <c r="AT160" s="1"/>
      <c r="AU160" s="2"/>
      <c r="AV160" s="1"/>
      <c r="AW160" s="1"/>
      <c r="AX160" s="1"/>
      <c r="AY160" s="1"/>
      <c r="AZ160" s="1"/>
      <c r="BA160" s="1"/>
      <c r="BB160" s="1"/>
      <c r="BC160" s="1"/>
      <c r="BD160" s="2"/>
      <c r="BE160" s="1"/>
      <c r="BF160" s="1"/>
      <c r="BG160" s="1"/>
      <c r="BH160" s="1"/>
      <c r="BI160" s="1"/>
      <c r="BJ160" s="1"/>
      <c r="BK160" s="1"/>
      <c r="BL160" s="1"/>
      <c r="BM160" s="2"/>
      <c r="BN160" s="1"/>
      <c r="BO160" s="1"/>
      <c r="BP160" s="1"/>
      <c r="BQ160" s="1"/>
      <c r="BR160" s="1"/>
      <c r="BS160" s="1"/>
      <c r="BT160" s="1"/>
      <c r="BU160" s="1"/>
      <c r="BV160" s="2"/>
      <c r="BW160" s="1"/>
      <c r="BX160" s="1"/>
      <c r="BY160" s="1"/>
      <c r="BZ160" s="1"/>
      <c r="CA160" s="1"/>
      <c r="CB160" s="1"/>
      <c r="CC160" s="1"/>
      <c r="CD160" s="1"/>
      <c r="CE160" s="2"/>
      <c r="CF160" s="1"/>
      <c r="CG160" s="1"/>
      <c r="CH160" s="1"/>
      <c r="CI160" s="1"/>
      <c r="CJ160" s="1"/>
      <c r="CK160" s="1"/>
      <c r="CL160" s="1"/>
    </row>
    <row r="161" spans="1:90" ht="14.65" x14ac:dyDescent="0.4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2"/>
      <c r="L161" s="1"/>
      <c r="M161" s="1"/>
      <c r="N161" s="1"/>
      <c r="O161" s="1"/>
      <c r="P161" s="1"/>
      <c r="Q161" s="1"/>
      <c r="R161" s="1"/>
      <c r="S161" s="1"/>
      <c r="T161" s="2"/>
      <c r="U161" s="1"/>
      <c r="V161" s="1"/>
      <c r="W161" s="1"/>
      <c r="X161" s="1"/>
      <c r="Y161" s="1"/>
      <c r="Z161" s="1"/>
      <c r="AA161" s="1"/>
      <c r="AB161" s="1"/>
      <c r="AC161" s="2"/>
      <c r="AD161" s="1"/>
      <c r="AE161" s="1"/>
      <c r="AF161" s="1"/>
      <c r="AG161" s="1"/>
      <c r="AH161" s="1"/>
      <c r="AI161" s="1"/>
      <c r="AJ161" s="1"/>
      <c r="AK161" s="1"/>
      <c r="AL161" s="2"/>
      <c r="AM161" s="1"/>
      <c r="AN161" s="1"/>
      <c r="AO161" s="1"/>
      <c r="AP161" s="1"/>
      <c r="AQ161" s="1"/>
      <c r="AR161" s="1"/>
      <c r="AS161" s="1"/>
      <c r="AT161" s="1"/>
      <c r="AU161" s="2"/>
      <c r="AV161" s="1"/>
      <c r="AW161" s="1"/>
      <c r="AX161" s="1"/>
      <c r="AY161" s="1"/>
      <c r="AZ161" s="1"/>
      <c r="BA161" s="1"/>
      <c r="BB161" s="1"/>
      <c r="BC161" s="1"/>
      <c r="BD161" s="2"/>
      <c r="BE161" s="1"/>
      <c r="BF161" s="1"/>
      <c r="BG161" s="1"/>
      <c r="BH161" s="1"/>
      <c r="BI161" s="1"/>
      <c r="BJ161" s="1"/>
      <c r="BK161" s="1"/>
      <c r="BL161" s="1"/>
      <c r="BM161" s="2"/>
      <c r="BN161" s="1"/>
      <c r="BO161" s="1"/>
      <c r="BP161" s="1"/>
      <c r="BQ161" s="1"/>
      <c r="BR161" s="1"/>
      <c r="BS161" s="1"/>
      <c r="BT161" s="1"/>
      <c r="BU161" s="1"/>
      <c r="BV161" s="2"/>
      <c r="BW161" s="1"/>
      <c r="BX161" s="1"/>
      <c r="BY161" s="1"/>
      <c r="BZ161" s="1"/>
      <c r="CA161" s="1"/>
      <c r="CB161" s="1"/>
      <c r="CC161" s="1"/>
      <c r="CD161" s="1"/>
      <c r="CE161" s="2"/>
      <c r="CF161" s="1"/>
      <c r="CG161" s="1"/>
      <c r="CH161" s="1"/>
      <c r="CI161" s="1"/>
      <c r="CJ161" s="1"/>
      <c r="CK161" s="1"/>
      <c r="CL161" s="1"/>
    </row>
    <row r="162" spans="1:90" ht="14.65" x14ac:dyDescent="0.4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2"/>
      <c r="L162" s="1"/>
      <c r="M162" s="1"/>
      <c r="N162" s="1"/>
      <c r="O162" s="1"/>
      <c r="P162" s="1"/>
      <c r="Q162" s="1"/>
      <c r="R162" s="1"/>
      <c r="S162" s="1"/>
      <c r="T162" s="2"/>
      <c r="U162" s="1"/>
      <c r="V162" s="1"/>
      <c r="W162" s="1"/>
      <c r="X162" s="1"/>
      <c r="Y162" s="1"/>
      <c r="Z162" s="1"/>
      <c r="AA162" s="1"/>
      <c r="AB162" s="1"/>
      <c r="AC162" s="2"/>
      <c r="AD162" s="1"/>
      <c r="AE162" s="1"/>
      <c r="AF162" s="1"/>
      <c r="AG162" s="1"/>
      <c r="AH162" s="1"/>
      <c r="AI162" s="1"/>
      <c r="AJ162" s="1"/>
      <c r="AK162" s="1"/>
      <c r="AL162" s="2"/>
      <c r="AM162" s="1"/>
      <c r="AN162" s="1"/>
      <c r="AO162" s="1"/>
      <c r="AP162" s="1"/>
      <c r="AQ162" s="1"/>
      <c r="AR162" s="1"/>
      <c r="AS162" s="1"/>
      <c r="AT162" s="1"/>
      <c r="AU162" s="2"/>
      <c r="AV162" s="1"/>
      <c r="AW162" s="1"/>
      <c r="AX162" s="1"/>
      <c r="AY162" s="1"/>
      <c r="AZ162" s="1"/>
      <c r="BA162" s="1"/>
      <c r="BB162" s="1"/>
      <c r="BC162" s="1"/>
      <c r="BD162" s="2"/>
      <c r="BE162" s="1"/>
      <c r="BF162" s="1"/>
      <c r="BG162" s="1"/>
      <c r="BH162" s="1"/>
      <c r="BI162" s="1"/>
      <c r="BJ162" s="1"/>
      <c r="BK162" s="1"/>
      <c r="BL162" s="1"/>
      <c r="BM162" s="2"/>
      <c r="BN162" s="1"/>
      <c r="BO162" s="1"/>
      <c r="BP162" s="1"/>
      <c r="BQ162" s="1"/>
      <c r="BR162" s="1"/>
      <c r="BS162" s="1"/>
      <c r="BT162" s="1"/>
      <c r="BU162" s="1"/>
      <c r="BV162" s="2"/>
      <c r="BW162" s="1"/>
      <c r="BX162" s="1"/>
      <c r="BY162" s="1"/>
      <c r="BZ162" s="1"/>
      <c r="CA162" s="1"/>
      <c r="CB162" s="1"/>
      <c r="CC162" s="1"/>
      <c r="CD162" s="1"/>
      <c r="CE162" s="2"/>
      <c r="CF162" s="1"/>
      <c r="CG162" s="1"/>
      <c r="CH162" s="1"/>
      <c r="CI162" s="1"/>
      <c r="CJ162" s="1"/>
      <c r="CK162" s="1"/>
      <c r="CL162" s="1"/>
    </row>
    <row r="163" spans="1:90" ht="14.65" x14ac:dyDescent="0.4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2"/>
      <c r="L163" s="1"/>
      <c r="M163" s="1"/>
      <c r="N163" s="1"/>
      <c r="O163" s="1"/>
      <c r="P163" s="1"/>
      <c r="Q163" s="1"/>
      <c r="R163" s="1"/>
      <c r="S163" s="1"/>
      <c r="T163" s="2"/>
      <c r="U163" s="1"/>
      <c r="V163" s="1"/>
      <c r="W163" s="1"/>
      <c r="X163" s="1"/>
      <c r="Y163" s="1"/>
      <c r="Z163" s="1"/>
      <c r="AA163" s="1"/>
      <c r="AB163" s="1"/>
      <c r="AC163" s="2"/>
      <c r="AD163" s="1"/>
      <c r="AE163" s="1"/>
      <c r="AF163" s="1"/>
      <c r="AG163" s="1"/>
      <c r="AH163" s="1"/>
      <c r="AI163" s="1"/>
      <c r="AJ163" s="1"/>
      <c r="AK163" s="1"/>
      <c r="AL163" s="2"/>
      <c r="AM163" s="1"/>
      <c r="AN163" s="1"/>
      <c r="AO163" s="1"/>
      <c r="AP163" s="1"/>
      <c r="AQ163" s="1"/>
      <c r="AR163" s="1"/>
      <c r="AS163" s="1"/>
      <c r="AT163" s="1"/>
      <c r="AU163" s="2"/>
      <c r="AV163" s="1"/>
      <c r="AW163" s="1"/>
      <c r="AX163" s="1"/>
      <c r="AY163" s="1"/>
      <c r="AZ163" s="1"/>
      <c r="BA163" s="1"/>
      <c r="BB163" s="1"/>
      <c r="BC163" s="1"/>
      <c r="BD163" s="2"/>
      <c r="BE163" s="1"/>
      <c r="BF163" s="1"/>
      <c r="BG163" s="1"/>
      <c r="BH163" s="1"/>
      <c r="BI163" s="1"/>
      <c r="BJ163" s="1"/>
      <c r="BK163" s="1"/>
      <c r="BL163" s="1"/>
      <c r="BM163" s="2"/>
      <c r="BN163" s="1"/>
      <c r="BO163" s="1"/>
      <c r="BP163" s="1"/>
      <c r="BQ163" s="1"/>
      <c r="BR163" s="1"/>
      <c r="BS163" s="1"/>
      <c r="BT163" s="1"/>
      <c r="BU163" s="1"/>
      <c r="BV163" s="2"/>
      <c r="BW163" s="1"/>
      <c r="BX163" s="1"/>
      <c r="BY163" s="1"/>
      <c r="BZ163" s="1"/>
      <c r="CA163" s="1"/>
      <c r="CB163" s="1"/>
      <c r="CC163" s="1"/>
      <c r="CD163" s="1"/>
      <c r="CE163" s="2"/>
      <c r="CF163" s="1"/>
      <c r="CG163" s="1"/>
      <c r="CH163" s="1"/>
      <c r="CI163" s="1"/>
      <c r="CJ163" s="1"/>
      <c r="CK163" s="1"/>
      <c r="CL163" s="1"/>
    </row>
    <row r="164" spans="1:90" ht="14.65" x14ac:dyDescent="0.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2"/>
      <c r="L164" s="1"/>
      <c r="M164" s="1"/>
      <c r="N164" s="1"/>
      <c r="O164" s="1"/>
      <c r="P164" s="1"/>
      <c r="Q164" s="1"/>
      <c r="R164" s="1"/>
      <c r="S164" s="1"/>
      <c r="T164" s="2"/>
      <c r="U164" s="1"/>
      <c r="V164" s="1"/>
      <c r="W164" s="1"/>
      <c r="X164" s="1"/>
      <c r="Y164" s="1"/>
      <c r="Z164" s="1"/>
      <c r="AA164" s="1"/>
      <c r="AB164" s="1"/>
      <c r="AC164" s="2"/>
      <c r="AD164" s="1"/>
      <c r="AE164" s="1"/>
      <c r="AF164" s="1"/>
      <c r="AG164" s="1"/>
      <c r="AH164" s="1"/>
      <c r="AI164" s="1"/>
      <c r="AJ164" s="1"/>
      <c r="AK164" s="1"/>
      <c r="AL164" s="2"/>
      <c r="AM164" s="1"/>
      <c r="AN164" s="1"/>
      <c r="AO164" s="1"/>
      <c r="AP164" s="1"/>
      <c r="AQ164" s="1"/>
      <c r="AR164" s="1"/>
      <c r="AS164" s="1"/>
      <c r="AT164" s="1"/>
      <c r="AU164" s="2"/>
      <c r="AV164" s="1"/>
      <c r="AW164" s="1"/>
      <c r="AX164" s="1"/>
      <c r="AY164" s="1"/>
      <c r="AZ164" s="1"/>
      <c r="BA164" s="1"/>
      <c r="BB164" s="1"/>
      <c r="BC164" s="1"/>
      <c r="BD164" s="2"/>
      <c r="BE164" s="1"/>
      <c r="BF164" s="1"/>
      <c r="BG164" s="1"/>
      <c r="BH164" s="1"/>
      <c r="BI164" s="1"/>
      <c r="BJ164" s="1"/>
      <c r="BK164" s="1"/>
      <c r="BL164" s="1"/>
      <c r="BM164" s="2"/>
      <c r="BN164" s="1"/>
      <c r="BO164" s="1"/>
      <c r="BP164" s="1"/>
      <c r="BQ164" s="1"/>
      <c r="BR164" s="1"/>
      <c r="BS164" s="1"/>
      <c r="BT164" s="1"/>
      <c r="BU164" s="1"/>
      <c r="BV164" s="2"/>
      <c r="BW164" s="1"/>
      <c r="BX164" s="1"/>
      <c r="BY164" s="1"/>
      <c r="BZ164" s="1"/>
      <c r="CA164" s="1"/>
      <c r="CB164" s="1"/>
      <c r="CC164" s="1"/>
      <c r="CD164" s="1"/>
      <c r="CE164" s="2"/>
      <c r="CF164" s="1"/>
      <c r="CG164" s="1"/>
      <c r="CH164" s="1"/>
      <c r="CI164" s="1"/>
      <c r="CJ164" s="1"/>
      <c r="CK164" s="1"/>
      <c r="CL164" s="1"/>
    </row>
    <row r="165" spans="1:90" ht="14.65" x14ac:dyDescent="0.4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2"/>
      <c r="L165" s="1"/>
      <c r="M165" s="1"/>
      <c r="N165" s="1"/>
      <c r="O165" s="1"/>
      <c r="P165" s="1"/>
      <c r="Q165" s="1"/>
      <c r="R165" s="1"/>
      <c r="S165" s="1"/>
      <c r="T165" s="2"/>
      <c r="U165" s="1"/>
      <c r="V165" s="1"/>
      <c r="W165" s="1"/>
      <c r="X165" s="1"/>
      <c r="Y165" s="1"/>
      <c r="Z165" s="1"/>
      <c r="AA165" s="1"/>
      <c r="AB165" s="1"/>
      <c r="AC165" s="2"/>
      <c r="AD165" s="1"/>
      <c r="AE165" s="1"/>
      <c r="AF165" s="1"/>
      <c r="AG165" s="1"/>
      <c r="AH165" s="1"/>
      <c r="AI165" s="1"/>
      <c r="AJ165" s="1"/>
      <c r="AK165" s="1"/>
      <c r="AL165" s="2"/>
      <c r="AM165" s="1"/>
      <c r="AN165" s="1"/>
      <c r="AO165" s="1"/>
      <c r="AP165" s="1"/>
      <c r="AQ165" s="1"/>
      <c r="AR165" s="1"/>
      <c r="AS165" s="1"/>
      <c r="AT165" s="1"/>
      <c r="AU165" s="2"/>
      <c r="AV165" s="1"/>
      <c r="AW165" s="1"/>
      <c r="AX165" s="1"/>
      <c r="AY165" s="1"/>
      <c r="AZ165" s="1"/>
      <c r="BA165" s="1"/>
      <c r="BB165" s="1"/>
      <c r="BC165" s="1"/>
      <c r="BD165" s="2"/>
      <c r="BE165" s="1"/>
      <c r="BF165" s="1"/>
      <c r="BG165" s="1"/>
      <c r="BH165" s="1"/>
      <c r="BI165" s="1"/>
      <c r="BJ165" s="1"/>
      <c r="BK165" s="1"/>
      <c r="BL165" s="1"/>
      <c r="BM165" s="2"/>
      <c r="BN165" s="1"/>
      <c r="BO165" s="1"/>
      <c r="BP165" s="1"/>
      <c r="BQ165" s="1"/>
      <c r="BR165" s="1"/>
      <c r="BS165" s="1"/>
      <c r="BT165" s="1"/>
      <c r="BU165" s="1"/>
      <c r="BV165" s="2"/>
      <c r="BW165" s="1"/>
      <c r="BX165" s="1"/>
      <c r="BY165" s="1"/>
      <c r="BZ165" s="1"/>
      <c r="CA165" s="1"/>
      <c r="CB165" s="1"/>
      <c r="CC165" s="1"/>
      <c r="CD165" s="1"/>
      <c r="CE165" s="2"/>
      <c r="CF165" s="1"/>
      <c r="CG165" s="1"/>
      <c r="CH165" s="1"/>
      <c r="CI165" s="1"/>
      <c r="CJ165" s="1"/>
      <c r="CK165" s="1"/>
      <c r="CL165" s="1"/>
    </row>
    <row r="166" spans="1:90" ht="14.65" x14ac:dyDescent="0.4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2"/>
      <c r="L166" s="1"/>
      <c r="M166" s="3"/>
      <c r="N166" s="1"/>
      <c r="O166" s="1"/>
      <c r="P166" s="1"/>
      <c r="Q166" s="1"/>
      <c r="R166" s="1"/>
      <c r="S166" s="1"/>
      <c r="T166" s="2"/>
      <c r="U166" s="1"/>
      <c r="V166" s="1"/>
      <c r="W166" s="1"/>
      <c r="X166" s="1"/>
      <c r="Y166" s="1"/>
      <c r="Z166" s="1"/>
      <c r="AA166" s="1"/>
      <c r="AB166" s="1"/>
      <c r="AC166" s="2"/>
      <c r="AD166" s="1"/>
      <c r="AE166" s="1"/>
      <c r="AF166" s="1"/>
      <c r="AG166" s="1"/>
      <c r="AH166" s="1"/>
      <c r="AI166" s="1"/>
      <c r="AJ166" s="1"/>
      <c r="AK166" s="1"/>
      <c r="AL166" s="2"/>
      <c r="AM166" s="1"/>
      <c r="AN166" s="1"/>
      <c r="AO166" s="1"/>
      <c r="AP166" s="1"/>
      <c r="AQ166" s="1"/>
      <c r="AR166" s="1"/>
      <c r="AS166" s="1"/>
      <c r="AT166" s="1"/>
      <c r="AU166" s="2"/>
      <c r="AV166" s="1"/>
      <c r="AW166" s="1"/>
      <c r="AX166" s="1"/>
      <c r="AY166" s="1"/>
      <c r="AZ166" s="1"/>
      <c r="BA166" s="1"/>
      <c r="BB166" s="1"/>
      <c r="BC166" s="1"/>
      <c r="BD166" s="2"/>
      <c r="BE166" s="1"/>
      <c r="BF166" s="1"/>
      <c r="BG166" s="1"/>
      <c r="BH166" s="1"/>
      <c r="BI166" s="1"/>
      <c r="BJ166" s="1"/>
      <c r="BK166" s="1"/>
      <c r="BL166" s="1"/>
      <c r="BM166" s="2"/>
      <c r="BN166" s="1"/>
      <c r="BO166" s="1"/>
      <c r="BP166" s="1"/>
      <c r="BQ166" s="1"/>
      <c r="BR166" s="1"/>
      <c r="BS166" s="1"/>
      <c r="BT166" s="1"/>
      <c r="BU166" s="1"/>
      <c r="BV166" s="2"/>
      <c r="BW166" s="1"/>
      <c r="BX166" s="1"/>
      <c r="BY166" s="1"/>
      <c r="BZ166" s="1"/>
      <c r="CA166" s="1"/>
      <c r="CB166" s="1"/>
      <c r="CC166" s="1"/>
      <c r="CD166" s="1"/>
      <c r="CE166" s="2"/>
      <c r="CF166" s="1"/>
      <c r="CG166" s="1"/>
      <c r="CH166" s="1"/>
      <c r="CI166" s="1"/>
      <c r="CJ166" s="1"/>
      <c r="CK166" s="1"/>
      <c r="CL166" s="1"/>
    </row>
    <row r="167" spans="1:90" ht="14.65" x14ac:dyDescent="0.4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2"/>
      <c r="L167" s="1"/>
      <c r="M167" s="1"/>
      <c r="N167" s="1"/>
      <c r="O167" s="1"/>
      <c r="P167" s="1"/>
      <c r="Q167" s="1"/>
      <c r="R167" s="1"/>
      <c r="S167" s="1"/>
      <c r="T167" s="2"/>
      <c r="U167" s="1"/>
      <c r="V167" s="1"/>
      <c r="W167" s="1"/>
      <c r="X167" s="1"/>
      <c r="Y167" s="1"/>
      <c r="Z167" s="1"/>
      <c r="AA167" s="1"/>
      <c r="AB167" s="1"/>
      <c r="AC167" s="2"/>
      <c r="AD167" s="1"/>
      <c r="AE167" s="1"/>
      <c r="AF167" s="1"/>
      <c r="AG167" s="1"/>
      <c r="AH167" s="1"/>
      <c r="AI167" s="1"/>
      <c r="AJ167" s="1"/>
      <c r="AK167" s="1"/>
      <c r="AL167" s="2"/>
      <c r="AM167" s="1"/>
      <c r="AN167" s="1"/>
      <c r="AO167" s="1"/>
      <c r="AP167" s="1"/>
      <c r="AQ167" s="1"/>
      <c r="AR167" s="1"/>
      <c r="AS167" s="1"/>
      <c r="AT167" s="1"/>
      <c r="AU167" s="2"/>
      <c r="AV167" s="1"/>
      <c r="AW167" s="1"/>
      <c r="AX167" s="1"/>
      <c r="AY167" s="1"/>
      <c r="AZ167" s="1"/>
      <c r="BA167" s="1"/>
      <c r="BB167" s="1"/>
      <c r="BC167" s="1"/>
      <c r="BD167" s="2"/>
      <c r="BE167" s="1"/>
      <c r="BF167" s="1"/>
      <c r="BG167" s="1"/>
      <c r="BH167" s="1"/>
      <c r="BI167" s="1"/>
      <c r="BJ167" s="1"/>
      <c r="BK167" s="1"/>
      <c r="BL167" s="1"/>
      <c r="BM167" s="2"/>
      <c r="BN167" s="1"/>
      <c r="BO167" s="1"/>
      <c r="BP167" s="1"/>
      <c r="BQ167" s="1"/>
      <c r="BR167" s="1"/>
      <c r="BS167" s="1"/>
      <c r="BT167" s="1"/>
      <c r="BU167" s="1"/>
      <c r="BV167" s="2"/>
      <c r="BW167" s="1"/>
      <c r="BX167" s="1"/>
      <c r="BY167" s="1"/>
      <c r="BZ167" s="1"/>
      <c r="CA167" s="1"/>
      <c r="CB167" s="1"/>
      <c r="CC167" s="1"/>
      <c r="CD167" s="1"/>
      <c r="CE167" s="2"/>
      <c r="CF167" s="1"/>
      <c r="CG167" s="1"/>
      <c r="CH167" s="1"/>
      <c r="CI167" s="1"/>
      <c r="CJ167" s="1"/>
      <c r="CK167" s="1"/>
      <c r="CL167" s="1"/>
    </row>
    <row r="168" spans="1:90" ht="14.65" x14ac:dyDescent="0.4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2"/>
      <c r="L168" s="1"/>
      <c r="M168" s="1"/>
      <c r="N168" s="1"/>
      <c r="O168" s="1"/>
      <c r="P168" s="1"/>
      <c r="Q168" s="1"/>
      <c r="R168" s="1"/>
      <c r="S168" s="1"/>
      <c r="T168" s="2"/>
      <c r="U168" s="1"/>
      <c r="V168" s="1"/>
      <c r="W168" s="1"/>
      <c r="X168" s="1"/>
      <c r="Y168" s="1"/>
      <c r="Z168" s="1"/>
      <c r="AA168" s="1"/>
      <c r="AB168" s="1"/>
      <c r="AC168" s="2"/>
      <c r="AD168" s="1"/>
      <c r="AE168" s="1"/>
      <c r="AF168" s="1"/>
      <c r="AG168" s="1"/>
      <c r="AH168" s="1"/>
      <c r="AI168" s="1"/>
      <c r="AJ168" s="1"/>
      <c r="AK168" s="1"/>
      <c r="AL168" s="2"/>
      <c r="AM168" s="1"/>
      <c r="AN168" s="1"/>
      <c r="AO168" s="1"/>
      <c r="AP168" s="1"/>
      <c r="AQ168" s="1"/>
      <c r="AR168" s="1"/>
      <c r="AS168" s="1"/>
      <c r="AT168" s="1"/>
      <c r="AU168" s="2"/>
      <c r="AV168" s="1"/>
      <c r="AW168" s="1"/>
      <c r="AX168" s="1"/>
      <c r="AY168" s="1"/>
      <c r="AZ168" s="1"/>
      <c r="BA168" s="1"/>
      <c r="BB168" s="1"/>
      <c r="BC168" s="1"/>
      <c r="BD168" s="2"/>
      <c r="BE168" s="1"/>
      <c r="BF168" s="1"/>
      <c r="BG168" s="1"/>
      <c r="BH168" s="1"/>
      <c r="BI168" s="1"/>
      <c r="BJ168" s="1"/>
      <c r="BK168" s="1"/>
      <c r="BL168" s="1"/>
      <c r="BM168" s="2"/>
      <c r="BN168" s="1"/>
      <c r="BO168" s="1"/>
      <c r="BP168" s="1"/>
      <c r="BQ168" s="1"/>
      <c r="BR168" s="1"/>
      <c r="BS168" s="1"/>
      <c r="BT168" s="1"/>
      <c r="BU168" s="1"/>
      <c r="BV168" s="2"/>
      <c r="BW168" s="1"/>
      <c r="BX168" s="1"/>
      <c r="BY168" s="1"/>
      <c r="BZ168" s="1"/>
      <c r="CA168" s="1"/>
      <c r="CB168" s="1"/>
      <c r="CC168" s="1"/>
      <c r="CD168" s="1"/>
      <c r="CE168" s="2"/>
      <c r="CF168" s="1"/>
      <c r="CG168" s="1"/>
      <c r="CH168" s="1"/>
      <c r="CI168" s="1"/>
      <c r="CJ168" s="1"/>
      <c r="CK168" s="1"/>
      <c r="CL168" s="1"/>
    </row>
    <row r="169" spans="1:90" ht="14.65" x14ac:dyDescent="0.4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2"/>
      <c r="L169" s="1"/>
      <c r="M169" s="1"/>
      <c r="N169" s="1"/>
      <c r="O169" s="1"/>
      <c r="P169" s="1"/>
      <c r="Q169" s="1"/>
      <c r="R169" s="1"/>
      <c r="S169" s="1"/>
      <c r="T169" s="2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2"/>
      <c r="AM169" s="1"/>
      <c r="AN169" s="1"/>
      <c r="AO169" s="1"/>
      <c r="AP169" s="1"/>
      <c r="AQ169" s="1"/>
      <c r="AR169" s="1"/>
      <c r="AS169" s="1"/>
      <c r="AT169" s="1"/>
      <c r="AU169" s="2"/>
      <c r="AV169" s="1"/>
      <c r="AW169" s="1"/>
      <c r="AX169" s="1"/>
      <c r="AY169" s="1"/>
      <c r="AZ169" s="1"/>
      <c r="BA169" s="1"/>
      <c r="BB169" s="1"/>
      <c r="BC169" s="1"/>
      <c r="BD169" s="2"/>
      <c r="BE169" s="1"/>
      <c r="BF169" s="1"/>
      <c r="BG169" s="1"/>
      <c r="BH169" s="1"/>
      <c r="BI169" s="1"/>
      <c r="BJ169" s="1"/>
      <c r="BK169" s="1"/>
      <c r="BL169" s="1"/>
      <c r="BM169" s="2"/>
      <c r="BN169" s="1"/>
      <c r="BO169" s="1"/>
      <c r="BP169" s="1"/>
      <c r="BQ169" s="1"/>
      <c r="BR169" s="1"/>
      <c r="BS169" s="1"/>
      <c r="BT169" s="1"/>
      <c r="BU169" s="1"/>
      <c r="BV169" s="2"/>
      <c r="BW169" s="1"/>
      <c r="BX169" s="1"/>
      <c r="BY169" s="1"/>
      <c r="BZ169" s="1"/>
      <c r="CA169" s="1"/>
      <c r="CB169" s="1"/>
      <c r="CC169" s="1"/>
      <c r="CD169" s="1"/>
      <c r="CE169" s="2"/>
      <c r="CF169" s="1"/>
      <c r="CG169" s="1"/>
      <c r="CH169" s="1"/>
      <c r="CI169" s="1"/>
      <c r="CJ169" s="1"/>
      <c r="CK169" s="1"/>
      <c r="CL169" s="1"/>
    </row>
    <row r="170" spans="1:90" ht="14.65" x14ac:dyDescent="0.4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2"/>
      <c r="L170" s="1"/>
      <c r="M170" s="1"/>
      <c r="N170" s="1"/>
      <c r="O170" s="1"/>
      <c r="P170" s="1"/>
      <c r="Q170" s="1"/>
      <c r="R170" s="1"/>
      <c r="S170" s="1"/>
      <c r="T170" s="2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2"/>
      <c r="AM170" s="1"/>
      <c r="AN170" s="1"/>
      <c r="AO170" s="1"/>
      <c r="AP170" s="1"/>
      <c r="AQ170" s="1"/>
      <c r="AR170" s="1"/>
      <c r="AS170" s="1"/>
      <c r="AT170" s="1"/>
      <c r="AU170" s="2"/>
      <c r="AV170" s="1"/>
      <c r="AW170" s="1"/>
      <c r="AX170" s="1"/>
      <c r="AY170" s="1"/>
      <c r="AZ170" s="1"/>
      <c r="BA170" s="1"/>
      <c r="BB170" s="1"/>
      <c r="BC170" s="1"/>
      <c r="BD170" s="2"/>
      <c r="BE170" s="1"/>
      <c r="BF170" s="1"/>
      <c r="BG170" s="1"/>
      <c r="BH170" s="1"/>
      <c r="BI170" s="1"/>
      <c r="BJ170" s="1"/>
      <c r="BK170" s="1"/>
      <c r="BL170" s="1"/>
      <c r="BM170" s="2"/>
      <c r="BN170" s="1"/>
      <c r="BO170" s="1"/>
      <c r="BP170" s="1"/>
      <c r="BQ170" s="1"/>
      <c r="BR170" s="1"/>
      <c r="BS170" s="1"/>
      <c r="BT170" s="1"/>
      <c r="BU170" s="1"/>
      <c r="BV170" s="2"/>
      <c r="BW170" s="1"/>
      <c r="BX170" s="1"/>
      <c r="BY170" s="1"/>
      <c r="BZ170" s="1"/>
      <c r="CA170" s="1"/>
      <c r="CB170" s="1"/>
      <c r="CC170" s="1"/>
      <c r="CD170" s="1"/>
      <c r="CE170" s="2"/>
      <c r="CF170" s="1"/>
      <c r="CG170" s="1"/>
      <c r="CH170" s="1"/>
      <c r="CI170" s="1"/>
      <c r="CJ170" s="1"/>
      <c r="CK170" s="1"/>
      <c r="CL170" s="1"/>
    </row>
    <row r="171" spans="1:90" ht="14.65" x14ac:dyDescent="0.4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2"/>
      <c r="L171" s="1"/>
      <c r="M171" s="1"/>
      <c r="N171" s="1"/>
      <c r="O171" s="1"/>
      <c r="P171" s="1"/>
      <c r="Q171" s="1"/>
      <c r="R171" s="1"/>
      <c r="S171" s="1"/>
      <c r="T171" s="2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2"/>
      <c r="AM171" s="1"/>
      <c r="AN171" s="1"/>
      <c r="AO171" s="1"/>
      <c r="AP171" s="1"/>
      <c r="AQ171" s="1"/>
      <c r="AR171" s="1"/>
      <c r="AS171" s="1"/>
      <c r="AT171" s="1"/>
      <c r="AU171" s="2"/>
      <c r="AV171" s="1"/>
      <c r="AW171" s="1"/>
      <c r="AX171" s="1"/>
      <c r="AY171" s="1"/>
      <c r="AZ171" s="1"/>
      <c r="BA171" s="1"/>
      <c r="BB171" s="1"/>
      <c r="BC171" s="1"/>
      <c r="BD171" s="2"/>
      <c r="BE171" s="1"/>
      <c r="BF171" s="1"/>
      <c r="BG171" s="1"/>
      <c r="BH171" s="1"/>
      <c r="BI171" s="1"/>
      <c r="BJ171" s="1"/>
      <c r="BK171" s="1"/>
      <c r="BL171" s="1"/>
      <c r="BM171" s="2"/>
      <c r="BN171" s="1"/>
      <c r="BO171" s="1"/>
      <c r="BP171" s="1"/>
      <c r="BQ171" s="1"/>
      <c r="BR171" s="1"/>
      <c r="BS171" s="1"/>
      <c r="BT171" s="1"/>
      <c r="BU171" s="1"/>
      <c r="BV171" s="2"/>
      <c r="BW171" s="1"/>
      <c r="BX171" s="1"/>
      <c r="BY171" s="1"/>
      <c r="BZ171" s="1"/>
      <c r="CA171" s="1"/>
      <c r="CB171" s="1"/>
      <c r="CC171" s="1"/>
      <c r="CD171" s="1"/>
      <c r="CE171" s="2"/>
      <c r="CF171" s="1"/>
      <c r="CG171" s="1"/>
      <c r="CH171" s="1"/>
      <c r="CI171" s="1"/>
      <c r="CJ171" s="1"/>
      <c r="CK171" s="1"/>
      <c r="CL171" s="1"/>
    </row>
    <row r="172" spans="1:90" ht="14.65" x14ac:dyDescent="0.4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2"/>
      <c r="L172" s="1"/>
      <c r="M172" s="1"/>
      <c r="N172" s="1"/>
      <c r="O172" s="1"/>
      <c r="P172" s="1"/>
      <c r="Q172" s="1"/>
      <c r="R172" s="1"/>
      <c r="S172" s="1"/>
      <c r="T172" s="2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2"/>
      <c r="AM172" s="1"/>
      <c r="AN172" s="1"/>
      <c r="AO172" s="1"/>
      <c r="AP172" s="1"/>
      <c r="AQ172" s="1"/>
      <c r="AR172" s="1"/>
      <c r="AS172" s="1"/>
      <c r="AT172" s="1"/>
      <c r="AU172" s="2"/>
      <c r="AV172" s="1"/>
      <c r="AW172" s="1"/>
      <c r="AX172" s="1"/>
      <c r="AY172" s="1"/>
      <c r="AZ172" s="1"/>
      <c r="BA172" s="1"/>
      <c r="BB172" s="1"/>
      <c r="BC172" s="1"/>
      <c r="BD172" s="2"/>
      <c r="BE172" s="1"/>
      <c r="BF172" s="1"/>
      <c r="BG172" s="1"/>
      <c r="BH172" s="1"/>
      <c r="BI172" s="1"/>
      <c r="BJ172" s="1"/>
      <c r="BK172" s="1"/>
      <c r="BL172" s="1"/>
      <c r="BM172" s="2"/>
      <c r="BN172" s="1"/>
      <c r="BO172" s="1"/>
      <c r="BP172" s="1"/>
      <c r="BQ172" s="1"/>
      <c r="BR172" s="1"/>
      <c r="BS172" s="1"/>
      <c r="BT172" s="1"/>
      <c r="BU172" s="1"/>
      <c r="BV172" s="2"/>
      <c r="BW172" s="1"/>
      <c r="BX172" s="1"/>
      <c r="BY172" s="1"/>
      <c r="BZ172" s="1"/>
      <c r="CA172" s="1"/>
      <c r="CB172" s="1"/>
      <c r="CC172" s="1"/>
      <c r="CD172" s="1"/>
      <c r="CE172" s="2"/>
      <c r="CF172" s="1"/>
      <c r="CG172" s="1"/>
      <c r="CH172" s="1"/>
      <c r="CI172" s="1"/>
      <c r="CJ172" s="1"/>
      <c r="CK172" s="1"/>
      <c r="CL172" s="1"/>
    </row>
    <row r="173" spans="1:90" ht="14.65" x14ac:dyDescent="0.4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2"/>
      <c r="L173" s="1"/>
      <c r="M173" s="1"/>
      <c r="N173" s="1"/>
      <c r="O173" s="1"/>
      <c r="P173" s="1"/>
      <c r="Q173" s="1"/>
      <c r="R173" s="1"/>
      <c r="S173" s="1"/>
      <c r="T173" s="2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2"/>
      <c r="AM173" s="1"/>
      <c r="AN173" s="1"/>
      <c r="AO173" s="1"/>
      <c r="AP173" s="1"/>
      <c r="AQ173" s="1"/>
      <c r="AR173" s="1"/>
      <c r="AS173" s="1"/>
      <c r="AT173" s="1"/>
      <c r="AU173" s="2"/>
      <c r="AV173" s="1"/>
      <c r="AW173" s="1"/>
      <c r="AX173" s="1"/>
      <c r="AY173" s="1"/>
      <c r="AZ173" s="1"/>
      <c r="BA173" s="1"/>
      <c r="BB173" s="1"/>
      <c r="BC173" s="1"/>
      <c r="BD173" s="2"/>
      <c r="BE173" s="1"/>
      <c r="BF173" s="1"/>
      <c r="BG173" s="1"/>
      <c r="BH173" s="1"/>
      <c r="BI173" s="1"/>
      <c r="BJ173" s="1"/>
      <c r="BK173" s="1"/>
      <c r="BL173" s="1"/>
      <c r="BM173" s="2"/>
      <c r="BN173" s="1"/>
      <c r="BO173" s="1"/>
      <c r="BP173" s="1"/>
      <c r="BQ173" s="1"/>
      <c r="BR173" s="1"/>
      <c r="BS173" s="1"/>
      <c r="BT173" s="1"/>
      <c r="BU173" s="1"/>
      <c r="BV173" s="2"/>
      <c r="BW173" s="1"/>
      <c r="BX173" s="1"/>
      <c r="BY173" s="1"/>
      <c r="BZ173" s="1"/>
      <c r="CA173" s="1"/>
      <c r="CB173" s="1"/>
      <c r="CC173" s="1"/>
      <c r="CD173" s="1"/>
      <c r="CE173" s="2"/>
      <c r="CF173" s="1"/>
      <c r="CG173" s="1"/>
      <c r="CH173" s="1"/>
      <c r="CI173" s="1"/>
      <c r="CJ173" s="1"/>
      <c r="CK173" s="1"/>
      <c r="CL173" s="1"/>
    </row>
    <row r="174" spans="1:90" ht="14.65" x14ac:dyDescent="0.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2"/>
      <c r="L174" s="1"/>
      <c r="M174" s="1"/>
      <c r="N174" s="1"/>
      <c r="O174" s="1"/>
      <c r="P174" s="1"/>
      <c r="Q174" s="1"/>
      <c r="R174" s="1"/>
      <c r="S174" s="1"/>
      <c r="T174" s="2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2"/>
      <c r="AM174" s="1"/>
      <c r="AN174" s="1"/>
      <c r="AO174" s="1"/>
      <c r="AP174" s="1"/>
      <c r="AQ174" s="1"/>
      <c r="AR174" s="1"/>
      <c r="AS174" s="1"/>
      <c r="AT174" s="1"/>
      <c r="AU174" s="2"/>
      <c r="AV174" s="1"/>
      <c r="AW174" s="1"/>
      <c r="AX174" s="1"/>
      <c r="AY174" s="1"/>
      <c r="AZ174" s="1"/>
      <c r="BA174" s="1"/>
      <c r="BB174" s="1"/>
      <c r="BC174" s="1"/>
      <c r="BD174" s="2"/>
      <c r="BE174" s="1"/>
      <c r="BF174" s="1"/>
      <c r="BG174" s="1"/>
      <c r="BH174" s="1"/>
      <c r="BI174" s="1"/>
      <c r="BJ174" s="1"/>
      <c r="BK174" s="1"/>
      <c r="BL174" s="1"/>
      <c r="BM174" s="2"/>
      <c r="BN174" s="1"/>
      <c r="BO174" s="1"/>
      <c r="BP174" s="1"/>
      <c r="BQ174" s="1"/>
      <c r="BR174" s="1"/>
      <c r="BS174" s="1"/>
      <c r="BT174" s="1"/>
      <c r="BU174" s="1"/>
      <c r="BV174" s="2"/>
      <c r="BW174" s="1"/>
      <c r="BX174" s="1"/>
      <c r="BY174" s="1"/>
      <c r="BZ174" s="1"/>
      <c r="CA174" s="1"/>
      <c r="CB174" s="1"/>
      <c r="CC174" s="1"/>
      <c r="CD174" s="1"/>
      <c r="CE174" s="2"/>
      <c r="CF174" s="1"/>
      <c r="CG174" s="1"/>
      <c r="CH174" s="1"/>
      <c r="CI174" s="1"/>
      <c r="CJ174" s="1"/>
      <c r="CK174" s="1"/>
      <c r="CL174" s="1"/>
    </row>
    <row r="175" spans="1:90" ht="14.65" x14ac:dyDescent="0.4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2"/>
      <c r="L175" s="1"/>
      <c r="M175" s="1"/>
      <c r="N175" s="1"/>
      <c r="O175" s="1"/>
      <c r="P175" s="1"/>
      <c r="Q175" s="1"/>
      <c r="R175" s="1"/>
      <c r="S175" s="1"/>
      <c r="T175" s="2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2"/>
      <c r="AM175" s="1"/>
      <c r="AN175" s="1"/>
      <c r="AO175" s="1"/>
      <c r="AP175" s="1"/>
      <c r="AQ175" s="1"/>
      <c r="AR175" s="1"/>
      <c r="AS175" s="1"/>
      <c r="AT175" s="1"/>
      <c r="AU175" s="2"/>
      <c r="AV175" s="1"/>
      <c r="AW175" s="1"/>
      <c r="AX175" s="1"/>
      <c r="AY175" s="1"/>
      <c r="AZ175" s="1"/>
      <c r="BA175" s="1"/>
      <c r="BB175" s="1"/>
      <c r="BC175" s="1"/>
      <c r="BD175" s="2"/>
      <c r="BE175" s="1"/>
      <c r="BF175" s="1"/>
      <c r="BG175" s="1"/>
      <c r="BH175" s="1"/>
      <c r="BI175" s="1"/>
      <c r="BJ175" s="1"/>
      <c r="BK175" s="1"/>
      <c r="BL175" s="1"/>
      <c r="BM175" s="2"/>
      <c r="BN175" s="1"/>
      <c r="BO175" s="1"/>
      <c r="BP175" s="1"/>
      <c r="BQ175" s="1"/>
      <c r="BR175" s="1"/>
      <c r="BS175" s="1"/>
      <c r="BT175" s="1"/>
      <c r="BU175" s="1"/>
      <c r="BV175" s="2"/>
      <c r="BW175" s="1"/>
      <c r="BX175" s="1"/>
      <c r="BY175" s="1"/>
      <c r="BZ175" s="1"/>
      <c r="CA175" s="1"/>
      <c r="CB175" s="1"/>
      <c r="CC175" s="1"/>
      <c r="CD175" s="1"/>
      <c r="CE175" s="2"/>
      <c r="CF175" s="1"/>
      <c r="CG175" s="1"/>
      <c r="CH175" s="1"/>
      <c r="CI175" s="1"/>
      <c r="CJ175" s="1"/>
      <c r="CK175" s="1"/>
      <c r="CL175" s="1"/>
    </row>
    <row r="176" spans="1:90" ht="14.65" x14ac:dyDescent="0.4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2"/>
      <c r="L176" s="1"/>
      <c r="M176" s="1"/>
      <c r="N176" s="1"/>
      <c r="O176" s="1"/>
      <c r="P176" s="1"/>
      <c r="Q176" s="1"/>
      <c r="R176" s="1"/>
      <c r="S176" s="1"/>
      <c r="T176" s="2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2"/>
      <c r="AM176" s="1"/>
      <c r="AN176" s="1"/>
      <c r="AO176" s="1"/>
      <c r="AP176" s="1"/>
      <c r="AQ176" s="1"/>
      <c r="AR176" s="1"/>
      <c r="AS176" s="1"/>
      <c r="AT176" s="1"/>
      <c r="AU176" s="2"/>
      <c r="AV176" s="1"/>
      <c r="AW176" s="1"/>
      <c r="AX176" s="1"/>
      <c r="AY176" s="1"/>
      <c r="AZ176" s="1"/>
      <c r="BA176" s="1"/>
      <c r="BB176" s="1"/>
      <c r="BC176" s="1"/>
      <c r="BD176" s="2"/>
      <c r="BE176" s="1"/>
      <c r="BF176" s="1"/>
      <c r="BG176" s="1"/>
      <c r="BH176" s="1"/>
      <c r="BI176" s="1"/>
      <c r="BJ176" s="1"/>
      <c r="BK176" s="1"/>
      <c r="BL176" s="1"/>
      <c r="BM176" s="2"/>
      <c r="BN176" s="1"/>
      <c r="BO176" s="1"/>
      <c r="BP176" s="1"/>
      <c r="BQ176" s="1"/>
      <c r="BR176" s="1"/>
      <c r="BS176" s="1"/>
      <c r="BT176" s="1"/>
      <c r="BU176" s="1"/>
      <c r="BV176" s="2"/>
      <c r="BW176" s="1"/>
      <c r="BX176" s="1"/>
      <c r="BY176" s="1"/>
      <c r="BZ176" s="1"/>
      <c r="CA176" s="1"/>
      <c r="CB176" s="1"/>
      <c r="CC176" s="1"/>
      <c r="CD176" s="1"/>
      <c r="CE176" s="2"/>
      <c r="CF176" s="1"/>
      <c r="CG176" s="1"/>
      <c r="CH176" s="1"/>
      <c r="CI176" s="1"/>
      <c r="CJ176" s="1"/>
      <c r="CK176" s="1"/>
      <c r="CL176" s="1"/>
    </row>
    <row r="177" spans="1:90" ht="14.65" x14ac:dyDescent="0.4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2"/>
      <c r="L177" s="1"/>
      <c r="M177" s="1"/>
      <c r="N177" s="1"/>
      <c r="O177" s="1"/>
      <c r="P177" s="1"/>
      <c r="Q177" s="1"/>
      <c r="R177" s="1"/>
      <c r="S177" s="1"/>
      <c r="T177" s="2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2"/>
      <c r="AM177" s="1"/>
      <c r="AN177" s="1"/>
      <c r="AO177" s="1"/>
      <c r="AP177" s="1"/>
      <c r="AQ177" s="1"/>
      <c r="AR177" s="1"/>
      <c r="AS177" s="1"/>
      <c r="AT177" s="1"/>
      <c r="AU177" s="2"/>
      <c r="AV177" s="1"/>
      <c r="AW177" s="1"/>
      <c r="AX177" s="1"/>
      <c r="AY177" s="1"/>
      <c r="AZ177" s="1"/>
      <c r="BA177" s="1"/>
      <c r="BB177" s="1"/>
      <c r="BC177" s="1"/>
      <c r="BD177" s="2"/>
      <c r="BE177" s="1"/>
      <c r="BF177" s="1"/>
      <c r="BG177" s="1"/>
      <c r="BH177" s="1"/>
      <c r="BI177" s="1"/>
      <c r="BJ177" s="1"/>
      <c r="BK177" s="1"/>
      <c r="BL177" s="1"/>
      <c r="BM177" s="2"/>
      <c r="BN177" s="1"/>
      <c r="BO177" s="1"/>
      <c r="BP177" s="1"/>
      <c r="BQ177" s="1"/>
      <c r="BR177" s="1"/>
      <c r="BS177" s="1"/>
      <c r="BT177" s="1"/>
      <c r="BU177" s="1"/>
      <c r="BV177" s="2"/>
      <c r="BW177" s="1"/>
      <c r="BX177" s="1"/>
      <c r="BY177" s="1"/>
      <c r="BZ177" s="1"/>
      <c r="CA177" s="1"/>
      <c r="CB177" s="1"/>
      <c r="CC177" s="1"/>
      <c r="CD177" s="1"/>
      <c r="CE177" s="2"/>
      <c r="CF177" s="1"/>
      <c r="CG177" s="1"/>
      <c r="CH177" s="1"/>
      <c r="CI177" s="1"/>
      <c r="CJ177" s="1"/>
      <c r="CK177" s="1"/>
      <c r="CL177" s="1"/>
    </row>
    <row r="178" spans="1:90" ht="14.65" x14ac:dyDescent="0.4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2"/>
      <c r="L178" s="1"/>
      <c r="M178" s="1"/>
      <c r="N178" s="1"/>
      <c r="O178" s="1"/>
      <c r="P178" s="1"/>
      <c r="Q178" s="1"/>
      <c r="R178" s="1"/>
      <c r="S178" s="1"/>
      <c r="T178" s="2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2"/>
      <c r="AM178" s="1"/>
      <c r="AN178" s="1"/>
      <c r="AO178" s="1"/>
      <c r="AP178" s="1"/>
      <c r="AQ178" s="1"/>
      <c r="AR178" s="1"/>
      <c r="AS178" s="1"/>
      <c r="AT178" s="1"/>
      <c r="AU178" s="2"/>
      <c r="AV178" s="1"/>
      <c r="AW178" s="1"/>
      <c r="AX178" s="1"/>
      <c r="AY178" s="1"/>
      <c r="AZ178" s="1"/>
      <c r="BA178" s="1"/>
      <c r="BB178" s="1"/>
      <c r="BC178" s="1"/>
      <c r="BD178" s="2"/>
      <c r="BE178" s="1"/>
      <c r="BF178" s="1"/>
      <c r="BG178" s="1"/>
      <c r="BH178" s="1"/>
      <c r="BI178" s="1"/>
      <c r="BJ178" s="1"/>
      <c r="BK178" s="1"/>
      <c r="BL178" s="1"/>
      <c r="BM178" s="2"/>
      <c r="BN178" s="1"/>
      <c r="BO178" s="1"/>
      <c r="BP178" s="1"/>
      <c r="BQ178" s="1"/>
      <c r="BR178" s="1"/>
      <c r="BS178" s="1"/>
      <c r="BT178" s="1"/>
      <c r="BU178" s="1"/>
      <c r="BV178" s="2"/>
      <c r="BW178" s="1"/>
      <c r="BX178" s="1"/>
      <c r="BY178" s="1"/>
      <c r="BZ178" s="1"/>
      <c r="CA178" s="1"/>
      <c r="CB178" s="1"/>
      <c r="CC178" s="1"/>
      <c r="CD178" s="1"/>
      <c r="CE178" s="2"/>
      <c r="CF178" s="1"/>
      <c r="CG178" s="1"/>
      <c r="CH178" s="1"/>
      <c r="CI178" s="1"/>
      <c r="CJ178" s="1"/>
      <c r="CK178" s="1"/>
      <c r="CL178" s="1"/>
    </row>
    <row r="179" spans="1:90" ht="14.65" x14ac:dyDescent="0.4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2"/>
      <c r="L179" s="1"/>
      <c r="M179" s="1"/>
      <c r="N179" s="1"/>
      <c r="O179" s="1"/>
      <c r="P179" s="1"/>
      <c r="Q179" s="1"/>
      <c r="R179" s="1"/>
      <c r="S179" s="1"/>
      <c r="T179" s="2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2"/>
      <c r="AM179" s="1"/>
      <c r="AN179" s="1"/>
      <c r="AO179" s="1"/>
      <c r="AP179" s="1"/>
      <c r="AQ179" s="1"/>
      <c r="AR179" s="1"/>
      <c r="AS179" s="1"/>
      <c r="AT179" s="1"/>
      <c r="AU179" s="2"/>
      <c r="AV179" s="1"/>
      <c r="AW179" s="1"/>
      <c r="AX179" s="1"/>
      <c r="AY179" s="1"/>
      <c r="AZ179" s="1"/>
      <c r="BA179" s="1"/>
      <c r="BB179" s="1"/>
      <c r="BC179" s="1"/>
      <c r="BD179" s="2"/>
      <c r="BE179" s="1"/>
      <c r="BF179" s="1"/>
      <c r="BG179" s="1"/>
      <c r="BH179" s="1"/>
      <c r="BI179" s="1"/>
      <c r="BJ179" s="1"/>
      <c r="BK179" s="1"/>
      <c r="BL179" s="1"/>
      <c r="BM179" s="2"/>
      <c r="BN179" s="1"/>
      <c r="BO179" s="1"/>
      <c r="BP179" s="1"/>
      <c r="BQ179" s="1"/>
      <c r="BR179" s="1"/>
      <c r="BS179" s="1"/>
      <c r="BT179" s="1"/>
      <c r="BU179" s="1"/>
      <c r="BV179" s="2"/>
      <c r="BW179" s="1"/>
      <c r="BX179" s="1"/>
      <c r="BY179" s="1"/>
      <c r="BZ179" s="1"/>
      <c r="CA179" s="1"/>
      <c r="CB179" s="1"/>
      <c r="CC179" s="1"/>
      <c r="CD179" s="1"/>
      <c r="CE179" s="2"/>
      <c r="CF179" s="1"/>
      <c r="CG179" s="1"/>
      <c r="CH179" s="1"/>
      <c r="CI179" s="1"/>
      <c r="CJ179" s="1"/>
      <c r="CK179" s="1"/>
      <c r="CL179" s="1"/>
    </row>
    <row r="180" spans="1:90" ht="14.65" x14ac:dyDescent="0.4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2"/>
      <c r="L180" s="1"/>
      <c r="M180" s="1"/>
      <c r="N180" s="1"/>
      <c r="O180" s="1"/>
      <c r="P180" s="1"/>
      <c r="Q180" s="1"/>
      <c r="R180" s="1"/>
      <c r="S180" s="1"/>
      <c r="T180" s="2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2"/>
      <c r="AM180" s="1"/>
      <c r="AN180" s="1"/>
      <c r="AO180" s="1"/>
      <c r="AP180" s="1"/>
      <c r="AQ180" s="1"/>
      <c r="AR180" s="1"/>
      <c r="AS180" s="1"/>
      <c r="AT180" s="1"/>
      <c r="AU180" s="2"/>
      <c r="AV180" s="1"/>
      <c r="AW180" s="1"/>
      <c r="AX180" s="1"/>
      <c r="AY180" s="1"/>
      <c r="AZ180" s="1"/>
      <c r="BA180" s="1"/>
      <c r="BB180" s="1"/>
      <c r="BC180" s="1"/>
      <c r="BD180" s="2"/>
      <c r="BE180" s="1"/>
      <c r="BF180" s="1"/>
      <c r="BG180" s="1"/>
      <c r="BH180" s="1"/>
      <c r="BI180" s="1"/>
      <c r="BJ180" s="1"/>
      <c r="BK180" s="1"/>
      <c r="BL180" s="1"/>
      <c r="BM180" s="2"/>
      <c r="BN180" s="1"/>
      <c r="BO180" s="1"/>
      <c r="BP180" s="1"/>
      <c r="BQ180" s="1"/>
      <c r="BR180" s="1"/>
      <c r="BS180" s="1"/>
      <c r="BT180" s="1"/>
      <c r="BU180" s="1"/>
      <c r="BV180" s="2"/>
      <c r="BW180" s="1"/>
      <c r="BX180" s="1"/>
      <c r="BY180" s="1"/>
      <c r="BZ180" s="1"/>
      <c r="CA180" s="1"/>
      <c r="CB180" s="1"/>
      <c r="CC180" s="1"/>
      <c r="CD180" s="1"/>
      <c r="CE180" s="2"/>
      <c r="CF180" s="1"/>
      <c r="CG180" s="1"/>
      <c r="CH180" s="1"/>
      <c r="CI180" s="1"/>
      <c r="CJ180" s="1"/>
      <c r="CK180" s="1"/>
      <c r="CL180" s="1"/>
    </row>
    <row r="181" spans="1:90" ht="14.65" x14ac:dyDescent="0.4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2"/>
      <c r="L181" s="1"/>
      <c r="M181" s="1"/>
      <c r="N181" s="1"/>
      <c r="O181" s="1"/>
      <c r="P181" s="1"/>
      <c r="Q181" s="1"/>
      <c r="R181" s="1"/>
      <c r="S181" s="1"/>
      <c r="T181" s="2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2"/>
      <c r="AM181" s="1"/>
      <c r="AN181" s="1"/>
      <c r="AO181" s="1"/>
      <c r="AP181" s="1"/>
      <c r="AQ181" s="1"/>
      <c r="AR181" s="1"/>
      <c r="AS181" s="1"/>
      <c r="AT181" s="1"/>
      <c r="AU181" s="2"/>
      <c r="AV181" s="1"/>
      <c r="AW181" s="1"/>
      <c r="AX181" s="1"/>
      <c r="AY181" s="1"/>
      <c r="AZ181" s="1"/>
      <c r="BA181" s="1"/>
      <c r="BB181" s="1"/>
      <c r="BC181" s="1"/>
      <c r="BD181" s="2"/>
      <c r="BE181" s="1"/>
      <c r="BF181" s="1"/>
      <c r="BG181" s="1"/>
      <c r="BH181" s="1"/>
      <c r="BI181" s="1"/>
      <c r="BJ181" s="1"/>
      <c r="BK181" s="1"/>
      <c r="BL181" s="1"/>
      <c r="BM181" s="2"/>
      <c r="BN181" s="1"/>
      <c r="BO181" s="1"/>
      <c r="BP181" s="1"/>
      <c r="BQ181" s="1"/>
      <c r="BR181" s="1"/>
      <c r="BS181" s="1"/>
      <c r="BT181" s="1"/>
      <c r="BU181" s="1"/>
      <c r="BV181" s="2"/>
      <c r="BW181" s="1"/>
      <c r="BX181" s="1"/>
      <c r="BY181" s="1"/>
      <c r="BZ181" s="1"/>
      <c r="CA181" s="1"/>
      <c r="CB181" s="1"/>
      <c r="CC181" s="1"/>
      <c r="CD181" s="1"/>
      <c r="CE181" s="2"/>
      <c r="CF181" s="1"/>
      <c r="CG181" s="1"/>
      <c r="CH181" s="1"/>
      <c r="CI181" s="1"/>
      <c r="CJ181" s="1"/>
      <c r="CK181" s="1"/>
      <c r="CL181" s="1"/>
    </row>
    <row r="182" spans="1:90" ht="14.65" x14ac:dyDescent="0.4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2"/>
      <c r="L182" s="1"/>
      <c r="M182" s="1"/>
      <c r="N182" s="1"/>
      <c r="O182" s="1"/>
      <c r="P182" s="1"/>
      <c r="Q182" s="1"/>
      <c r="R182" s="1"/>
      <c r="S182" s="1"/>
      <c r="T182" s="2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2"/>
      <c r="AM182" s="1"/>
      <c r="AN182" s="1"/>
      <c r="AO182" s="1"/>
      <c r="AP182" s="1"/>
      <c r="AQ182" s="1"/>
      <c r="AR182" s="1"/>
      <c r="AS182" s="1"/>
      <c r="AT182" s="1"/>
      <c r="AU182" s="2"/>
      <c r="AV182" s="1"/>
      <c r="AW182" s="1"/>
      <c r="AX182" s="1"/>
      <c r="AY182" s="1"/>
      <c r="AZ182" s="1"/>
      <c r="BA182" s="1"/>
      <c r="BB182" s="1"/>
      <c r="BC182" s="1"/>
      <c r="BD182" s="2"/>
      <c r="BE182" s="1"/>
      <c r="BF182" s="1"/>
      <c r="BG182" s="1"/>
      <c r="BH182" s="1"/>
      <c r="BI182" s="1"/>
      <c r="BJ182" s="1"/>
      <c r="BK182" s="1"/>
      <c r="BL182" s="1"/>
      <c r="BM182" s="2"/>
      <c r="BN182" s="1"/>
      <c r="BO182" s="1"/>
      <c r="BP182" s="1"/>
      <c r="BQ182" s="1"/>
      <c r="BR182" s="1"/>
      <c r="BS182" s="1"/>
      <c r="BT182" s="1"/>
      <c r="BU182" s="1"/>
      <c r="BV182" s="2"/>
      <c r="BW182" s="1"/>
      <c r="BX182" s="1"/>
      <c r="BY182" s="1"/>
      <c r="BZ182" s="1"/>
      <c r="CA182" s="1"/>
      <c r="CB182" s="1"/>
      <c r="CC182" s="1"/>
      <c r="CD182" s="1"/>
      <c r="CE182" s="2"/>
      <c r="CF182" s="1"/>
      <c r="CG182" s="1"/>
      <c r="CH182" s="1"/>
      <c r="CI182" s="1"/>
      <c r="CJ182" s="1"/>
      <c r="CK182" s="1"/>
      <c r="CL182" s="1"/>
    </row>
    <row r="183" spans="1:90" ht="14.65" x14ac:dyDescent="0.4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2"/>
      <c r="L183" s="1"/>
      <c r="M183" s="1"/>
      <c r="N183" s="1"/>
      <c r="O183" s="1"/>
      <c r="P183" s="1"/>
      <c r="Q183" s="1"/>
      <c r="R183" s="1"/>
      <c r="S183" s="1"/>
      <c r="T183" s="2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2"/>
      <c r="AM183" s="1"/>
      <c r="AN183" s="1"/>
      <c r="AO183" s="1"/>
      <c r="AP183" s="1"/>
      <c r="AQ183" s="1"/>
      <c r="AR183" s="1"/>
      <c r="AS183" s="1"/>
      <c r="AT183" s="1"/>
      <c r="AU183" s="2"/>
      <c r="AV183" s="1"/>
      <c r="AW183" s="1"/>
      <c r="AX183" s="1"/>
      <c r="AY183" s="1"/>
      <c r="AZ183" s="1"/>
      <c r="BA183" s="1"/>
      <c r="BB183" s="1"/>
      <c r="BC183" s="1"/>
      <c r="BD183" s="2"/>
      <c r="BE183" s="1"/>
      <c r="BF183" s="1"/>
      <c r="BG183" s="1"/>
      <c r="BH183" s="1"/>
      <c r="BI183" s="1"/>
      <c r="BJ183" s="1"/>
      <c r="BK183" s="1"/>
      <c r="BL183" s="1"/>
      <c r="BM183" s="2"/>
      <c r="BN183" s="1"/>
      <c r="BO183" s="1"/>
      <c r="BP183" s="1"/>
      <c r="BQ183" s="1"/>
      <c r="BR183" s="1"/>
      <c r="BS183" s="1"/>
      <c r="BT183" s="1"/>
      <c r="BU183" s="1"/>
      <c r="BV183" s="2"/>
      <c r="BW183" s="1"/>
      <c r="BX183" s="1"/>
      <c r="BY183" s="1"/>
      <c r="BZ183" s="1"/>
      <c r="CA183" s="1"/>
      <c r="CB183" s="1"/>
      <c r="CC183" s="1"/>
      <c r="CD183" s="1"/>
      <c r="CE183" s="2"/>
      <c r="CF183" s="1"/>
      <c r="CG183" s="1"/>
      <c r="CH183" s="1"/>
      <c r="CI183" s="1"/>
      <c r="CJ183" s="1"/>
      <c r="CK183" s="1"/>
      <c r="CL183" s="1"/>
    </row>
    <row r="184" spans="1:90" ht="14.65" x14ac:dyDescent="0.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2"/>
      <c r="L184" s="1"/>
      <c r="M184" s="1"/>
      <c r="N184" s="1"/>
      <c r="O184" s="1"/>
      <c r="P184" s="1"/>
      <c r="Q184" s="1"/>
      <c r="R184" s="1"/>
      <c r="S184" s="1"/>
      <c r="T184" s="2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2"/>
      <c r="AM184" s="1"/>
      <c r="AN184" s="3"/>
      <c r="AO184" s="1"/>
      <c r="AP184" s="1"/>
      <c r="AQ184" s="1"/>
      <c r="AR184" s="1"/>
      <c r="AS184" s="1"/>
      <c r="AT184" s="1"/>
      <c r="AU184" s="2"/>
      <c r="AV184" s="1"/>
      <c r="AW184" s="1"/>
      <c r="AX184" s="1"/>
      <c r="AY184" s="1"/>
      <c r="AZ184" s="1"/>
      <c r="BA184" s="1"/>
      <c r="BB184" s="1"/>
      <c r="BC184" s="1"/>
      <c r="BD184" s="2"/>
      <c r="BE184" s="1"/>
      <c r="BF184" s="1"/>
      <c r="BG184" s="1"/>
      <c r="BH184" s="1"/>
      <c r="BI184" s="1"/>
      <c r="BJ184" s="1"/>
      <c r="BK184" s="1"/>
      <c r="BL184" s="1"/>
      <c r="BM184" s="2"/>
      <c r="BN184" s="1"/>
      <c r="BO184" s="1"/>
      <c r="BP184" s="1"/>
      <c r="BQ184" s="1"/>
      <c r="BR184" s="1"/>
      <c r="BS184" s="1"/>
      <c r="BT184" s="1"/>
      <c r="BU184" s="1"/>
      <c r="BV184" s="2"/>
      <c r="BW184" s="1"/>
      <c r="BX184" s="1"/>
      <c r="BY184" s="1"/>
      <c r="BZ184" s="1"/>
      <c r="CA184" s="1"/>
      <c r="CB184" s="1"/>
      <c r="CC184" s="1"/>
      <c r="CD184" s="1"/>
      <c r="CE184" s="2"/>
      <c r="CF184" s="1"/>
      <c r="CG184" s="1"/>
      <c r="CH184" s="1"/>
      <c r="CI184" s="1"/>
      <c r="CJ184" s="1"/>
      <c r="CK184" s="1"/>
      <c r="CL184" s="1"/>
    </row>
    <row r="185" spans="1:90" ht="14.65" x14ac:dyDescent="0.4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2"/>
      <c r="L185" s="1"/>
      <c r="M185" s="1"/>
      <c r="N185" s="1"/>
      <c r="O185" s="1"/>
      <c r="P185" s="1"/>
      <c r="Q185" s="1"/>
      <c r="R185" s="1"/>
      <c r="S185" s="1"/>
      <c r="T185" s="2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2"/>
      <c r="AM185" s="1"/>
      <c r="AN185" s="1"/>
      <c r="AO185" s="1"/>
      <c r="AP185" s="1"/>
      <c r="AQ185" s="1"/>
      <c r="AR185" s="1"/>
      <c r="AS185" s="1"/>
      <c r="AT185" s="1"/>
      <c r="AU185" s="2"/>
      <c r="AV185" s="1"/>
      <c r="AW185" s="1"/>
      <c r="AX185" s="1"/>
      <c r="AY185" s="1"/>
      <c r="AZ185" s="1"/>
      <c r="BA185" s="1"/>
      <c r="BB185" s="1"/>
      <c r="BC185" s="1"/>
      <c r="BD185" s="2"/>
      <c r="BE185" s="1"/>
      <c r="BF185" s="1"/>
      <c r="BG185" s="1"/>
      <c r="BH185" s="1"/>
      <c r="BI185" s="1"/>
      <c r="BJ185" s="1"/>
      <c r="BK185" s="1"/>
      <c r="BL185" s="1"/>
      <c r="BM185" s="2"/>
      <c r="BN185" s="1"/>
      <c r="BO185" s="1"/>
      <c r="BP185" s="1"/>
      <c r="BQ185" s="1"/>
      <c r="BR185" s="1"/>
      <c r="BS185" s="1"/>
      <c r="BT185" s="1"/>
      <c r="BU185" s="1"/>
      <c r="BV185" s="2"/>
      <c r="BW185" s="1"/>
      <c r="BX185" s="1"/>
      <c r="BY185" s="1"/>
      <c r="BZ185" s="1"/>
      <c r="CA185" s="1"/>
      <c r="CB185" s="1"/>
      <c r="CC185" s="1"/>
      <c r="CD185" s="1"/>
      <c r="CE185" s="2"/>
      <c r="CF185" s="1"/>
      <c r="CG185" s="1"/>
      <c r="CH185" s="1"/>
      <c r="CI185" s="1"/>
      <c r="CJ185" s="1"/>
      <c r="CK185" s="1"/>
      <c r="CL185" s="1"/>
    </row>
    <row r="186" spans="1:90" ht="14.65" x14ac:dyDescent="0.4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2"/>
      <c r="L186" s="1"/>
      <c r="M186" s="1"/>
      <c r="N186" s="1"/>
      <c r="O186" s="1"/>
      <c r="P186" s="1"/>
      <c r="Q186" s="1"/>
      <c r="R186" s="1"/>
      <c r="S186" s="1"/>
      <c r="T186" s="2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2"/>
      <c r="AM186" s="1"/>
      <c r="AN186" s="1"/>
      <c r="AO186" s="1"/>
      <c r="AP186" s="1"/>
      <c r="AQ186" s="1"/>
      <c r="AR186" s="1"/>
      <c r="AS186" s="1"/>
      <c r="AT186" s="1"/>
      <c r="AU186" s="2"/>
      <c r="AV186" s="1"/>
      <c r="AW186" s="1"/>
      <c r="AX186" s="1"/>
      <c r="AY186" s="1"/>
      <c r="AZ186" s="1"/>
      <c r="BA186" s="1"/>
      <c r="BB186" s="1"/>
      <c r="BC186" s="1"/>
      <c r="BD186" s="2"/>
      <c r="BE186" s="1"/>
      <c r="BF186" s="1"/>
      <c r="BG186" s="1"/>
      <c r="BH186" s="1"/>
      <c r="BI186" s="1"/>
      <c r="BJ186" s="1"/>
      <c r="BK186" s="1"/>
      <c r="BL186" s="1"/>
      <c r="BM186" s="2"/>
      <c r="BN186" s="1"/>
      <c r="BO186" s="1"/>
      <c r="BP186" s="1"/>
      <c r="BQ186" s="1"/>
      <c r="BR186" s="1"/>
      <c r="BS186" s="1"/>
      <c r="BT186" s="1"/>
      <c r="BU186" s="1"/>
      <c r="BV186" s="2"/>
      <c r="BW186" s="1"/>
      <c r="BX186" s="1"/>
      <c r="BY186" s="1"/>
      <c r="BZ186" s="1"/>
      <c r="CA186" s="1"/>
      <c r="CB186" s="1"/>
      <c r="CC186" s="1"/>
      <c r="CD186" s="1"/>
      <c r="CE186" s="2"/>
      <c r="CF186" s="1"/>
      <c r="CG186" s="1"/>
      <c r="CH186" s="1"/>
      <c r="CI186" s="1"/>
      <c r="CJ186" s="1"/>
      <c r="CK186" s="1"/>
      <c r="CL186" s="1"/>
    </row>
    <row r="187" spans="1:90" ht="14.65" x14ac:dyDescent="0.4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2"/>
      <c r="L187" s="1"/>
      <c r="M187" s="1"/>
      <c r="N187" s="1"/>
      <c r="O187" s="1"/>
      <c r="P187" s="1"/>
      <c r="Q187" s="1"/>
      <c r="R187" s="1"/>
      <c r="S187" s="1"/>
      <c r="T187" s="2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2"/>
      <c r="AM187" s="1"/>
      <c r="AN187" s="1"/>
      <c r="AO187" s="1"/>
      <c r="AP187" s="1"/>
      <c r="AQ187" s="1"/>
      <c r="AR187" s="1"/>
      <c r="AS187" s="1"/>
      <c r="AT187" s="1"/>
      <c r="AU187" s="2"/>
      <c r="AV187" s="1"/>
      <c r="AW187" s="1"/>
      <c r="AX187" s="1"/>
      <c r="AY187" s="1"/>
      <c r="AZ187" s="1"/>
      <c r="BA187" s="1"/>
      <c r="BB187" s="1"/>
      <c r="BC187" s="1"/>
      <c r="BD187" s="2"/>
      <c r="BE187" s="1"/>
      <c r="BF187" s="1"/>
      <c r="BG187" s="1"/>
      <c r="BH187" s="1"/>
      <c r="BI187" s="1"/>
      <c r="BJ187" s="1"/>
      <c r="BK187" s="1"/>
      <c r="BL187" s="1"/>
      <c r="BM187" s="2"/>
      <c r="BN187" s="1"/>
      <c r="BO187" s="1"/>
      <c r="BP187" s="1"/>
      <c r="BQ187" s="1"/>
      <c r="BR187" s="1"/>
      <c r="BS187" s="1"/>
      <c r="BT187" s="1"/>
      <c r="BU187" s="1"/>
      <c r="BV187" s="2"/>
      <c r="BW187" s="1"/>
      <c r="BX187" s="1"/>
      <c r="BY187" s="1"/>
      <c r="BZ187" s="1"/>
      <c r="CA187" s="1"/>
      <c r="CB187" s="1"/>
      <c r="CC187" s="1"/>
      <c r="CD187" s="1"/>
      <c r="CE187" s="2"/>
      <c r="CF187" s="1"/>
      <c r="CG187" s="1"/>
      <c r="CH187" s="1"/>
      <c r="CI187" s="1"/>
      <c r="CJ187" s="1"/>
      <c r="CK187" s="1"/>
      <c r="CL187" s="1"/>
    </row>
    <row r="188" spans="1:90" ht="14.65" x14ac:dyDescent="0.4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2"/>
      <c r="L188" s="1"/>
      <c r="M188" s="1"/>
      <c r="N188" s="1"/>
      <c r="O188" s="1"/>
      <c r="P188" s="1"/>
      <c r="Q188" s="1"/>
      <c r="R188" s="1"/>
      <c r="S188" s="1"/>
      <c r="T188" s="2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2"/>
      <c r="AM188" s="1"/>
      <c r="AN188" s="1"/>
      <c r="AO188" s="1"/>
      <c r="AP188" s="1"/>
      <c r="AQ188" s="1"/>
      <c r="AR188" s="1"/>
      <c r="AS188" s="1"/>
      <c r="AT188" s="1"/>
      <c r="AU188" s="2"/>
      <c r="AV188" s="1"/>
      <c r="AW188" s="1"/>
      <c r="AX188" s="1"/>
      <c r="AY188" s="1"/>
      <c r="AZ188" s="1"/>
      <c r="BA188" s="1"/>
      <c r="BB188" s="1"/>
      <c r="BC188" s="1"/>
      <c r="BD188" s="2"/>
      <c r="BE188" s="1"/>
      <c r="BF188" s="1"/>
      <c r="BG188" s="1"/>
      <c r="BH188" s="1"/>
      <c r="BI188" s="1"/>
      <c r="BJ188" s="1"/>
      <c r="BK188" s="1"/>
      <c r="BL188" s="1"/>
      <c r="BM188" s="2"/>
      <c r="BN188" s="1"/>
      <c r="BO188" s="1"/>
      <c r="BP188" s="1"/>
      <c r="BQ188" s="1"/>
      <c r="BR188" s="1"/>
      <c r="BS188" s="1"/>
      <c r="BT188" s="1"/>
      <c r="BU188" s="1"/>
      <c r="BV188" s="2"/>
      <c r="BW188" s="1"/>
      <c r="BX188" s="1"/>
      <c r="BY188" s="1"/>
      <c r="BZ188" s="1"/>
      <c r="CA188" s="1"/>
      <c r="CB188" s="1"/>
      <c r="CC188" s="1"/>
      <c r="CD188" s="1"/>
      <c r="CE188" s="2"/>
      <c r="CF188" s="1"/>
      <c r="CG188" s="1"/>
      <c r="CH188" s="1"/>
      <c r="CI188" s="1"/>
      <c r="CJ188" s="1"/>
      <c r="CK188" s="1"/>
      <c r="CL188" s="1"/>
    </row>
    <row r="189" spans="1:90" ht="14.65" x14ac:dyDescent="0.4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2"/>
      <c r="L189" s="1"/>
      <c r="M189" s="1"/>
      <c r="N189" s="1"/>
      <c r="O189" s="1"/>
      <c r="P189" s="1"/>
      <c r="Q189" s="1"/>
      <c r="R189" s="1"/>
      <c r="S189" s="1"/>
      <c r="T189" s="2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2"/>
      <c r="AM189" s="1"/>
      <c r="AN189" s="1"/>
      <c r="AO189" s="1"/>
      <c r="AP189" s="1"/>
      <c r="AQ189" s="1"/>
      <c r="AR189" s="1"/>
      <c r="AS189" s="1"/>
      <c r="AT189" s="1"/>
      <c r="AU189" s="2"/>
      <c r="AV189" s="1"/>
      <c r="AW189" s="1"/>
      <c r="AX189" s="1"/>
      <c r="AY189" s="1"/>
      <c r="AZ189" s="1"/>
      <c r="BA189" s="1"/>
      <c r="BB189" s="1"/>
      <c r="BC189" s="1"/>
      <c r="BD189" s="2"/>
      <c r="BE189" s="1"/>
      <c r="BF189" s="1"/>
      <c r="BG189" s="1"/>
      <c r="BH189" s="1"/>
      <c r="BI189" s="1"/>
      <c r="BJ189" s="1"/>
      <c r="BK189" s="1"/>
      <c r="BL189" s="1"/>
      <c r="BM189" s="2"/>
      <c r="BN189" s="1"/>
      <c r="BO189" s="1"/>
      <c r="BP189" s="1"/>
      <c r="BQ189" s="1"/>
      <c r="BR189" s="1"/>
      <c r="BS189" s="1"/>
      <c r="BT189" s="1"/>
      <c r="BU189" s="1"/>
      <c r="BV189" s="2"/>
      <c r="BW189" s="1"/>
      <c r="BX189" s="1"/>
      <c r="BY189" s="1"/>
      <c r="BZ189" s="1"/>
      <c r="CA189" s="1"/>
      <c r="CB189" s="1"/>
      <c r="CC189" s="1"/>
      <c r="CD189" s="1"/>
      <c r="CE189" s="2"/>
      <c r="CF189" s="1"/>
      <c r="CG189" s="1"/>
      <c r="CH189" s="1"/>
      <c r="CI189" s="1"/>
      <c r="CJ189" s="1"/>
      <c r="CK189" s="1"/>
      <c r="CL189" s="1"/>
    </row>
    <row r="190" spans="1:90" ht="14.65" x14ac:dyDescent="0.4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2"/>
      <c r="L190" s="1"/>
      <c r="M190" s="1"/>
      <c r="N190" s="1"/>
      <c r="O190" s="1"/>
      <c r="P190" s="1"/>
      <c r="Q190" s="1"/>
      <c r="R190" s="1"/>
      <c r="S190" s="1"/>
      <c r="T190" s="2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2"/>
      <c r="AM190" s="1"/>
      <c r="AN190" s="1"/>
      <c r="AO190" s="1"/>
      <c r="AP190" s="1"/>
      <c r="AQ190" s="1"/>
      <c r="AR190" s="1"/>
      <c r="AS190" s="1"/>
      <c r="AT190" s="1"/>
      <c r="AU190" s="2"/>
      <c r="AV190" s="1"/>
      <c r="AW190" s="1"/>
      <c r="AX190" s="1"/>
      <c r="AY190" s="1"/>
      <c r="AZ190" s="1"/>
      <c r="BA190" s="1"/>
      <c r="BB190" s="1"/>
      <c r="BC190" s="1"/>
      <c r="BD190" s="2"/>
      <c r="BE190" s="1"/>
      <c r="BF190" s="1"/>
      <c r="BG190" s="1"/>
      <c r="BH190" s="1"/>
      <c r="BI190" s="1"/>
      <c r="BJ190" s="1"/>
      <c r="BK190" s="1"/>
      <c r="BL190" s="1"/>
      <c r="BM190" s="2"/>
      <c r="BN190" s="1"/>
      <c r="BO190" s="1"/>
      <c r="BP190" s="1"/>
      <c r="BQ190" s="1"/>
      <c r="BR190" s="1"/>
      <c r="BS190" s="1"/>
      <c r="BT190" s="1"/>
      <c r="BU190" s="1"/>
      <c r="BV190" s="2"/>
      <c r="BW190" s="1"/>
      <c r="BX190" s="1"/>
      <c r="BY190" s="1"/>
      <c r="BZ190" s="1"/>
      <c r="CA190" s="1"/>
      <c r="CB190" s="1"/>
      <c r="CC190" s="1"/>
      <c r="CD190" s="1"/>
      <c r="CE190" s="2"/>
      <c r="CF190" s="1"/>
      <c r="CG190" s="1"/>
      <c r="CH190" s="1"/>
      <c r="CI190" s="1"/>
      <c r="CJ190" s="1"/>
      <c r="CK190" s="1"/>
      <c r="CL190" s="1"/>
    </row>
    <row r="191" spans="1:90" ht="14.65" x14ac:dyDescent="0.4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2"/>
      <c r="L191" s="1"/>
      <c r="M191" s="1"/>
      <c r="N191" s="1"/>
      <c r="O191" s="1"/>
      <c r="P191" s="1"/>
      <c r="Q191" s="1"/>
      <c r="R191" s="1"/>
      <c r="S191" s="1"/>
      <c r="T191" s="2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2"/>
      <c r="AM191" s="1"/>
      <c r="AN191" s="1"/>
      <c r="AO191" s="1"/>
      <c r="AP191" s="1"/>
      <c r="AQ191" s="1"/>
      <c r="AR191" s="1"/>
      <c r="AS191" s="1"/>
      <c r="AT191" s="1"/>
      <c r="AU191" s="2"/>
      <c r="AV191" s="1"/>
      <c r="AW191" s="1"/>
      <c r="AX191" s="1"/>
      <c r="AY191" s="1"/>
      <c r="AZ191" s="1"/>
      <c r="BA191" s="1"/>
      <c r="BB191" s="1"/>
      <c r="BC191" s="1"/>
      <c r="BD191" s="2"/>
      <c r="BE191" s="1"/>
      <c r="BF191" s="1"/>
      <c r="BG191" s="1"/>
      <c r="BH191" s="1"/>
      <c r="BI191" s="1"/>
      <c r="BJ191" s="1"/>
      <c r="BK191" s="1"/>
      <c r="BL191" s="1"/>
      <c r="BM191" s="2"/>
      <c r="BN191" s="1"/>
      <c r="BO191" s="1"/>
      <c r="BP191" s="1"/>
      <c r="BQ191" s="1"/>
      <c r="BR191" s="1"/>
      <c r="BS191" s="1"/>
      <c r="BT191" s="1"/>
      <c r="BU191" s="1"/>
      <c r="BV191" s="2"/>
      <c r="BW191" s="1"/>
      <c r="BX191" s="1"/>
      <c r="BY191" s="1"/>
      <c r="BZ191" s="1"/>
      <c r="CA191" s="1"/>
      <c r="CB191" s="1"/>
      <c r="CC191" s="1"/>
      <c r="CD191" s="1"/>
      <c r="CE191" s="2"/>
      <c r="CF191" s="1"/>
      <c r="CG191" s="1"/>
      <c r="CH191" s="1"/>
      <c r="CI191" s="1"/>
      <c r="CJ191" s="1"/>
      <c r="CK191" s="1"/>
      <c r="CL191" s="1"/>
    </row>
    <row r="192" spans="1:90" ht="14.65" x14ac:dyDescent="0.4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2"/>
      <c r="L192" s="1"/>
      <c r="M192" s="1"/>
      <c r="N192" s="1"/>
      <c r="O192" s="1"/>
      <c r="P192" s="1"/>
      <c r="Q192" s="1"/>
      <c r="R192" s="1"/>
      <c r="S192" s="1"/>
      <c r="T192" s="2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2"/>
      <c r="AM192" s="1"/>
      <c r="AN192" s="1"/>
      <c r="AO192" s="1"/>
      <c r="AP192" s="1"/>
      <c r="AQ192" s="1"/>
      <c r="AR192" s="1"/>
      <c r="AS192" s="1"/>
      <c r="AT192" s="1"/>
      <c r="AU192" s="2"/>
      <c r="AV192" s="1"/>
      <c r="AW192" s="1"/>
      <c r="AX192" s="1"/>
      <c r="AY192" s="1"/>
      <c r="AZ192" s="1"/>
      <c r="BA192" s="1"/>
      <c r="BB192" s="1"/>
      <c r="BC192" s="1"/>
      <c r="BD192" s="2"/>
      <c r="BE192" s="1"/>
      <c r="BF192" s="1"/>
      <c r="BG192" s="1"/>
      <c r="BH192" s="1"/>
      <c r="BI192" s="1"/>
      <c r="BJ192" s="1"/>
      <c r="BK192" s="1"/>
      <c r="BL192" s="1"/>
      <c r="BM192" s="2"/>
      <c r="BN192" s="1"/>
      <c r="BO192" s="1"/>
      <c r="BP192" s="1"/>
      <c r="BQ192" s="1"/>
      <c r="BR192" s="1"/>
      <c r="BS192" s="1"/>
      <c r="BT192" s="1"/>
      <c r="BU192" s="1"/>
      <c r="BV192" s="2"/>
      <c r="BW192" s="1"/>
      <c r="BX192" s="1"/>
      <c r="BY192" s="1"/>
      <c r="BZ192" s="1"/>
      <c r="CA192" s="1"/>
      <c r="CB192" s="1"/>
      <c r="CC192" s="1"/>
      <c r="CD192" s="1"/>
      <c r="CE192" s="2"/>
      <c r="CF192" s="1"/>
      <c r="CG192" s="1"/>
      <c r="CH192" s="1"/>
      <c r="CI192" s="1"/>
      <c r="CJ192" s="1"/>
      <c r="CK192" s="1"/>
      <c r="CL192" s="1"/>
    </row>
    <row r="193" spans="1:90" ht="14.65" x14ac:dyDescent="0.4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2"/>
      <c r="L193" s="1"/>
      <c r="M193" s="1"/>
      <c r="N193" s="1"/>
      <c r="O193" s="1"/>
      <c r="P193" s="1"/>
      <c r="Q193" s="1"/>
      <c r="R193" s="1"/>
      <c r="S193" s="1"/>
      <c r="T193" s="2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2"/>
      <c r="AM193" s="1"/>
      <c r="AN193" s="1"/>
      <c r="AO193" s="1"/>
      <c r="AP193" s="1"/>
      <c r="AQ193" s="1"/>
      <c r="AR193" s="1"/>
      <c r="AS193" s="1"/>
      <c r="AT193" s="1"/>
      <c r="AU193" s="2"/>
      <c r="AV193" s="1"/>
      <c r="AW193" s="1"/>
      <c r="AX193" s="1"/>
      <c r="AY193" s="1"/>
      <c r="AZ193" s="1"/>
      <c r="BA193" s="1"/>
      <c r="BB193" s="1"/>
      <c r="BC193" s="1"/>
      <c r="BD193" s="2"/>
      <c r="BE193" s="1"/>
      <c r="BF193" s="1"/>
      <c r="BG193" s="1"/>
      <c r="BH193" s="1"/>
      <c r="BI193" s="1"/>
      <c r="BJ193" s="1"/>
      <c r="BK193" s="1"/>
      <c r="BL193" s="1"/>
      <c r="BM193" s="2"/>
      <c r="BN193" s="1"/>
      <c r="BO193" s="1"/>
      <c r="BP193" s="1"/>
      <c r="BQ193" s="1"/>
      <c r="BR193" s="1"/>
      <c r="BS193" s="1"/>
      <c r="BT193" s="1"/>
      <c r="BU193" s="1"/>
      <c r="BV193" s="2"/>
      <c r="BW193" s="1"/>
      <c r="BX193" s="1"/>
      <c r="BY193" s="1"/>
      <c r="BZ193" s="1"/>
      <c r="CA193" s="1"/>
      <c r="CB193" s="1"/>
      <c r="CC193" s="1"/>
      <c r="CD193" s="1"/>
      <c r="CE193" s="2"/>
      <c r="CF193" s="1"/>
      <c r="CG193" s="1"/>
      <c r="CH193" s="1"/>
      <c r="CI193" s="1"/>
      <c r="CJ193" s="1"/>
      <c r="CK193" s="1"/>
      <c r="CL193" s="1"/>
    </row>
    <row r="194" spans="1:90" ht="14.65" x14ac:dyDescent="0.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2"/>
      <c r="L194" s="1"/>
      <c r="M194" s="1"/>
      <c r="N194" s="1"/>
      <c r="O194" s="1"/>
      <c r="P194" s="1"/>
      <c r="Q194" s="1"/>
      <c r="R194" s="1"/>
      <c r="S194" s="1"/>
      <c r="T194" s="2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2"/>
      <c r="AM194" s="1"/>
      <c r="AN194" s="1"/>
      <c r="AO194" s="1"/>
      <c r="AP194" s="1"/>
      <c r="AQ194" s="1"/>
      <c r="AR194" s="1"/>
      <c r="AS194" s="1"/>
      <c r="AT194" s="1"/>
      <c r="AU194" s="2"/>
      <c r="AV194" s="1"/>
      <c r="AW194" s="1"/>
      <c r="AX194" s="1"/>
      <c r="AY194" s="1"/>
      <c r="AZ194" s="1"/>
      <c r="BA194" s="1"/>
      <c r="BB194" s="1"/>
      <c r="BC194" s="1"/>
      <c r="BD194" s="2"/>
      <c r="BE194" s="1"/>
      <c r="BF194" s="1"/>
      <c r="BG194" s="1"/>
      <c r="BH194" s="1"/>
      <c r="BI194" s="1"/>
      <c r="BJ194" s="1"/>
      <c r="BK194" s="1"/>
      <c r="BL194" s="1"/>
      <c r="BM194" s="2"/>
      <c r="BN194" s="1"/>
      <c r="BO194" s="1"/>
      <c r="BP194" s="1"/>
      <c r="BQ194" s="1"/>
      <c r="BR194" s="1"/>
      <c r="BS194" s="1"/>
      <c r="BT194" s="1"/>
      <c r="BU194" s="1"/>
      <c r="BV194" s="2"/>
      <c r="BW194" s="1"/>
      <c r="BX194" s="1"/>
      <c r="BY194" s="1"/>
      <c r="BZ194" s="1"/>
      <c r="CA194" s="1"/>
      <c r="CB194" s="1"/>
      <c r="CC194" s="1"/>
      <c r="CD194" s="1"/>
      <c r="CE194" s="2"/>
      <c r="CF194" s="1"/>
      <c r="CG194" s="1"/>
      <c r="CH194" s="1"/>
      <c r="CI194" s="1"/>
      <c r="CJ194" s="1"/>
      <c r="CK194" s="1"/>
      <c r="CL194" s="1"/>
    </row>
    <row r="195" spans="1:90" ht="14.65" x14ac:dyDescent="0.4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2"/>
      <c r="L195" s="1"/>
      <c r="M195" s="1"/>
      <c r="N195" s="1"/>
      <c r="O195" s="1"/>
      <c r="P195" s="1"/>
      <c r="Q195" s="1"/>
      <c r="R195" s="1"/>
      <c r="S195" s="1"/>
      <c r="T195" s="2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2"/>
      <c r="AM195" s="1"/>
      <c r="AN195" s="1"/>
      <c r="AO195" s="1"/>
      <c r="AP195" s="1"/>
      <c r="AQ195" s="1"/>
      <c r="AR195" s="1"/>
      <c r="AS195" s="1"/>
      <c r="AT195" s="1"/>
      <c r="AU195" s="2"/>
      <c r="AV195" s="1"/>
      <c r="AW195" s="1"/>
      <c r="AX195" s="1"/>
      <c r="AY195" s="1"/>
      <c r="AZ195" s="1"/>
      <c r="BA195" s="1"/>
      <c r="BB195" s="1"/>
      <c r="BC195" s="1"/>
      <c r="BD195" s="2"/>
      <c r="BE195" s="1"/>
      <c r="BF195" s="1"/>
      <c r="BG195" s="1"/>
      <c r="BH195" s="1"/>
      <c r="BI195" s="1"/>
      <c r="BJ195" s="1"/>
      <c r="BK195" s="1"/>
      <c r="BL195" s="1"/>
      <c r="BM195" s="2"/>
      <c r="BN195" s="1"/>
      <c r="BO195" s="1"/>
      <c r="BP195" s="1"/>
      <c r="BQ195" s="1"/>
      <c r="BR195" s="1"/>
      <c r="BS195" s="1"/>
      <c r="BT195" s="1"/>
      <c r="BU195" s="1"/>
      <c r="BV195" s="2"/>
      <c r="BW195" s="1"/>
      <c r="BX195" s="1"/>
      <c r="BY195" s="1"/>
      <c r="BZ195" s="1"/>
      <c r="CA195" s="1"/>
      <c r="CB195" s="1"/>
      <c r="CC195" s="1"/>
      <c r="CD195" s="1"/>
      <c r="CE195" s="2"/>
      <c r="CF195" s="1"/>
      <c r="CG195" s="1"/>
      <c r="CH195" s="1"/>
      <c r="CI195" s="1"/>
      <c r="CJ195" s="1"/>
      <c r="CK195" s="1"/>
      <c r="CL195" s="1"/>
    </row>
    <row r="196" spans="1:90" ht="14.65" x14ac:dyDescent="0.4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2"/>
      <c r="L196" s="1"/>
      <c r="M196" s="1"/>
      <c r="N196" s="1"/>
      <c r="O196" s="1"/>
      <c r="P196" s="1"/>
      <c r="Q196" s="1"/>
      <c r="R196" s="1"/>
      <c r="S196" s="1"/>
      <c r="T196" s="2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2"/>
      <c r="AM196" s="1"/>
      <c r="AN196" s="1"/>
      <c r="AO196" s="1"/>
      <c r="AP196" s="1"/>
      <c r="AQ196" s="1"/>
      <c r="AR196" s="1"/>
      <c r="AS196" s="1"/>
      <c r="AT196" s="1"/>
      <c r="AU196" s="2"/>
      <c r="AV196" s="1"/>
      <c r="AW196" s="1"/>
      <c r="AX196" s="1"/>
      <c r="AY196" s="1"/>
      <c r="AZ196" s="1"/>
      <c r="BA196" s="1"/>
      <c r="BB196" s="1"/>
      <c r="BC196" s="1"/>
      <c r="BD196" s="2"/>
      <c r="BE196" s="1"/>
      <c r="BF196" s="1"/>
      <c r="BG196" s="1"/>
      <c r="BH196" s="1"/>
      <c r="BI196" s="1"/>
      <c r="BJ196" s="1"/>
      <c r="BK196" s="1"/>
      <c r="BL196" s="1"/>
      <c r="BM196" s="2"/>
      <c r="BN196" s="1"/>
      <c r="BO196" s="1"/>
      <c r="BP196" s="1"/>
      <c r="BQ196" s="1"/>
      <c r="BR196" s="1"/>
      <c r="BS196" s="1"/>
      <c r="BT196" s="1"/>
      <c r="BU196" s="1"/>
      <c r="BV196" s="2"/>
      <c r="BW196" s="1"/>
      <c r="BX196" s="1"/>
      <c r="BY196" s="1"/>
      <c r="BZ196" s="1"/>
      <c r="CA196" s="1"/>
      <c r="CB196" s="1"/>
      <c r="CC196" s="1"/>
      <c r="CD196" s="1"/>
      <c r="CE196" s="2"/>
      <c r="CF196" s="1"/>
      <c r="CG196" s="1"/>
      <c r="CH196" s="1"/>
      <c r="CI196" s="1"/>
      <c r="CJ196" s="1"/>
      <c r="CK196" s="1"/>
      <c r="CL196" s="1"/>
    </row>
    <row r="197" spans="1:90" ht="14.65" x14ac:dyDescent="0.4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2"/>
      <c r="L197" s="1"/>
      <c r="M197" s="1"/>
      <c r="N197" s="1"/>
      <c r="O197" s="1"/>
      <c r="P197" s="1"/>
      <c r="Q197" s="1"/>
      <c r="R197" s="1"/>
      <c r="S197" s="1"/>
      <c r="T197" s="2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2"/>
      <c r="AM197" s="1"/>
      <c r="AN197" s="1"/>
      <c r="AO197" s="1"/>
      <c r="AP197" s="1"/>
      <c r="AQ197" s="1"/>
      <c r="AR197" s="1"/>
      <c r="AS197" s="1"/>
      <c r="AT197" s="1"/>
      <c r="AU197" s="2"/>
      <c r="AV197" s="1"/>
      <c r="AW197" s="1"/>
      <c r="AX197" s="1"/>
      <c r="AY197" s="1"/>
      <c r="AZ197" s="1"/>
      <c r="BA197" s="1"/>
      <c r="BB197" s="1"/>
      <c r="BC197" s="1"/>
      <c r="BD197" s="2"/>
      <c r="BE197" s="1"/>
      <c r="BF197" s="1"/>
      <c r="BG197" s="1"/>
      <c r="BH197" s="1"/>
      <c r="BI197" s="1"/>
      <c r="BJ197" s="1"/>
      <c r="BK197" s="1"/>
      <c r="BL197" s="1"/>
      <c r="BM197" s="2"/>
      <c r="BN197" s="1"/>
      <c r="BO197" s="1"/>
      <c r="BP197" s="1"/>
      <c r="BQ197" s="1"/>
      <c r="BR197" s="1"/>
      <c r="BS197" s="1"/>
      <c r="BT197" s="1"/>
      <c r="BU197" s="1"/>
      <c r="BV197" s="2"/>
      <c r="BW197" s="1"/>
      <c r="BX197" s="1"/>
      <c r="BY197" s="1"/>
      <c r="BZ197" s="1"/>
      <c r="CA197" s="1"/>
      <c r="CB197" s="1"/>
      <c r="CC197" s="1"/>
      <c r="CD197" s="1"/>
      <c r="CE197" s="2"/>
      <c r="CF197" s="1"/>
      <c r="CG197" s="1"/>
      <c r="CH197" s="1"/>
      <c r="CI197" s="1"/>
      <c r="CJ197" s="1"/>
      <c r="CK197" s="1"/>
      <c r="CL197" s="1"/>
    </row>
    <row r="198" spans="1:90" ht="14.65" x14ac:dyDescent="0.4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2"/>
      <c r="L198" s="1"/>
      <c r="M198" s="1"/>
      <c r="N198" s="1"/>
      <c r="O198" s="1"/>
      <c r="P198" s="1"/>
      <c r="Q198" s="1"/>
      <c r="R198" s="1"/>
      <c r="S198" s="1"/>
      <c r="T198" s="2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2"/>
      <c r="AM198" s="1"/>
      <c r="AN198" s="1"/>
      <c r="AO198" s="1"/>
      <c r="AP198" s="1"/>
      <c r="AQ198" s="1"/>
      <c r="AR198" s="1"/>
      <c r="AS198" s="1"/>
      <c r="AT198" s="1"/>
      <c r="AU198" s="2"/>
      <c r="AV198" s="1"/>
      <c r="AW198" s="1"/>
      <c r="AX198" s="1"/>
      <c r="AY198" s="1"/>
      <c r="AZ198" s="1"/>
      <c r="BA198" s="1"/>
      <c r="BB198" s="1"/>
      <c r="BC198" s="1"/>
      <c r="BD198" s="2"/>
      <c r="BE198" s="1"/>
      <c r="BF198" s="1"/>
      <c r="BG198" s="1"/>
      <c r="BH198" s="1"/>
      <c r="BI198" s="1"/>
      <c r="BJ198" s="1"/>
      <c r="BK198" s="1"/>
      <c r="BL198" s="1"/>
      <c r="BM198" s="2"/>
      <c r="BN198" s="1"/>
      <c r="BO198" s="1"/>
      <c r="BP198" s="1"/>
      <c r="BQ198" s="1"/>
      <c r="BR198" s="1"/>
      <c r="BS198" s="1"/>
      <c r="BT198" s="1"/>
      <c r="BU198" s="1"/>
      <c r="BV198" s="2"/>
      <c r="BW198" s="1"/>
      <c r="BX198" s="1"/>
      <c r="BY198" s="1"/>
      <c r="BZ198" s="1"/>
      <c r="CA198" s="1"/>
      <c r="CB198" s="1"/>
      <c r="CC198" s="1"/>
      <c r="CD198" s="1"/>
      <c r="CE198" s="2"/>
      <c r="CF198" s="1"/>
      <c r="CG198" s="1"/>
      <c r="CH198" s="1"/>
      <c r="CI198" s="1"/>
      <c r="CJ198" s="1"/>
      <c r="CK198" s="1"/>
      <c r="CL198" s="1"/>
    </row>
    <row r="199" spans="1:90" ht="14.65" x14ac:dyDescent="0.4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2"/>
      <c r="L199" s="1"/>
      <c r="M199" s="1"/>
      <c r="N199" s="1"/>
      <c r="O199" s="1"/>
      <c r="P199" s="1"/>
      <c r="Q199" s="1"/>
      <c r="R199" s="1"/>
      <c r="S199" s="1"/>
      <c r="T199" s="2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2"/>
      <c r="AM199" s="1"/>
      <c r="AN199" s="1"/>
      <c r="AO199" s="1"/>
      <c r="AP199" s="1"/>
      <c r="AQ199" s="1"/>
      <c r="AR199" s="1"/>
      <c r="AS199" s="1"/>
      <c r="AT199" s="1"/>
      <c r="AU199" s="2"/>
      <c r="AV199" s="1"/>
      <c r="AW199" s="1"/>
      <c r="AX199" s="1"/>
      <c r="AY199" s="1"/>
      <c r="AZ199" s="1"/>
      <c r="BA199" s="1"/>
      <c r="BB199" s="1"/>
      <c r="BC199" s="1"/>
      <c r="BD199" s="2"/>
      <c r="BE199" s="1"/>
      <c r="BF199" s="1"/>
      <c r="BG199" s="1"/>
      <c r="BH199" s="1"/>
      <c r="BI199" s="1"/>
      <c r="BJ199" s="1"/>
      <c r="BK199" s="1"/>
      <c r="BL199" s="1"/>
      <c r="BM199" s="2"/>
      <c r="BN199" s="1"/>
      <c r="BO199" s="1"/>
      <c r="BP199" s="1"/>
      <c r="BQ199" s="1"/>
      <c r="BR199" s="1"/>
      <c r="BS199" s="1"/>
      <c r="BT199" s="1"/>
      <c r="BU199" s="1"/>
      <c r="BV199" s="2"/>
      <c r="BW199" s="1"/>
      <c r="BX199" s="1"/>
      <c r="BY199" s="1"/>
      <c r="BZ199" s="1"/>
      <c r="CA199" s="1"/>
      <c r="CB199" s="1"/>
      <c r="CC199" s="1"/>
      <c r="CD199" s="1"/>
      <c r="CE199" s="2"/>
      <c r="CF199" s="1"/>
      <c r="CG199" s="1"/>
      <c r="CH199" s="1"/>
      <c r="CI199" s="1"/>
      <c r="CJ199" s="1"/>
      <c r="CK199" s="1"/>
      <c r="CL199" s="1"/>
    </row>
    <row r="200" spans="1:90" ht="14.65" x14ac:dyDescent="0.4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2"/>
      <c r="L200" s="1"/>
      <c r="M200" s="1"/>
      <c r="N200" s="1"/>
      <c r="O200" s="1"/>
      <c r="P200" s="1"/>
      <c r="Q200" s="1"/>
      <c r="R200" s="1"/>
      <c r="S200" s="1"/>
      <c r="T200" s="2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2"/>
      <c r="AM200" s="1"/>
      <c r="AN200" s="1"/>
      <c r="AO200" s="1"/>
      <c r="AP200" s="1"/>
      <c r="AQ200" s="1"/>
      <c r="AR200" s="1"/>
      <c r="AS200" s="1"/>
      <c r="AT200" s="1"/>
      <c r="AU200" s="2"/>
      <c r="AV200" s="1"/>
      <c r="AW200" s="1"/>
      <c r="AX200" s="1"/>
      <c r="AY200" s="1"/>
      <c r="AZ200" s="1"/>
      <c r="BA200" s="1"/>
      <c r="BB200" s="1"/>
      <c r="BC200" s="1"/>
      <c r="BD200" s="2"/>
      <c r="BE200" s="1"/>
      <c r="BF200" s="1"/>
      <c r="BG200" s="1"/>
      <c r="BH200" s="1"/>
      <c r="BI200" s="1"/>
      <c r="BJ200" s="1"/>
      <c r="BK200" s="1"/>
      <c r="BL200" s="1"/>
      <c r="BM200" s="2"/>
      <c r="BN200" s="1"/>
      <c r="BO200" s="1"/>
      <c r="BP200" s="1"/>
      <c r="BQ200" s="1"/>
      <c r="BR200" s="1"/>
      <c r="BS200" s="1"/>
      <c r="BT200" s="1"/>
      <c r="BU200" s="1"/>
      <c r="BV200" s="2"/>
      <c r="BW200" s="1"/>
      <c r="BX200" s="1"/>
      <c r="BY200" s="1"/>
      <c r="BZ200" s="1"/>
      <c r="CA200" s="1"/>
      <c r="CB200" s="1"/>
      <c r="CC200" s="1"/>
      <c r="CD200" s="1"/>
      <c r="CE200" s="2"/>
      <c r="CF200" s="1"/>
      <c r="CG200" s="1"/>
      <c r="CH200" s="1"/>
      <c r="CI200" s="1"/>
      <c r="CJ200" s="1"/>
      <c r="CK200" s="1"/>
      <c r="CL200" s="1"/>
    </row>
    <row r="201" spans="1:90" ht="14.65" x14ac:dyDescent="0.4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2"/>
      <c r="L201" s="1"/>
      <c r="M201" s="1"/>
      <c r="N201" s="1"/>
      <c r="O201" s="1"/>
      <c r="P201" s="1"/>
      <c r="Q201" s="1"/>
      <c r="R201" s="1"/>
      <c r="S201" s="1"/>
      <c r="T201" s="2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2"/>
      <c r="AM201" s="1"/>
      <c r="AN201" s="1"/>
      <c r="AO201" s="1"/>
      <c r="AP201" s="1"/>
      <c r="AQ201" s="1"/>
      <c r="AR201" s="1"/>
      <c r="AS201" s="1"/>
      <c r="AT201" s="1"/>
      <c r="AU201" s="2"/>
      <c r="AV201" s="1"/>
      <c r="AW201" s="1"/>
      <c r="AX201" s="1"/>
      <c r="AY201" s="1"/>
      <c r="AZ201" s="1"/>
      <c r="BA201" s="1"/>
      <c r="BB201" s="1"/>
      <c r="BC201" s="1"/>
      <c r="BD201" s="2"/>
      <c r="BE201" s="1"/>
      <c r="BF201" s="1"/>
      <c r="BG201" s="1"/>
      <c r="BH201" s="1"/>
      <c r="BI201" s="1"/>
      <c r="BJ201" s="1"/>
      <c r="BK201" s="1"/>
      <c r="BL201" s="1"/>
      <c r="BM201" s="2"/>
      <c r="BN201" s="1"/>
      <c r="BO201" s="1"/>
      <c r="BP201" s="1"/>
      <c r="BQ201" s="1"/>
      <c r="BR201" s="1"/>
      <c r="BS201" s="1"/>
      <c r="BT201" s="1"/>
      <c r="BU201" s="1"/>
      <c r="BV201" s="2"/>
      <c r="BW201" s="1"/>
      <c r="BX201" s="1"/>
      <c r="BY201" s="1"/>
      <c r="BZ201" s="1"/>
      <c r="CA201" s="1"/>
      <c r="CB201" s="1"/>
      <c r="CC201" s="1"/>
      <c r="CD201" s="1"/>
      <c r="CE201" s="2"/>
      <c r="CF201" s="1"/>
      <c r="CG201" s="1"/>
      <c r="CH201" s="1"/>
      <c r="CI201" s="1"/>
      <c r="CJ201" s="1"/>
      <c r="CK201" s="1"/>
      <c r="CL201" s="1"/>
    </row>
    <row r="202" spans="1:90" ht="14.65" x14ac:dyDescent="0.4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2"/>
      <c r="L202" s="1"/>
      <c r="M202" s="1"/>
      <c r="N202" s="1"/>
      <c r="O202" s="1"/>
      <c r="P202" s="1"/>
      <c r="Q202" s="1"/>
      <c r="R202" s="1"/>
      <c r="S202" s="1"/>
      <c r="T202" s="2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2"/>
      <c r="AM202" s="1"/>
      <c r="AN202" s="1"/>
      <c r="AO202" s="1"/>
      <c r="AP202" s="1"/>
      <c r="AQ202" s="1"/>
      <c r="AR202" s="1"/>
      <c r="AS202" s="1"/>
      <c r="AT202" s="1"/>
      <c r="AU202" s="2"/>
      <c r="AV202" s="1"/>
      <c r="AW202" s="1"/>
      <c r="AX202" s="1"/>
      <c r="AY202" s="1"/>
      <c r="AZ202" s="1"/>
      <c r="BA202" s="1"/>
      <c r="BB202" s="1"/>
      <c r="BC202" s="1"/>
      <c r="BD202" s="2"/>
      <c r="BE202" s="1"/>
      <c r="BF202" s="1"/>
      <c r="BG202" s="1"/>
      <c r="BH202" s="1"/>
      <c r="BI202" s="1"/>
      <c r="BJ202" s="1"/>
      <c r="BK202" s="1"/>
      <c r="BL202" s="1"/>
      <c r="BM202" s="2"/>
      <c r="BN202" s="1"/>
      <c r="BO202" s="1"/>
      <c r="BP202" s="1"/>
      <c r="BQ202" s="1"/>
      <c r="BR202" s="1"/>
      <c r="BS202" s="1"/>
      <c r="BT202" s="1"/>
      <c r="BU202" s="1"/>
      <c r="BV202" s="2"/>
      <c r="BW202" s="1"/>
      <c r="BX202" s="1"/>
      <c r="BY202" s="1"/>
      <c r="BZ202" s="1"/>
      <c r="CA202" s="1"/>
      <c r="CB202" s="1"/>
      <c r="CC202" s="1"/>
      <c r="CD202" s="1"/>
      <c r="CE202" s="2"/>
      <c r="CF202" s="1"/>
      <c r="CG202" s="1"/>
      <c r="CH202" s="1"/>
      <c r="CI202" s="1"/>
      <c r="CJ202" s="1"/>
      <c r="CK202" s="1"/>
      <c r="CL202" s="1"/>
    </row>
    <row r="203" spans="1:90" ht="14.65" x14ac:dyDescent="0.4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2"/>
      <c r="L203" s="1"/>
      <c r="M203" s="1"/>
      <c r="N203" s="1"/>
      <c r="O203" s="1"/>
      <c r="P203" s="1"/>
      <c r="Q203" s="1"/>
      <c r="R203" s="1"/>
      <c r="S203" s="1"/>
      <c r="T203" s="2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2"/>
      <c r="AM203" s="1"/>
      <c r="AN203" s="1"/>
      <c r="AO203" s="1"/>
      <c r="AP203" s="1"/>
      <c r="AQ203" s="1"/>
      <c r="AR203" s="1"/>
      <c r="AS203" s="1"/>
      <c r="AT203" s="1"/>
      <c r="AU203" s="2"/>
      <c r="AV203" s="1"/>
      <c r="AW203" s="1"/>
      <c r="AX203" s="1"/>
      <c r="AY203" s="1"/>
      <c r="AZ203" s="1"/>
      <c r="BA203" s="1"/>
      <c r="BB203" s="1"/>
      <c r="BC203" s="1"/>
      <c r="BD203" s="2"/>
      <c r="BE203" s="1"/>
      <c r="BF203" s="1"/>
      <c r="BG203" s="1"/>
      <c r="BH203" s="1"/>
      <c r="BI203" s="1"/>
      <c r="BJ203" s="1"/>
      <c r="BK203" s="1"/>
      <c r="BL203" s="1"/>
      <c r="BM203" s="2"/>
      <c r="BN203" s="1"/>
      <c r="BO203" s="1"/>
      <c r="BP203" s="1"/>
      <c r="BQ203" s="1"/>
      <c r="BR203" s="1"/>
      <c r="BS203" s="1"/>
      <c r="BT203" s="1"/>
      <c r="BU203" s="1"/>
      <c r="BV203" s="2"/>
      <c r="BW203" s="1"/>
      <c r="BX203" s="1"/>
      <c r="BY203" s="1"/>
      <c r="BZ203" s="1"/>
      <c r="CA203" s="1"/>
      <c r="CB203" s="1"/>
      <c r="CC203" s="1"/>
      <c r="CD203" s="1"/>
      <c r="CE203" s="2"/>
      <c r="CF203" s="1"/>
      <c r="CG203" s="1"/>
      <c r="CH203" s="1"/>
      <c r="CI203" s="1"/>
      <c r="CJ203" s="1"/>
      <c r="CK203" s="1"/>
      <c r="CL203" s="1"/>
    </row>
    <row r="204" spans="1:90" ht="14.65" x14ac:dyDescent="0.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2"/>
      <c r="L204" s="1"/>
      <c r="M204" s="1"/>
      <c r="N204" s="1"/>
      <c r="O204" s="1"/>
      <c r="P204" s="1"/>
      <c r="Q204" s="1"/>
      <c r="R204" s="1"/>
      <c r="S204" s="1"/>
      <c r="T204" s="2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2"/>
      <c r="AM204" s="1"/>
      <c r="AN204" s="1"/>
      <c r="AO204" s="1"/>
      <c r="AP204" s="1"/>
      <c r="AQ204" s="1"/>
      <c r="AR204" s="1"/>
      <c r="AS204" s="1"/>
      <c r="AT204" s="1"/>
      <c r="AU204" s="2"/>
      <c r="AV204" s="1"/>
      <c r="AW204" s="1"/>
      <c r="AX204" s="1"/>
      <c r="AY204" s="1"/>
      <c r="AZ204" s="1"/>
      <c r="BA204" s="1"/>
      <c r="BB204" s="1"/>
      <c r="BC204" s="1"/>
      <c r="BD204" s="2"/>
      <c r="BE204" s="1"/>
      <c r="BF204" s="1"/>
      <c r="BG204" s="1"/>
      <c r="BH204" s="1"/>
      <c r="BI204" s="1"/>
      <c r="BJ204" s="1"/>
      <c r="BK204" s="1"/>
      <c r="BL204" s="1"/>
      <c r="BM204" s="2"/>
      <c r="BN204" s="1"/>
      <c r="BO204" s="1"/>
      <c r="BP204" s="1"/>
      <c r="BQ204" s="1"/>
      <c r="BR204" s="1"/>
      <c r="BS204" s="1"/>
      <c r="BT204" s="1"/>
      <c r="BU204" s="1"/>
      <c r="BV204" s="2"/>
      <c r="BW204" s="1"/>
      <c r="BX204" s="1"/>
      <c r="BY204" s="1"/>
      <c r="BZ204" s="1"/>
      <c r="CA204" s="1"/>
      <c r="CB204" s="1"/>
      <c r="CC204" s="1"/>
      <c r="CD204" s="1"/>
      <c r="CE204" s="2"/>
      <c r="CF204" s="1"/>
      <c r="CG204" s="1"/>
      <c r="CH204" s="1"/>
      <c r="CI204" s="1"/>
      <c r="CJ204" s="1"/>
      <c r="CK204" s="1"/>
      <c r="CL204" s="1"/>
    </row>
    <row r="205" spans="1:90" ht="14.65" x14ac:dyDescent="0.4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2"/>
      <c r="L205" s="1"/>
      <c r="M205" s="1"/>
      <c r="N205" s="1"/>
      <c r="O205" s="1"/>
      <c r="P205" s="1"/>
      <c r="Q205" s="1"/>
      <c r="R205" s="1"/>
      <c r="S205" s="1"/>
      <c r="T205" s="2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2"/>
      <c r="AM205" s="1"/>
      <c r="AN205" s="1"/>
      <c r="AO205" s="1"/>
      <c r="AP205" s="1"/>
      <c r="AQ205" s="1"/>
      <c r="AR205" s="1"/>
      <c r="AS205" s="1"/>
      <c r="AT205" s="1"/>
      <c r="AU205" s="2"/>
      <c r="AV205" s="1"/>
      <c r="AW205" s="1"/>
      <c r="AX205" s="1"/>
      <c r="AY205" s="1"/>
      <c r="AZ205" s="1"/>
      <c r="BA205" s="1"/>
      <c r="BB205" s="1"/>
      <c r="BC205" s="1"/>
      <c r="BD205" s="2"/>
      <c r="BE205" s="1"/>
      <c r="BF205" s="1"/>
      <c r="BG205" s="1"/>
      <c r="BH205" s="1"/>
      <c r="BI205" s="1"/>
      <c r="BJ205" s="1"/>
      <c r="BK205" s="1"/>
      <c r="BL205" s="1"/>
      <c r="BM205" s="2"/>
      <c r="BN205" s="1"/>
      <c r="BO205" s="1"/>
      <c r="BP205" s="1"/>
      <c r="BQ205" s="1"/>
      <c r="BR205" s="1"/>
      <c r="BS205" s="1"/>
      <c r="BT205" s="1"/>
      <c r="BU205" s="1"/>
      <c r="BV205" s="2"/>
      <c r="BW205" s="1"/>
      <c r="BX205" s="1"/>
      <c r="BY205" s="1"/>
      <c r="BZ205" s="1"/>
      <c r="CA205" s="1"/>
      <c r="CB205" s="1"/>
      <c r="CC205" s="1"/>
      <c r="CD205" s="1"/>
      <c r="CE205" s="2"/>
      <c r="CF205" s="1"/>
      <c r="CG205" s="1"/>
      <c r="CH205" s="1"/>
      <c r="CI205" s="1"/>
      <c r="CJ205" s="1"/>
      <c r="CK205" s="1"/>
      <c r="CL205" s="1"/>
    </row>
    <row r="206" spans="1:90" ht="14.65" x14ac:dyDescent="0.4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2"/>
      <c r="L206" s="1"/>
      <c r="M206" s="1"/>
      <c r="N206" s="1"/>
      <c r="O206" s="1"/>
      <c r="P206" s="1"/>
      <c r="Q206" s="1"/>
      <c r="R206" s="1"/>
      <c r="S206" s="1"/>
      <c r="T206" s="2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2"/>
      <c r="AM206" s="1"/>
      <c r="AN206" s="1"/>
      <c r="AO206" s="1"/>
      <c r="AP206" s="1"/>
      <c r="AQ206" s="1"/>
      <c r="AR206" s="1"/>
      <c r="AS206" s="1"/>
      <c r="AT206" s="1"/>
      <c r="AU206" s="2"/>
      <c r="AV206" s="1"/>
      <c r="AW206" s="1"/>
      <c r="AX206" s="1"/>
      <c r="AY206" s="1"/>
      <c r="AZ206" s="1"/>
      <c r="BA206" s="1"/>
      <c r="BB206" s="1"/>
      <c r="BC206" s="1"/>
      <c r="BD206" s="2"/>
      <c r="BE206" s="1"/>
      <c r="BF206" s="1"/>
      <c r="BG206" s="1"/>
      <c r="BH206" s="1"/>
      <c r="BI206" s="1"/>
      <c r="BJ206" s="1"/>
      <c r="BK206" s="1"/>
      <c r="BL206" s="1"/>
      <c r="BM206" s="2"/>
      <c r="BN206" s="1"/>
      <c r="BO206" s="1"/>
      <c r="BP206" s="1"/>
      <c r="BQ206" s="1"/>
      <c r="BR206" s="1"/>
      <c r="BS206" s="1"/>
      <c r="BT206" s="1"/>
      <c r="BU206" s="1"/>
      <c r="BV206" s="2"/>
      <c r="BW206" s="1"/>
      <c r="BX206" s="1"/>
      <c r="BY206" s="1"/>
      <c r="BZ206" s="1"/>
      <c r="CA206" s="1"/>
      <c r="CB206" s="1"/>
      <c r="CC206" s="1"/>
      <c r="CD206" s="1"/>
      <c r="CE206" s="2"/>
      <c r="CF206" s="1"/>
      <c r="CG206" s="1"/>
      <c r="CH206" s="1"/>
      <c r="CI206" s="1"/>
      <c r="CJ206" s="1"/>
      <c r="CK206" s="1"/>
      <c r="CL206" s="1"/>
    </row>
    <row r="207" spans="1:90" ht="14.65" x14ac:dyDescent="0.4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2"/>
      <c r="L207" s="1"/>
      <c r="M207" s="1"/>
      <c r="N207" s="1"/>
      <c r="O207" s="1"/>
      <c r="P207" s="1"/>
      <c r="Q207" s="1"/>
      <c r="R207" s="1"/>
      <c r="S207" s="1"/>
      <c r="T207" s="2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2"/>
      <c r="AM207" s="1"/>
      <c r="AN207" s="1"/>
      <c r="AO207" s="1"/>
      <c r="AP207" s="1"/>
      <c r="AQ207" s="1"/>
      <c r="AR207" s="1"/>
      <c r="AS207" s="1"/>
      <c r="AT207" s="1"/>
      <c r="AU207" s="2"/>
      <c r="AV207" s="1"/>
      <c r="AW207" s="1"/>
      <c r="AX207" s="1"/>
      <c r="AY207" s="1"/>
      <c r="AZ207" s="1"/>
      <c r="BA207" s="1"/>
      <c r="BB207" s="1"/>
      <c r="BC207" s="1"/>
      <c r="BD207" s="2"/>
      <c r="BE207" s="1"/>
      <c r="BF207" s="1"/>
      <c r="BG207" s="1"/>
      <c r="BH207" s="1"/>
      <c r="BI207" s="1"/>
      <c r="BJ207" s="1"/>
      <c r="BK207" s="1"/>
      <c r="BL207" s="1"/>
      <c r="BM207" s="2"/>
      <c r="BN207" s="1"/>
      <c r="BO207" s="1"/>
      <c r="BP207" s="1"/>
      <c r="BQ207" s="1"/>
      <c r="BR207" s="1"/>
      <c r="BS207" s="1"/>
      <c r="BT207" s="1"/>
      <c r="BU207" s="1"/>
      <c r="BV207" s="2"/>
      <c r="BW207" s="1"/>
      <c r="BX207" s="1"/>
      <c r="BY207" s="1"/>
      <c r="BZ207" s="1"/>
      <c r="CA207" s="1"/>
      <c r="CB207" s="1"/>
      <c r="CC207" s="1"/>
      <c r="CD207" s="1"/>
      <c r="CE207" s="2"/>
      <c r="CF207" s="1"/>
      <c r="CG207" s="1"/>
      <c r="CH207" s="1"/>
      <c r="CI207" s="1"/>
      <c r="CJ207" s="1"/>
      <c r="CK207" s="1"/>
      <c r="CL207" s="1"/>
    </row>
    <row r="208" spans="1:90" ht="14.65" x14ac:dyDescent="0.4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2"/>
      <c r="L208" s="1"/>
      <c r="M208" s="1"/>
      <c r="N208" s="1"/>
      <c r="O208" s="1"/>
      <c r="P208" s="1"/>
      <c r="Q208" s="1"/>
      <c r="R208" s="1"/>
      <c r="S208" s="1"/>
      <c r="T208" s="2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2"/>
      <c r="AM208" s="1"/>
      <c r="AN208" s="1"/>
      <c r="AO208" s="1"/>
      <c r="AP208" s="1"/>
      <c r="AQ208" s="1"/>
      <c r="AR208" s="1"/>
      <c r="AS208" s="1"/>
      <c r="AT208" s="1"/>
      <c r="AU208" s="2"/>
      <c r="AV208" s="1"/>
      <c r="AW208" s="1"/>
      <c r="AX208" s="1"/>
      <c r="AY208" s="1"/>
      <c r="AZ208" s="1"/>
      <c r="BA208" s="1"/>
      <c r="BB208" s="1"/>
      <c r="BC208" s="1"/>
      <c r="BD208" s="2"/>
      <c r="BE208" s="1"/>
      <c r="BF208" s="1"/>
      <c r="BG208" s="1"/>
      <c r="BH208" s="1"/>
      <c r="BI208" s="1"/>
      <c r="BJ208" s="1"/>
      <c r="BK208" s="1"/>
      <c r="BL208" s="1"/>
      <c r="BM208" s="2"/>
      <c r="BN208" s="1"/>
      <c r="BO208" s="1"/>
      <c r="BP208" s="1"/>
      <c r="BQ208" s="1"/>
      <c r="BR208" s="1"/>
      <c r="BS208" s="1"/>
      <c r="BT208" s="1"/>
      <c r="BU208" s="1"/>
      <c r="BV208" s="2"/>
      <c r="BW208" s="1"/>
      <c r="BX208" s="1"/>
      <c r="BY208" s="1"/>
      <c r="BZ208" s="1"/>
      <c r="CA208" s="1"/>
      <c r="CB208" s="1"/>
      <c r="CC208" s="1"/>
      <c r="CD208" s="1"/>
      <c r="CE208" s="2"/>
      <c r="CF208" s="1"/>
      <c r="CG208" s="1"/>
      <c r="CH208" s="1"/>
      <c r="CI208" s="1"/>
      <c r="CJ208" s="1"/>
      <c r="CK208" s="1"/>
      <c r="CL208" s="1"/>
    </row>
    <row r="209" spans="1:90" ht="14.65" x14ac:dyDescent="0.4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2"/>
      <c r="L209" s="1"/>
      <c r="M209" s="1"/>
      <c r="N209" s="1"/>
      <c r="O209" s="1"/>
      <c r="P209" s="1"/>
      <c r="Q209" s="1"/>
      <c r="R209" s="1"/>
      <c r="S209" s="1"/>
      <c r="T209" s="2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2"/>
      <c r="AM209" s="1"/>
      <c r="AN209" s="1"/>
      <c r="AO209" s="1"/>
      <c r="AP209" s="1"/>
      <c r="AQ209" s="1"/>
      <c r="AR209" s="1"/>
      <c r="AS209" s="1"/>
      <c r="AT209" s="1"/>
      <c r="AU209" s="2"/>
      <c r="AV209" s="1"/>
      <c r="AW209" s="1"/>
      <c r="AX209" s="1"/>
      <c r="AY209" s="1"/>
      <c r="AZ209" s="1"/>
      <c r="BA209" s="1"/>
      <c r="BB209" s="1"/>
      <c r="BC209" s="1"/>
      <c r="BD209" s="2"/>
      <c r="BE209" s="1"/>
      <c r="BF209" s="1"/>
      <c r="BG209" s="1"/>
      <c r="BH209" s="1"/>
      <c r="BI209" s="1"/>
      <c r="BJ209" s="1"/>
      <c r="BK209" s="1"/>
      <c r="BL209" s="1"/>
      <c r="BM209" s="2"/>
      <c r="BN209" s="1"/>
      <c r="BO209" s="1"/>
      <c r="BP209" s="1"/>
      <c r="BQ209" s="1"/>
      <c r="BR209" s="1"/>
      <c r="BS209" s="1"/>
      <c r="BT209" s="1"/>
      <c r="BU209" s="1"/>
      <c r="BV209" s="2"/>
      <c r="BW209" s="1"/>
      <c r="BX209" s="1"/>
      <c r="BY209" s="1"/>
      <c r="BZ209" s="1"/>
      <c r="CA209" s="1"/>
      <c r="CB209" s="1"/>
      <c r="CC209" s="1"/>
      <c r="CD209" s="1"/>
      <c r="CE209" s="2"/>
      <c r="CF209" s="1"/>
      <c r="CG209" s="1"/>
      <c r="CH209" s="1"/>
      <c r="CI209" s="1"/>
      <c r="CJ209" s="1"/>
      <c r="CK209" s="1"/>
      <c r="CL209" s="1"/>
    </row>
    <row r="210" spans="1:90" ht="14.65" x14ac:dyDescent="0.4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2"/>
      <c r="L210" s="1"/>
      <c r="M210" s="1"/>
      <c r="N210" s="1"/>
      <c r="O210" s="1"/>
      <c r="P210" s="1"/>
      <c r="Q210" s="1"/>
      <c r="R210" s="1"/>
      <c r="S210" s="1"/>
      <c r="T210" s="2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2"/>
      <c r="AM210" s="1"/>
      <c r="AN210" s="1"/>
      <c r="AO210" s="1"/>
      <c r="AP210" s="1"/>
      <c r="AQ210" s="1"/>
      <c r="AR210" s="1"/>
      <c r="AS210" s="1"/>
      <c r="AT210" s="1"/>
      <c r="AU210" s="2"/>
      <c r="AV210" s="1"/>
      <c r="AW210" s="1"/>
      <c r="AX210" s="1"/>
      <c r="AY210" s="1"/>
      <c r="AZ210" s="1"/>
      <c r="BA210" s="1"/>
      <c r="BB210" s="1"/>
      <c r="BC210" s="1"/>
      <c r="BD210" s="2"/>
      <c r="BE210" s="1"/>
      <c r="BF210" s="1"/>
      <c r="BG210" s="1"/>
      <c r="BH210" s="1"/>
      <c r="BI210" s="1"/>
      <c r="BJ210" s="1"/>
      <c r="BK210" s="1"/>
      <c r="BL210" s="1"/>
      <c r="BM210" s="2"/>
      <c r="BN210" s="1"/>
      <c r="BO210" s="1"/>
      <c r="BP210" s="1"/>
      <c r="BQ210" s="1"/>
      <c r="BR210" s="1"/>
      <c r="BS210" s="1"/>
      <c r="BT210" s="1"/>
      <c r="BU210" s="1"/>
      <c r="BV210" s="2"/>
      <c r="BW210" s="1"/>
      <c r="BX210" s="1"/>
      <c r="BY210" s="1"/>
      <c r="BZ210" s="1"/>
      <c r="CA210" s="1"/>
      <c r="CB210" s="1"/>
      <c r="CC210" s="1"/>
      <c r="CD210" s="1"/>
      <c r="CE210" s="2"/>
      <c r="CF210" s="1"/>
      <c r="CG210" s="1"/>
      <c r="CH210" s="1"/>
      <c r="CI210" s="1"/>
      <c r="CJ210" s="1"/>
      <c r="CK210" s="1"/>
      <c r="CL210" s="1"/>
    </row>
    <row r="211" spans="1:90" ht="14.65" x14ac:dyDescent="0.4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2"/>
      <c r="L211" s="1"/>
      <c r="M211" s="1"/>
      <c r="N211" s="1"/>
      <c r="O211" s="1"/>
      <c r="P211" s="1"/>
      <c r="Q211" s="1"/>
      <c r="R211" s="1"/>
      <c r="S211" s="1"/>
      <c r="T211" s="2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2"/>
      <c r="AM211" s="1"/>
      <c r="AN211" s="1"/>
      <c r="AO211" s="1"/>
      <c r="AP211" s="1"/>
      <c r="AQ211" s="1"/>
      <c r="AR211" s="1"/>
      <c r="AS211" s="1"/>
      <c r="AT211" s="1"/>
      <c r="AU211" s="2"/>
      <c r="AV211" s="1"/>
      <c r="AW211" s="1"/>
      <c r="AX211" s="1"/>
      <c r="AY211" s="1"/>
      <c r="AZ211" s="1"/>
      <c r="BA211" s="1"/>
      <c r="BB211" s="1"/>
      <c r="BC211" s="1"/>
      <c r="BD211" s="2"/>
      <c r="BE211" s="1"/>
      <c r="BF211" s="1"/>
      <c r="BG211" s="1"/>
      <c r="BH211" s="1"/>
      <c r="BI211" s="1"/>
      <c r="BJ211" s="1"/>
      <c r="BK211" s="1"/>
      <c r="BL211" s="1"/>
      <c r="BM211" s="2"/>
      <c r="BN211" s="1"/>
      <c r="BO211" s="1"/>
      <c r="BP211" s="1"/>
      <c r="BQ211" s="1"/>
      <c r="BR211" s="1"/>
      <c r="BS211" s="1"/>
      <c r="BT211" s="1"/>
      <c r="BU211" s="1"/>
      <c r="BV211" s="2"/>
      <c r="BW211" s="1"/>
      <c r="BX211" s="1"/>
      <c r="BY211" s="1"/>
      <c r="BZ211" s="1"/>
      <c r="CA211" s="1"/>
      <c r="CB211" s="1"/>
      <c r="CC211" s="1"/>
      <c r="CD211" s="1"/>
      <c r="CE211" s="2"/>
      <c r="CF211" s="1"/>
      <c r="CG211" s="1"/>
      <c r="CH211" s="1"/>
      <c r="CI211" s="1"/>
      <c r="CJ211" s="1"/>
      <c r="CK211" s="1"/>
      <c r="CL211" s="1"/>
    </row>
    <row r="212" spans="1:90" ht="14.65" x14ac:dyDescent="0.4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2"/>
      <c r="L212" s="1"/>
      <c r="M212" s="1"/>
      <c r="N212" s="1"/>
      <c r="O212" s="1"/>
      <c r="P212" s="1"/>
      <c r="Q212" s="1"/>
      <c r="R212" s="1"/>
      <c r="S212" s="1"/>
      <c r="T212" s="2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2"/>
      <c r="AM212" s="1"/>
      <c r="AN212" s="1"/>
      <c r="AO212" s="1"/>
      <c r="AP212" s="1"/>
      <c r="AQ212" s="1"/>
      <c r="AR212" s="1"/>
      <c r="AS212" s="1"/>
      <c r="AT212" s="1"/>
      <c r="AU212" s="2"/>
      <c r="AV212" s="1"/>
      <c r="AW212" s="1"/>
      <c r="AX212" s="1"/>
      <c r="AY212" s="1"/>
      <c r="AZ212" s="1"/>
      <c r="BA212" s="1"/>
      <c r="BB212" s="1"/>
      <c r="BC212" s="1"/>
      <c r="BD212" s="2"/>
      <c r="BE212" s="1"/>
      <c r="BF212" s="1"/>
      <c r="BG212" s="1"/>
      <c r="BH212" s="1"/>
      <c r="BI212" s="1"/>
      <c r="BJ212" s="1"/>
      <c r="BK212" s="1"/>
      <c r="BL212" s="1"/>
      <c r="BM212" s="2"/>
      <c r="BN212" s="1"/>
      <c r="BO212" s="1"/>
      <c r="BP212" s="1"/>
      <c r="BQ212" s="1"/>
      <c r="BR212" s="1"/>
      <c r="BS212" s="1"/>
      <c r="BT212" s="1"/>
      <c r="BU212" s="1"/>
      <c r="BV212" s="2"/>
      <c r="BW212" s="1"/>
      <c r="BX212" s="1"/>
      <c r="BY212" s="1"/>
      <c r="BZ212" s="1"/>
      <c r="CA212" s="1"/>
      <c r="CB212" s="1"/>
      <c r="CC212" s="1"/>
      <c r="CD212" s="1"/>
      <c r="CE212" s="2"/>
      <c r="CF212" s="1"/>
      <c r="CG212" s="1"/>
      <c r="CH212" s="1"/>
      <c r="CI212" s="1"/>
      <c r="CJ212" s="1"/>
      <c r="CK212" s="1"/>
      <c r="CL212" s="1"/>
    </row>
    <row r="213" spans="1:90" ht="14.65" x14ac:dyDescent="0.4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2"/>
      <c r="L213" s="1"/>
      <c r="M213" s="1"/>
      <c r="N213" s="1"/>
      <c r="O213" s="1"/>
      <c r="P213" s="1"/>
      <c r="Q213" s="1"/>
      <c r="R213" s="1"/>
      <c r="S213" s="1"/>
      <c r="T213" s="2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2"/>
      <c r="AM213" s="1"/>
      <c r="AN213" s="1"/>
      <c r="AO213" s="1"/>
      <c r="AP213" s="1"/>
      <c r="AQ213" s="1"/>
      <c r="AR213" s="1"/>
      <c r="AS213" s="1"/>
      <c r="AT213" s="1"/>
      <c r="AU213" s="2"/>
      <c r="AV213" s="1"/>
      <c r="AW213" s="1"/>
      <c r="AX213" s="1"/>
      <c r="AY213" s="1"/>
      <c r="AZ213" s="1"/>
      <c r="BA213" s="1"/>
      <c r="BB213" s="1"/>
      <c r="BC213" s="1"/>
      <c r="BD213" s="2"/>
      <c r="BE213" s="1"/>
      <c r="BF213" s="1"/>
      <c r="BG213" s="1"/>
      <c r="BH213" s="1"/>
      <c r="BI213" s="1"/>
      <c r="BJ213" s="1"/>
      <c r="BK213" s="1"/>
      <c r="BL213" s="1"/>
      <c r="BM213" s="2"/>
      <c r="BN213" s="1"/>
      <c r="BO213" s="1"/>
      <c r="BP213" s="1"/>
      <c r="BQ213" s="1"/>
      <c r="BR213" s="1"/>
      <c r="BS213" s="1"/>
      <c r="BT213" s="1"/>
      <c r="BU213" s="1"/>
      <c r="BV213" s="2"/>
      <c r="BW213" s="1"/>
      <c r="BX213" s="1"/>
      <c r="BY213" s="1"/>
      <c r="BZ213" s="1"/>
      <c r="CA213" s="1"/>
      <c r="CB213" s="1"/>
      <c r="CC213" s="1"/>
      <c r="CD213" s="1"/>
      <c r="CE213" s="2"/>
      <c r="CF213" s="1"/>
      <c r="CG213" s="1"/>
      <c r="CH213" s="1"/>
      <c r="CI213" s="1"/>
      <c r="CJ213" s="1"/>
      <c r="CK213" s="1"/>
      <c r="CL213" s="1"/>
    </row>
    <row r="214" spans="1:90" ht="14.65" x14ac:dyDescent="0.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2"/>
      <c r="L214" s="1"/>
      <c r="M214" s="1"/>
      <c r="N214" s="1"/>
      <c r="O214" s="1"/>
      <c r="P214" s="1"/>
      <c r="Q214" s="1"/>
      <c r="R214" s="1"/>
      <c r="S214" s="1"/>
      <c r="T214" s="2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2"/>
      <c r="AM214" s="1"/>
      <c r="AN214" s="1"/>
      <c r="AO214" s="1"/>
      <c r="AP214" s="1"/>
      <c r="AQ214" s="1"/>
      <c r="AR214" s="1"/>
      <c r="AS214" s="1"/>
      <c r="AT214" s="1"/>
      <c r="AU214" s="2"/>
      <c r="AV214" s="1"/>
      <c r="AW214" s="1"/>
      <c r="AX214" s="1"/>
      <c r="AY214" s="1"/>
      <c r="AZ214" s="1"/>
      <c r="BA214" s="1"/>
      <c r="BB214" s="1"/>
      <c r="BC214" s="1"/>
      <c r="BD214" s="2"/>
      <c r="BE214" s="1"/>
      <c r="BF214" s="1"/>
      <c r="BG214" s="1"/>
      <c r="BH214" s="1"/>
      <c r="BI214" s="1"/>
      <c r="BJ214" s="1"/>
      <c r="BK214" s="1"/>
      <c r="BL214" s="1"/>
      <c r="BM214" s="2"/>
      <c r="BN214" s="1"/>
      <c r="BO214" s="1"/>
      <c r="BP214" s="1"/>
      <c r="BQ214" s="1"/>
      <c r="BR214" s="1"/>
      <c r="BS214" s="1"/>
      <c r="BT214" s="1"/>
      <c r="BU214" s="1"/>
      <c r="BV214" s="2"/>
      <c r="BW214" s="1"/>
      <c r="BX214" s="1"/>
      <c r="BY214" s="1"/>
      <c r="BZ214" s="1"/>
      <c r="CA214" s="1"/>
      <c r="CB214" s="1"/>
      <c r="CC214" s="1"/>
      <c r="CD214" s="1"/>
      <c r="CE214" s="2"/>
      <c r="CF214" s="1"/>
      <c r="CG214" s="1"/>
      <c r="CH214" s="1"/>
      <c r="CI214" s="1"/>
      <c r="CJ214" s="1"/>
      <c r="CK214" s="1"/>
      <c r="CL214" s="1"/>
    </row>
    <row r="215" spans="1:90" ht="14.65" x14ac:dyDescent="0.4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2"/>
      <c r="L215" s="1"/>
      <c r="M215" s="1"/>
      <c r="N215" s="1"/>
      <c r="O215" s="1"/>
      <c r="P215" s="1"/>
      <c r="Q215" s="1"/>
      <c r="R215" s="1"/>
      <c r="S215" s="1"/>
      <c r="T215" s="2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2"/>
      <c r="AM215" s="1"/>
      <c r="AN215" s="1"/>
      <c r="AO215" s="1"/>
      <c r="AP215" s="1"/>
      <c r="AQ215" s="1"/>
      <c r="AR215" s="1"/>
      <c r="AS215" s="1"/>
      <c r="AT215" s="1"/>
      <c r="AU215" s="2"/>
      <c r="AV215" s="1"/>
      <c r="AW215" s="1"/>
      <c r="AX215" s="1"/>
      <c r="AY215" s="1"/>
      <c r="AZ215" s="1"/>
      <c r="BA215" s="1"/>
      <c r="BB215" s="1"/>
      <c r="BC215" s="1"/>
      <c r="BD215" s="2"/>
      <c r="BE215" s="1"/>
      <c r="BF215" s="1"/>
      <c r="BG215" s="1"/>
      <c r="BH215" s="1"/>
      <c r="BI215" s="1"/>
      <c r="BJ215" s="1"/>
      <c r="BK215" s="1"/>
      <c r="BL215" s="1"/>
      <c r="BM215" s="2"/>
      <c r="BN215" s="1"/>
      <c r="BO215" s="1"/>
      <c r="BP215" s="1"/>
      <c r="BQ215" s="1"/>
      <c r="BR215" s="1"/>
      <c r="BS215" s="1"/>
      <c r="BT215" s="1"/>
      <c r="BU215" s="1"/>
      <c r="BV215" s="2"/>
      <c r="BW215" s="1"/>
      <c r="BX215" s="1"/>
      <c r="BY215" s="1"/>
      <c r="BZ215" s="1"/>
      <c r="CA215" s="1"/>
      <c r="CB215" s="1"/>
      <c r="CC215" s="1"/>
      <c r="CD215" s="1"/>
      <c r="CE215" s="2"/>
      <c r="CF215" s="1"/>
      <c r="CG215" s="1"/>
      <c r="CH215" s="1"/>
      <c r="CI215" s="1"/>
      <c r="CJ215" s="1"/>
      <c r="CK215" s="1"/>
      <c r="CL215" s="1"/>
    </row>
    <row r="216" spans="1:90" ht="14.65" x14ac:dyDescent="0.4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2"/>
      <c r="L216" s="1"/>
      <c r="M216" s="1"/>
      <c r="N216" s="1"/>
      <c r="O216" s="1"/>
      <c r="P216" s="1"/>
      <c r="Q216" s="1"/>
      <c r="R216" s="1"/>
      <c r="S216" s="1"/>
      <c r="T216" s="2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2"/>
      <c r="AM216" s="1"/>
      <c r="AN216" s="1"/>
      <c r="AO216" s="1"/>
      <c r="AP216" s="1"/>
      <c r="AQ216" s="1"/>
      <c r="AR216" s="1"/>
      <c r="AS216" s="1"/>
      <c r="AT216" s="1"/>
      <c r="AU216" s="2"/>
      <c r="AV216" s="1"/>
      <c r="AW216" s="1"/>
      <c r="AX216" s="1"/>
      <c r="AY216" s="1"/>
      <c r="AZ216" s="1"/>
      <c r="BA216" s="1"/>
      <c r="BB216" s="1"/>
      <c r="BC216" s="1"/>
      <c r="BD216" s="2"/>
      <c r="BE216" s="1"/>
      <c r="BF216" s="1"/>
      <c r="BG216" s="1"/>
      <c r="BH216" s="1"/>
      <c r="BI216" s="1"/>
      <c r="BJ216" s="1"/>
      <c r="BK216" s="1"/>
      <c r="BL216" s="1"/>
      <c r="BM216" s="2"/>
      <c r="BN216" s="1"/>
      <c r="BO216" s="1"/>
      <c r="BP216" s="1"/>
      <c r="BQ216" s="1"/>
      <c r="BR216" s="1"/>
      <c r="BS216" s="1"/>
      <c r="BT216" s="1"/>
      <c r="BU216" s="1"/>
      <c r="BV216" s="2"/>
      <c r="BW216" s="1"/>
      <c r="BX216" s="1"/>
      <c r="BY216" s="1"/>
      <c r="BZ216" s="1"/>
      <c r="CA216" s="1"/>
      <c r="CB216" s="1"/>
      <c r="CC216" s="1"/>
      <c r="CD216" s="1"/>
      <c r="CE216" s="2"/>
      <c r="CF216" s="1"/>
      <c r="CG216" s="1"/>
      <c r="CH216" s="1"/>
      <c r="CI216" s="1"/>
      <c r="CJ216" s="1"/>
      <c r="CK216" s="1"/>
      <c r="CL216" s="1"/>
    </row>
    <row r="217" spans="1:90" ht="14.65" x14ac:dyDescent="0.4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2"/>
      <c r="L217" s="1"/>
      <c r="M217" s="1"/>
      <c r="N217" s="1"/>
      <c r="O217" s="1"/>
      <c r="P217" s="1"/>
      <c r="Q217" s="1"/>
      <c r="R217" s="1"/>
      <c r="S217" s="1"/>
      <c r="T217" s="2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2"/>
      <c r="AM217" s="1"/>
      <c r="AN217" s="1"/>
      <c r="AO217" s="1"/>
      <c r="AP217" s="1"/>
      <c r="AQ217" s="1"/>
      <c r="AR217" s="1"/>
      <c r="AS217" s="1"/>
      <c r="AT217" s="1"/>
      <c r="AU217" s="2"/>
      <c r="AV217" s="1"/>
      <c r="AW217" s="1"/>
      <c r="AX217" s="1"/>
      <c r="AY217" s="1"/>
      <c r="AZ217" s="1"/>
      <c r="BA217" s="1"/>
      <c r="BB217" s="1"/>
      <c r="BC217" s="1"/>
      <c r="BD217" s="2"/>
      <c r="BE217" s="1"/>
      <c r="BF217" s="1"/>
      <c r="BG217" s="1"/>
      <c r="BH217" s="1"/>
      <c r="BI217" s="1"/>
      <c r="BJ217" s="1"/>
      <c r="BK217" s="1"/>
      <c r="BL217" s="1"/>
      <c r="BM217" s="2"/>
      <c r="BN217" s="1"/>
      <c r="BO217" s="1"/>
      <c r="BP217" s="1"/>
      <c r="BQ217" s="1"/>
      <c r="BR217" s="1"/>
      <c r="BS217" s="1"/>
      <c r="BT217" s="1"/>
      <c r="BU217" s="1"/>
      <c r="BV217" s="2"/>
      <c r="BW217" s="1"/>
      <c r="BX217" s="1"/>
      <c r="BY217" s="1"/>
      <c r="BZ217" s="1"/>
      <c r="CA217" s="1"/>
      <c r="CB217" s="1"/>
      <c r="CC217" s="1"/>
      <c r="CD217" s="1"/>
      <c r="CE217" s="2"/>
      <c r="CF217" s="1"/>
      <c r="CG217" s="1"/>
      <c r="CH217" s="1"/>
      <c r="CI217" s="1"/>
      <c r="CJ217" s="1"/>
      <c r="CK217" s="1"/>
      <c r="CL217" s="1"/>
    </row>
    <row r="218" spans="1:90" ht="14.65" x14ac:dyDescent="0.4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2"/>
      <c r="L218" s="1"/>
      <c r="M218" s="1"/>
      <c r="N218" s="1"/>
      <c r="O218" s="1"/>
      <c r="P218" s="1"/>
      <c r="Q218" s="1"/>
      <c r="R218" s="1"/>
      <c r="S218" s="1"/>
      <c r="T218" s="2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2"/>
      <c r="AM218" s="1"/>
      <c r="AN218" s="1"/>
      <c r="AO218" s="1"/>
      <c r="AP218" s="1"/>
      <c r="AQ218" s="1"/>
      <c r="AR218" s="1"/>
      <c r="AS218" s="1"/>
      <c r="AT218" s="1"/>
      <c r="AU218" s="2"/>
      <c r="AV218" s="1"/>
      <c r="AW218" s="1"/>
      <c r="AX218" s="1"/>
      <c r="AY218" s="1"/>
      <c r="AZ218" s="1"/>
      <c r="BA218" s="1"/>
      <c r="BB218" s="1"/>
      <c r="BC218" s="1"/>
      <c r="BD218" s="2"/>
      <c r="BE218" s="1"/>
      <c r="BF218" s="1"/>
      <c r="BG218" s="1"/>
      <c r="BH218" s="1"/>
      <c r="BI218" s="1"/>
      <c r="BJ218" s="1"/>
      <c r="BK218" s="1"/>
      <c r="BL218" s="1"/>
      <c r="BM218" s="2"/>
      <c r="BN218" s="1"/>
      <c r="BO218" s="1"/>
      <c r="BP218" s="1"/>
      <c r="BQ218" s="1"/>
      <c r="BR218" s="1"/>
      <c r="BS218" s="1"/>
      <c r="BT218" s="1"/>
      <c r="BU218" s="1"/>
      <c r="BV218" s="2"/>
      <c r="BW218" s="1"/>
      <c r="BX218" s="1"/>
      <c r="BY218" s="1"/>
      <c r="BZ218" s="1"/>
      <c r="CA218" s="1"/>
      <c r="CB218" s="1"/>
      <c r="CC218" s="1"/>
      <c r="CD218" s="1"/>
      <c r="CE218" s="2"/>
      <c r="CF218" s="1"/>
      <c r="CG218" s="1"/>
      <c r="CH218" s="1"/>
      <c r="CI218" s="1"/>
      <c r="CJ218" s="1"/>
      <c r="CK218" s="1"/>
      <c r="CL218" s="1"/>
    </row>
    <row r="219" spans="1:90" ht="14.65" x14ac:dyDescent="0.4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2"/>
      <c r="L219" s="1"/>
      <c r="M219" s="1"/>
      <c r="N219" s="1"/>
      <c r="O219" s="1"/>
      <c r="P219" s="1"/>
      <c r="Q219" s="1"/>
      <c r="R219" s="1"/>
      <c r="S219" s="1"/>
      <c r="T219" s="2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2"/>
      <c r="AM219" s="1"/>
      <c r="AN219" s="1"/>
      <c r="AO219" s="1"/>
      <c r="AP219" s="1"/>
      <c r="AQ219" s="1"/>
      <c r="AR219" s="1"/>
      <c r="AS219" s="1"/>
      <c r="AT219" s="1"/>
      <c r="AU219" s="2"/>
      <c r="AV219" s="1"/>
      <c r="AW219" s="1"/>
      <c r="AX219" s="1"/>
      <c r="AY219" s="1"/>
      <c r="AZ219" s="1"/>
      <c r="BA219" s="1"/>
      <c r="BB219" s="1"/>
      <c r="BC219" s="1"/>
      <c r="BD219" s="2"/>
      <c r="BE219" s="1"/>
      <c r="BF219" s="1"/>
      <c r="BG219" s="1"/>
      <c r="BH219" s="1"/>
      <c r="BI219" s="1"/>
      <c r="BJ219" s="1"/>
      <c r="BK219" s="1"/>
      <c r="BL219" s="1"/>
      <c r="BM219" s="2"/>
      <c r="BN219" s="1"/>
      <c r="BO219" s="1"/>
      <c r="BP219" s="1"/>
      <c r="BQ219" s="1"/>
      <c r="BR219" s="1"/>
      <c r="BS219" s="1"/>
      <c r="BT219" s="1"/>
      <c r="BU219" s="1"/>
      <c r="BV219" s="2"/>
      <c r="BW219" s="1"/>
      <c r="BX219" s="1"/>
      <c r="BY219" s="1"/>
      <c r="BZ219" s="1"/>
      <c r="CA219" s="1"/>
      <c r="CB219" s="1"/>
      <c r="CC219" s="1"/>
      <c r="CD219" s="1"/>
      <c r="CE219" s="2"/>
      <c r="CF219" s="1"/>
      <c r="CG219" s="1"/>
      <c r="CH219" s="1"/>
      <c r="CI219" s="1"/>
      <c r="CJ219" s="1"/>
      <c r="CK219" s="1"/>
      <c r="CL219" s="1"/>
    </row>
    <row r="220" spans="1:90" ht="14.65" x14ac:dyDescent="0.4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2"/>
      <c r="L220" s="1"/>
      <c r="M220" s="1"/>
      <c r="N220" s="1"/>
      <c r="O220" s="1"/>
      <c r="P220" s="1"/>
      <c r="Q220" s="1"/>
      <c r="R220" s="1"/>
      <c r="S220" s="1"/>
      <c r="T220" s="2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2"/>
      <c r="AM220" s="1"/>
      <c r="AN220" s="1"/>
      <c r="AO220" s="1"/>
      <c r="AP220" s="1"/>
      <c r="AQ220" s="1"/>
      <c r="AR220" s="1"/>
      <c r="AS220" s="1"/>
      <c r="AT220" s="1"/>
      <c r="AU220" s="2"/>
      <c r="AV220" s="1"/>
      <c r="AW220" s="1"/>
      <c r="AX220" s="1"/>
      <c r="AY220" s="1"/>
      <c r="AZ220" s="1"/>
      <c r="BA220" s="1"/>
      <c r="BB220" s="1"/>
      <c r="BC220" s="1"/>
      <c r="BD220" s="2"/>
      <c r="BE220" s="1"/>
      <c r="BF220" s="1"/>
      <c r="BG220" s="1"/>
      <c r="BH220" s="1"/>
      <c r="BI220" s="1"/>
      <c r="BJ220" s="1"/>
      <c r="BK220" s="1"/>
      <c r="BL220" s="1"/>
      <c r="BM220" s="2"/>
      <c r="BN220" s="1"/>
      <c r="BO220" s="1"/>
      <c r="BP220" s="1"/>
      <c r="BQ220" s="1"/>
      <c r="BR220" s="1"/>
      <c r="BS220" s="1"/>
      <c r="BT220" s="1"/>
      <c r="BU220" s="1"/>
      <c r="BV220" s="2"/>
      <c r="BW220" s="1"/>
      <c r="BX220" s="1"/>
      <c r="BY220" s="1"/>
      <c r="BZ220" s="1"/>
      <c r="CA220" s="1"/>
      <c r="CB220" s="1"/>
      <c r="CC220" s="1"/>
      <c r="CD220" s="1"/>
      <c r="CE220" s="2"/>
      <c r="CF220" s="1"/>
      <c r="CG220" s="1"/>
      <c r="CH220" s="1"/>
      <c r="CI220" s="1"/>
      <c r="CJ220" s="1"/>
      <c r="CK220" s="1"/>
      <c r="CL220" s="1"/>
    </row>
    <row r="221" spans="1:90" ht="14.65" x14ac:dyDescent="0.4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2"/>
      <c r="L221" s="1"/>
      <c r="M221" s="1"/>
      <c r="N221" s="1"/>
      <c r="O221" s="1"/>
      <c r="P221" s="1"/>
      <c r="Q221" s="1"/>
      <c r="R221" s="1"/>
      <c r="S221" s="1"/>
      <c r="T221" s="2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2"/>
      <c r="AM221" s="1"/>
      <c r="AN221" s="1"/>
      <c r="AO221" s="1"/>
      <c r="AP221" s="1"/>
      <c r="AQ221" s="1"/>
      <c r="AR221" s="1"/>
      <c r="AS221" s="1"/>
      <c r="AT221" s="1"/>
      <c r="AU221" s="2"/>
      <c r="AV221" s="1"/>
      <c r="AW221" s="1"/>
      <c r="AX221" s="1"/>
      <c r="AY221" s="1"/>
      <c r="AZ221" s="1"/>
      <c r="BA221" s="1"/>
      <c r="BB221" s="1"/>
      <c r="BC221" s="1"/>
      <c r="BD221" s="2"/>
      <c r="BE221" s="1"/>
      <c r="BF221" s="1"/>
      <c r="BG221" s="1"/>
      <c r="BH221" s="1"/>
      <c r="BI221" s="1"/>
      <c r="BJ221" s="1"/>
      <c r="BK221" s="1"/>
      <c r="BL221" s="1"/>
      <c r="BM221" s="2"/>
      <c r="BN221" s="1"/>
      <c r="BO221" s="1"/>
      <c r="BP221" s="1"/>
      <c r="BQ221" s="1"/>
      <c r="BR221" s="1"/>
      <c r="BS221" s="1"/>
      <c r="BT221" s="1"/>
      <c r="BU221" s="1"/>
      <c r="BV221" s="2"/>
      <c r="BW221" s="1"/>
      <c r="BX221" s="1"/>
      <c r="BY221" s="1"/>
      <c r="BZ221" s="1"/>
      <c r="CA221" s="1"/>
      <c r="CB221" s="1"/>
      <c r="CC221" s="1"/>
      <c r="CD221" s="1"/>
      <c r="CE221" s="2"/>
      <c r="CF221" s="1"/>
      <c r="CG221" s="1"/>
      <c r="CH221" s="1"/>
      <c r="CI221" s="1"/>
      <c r="CJ221" s="1"/>
      <c r="CK221" s="1"/>
      <c r="CL221" s="1"/>
    </row>
    <row r="222" spans="1:90" ht="14.65" x14ac:dyDescent="0.4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2"/>
      <c r="L222" s="1"/>
      <c r="M222" s="6"/>
      <c r="N222" s="1"/>
      <c r="O222" s="1"/>
      <c r="P222" s="1"/>
      <c r="Q222" s="1"/>
      <c r="R222" s="1"/>
      <c r="S222" s="1"/>
      <c r="T222" s="2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2"/>
      <c r="AM222" s="1"/>
      <c r="AN222" s="1"/>
      <c r="AO222" s="1"/>
      <c r="AP222" s="1"/>
      <c r="AQ222" s="1"/>
      <c r="AR222" s="1"/>
      <c r="AS222" s="1"/>
      <c r="AT222" s="1"/>
      <c r="AU222" s="2"/>
      <c r="AV222" s="1"/>
      <c r="AW222" s="1"/>
      <c r="AX222" s="1"/>
      <c r="AY222" s="1"/>
      <c r="AZ222" s="1"/>
      <c r="BA222" s="1"/>
      <c r="BB222" s="1"/>
      <c r="BC222" s="1"/>
      <c r="BD222" s="2"/>
      <c r="BE222" s="1"/>
      <c r="BF222" s="1"/>
      <c r="BG222" s="1"/>
      <c r="BH222" s="1"/>
      <c r="BI222" s="1"/>
      <c r="BJ222" s="1"/>
      <c r="BK222" s="1"/>
      <c r="BL222" s="1"/>
      <c r="BM222" s="2"/>
      <c r="BN222" s="1"/>
      <c r="BO222" s="1"/>
      <c r="BP222" s="1"/>
      <c r="BQ222" s="1"/>
      <c r="BR222" s="1"/>
      <c r="BS222" s="1"/>
      <c r="BT222" s="1"/>
      <c r="BU222" s="1"/>
      <c r="BV222" s="2"/>
      <c r="BW222" s="1"/>
      <c r="BX222" s="1"/>
      <c r="BY222" s="1"/>
      <c r="BZ222" s="1"/>
      <c r="CA222" s="1"/>
      <c r="CB222" s="1"/>
      <c r="CC222" s="1"/>
      <c r="CD222" s="1"/>
      <c r="CE222" s="2"/>
      <c r="CF222" s="1"/>
      <c r="CG222" s="1"/>
      <c r="CH222" s="1"/>
      <c r="CI222" s="1"/>
      <c r="CJ222" s="1"/>
      <c r="CK222" s="1"/>
      <c r="CL222" s="1"/>
    </row>
    <row r="223" spans="1:90" ht="14.65" x14ac:dyDescent="0.4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2"/>
      <c r="L223" s="1"/>
      <c r="M223" s="6"/>
      <c r="N223" s="1"/>
      <c r="O223" s="1"/>
      <c r="P223" s="1"/>
      <c r="Q223" s="1"/>
      <c r="R223" s="1"/>
      <c r="S223" s="1"/>
      <c r="T223" s="2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2"/>
      <c r="AM223" s="1"/>
      <c r="AN223" s="1"/>
      <c r="AO223" s="1"/>
      <c r="AP223" s="1"/>
      <c r="AQ223" s="1"/>
      <c r="AR223" s="1"/>
      <c r="AS223" s="1"/>
      <c r="AT223" s="1"/>
      <c r="AU223" s="2"/>
      <c r="AV223" s="1"/>
      <c r="AW223" s="1"/>
      <c r="AX223" s="1"/>
      <c r="AY223" s="1"/>
      <c r="AZ223" s="1"/>
      <c r="BA223" s="1"/>
      <c r="BB223" s="1"/>
      <c r="BC223" s="1"/>
      <c r="BD223" s="2"/>
      <c r="BE223" s="1"/>
      <c r="BF223" s="1"/>
      <c r="BG223" s="1"/>
      <c r="BH223" s="1"/>
      <c r="BI223" s="1"/>
      <c r="BJ223" s="1"/>
      <c r="BK223" s="1"/>
      <c r="BL223" s="1"/>
      <c r="BM223" s="2"/>
      <c r="BN223" s="1"/>
      <c r="BO223" s="1"/>
      <c r="BP223" s="1"/>
      <c r="BQ223" s="1"/>
      <c r="BR223" s="1"/>
      <c r="BS223" s="1"/>
      <c r="BT223" s="1"/>
      <c r="BU223" s="1"/>
      <c r="BV223" s="2"/>
      <c r="BW223" s="1"/>
      <c r="BX223" s="1"/>
      <c r="BY223" s="1"/>
      <c r="BZ223" s="1"/>
      <c r="CA223" s="1"/>
      <c r="CB223" s="1"/>
      <c r="CC223" s="1"/>
      <c r="CD223" s="1"/>
      <c r="CE223" s="2"/>
      <c r="CF223" s="1"/>
      <c r="CG223" s="1"/>
      <c r="CH223" s="1"/>
      <c r="CI223" s="1"/>
      <c r="CJ223" s="1"/>
      <c r="CK223" s="1"/>
      <c r="CL223" s="1"/>
    </row>
    <row r="224" spans="1:90" ht="14.65" x14ac:dyDescent="0.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2"/>
      <c r="L224" s="1"/>
      <c r="M224" s="1"/>
      <c r="N224" s="1"/>
      <c r="O224" s="1"/>
      <c r="P224" s="1"/>
      <c r="Q224" s="1"/>
      <c r="R224" s="1"/>
      <c r="S224" s="1"/>
      <c r="T224" s="2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2"/>
      <c r="AM224" s="1"/>
      <c r="AN224" s="1"/>
      <c r="AO224" s="1"/>
      <c r="AP224" s="1"/>
      <c r="AQ224" s="1"/>
      <c r="AR224" s="1"/>
      <c r="AS224" s="1"/>
      <c r="AT224" s="1"/>
      <c r="AU224" s="2"/>
      <c r="AV224" s="1"/>
      <c r="AW224" s="1"/>
      <c r="AX224" s="1"/>
      <c r="AY224" s="1"/>
      <c r="AZ224" s="1"/>
      <c r="BA224" s="1"/>
      <c r="BB224" s="1"/>
      <c r="BC224" s="1"/>
      <c r="BD224" s="2"/>
      <c r="BE224" s="1"/>
      <c r="BF224" s="1"/>
      <c r="BG224" s="1"/>
      <c r="BH224" s="1"/>
      <c r="BI224" s="1"/>
      <c r="BJ224" s="1"/>
      <c r="BK224" s="1"/>
      <c r="BL224" s="1"/>
      <c r="BM224" s="2"/>
      <c r="BN224" s="1"/>
      <c r="BO224" s="1"/>
      <c r="BP224" s="1"/>
      <c r="BQ224" s="1"/>
      <c r="BR224" s="1"/>
      <c r="BS224" s="1"/>
      <c r="BT224" s="1"/>
      <c r="BU224" s="1"/>
      <c r="BV224" s="2"/>
      <c r="BW224" s="1"/>
      <c r="BX224" s="1"/>
      <c r="BY224" s="1"/>
      <c r="BZ224" s="1"/>
      <c r="CA224" s="1"/>
      <c r="CB224" s="1"/>
      <c r="CC224" s="1"/>
      <c r="CD224" s="1"/>
      <c r="CE224" s="2"/>
      <c r="CF224" s="1"/>
      <c r="CG224" s="1"/>
      <c r="CH224" s="1"/>
      <c r="CI224" s="1"/>
      <c r="CJ224" s="1"/>
      <c r="CK224" s="1"/>
      <c r="CL224" s="1"/>
    </row>
    <row r="225" spans="1:90" ht="14.65" x14ac:dyDescent="0.4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2"/>
      <c r="L225" s="1"/>
      <c r="M225" s="1"/>
      <c r="N225" s="1"/>
      <c r="O225" s="1"/>
      <c r="P225" s="1"/>
      <c r="Q225" s="1"/>
      <c r="R225" s="1"/>
      <c r="S225" s="1"/>
      <c r="T225" s="2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2"/>
      <c r="AM225" s="1"/>
      <c r="AN225" s="1"/>
      <c r="AO225" s="1"/>
      <c r="AP225" s="1"/>
      <c r="AQ225" s="1"/>
      <c r="AR225" s="1"/>
      <c r="AS225" s="1"/>
      <c r="AT225" s="1"/>
      <c r="AU225" s="2"/>
      <c r="AV225" s="1"/>
      <c r="AW225" s="1"/>
      <c r="AX225" s="1"/>
      <c r="AY225" s="1"/>
      <c r="AZ225" s="1"/>
      <c r="BA225" s="1"/>
      <c r="BB225" s="1"/>
      <c r="BC225" s="1"/>
      <c r="BD225" s="2"/>
      <c r="BE225" s="1"/>
      <c r="BF225" s="1"/>
      <c r="BG225" s="1"/>
      <c r="BH225" s="1"/>
      <c r="BI225" s="1"/>
      <c r="BJ225" s="1"/>
      <c r="BK225" s="1"/>
      <c r="BL225" s="1"/>
      <c r="BM225" s="2"/>
      <c r="BN225" s="1"/>
      <c r="BO225" s="1"/>
      <c r="BP225" s="1"/>
      <c r="BQ225" s="1"/>
      <c r="BR225" s="1"/>
      <c r="BS225" s="1"/>
      <c r="BT225" s="1"/>
      <c r="BU225" s="1"/>
      <c r="BV225" s="2"/>
      <c r="BW225" s="1"/>
      <c r="BX225" s="1"/>
      <c r="BY225" s="1"/>
      <c r="BZ225" s="1"/>
      <c r="CA225" s="1"/>
      <c r="CB225" s="1"/>
      <c r="CC225" s="1"/>
      <c r="CD225" s="1"/>
      <c r="CE225" s="2"/>
      <c r="CF225" s="1"/>
      <c r="CG225" s="1"/>
      <c r="CH225" s="1"/>
      <c r="CI225" s="1"/>
      <c r="CJ225" s="1"/>
      <c r="CK225" s="1"/>
      <c r="CL225" s="1"/>
    </row>
    <row r="226" spans="1:90" ht="14.65" x14ac:dyDescent="0.4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2"/>
      <c r="L226" s="1"/>
      <c r="M226" s="1"/>
      <c r="N226" s="1"/>
      <c r="O226" s="1"/>
      <c r="P226" s="1"/>
      <c r="Q226" s="1"/>
      <c r="R226" s="1"/>
      <c r="S226" s="1"/>
      <c r="T226" s="2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2"/>
      <c r="AM226" s="1"/>
      <c r="AN226" s="1"/>
      <c r="AO226" s="1"/>
      <c r="AP226" s="1"/>
      <c r="AQ226" s="1"/>
      <c r="AR226" s="1"/>
      <c r="AS226" s="1"/>
      <c r="AT226" s="1"/>
      <c r="AU226" s="2"/>
      <c r="AV226" s="1"/>
      <c r="AW226" s="1"/>
      <c r="AX226" s="1"/>
      <c r="AY226" s="1"/>
      <c r="AZ226" s="1"/>
      <c r="BA226" s="1"/>
      <c r="BB226" s="1"/>
      <c r="BC226" s="1"/>
      <c r="BD226" s="2"/>
      <c r="BE226" s="1"/>
      <c r="BF226" s="1"/>
      <c r="BG226" s="1"/>
      <c r="BH226" s="1"/>
      <c r="BI226" s="1"/>
      <c r="BJ226" s="1"/>
      <c r="BK226" s="1"/>
      <c r="BL226" s="1"/>
      <c r="BM226" s="2"/>
      <c r="BN226" s="1"/>
      <c r="BO226" s="1"/>
      <c r="BP226" s="1"/>
      <c r="BQ226" s="1"/>
      <c r="BR226" s="1"/>
      <c r="BS226" s="1"/>
      <c r="BT226" s="1"/>
      <c r="BU226" s="1"/>
      <c r="BV226" s="2"/>
      <c r="BW226" s="1"/>
      <c r="BX226" s="1"/>
      <c r="BY226" s="1"/>
      <c r="BZ226" s="1"/>
      <c r="CA226" s="1"/>
      <c r="CB226" s="1"/>
      <c r="CC226" s="1"/>
      <c r="CD226" s="1"/>
      <c r="CE226" s="2"/>
      <c r="CF226" s="1"/>
      <c r="CG226" s="1"/>
      <c r="CH226" s="1"/>
      <c r="CI226" s="1"/>
      <c r="CJ226" s="1"/>
      <c r="CK226" s="1"/>
      <c r="CL226" s="1"/>
    </row>
    <row r="227" spans="1:90" ht="14.65" x14ac:dyDescent="0.4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2"/>
      <c r="L227" s="1"/>
      <c r="M227" s="1"/>
      <c r="N227" s="1"/>
      <c r="O227" s="1"/>
      <c r="P227" s="1"/>
      <c r="Q227" s="1"/>
      <c r="R227" s="1"/>
      <c r="S227" s="1"/>
      <c r="T227" s="2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2"/>
      <c r="AM227" s="1"/>
      <c r="AN227" s="1"/>
      <c r="AO227" s="1"/>
      <c r="AP227" s="1"/>
      <c r="AQ227" s="1"/>
      <c r="AR227" s="1"/>
      <c r="AS227" s="1"/>
      <c r="AT227" s="1"/>
      <c r="AU227" s="2"/>
      <c r="AV227" s="1"/>
      <c r="AW227" s="1"/>
      <c r="AX227" s="1"/>
      <c r="AY227" s="1"/>
      <c r="AZ227" s="1"/>
      <c r="BA227" s="1"/>
      <c r="BB227" s="1"/>
      <c r="BC227" s="1"/>
      <c r="BD227" s="2"/>
      <c r="BE227" s="1"/>
      <c r="BF227" s="1"/>
      <c r="BG227" s="1"/>
      <c r="BH227" s="1"/>
      <c r="BI227" s="1"/>
      <c r="BJ227" s="1"/>
      <c r="BK227" s="1"/>
      <c r="BL227" s="1"/>
      <c r="BM227" s="2"/>
      <c r="BN227" s="1"/>
      <c r="BO227" s="1"/>
      <c r="BP227" s="1"/>
      <c r="BQ227" s="1"/>
      <c r="BR227" s="1"/>
      <c r="BS227" s="1"/>
      <c r="BT227" s="1"/>
      <c r="BU227" s="1"/>
      <c r="BV227" s="2"/>
      <c r="BW227" s="1"/>
      <c r="BX227" s="1"/>
      <c r="BY227" s="1"/>
      <c r="BZ227" s="1"/>
      <c r="CA227" s="1"/>
      <c r="CB227" s="1"/>
      <c r="CC227" s="1"/>
      <c r="CD227" s="1"/>
      <c r="CE227" s="2"/>
      <c r="CF227" s="1"/>
      <c r="CG227" s="1"/>
      <c r="CH227" s="1"/>
      <c r="CI227" s="1"/>
      <c r="CJ227" s="1"/>
      <c r="CK227" s="1"/>
      <c r="CL227" s="1"/>
    </row>
    <row r="228" spans="1:90" ht="14.65" x14ac:dyDescent="0.4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2"/>
      <c r="L228" s="1"/>
      <c r="M228" s="1"/>
      <c r="N228" s="1"/>
      <c r="O228" s="1"/>
      <c r="P228" s="1"/>
      <c r="Q228" s="1"/>
      <c r="R228" s="1"/>
      <c r="S228" s="1"/>
      <c r="T228" s="2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2"/>
      <c r="AM228" s="1"/>
      <c r="AN228" s="1"/>
      <c r="AO228" s="1"/>
      <c r="AP228" s="1"/>
      <c r="AQ228" s="1"/>
      <c r="AR228" s="1"/>
      <c r="AS228" s="1"/>
      <c r="AT228" s="1"/>
      <c r="AU228" s="2"/>
      <c r="AV228" s="1"/>
      <c r="AW228" s="1"/>
      <c r="AX228" s="1"/>
      <c r="AY228" s="1"/>
      <c r="AZ228" s="1"/>
      <c r="BA228" s="1"/>
      <c r="BB228" s="1"/>
      <c r="BC228" s="1"/>
      <c r="BD228" s="2"/>
      <c r="BE228" s="1"/>
      <c r="BF228" s="1"/>
      <c r="BG228" s="1"/>
      <c r="BH228" s="1"/>
      <c r="BI228" s="1"/>
      <c r="BJ228" s="1"/>
      <c r="BK228" s="1"/>
      <c r="BL228" s="1"/>
      <c r="BM228" s="2"/>
      <c r="BN228" s="1"/>
      <c r="BO228" s="1"/>
      <c r="BP228" s="1"/>
      <c r="BQ228" s="1"/>
      <c r="BR228" s="1"/>
      <c r="BS228" s="1"/>
      <c r="BT228" s="1"/>
      <c r="BU228" s="1"/>
      <c r="BV228" s="2"/>
      <c r="BW228" s="1"/>
      <c r="BX228" s="1"/>
      <c r="BY228" s="1"/>
      <c r="BZ228" s="1"/>
      <c r="CA228" s="1"/>
      <c r="CB228" s="1"/>
      <c r="CC228" s="1"/>
      <c r="CD228" s="1"/>
      <c r="CE228" s="2"/>
      <c r="CF228" s="1"/>
      <c r="CG228" s="1"/>
      <c r="CH228" s="1"/>
      <c r="CI228" s="1"/>
      <c r="CJ228" s="1"/>
      <c r="CK228" s="1"/>
      <c r="CL228" s="1"/>
    </row>
    <row r="229" spans="1:90" ht="14.65" x14ac:dyDescent="0.4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2"/>
      <c r="L229" s="1"/>
      <c r="M229" s="1"/>
      <c r="N229" s="1"/>
      <c r="O229" s="1"/>
      <c r="P229" s="1"/>
      <c r="Q229" s="1"/>
      <c r="R229" s="1"/>
      <c r="S229" s="1"/>
      <c r="T229" s="2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2"/>
      <c r="AM229" s="1"/>
      <c r="AN229" s="1"/>
      <c r="AO229" s="1"/>
      <c r="AP229" s="1"/>
      <c r="AQ229" s="1"/>
      <c r="AR229" s="1"/>
      <c r="AS229" s="1"/>
      <c r="AT229" s="1"/>
      <c r="AU229" s="2"/>
      <c r="AV229" s="1"/>
      <c r="AW229" s="1"/>
      <c r="AX229" s="1"/>
      <c r="AY229" s="1"/>
      <c r="AZ229" s="1"/>
      <c r="BA229" s="1"/>
      <c r="BB229" s="1"/>
      <c r="BC229" s="1"/>
      <c r="BD229" s="2"/>
      <c r="BE229" s="1"/>
      <c r="BF229" s="1"/>
      <c r="BG229" s="1"/>
      <c r="BH229" s="1"/>
      <c r="BI229" s="1"/>
      <c r="BJ229" s="1"/>
      <c r="BK229" s="1"/>
      <c r="BL229" s="1"/>
      <c r="BM229" s="2"/>
      <c r="BN229" s="1"/>
      <c r="BO229" s="1"/>
      <c r="BP229" s="1"/>
      <c r="BQ229" s="1"/>
      <c r="BR229" s="1"/>
      <c r="BS229" s="1"/>
      <c r="BT229" s="1"/>
      <c r="BU229" s="1"/>
      <c r="BV229" s="2"/>
      <c r="BW229" s="1"/>
      <c r="BX229" s="1"/>
      <c r="BY229" s="1"/>
      <c r="BZ229" s="1"/>
      <c r="CA229" s="1"/>
      <c r="CB229" s="1"/>
      <c r="CC229" s="1"/>
      <c r="CD229" s="1"/>
      <c r="CE229" s="2"/>
      <c r="CF229" s="1"/>
      <c r="CG229" s="1"/>
      <c r="CH229" s="1"/>
      <c r="CI229" s="1"/>
      <c r="CJ229" s="1"/>
      <c r="CK229" s="1"/>
      <c r="CL229" s="1"/>
    </row>
    <row r="230" spans="1:90" ht="14.65" x14ac:dyDescent="0.4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2"/>
      <c r="L230" s="1"/>
      <c r="M230" s="1"/>
      <c r="N230" s="1"/>
      <c r="O230" s="1"/>
      <c r="P230" s="1"/>
      <c r="Q230" s="1"/>
      <c r="R230" s="1"/>
      <c r="S230" s="1"/>
      <c r="T230" s="2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2"/>
      <c r="AM230" s="1"/>
      <c r="AN230" s="1"/>
      <c r="AO230" s="1"/>
      <c r="AP230" s="1"/>
      <c r="AQ230" s="1"/>
      <c r="AR230" s="1"/>
      <c r="AS230" s="1"/>
      <c r="AT230" s="1"/>
      <c r="AU230" s="2"/>
      <c r="AV230" s="1"/>
      <c r="AW230" s="1"/>
      <c r="AX230" s="1"/>
      <c r="AY230" s="1"/>
      <c r="AZ230" s="1"/>
      <c r="BA230" s="1"/>
      <c r="BB230" s="1"/>
      <c r="BC230" s="1"/>
      <c r="BD230" s="2"/>
      <c r="BE230" s="1"/>
      <c r="BF230" s="1"/>
      <c r="BG230" s="1"/>
      <c r="BH230" s="1"/>
      <c r="BI230" s="1"/>
      <c r="BJ230" s="1"/>
      <c r="BK230" s="1"/>
      <c r="BL230" s="1"/>
      <c r="BM230" s="2"/>
      <c r="BN230" s="1"/>
      <c r="BO230" s="1"/>
      <c r="BP230" s="1"/>
      <c r="BQ230" s="1"/>
      <c r="BR230" s="1"/>
      <c r="BS230" s="1"/>
      <c r="BT230" s="1"/>
      <c r="BU230" s="1"/>
      <c r="BV230" s="2"/>
      <c r="BW230" s="1"/>
      <c r="BX230" s="1"/>
      <c r="BY230" s="1"/>
      <c r="BZ230" s="1"/>
      <c r="CA230" s="1"/>
      <c r="CB230" s="1"/>
      <c r="CC230" s="1"/>
      <c r="CD230" s="1"/>
      <c r="CE230" s="2"/>
      <c r="CF230" s="1"/>
      <c r="CG230" s="1"/>
      <c r="CH230" s="1"/>
      <c r="CI230" s="1"/>
      <c r="CJ230" s="1"/>
      <c r="CK230" s="1"/>
      <c r="CL230" s="1"/>
    </row>
    <row r="231" spans="1:90" ht="14.65" x14ac:dyDescent="0.4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2"/>
      <c r="L231" s="1"/>
      <c r="M231" s="1"/>
      <c r="N231" s="1"/>
      <c r="O231" s="1"/>
      <c r="P231" s="1"/>
      <c r="Q231" s="1"/>
      <c r="R231" s="1"/>
      <c r="S231" s="1"/>
      <c r="T231" s="2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2"/>
      <c r="AM231" s="1"/>
      <c r="AN231" s="1"/>
      <c r="AO231" s="1"/>
      <c r="AP231" s="1"/>
      <c r="AQ231" s="1"/>
      <c r="AR231" s="1"/>
      <c r="AS231" s="1"/>
      <c r="AT231" s="1"/>
      <c r="AU231" s="2"/>
      <c r="AV231" s="1"/>
      <c r="AW231" s="1"/>
      <c r="AX231" s="1"/>
      <c r="AY231" s="1"/>
      <c r="AZ231" s="1"/>
      <c r="BA231" s="1"/>
      <c r="BB231" s="1"/>
      <c r="BC231" s="1"/>
      <c r="BD231" s="2"/>
      <c r="BE231" s="1"/>
      <c r="BF231" s="1"/>
      <c r="BG231" s="1"/>
      <c r="BH231" s="1"/>
      <c r="BI231" s="1"/>
      <c r="BJ231" s="1"/>
      <c r="BK231" s="1"/>
      <c r="BL231" s="1"/>
      <c r="BM231" s="2"/>
      <c r="BN231" s="1"/>
      <c r="BO231" s="1"/>
      <c r="BP231" s="1"/>
      <c r="BQ231" s="1"/>
      <c r="BR231" s="1"/>
      <c r="BS231" s="1"/>
      <c r="BT231" s="1"/>
      <c r="BU231" s="1"/>
      <c r="BV231" s="2"/>
      <c r="BW231" s="1"/>
      <c r="BX231" s="1"/>
      <c r="BY231" s="1"/>
      <c r="BZ231" s="1"/>
      <c r="CA231" s="1"/>
      <c r="CB231" s="1"/>
      <c r="CC231" s="1"/>
      <c r="CD231" s="1"/>
      <c r="CE231" s="2"/>
      <c r="CF231" s="1"/>
      <c r="CG231" s="1"/>
      <c r="CH231" s="1"/>
      <c r="CI231" s="1"/>
      <c r="CJ231" s="1"/>
      <c r="CK231" s="1"/>
      <c r="CL231" s="1"/>
    </row>
    <row r="232" spans="1:90" ht="14.65" x14ac:dyDescent="0.4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2"/>
      <c r="L232" s="1"/>
      <c r="M232" s="1"/>
      <c r="N232" s="1"/>
      <c r="O232" s="1"/>
      <c r="P232" s="1"/>
      <c r="Q232" s="1"/>
      <c r="R232" s="1"/>
      <c r="S232" s="1"/>
      <c r="T232" s="2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2"/>
      <c r="AM232" s="1"/>
      <c r="AN232" s="1"/>
      <c r="AO232" s="1"/>
      <c r="AP232" s="1"/>
      <c r="AQ232" s="1"/>
      <c r="AR232" s="1"/>
      <c r="AS232" s="1"/>
      <c r="AT232" s="1"/>
      <c r="AU232" s="2"/>
      <c r="AV232" s="1"/>
      <c r="AW232" s="1"/>
      <c r="AX232" s="1"/>
      <c r="AY232" s="1"/>
      <c r="AZ232" s="1"/>
      <c r="BA232" s="1"/>
      <c r="BB232" s="1"/>
      <c r="BC232" s="1"/>
      <c r="BD232" s="2"/>
      <c r="BE232" s="1"/>
      <c r="BF232" s="1"/>
      <c r="BG232" s="1"/>
      <c r="BH232" s="1"/>
      <c r="BI232" s="1"/>
      <c r="BJ232" s="1"/>
      <c r="BK232" s="1"/>
      <c r="BL232" s="1"/>
      <c r="BM232" s="2"/>
      <c r="BN232" s="1"/>
      <c r="BO232" s="1"/>
      <c r="BP232" s="1"/>
      <c r="BQ232" s="1"/>
      <c r="BR232" s="1"/>
      <c r="BS232" s="1"/>
      <c r="BT232" s="1"/>
      <c r="BU232" s="1"/>
      <c r="BV232" s="2"/>
      <c r="BW232" s="1"/>
      <c r="BX232" s="1"/>
      <c r="BY232" s="1"/>
      <c r="BZ232" s="1"/>
      <c r="CA232" s="1"/>
      <c r="CB232" s="1"/>
      <c r="CC232" s="1"/>
      <c r="CD232" s="1"/>
      <c r="CE232" s="2"/>
      <c r="CF232" s="1"/>
      <c r="CG232" s="1"/>
      <c r="CH232" s="1"/>
      <c r="CI232" s="1"/>
      <c r="CJ232" s="1"/>
      <c r="CK232" s="1"/>
      <c r="CL232" s="1"/>
    </row>
    <row r="233" spans="1:90" ht="14.65" x14ac:dyDescent="0.4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2"/>
      <c r="L233" s="1"/>
      <c r="M233" s="1"/>
      <c r="N233" s="1"/>
      <c r="O233" s="1"/>
      <c r="P233" s="1"/>
      <c r="Q233" s="1"/>
      <c r="R233" s="1"/>
      <c r="S233" s="1"/>
      <c r="T233" s="2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2"/>
      <c r="AM233" s="1"/>
      <c r="AN233" s="1"/>
      <c r="AO233" s="1"/>
      <c r="AP233" s="1"/>
      <c r="AQ233" s="1"/>
      <c r="AR233" s="1"/>
      <c r="AS233" s="1"/>
      <c r="AT233" s="1"/>
      <c r="AU233" s="2"/>
      <c r="AV233" s="1"/>
      <c r="AW233" s="1"/>
      <c r="AX233" s="1"/>
      <c r="AY233" s="1"/>
      <c r="AZ233" s="1"/>
      <c r="BA233" s="1"/>
      <c r="BB233" s="1"/>
      <c r="BC233" s="1"/>
      <c r="BD233" s="2"/>
      <c r="BE233" s="1"/>
      <c r="BF233" s="1"/>
      <c r="BG233" s="1"/>
      <c r="BH233" s="1"/>
      <c r="BI233" s="1"/>
      <c r="BJ233" s="1"/>
      <c r="BK233" s="1"/>
      <c r="BL233" s="1"/>
      <c r="BM233" s="2"/>
      <c r="BN233" s="1"/>
      <c r="BO233" s="1"/>
      <c r="BP233" s="1"/>
      <c r="BQ233" s="1"/>
      <c r="BR233" s="1"/>
      <c r="BS233" s="1"/>
      <c r="BT233" s="1"/>
      <c r="BU233" s="1"/>
      <c r="BV233" s="2"/>
      <c r="BW233" s="1"/>
      <c r="BX233" s="1"/>
      <c r="BY233" s="1"/>
      <c r="BZ233" s="1"/>
      <c r="CA233" s="1"/>
      <c r="CB233" s="1"/>
      <c r="CC233" s="1"/>
      <c r="CD233" s="1"/>
      <c r="CE233" s="2"/>
      <c r="CF233" s="1"/>
      <c r="CG233" s="1"/>
      <c r="CH233" s="1"/>
      <c r="CI233" s="1"/>
      <c r="CJ233" s="1"/>
      <c r="CK233" s="1"/>
      <c r="CL233" s="1"/>
    </row>
    <row r="234" spans="1:90" ht="14.65" x14ac:dyDescent="0.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2"/>
      <c r="L234" s="1"/>
      <c r="M234" s="1"/>
      <c r="N234" s="1"/>
      <c r="O234" s="1"/>
      <c r="P234" s="1"/>
      <c r="Q234" s="1"/>
      <c r="R234" s="1"/>
      <c r="S234" s="1"/>
      <c r="T234" s="2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2"/>
      <c r="AM234" s="1"/>
      <c r="AN234" s="1"/>
      <c r="AO234" s="1"/>
      <c r="AP234" s="1"/>
      <c r="AQ234" s="1"/>
      <c r="AR234" s="1"/>
      <c r="AS234" s="1"/>
      <c r="AT234" s="1"/>
      <c r="AU234" s="2"/>
      <c r="AV234" s="1"/>
      <c r="AW234" s="1"/>
      <c r="AX234" s="1"/>
      <c r="AY234" s="1"/>
      <c r="AZ234" s="1"/>
      <c r="BA234" s="1"/>
      <c r="BB234" s="1"/>
      <c r="BC234" s="1"/>
      <c r="BD234" s="2"/>
      <c r="BE234" s="1"/>
      <c r="BF234" s="1"/>
      <c r="BG234" s="1"/>
      <c r="BH234" s="1"/>
      <c r="BI234" s="1"/>
      <c r="BJ234" s="1"/>
      <c r="BK234" s="1"/>
      <c r="BL234" s="1"/>
      <c r="BM234" s="2"/>
      <c r="BN234" s="1"/>
      <c r="BO234" s="1"/>
      <c r="BP234" s="1"/>
      <c r="BQ234" s="1"/>
      <c r="BR234" s="1"/>
      <c r="BS234" s="1"/>
      <c r="BT234" s="1"/>
      <c r="BU234" s="1"/>
      <c r="BV234" s="2"/>
      <c r="BW234" s="1"/>
      <c r="BX234" s="1"/>
      <c r="BY234" s="1"/>
      <c r="BZ234" s="1"/>
      <c r="CA234" s="1"/>
      <c r="CB234" s="1"/>
      <c r="CC234" s="1"/>
      <c r="CD234" s="1"/>
      <c r="CE234" s="2"/>
      <c r="CF234" s="1"/>
      <c r="CG234" s="1"/>
      <c r="CH234" s="1"/>
      <c r="CI234" s="1"/>
      <c r="CJ234" s="1"/>
      <c r="CK234" s="1"/>
      <c r="CL234" s="1"/>
    </row>
    <row r="235" spans="1:90" ht="14.65" x14ac:dyDescent="0.4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2"/>
      <c r="L235" s="1"/>
      <c r="M235" s="1"/>
      <c r="N235" s="1"/>
      <c r="O235" s="1"/>
      <c r="P235" s="1"/>
      <c r="Q235" s="1"/>
      <c r="R235" s="1"/>
      <c r="S235" s="1"/>
      <c r="T235" s="2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2"/>
      <c r="AM235" s="1"/>
      <c r="AN235" s="1"/>
      <c r="AO235" s="1"/>
      <c r="AP235" s="1"/>
      <c r="AQ235" s="1"/>
      <c r="AR235" s="1"/>
      <c r="AS235" s="1"/>
      <c r="AT235" s="1"/>
      <c r="AU235" s="2"/>
      <c r="AV235" s="1"/>
      <c r="AW235" s="1"/>
      <c r="AX235" s="1"/>
      <c r="AY235" s="1"/>
      <c r="AZ235" s="1"/>
      <c r="BA235" s="1"/>
      <c r="BB235" s="1"/>
      <c r="BC235" s="1"/>
      <c r="BD235" s="2"/>
      <c r="BE235" s="1"/>
      <c r="BF235" s="1"/>
      <c r="BG235" s="1"/>
      <c r="BH235" s="1"/>
      <c r="BI235" s="1"/>
      <c r="BJ235" s="1"/>
      <c r="BK235" s="1"/>
      <c r="BL235" s="1"/>
      <c r="BM235" s="2"/>
      <c r="BN235" s="1"/>
      <c r="BO235" s="1"/>
      <c r="BP235" s="1"/>
      <c r="BQ235" s="1"/>
      <c r="BR235" s="1"/>
      <c r="BS235" s="1"/>
      <c r="BT235" s="1"/>
      <c r="BU235" s="1"/>
      <c r="BV235" s="2"/>
      <c r="BW235" s="1"/>
      <c r="BX235" s="1"/>
      <c r="BY235" s="1"/>
      <c r="BZ235" s="1"/>
      <c r="CA235" s="1"/>
      <c r="CB235" s="1"/>
      <c r="CC235" s="1"/>
      <c r="CD235" s="1"/>
      <c r="CE235" s="2"/>
      <c r="CF235" s="1"/>
      <c r="CG235" s="1"/>
      <c r="CH235" s="1"/>
      <c r="CI235" s="1"/>
      <c r="CJ235" s="1"/>
      <c r="CK235" s="1"/>
      <c r="CL235" s="1"/>
    </row>
    <row r="236" spans="1:90" ht="14.65" x14ac:dyDescent="0.4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2"/>
      <c r="L236" s="1"/>
      <c r="M236" s="1"/>
      <c r="N236" s="1"/>
      <c r="O236" s="1"/>
      <c r="P236" s="1"/>
      <c r="Q236" s="1"/>
      <c r="R236" s="1"/>
      <c r="S236" s="1"/>
      <c r="T236" s="2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2"/>
      <c r="AM236" s="1"/>
      <c r="AN236" s="1"/>
      <c r="AO236" s="1"/>
      <c r="AP236" s="1"/>
      <c r="AQ236" s="1"/>
      <c r="AR236" s="1"/>
      <c r="AS236" s="1"/>
      <c r="AT236" s="1"/>
      <c r="AU236" s="2"/>
      <c r="AV236" s="1"/>
      <c r="AW236" s="1"/>
      <c r="AX236" s="1"/>
      <c r="AY236" s="1"/>
      <c r="AZ236" s="1"/>
      <c r="BA236" s="1"/>
      <c r="BB236" s="1"/>
      <c r="BC236" s="1"/>
      <c r="BD236" s="2"/>
      <c r="BE236" s="1"/>
      <c r="BF236" s="1"/>
      <c r="BG236" s="1"/>
      <c r="BH236" s="1"/>
      <c r="BI236" s="1"/>
      <c r="BJ236" s="1"/>
      <c r="BK236" s="1"/>
      <c r="BL236" s="1"/>
      <c r="BM236" s="2"/>
      <c r="BN236" s="1"/>
      <c r="BO236" s="1"/>
      <c r="BP236" s="1"/>
      <c r="BQ236" s="1"/>
      <c r="BR236" s="1"/>
      <c r="BS236" s="1"/>
      <c r="BT236" s="1"/>
      <c r="BU236" s="1"/>
      <c r="BV236" s="2"/>
      <c r="BW236" s="1"/>
      <c r="BX236" s="1"/>
      <c r="BY236" s="1"/>
      <c r="BZ236" s="1"/>
      <c r="CA236" s="1"/>
      <c r="CB236" s="1"/>
      <c r="CC236" s="1"/>
      <c r="CD236" s="1"/>
      <c r="CE236" s="2"/>
      <c r="CF236" s="1"/>
      <c r="CG236" s="1"/>
      <c r="CH236" s="1"/>
      <c r="CI236" s="1"/>
      <c r="CJ236" s="1"/>
      <c r="CK236" s="1"/>
      <c r="CL236" s="1"/>
    </row>
    <row r="237" spans="1:90" ht="14.65" x14ac:dyDescent="0.4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2"/>
      <c r="L237" s="1"/>
      <c r="M237" s="1"/>
      <c r="N237" s="1"/>
      <c r="O237" s="1"/>
      <c r="P237" s="1"/>
      <c r="Q237" s="1"/>
      <c r="R237" s="1"/>
      <c r="S237" s="1"/>
      <c r="T237" s="2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2"/>
      <c r="AM237" s="1"/>
      <c r="AN237" s="1"/>
      <c r="AO237" s="1"/>
      <c r="AP237" s="1"/>
      <c r="AQ237" s="1"/>
      <c r="AR237" s="1"/>
      <c r="AS237" s="1"/>
      <c r="AT237" s="1"/>
      <c r="AU237" s="2"/>
      <c r="AV237" s="1"/>
      <c r="AW237" s="1"/>
      <c r="AX237" s="1"/>
      <c r="AY237" s="1"/>
      <c r="AZ237" s="1"/>
      <c r="BA237" s="1"/>
      <c r="BB237" s="1"/>
      <c r="BC237" s="1"/>
      <c r="BD237" s="2"/>
      <c r="BE237" s="1"/>
      <c r="BF237" s="1"/>
      <c r="BG237" s="1"/>
      <c r="BH237" s="1"/>
      <c r="BI237" s="1"/>
      <c r="BJ237" s="1"/>
      <c r="BK237" s="1"/>
      <c r="BL237" s="1"/>
      <c r="BM237" s="2"/>
      <c r="BN237" s="1"/>
      <c r="BO237" s="1"/>
      <c r="BP237" s="1"/>
      <c r="BQ237" s="1"/>
      <c r="BR237" s="1"/>
      <c r="BS237" s="1"/>
      <c r="BT237" s="1"/>
      <c r="BU237" s="1"/>
      <c r="BV237" s="2"/>
      <c r="BW237" s="1"/>
      <c r="BX237" s="1"/>
      <c r="BY237" s="1"/>
      <c r="BZ237" s="1"/>
      <c r="CA237" s="1"/>
      <c r="CB237" s="1"/>
      <c r="CC237" s="1"/>
      <c r="CD237" s="1"/>
      <c r="CE237" s="2"/>
      <c r="CF237" s="1"/>
      <c r="CG237" s="1"/>
      <c r="CH237" s="1"/>
      <c r="CI237" s="1"/>
      <c r="CJ237" s="1"/>
      <c r="CK237" s="1"/>
      <c r="CL237" s="1"/>
    </row>
    <row r="238" spans="1:90" ht="14.65" x14ac:dyDescent="0.4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2"/>
      <c r="L238" s="1"/>
      <c r="M238" s="1"/>
      <c r="N238" s="1"/>
      <c r="O238" s="1"/>
      <c r="P238" s="1"/>
      <c r="Q238" s="1"/>
      <c r="R238" s="1"/>
      <c r="S238" s="1"/>
      <c r="T238" s="2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2"/>
      <c r="AM238" s="1"/>
      <c r="AN238" s="1"/>
      <c r="AO238" s="1"/>
      <c r="AP238" s="1"/>
      <c r="AQ238" s="1"/>
      <c r="AR238" s="1"/>
      <c r="AS238" s="1"/>
      <c r="AT238" s="1"/>
      <c r="AU238" s="2"/>
      <c r="AV238" s="1"/>
      <c r="AW238" s="1"/>
      <c r="AX238" s="1"/>
      <c r="AY238" s="1"/>
      <c r="AZ238" s="1"/>
      <c r="BA238" s="1"/>
      <c r="BB238" s="1"/>
      <c r="BC238" s="1"/>
      <c r="BD238" s="2"/>
      <c r="BE238" s="1"/>
      <c r="BF238" s="1"/>
      <c r="BG238" s="1"/>
      <c r="BH238" s="1"/>
      <c r="BI238" s="1"/>
      <c r="BJ238" s="1"/>
      <c r="BK238" s="1"/>
      <c r="BL238" s="1"/>
      <c r="BM238" s="2"/>
      <c r="BN238" s="1"/>
      <c r="BO238" s="1"/>
      <c r="BP238" s="1"/>
      <c r="BQ238" s="1"/>
      <c r="BR238" s="1"/>
      <c r="BS238" s="1"/>
      <c r="BT238" s="1"/>
      <c r="BU238" s="1"/>
      <c r="BV238" s="2"/>
      <c r="BW238" s="1"/>
      <c r="BX238" s="1"/>
      <c r="BY238" s="1"/>
      <c r="BZ238" s="1"/>
      <c r="CA238" s="1"/>
      <c r="CB238" s="1"/>
      <c r="CC238" s="1"/>
      <c r="CD238" s="1"/>
      <c r="CE238" s="2"/>
      <c r="CF238" s="1"/>
      <c r="CG238" s="1"/>
      <c r="CH238" s="1"/>
      <c r="CI238" s="1"/>
      <c r="CJ238" s="1"/>
      <c r="CK238" s="1"/>
      <c r="CL238" s="1"/>
    </row>
    <row r="239" spans="1:90" ht="14.65" x14ac:dyDescent="0.4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2"/>
      <c r="L239" s="1"/>
      <c r="M239" s="1"/>
      <c r="N239" s="1"/>
      <c r="O239" s="1"/>
      <c r="P239" s="1"/>
      <c r="Q239" s="1"/>
      <c r="R239" s="1"/>
      <c r="S239" s="1"/>
      <c r="T239" s="2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2"/>
      <c r="AM239" s="1"/>
      <c r="AN239" s="1"/>
      <c r="AO239" s="1"/>
      <c r="AP239" s="1"/>
      <c r="AQ239" s="1"/>
      <c r="AR239" s="1"/>
      <c r="AS239" s="1"/>
      <c r="AT239" s="1"/>
      <c r="AU239" s="2"/>
      <c r="AV239" s="1"/>
      <c r="AW239" s="1"/>
      <c r="AX239" s="1"/>
      <c r="AY239" s="1"/>
      <c r="AZ239" s="1"/>
      <c r="BA239" s="1"/>
      <c r="BB239" s="1"/>
      <c r="BC239" s="1"/>
      <c r="BD239" s="2"/>
      <c r="BE239" s="1"/>
      <c r="BF239" s="1"/>
      <c r="BG239" s="1"/>
      <c r="BH239" s="1"/>
      <c r="BI239" s="1"/>
      <c r="BJ239" s="1"/>
      <c r="BK239" s="1"/>
      <c r="BL239" s="1"/>
      <c r="BM239" s="2"/>
      <c r="BN239" s="1"/>
      <c r="BO239" s="1"/>
      <c r="BP239" s="1"/>
      <c r="BQ239" s="1"/>
      <c r="BR239" s="1"/>
      <c r="BS239" s="1"/>
      <c r="BT239" s="1"/>
      <c r="BU239" s="1"/>
      <c r="BV239" s="2"/>
      <c r="BW239" s="1"/>
      <c r="BX239" s="1"/>
      <c r="BY239" s="1"/>
      <c r="BZ239" s="1"/>
      <c r="CA239" s="1"/>
      <c r="CB239" s="1"/>
      <c r="CC239" s="1"/>
      <c r="CD239" s="1"/>
      <c r="CE239" s="2"/>
      <c r="CF239" s="1"/>
      <c r="CG239" s="1"/>
      <c r="CH239" s="1"/>
      <c r="CI239" s="1"/>
      <c r="CJ239" s="1"/>
      <c r="CK239" s="1"/>
      <c r="CL239" s="1"/>
    </row>
    <row r="240" spans="1:90" ht="14.65" x14ac:dyDescent="0.4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2"/>
      <c r="L240" s="1"/>
      <c r="M240" s="1"/>
      <c r="N240" s="1"/>
      <c r="O240" s="1"/>
      <c r="P240" s="1"/>
      <c r="Q240" s="1"/>
      <c r="R240" s="1"/>
      <c r="S240" s="1"/>
      <c r="T240" s="2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2"/>
      <c r="AM240" s="1"/>
      <c r="AN240" s="1"/>
      <c r="AO240" s="1"/>
      <c r="AP240" s="1"/>
      <c r="AQ240" s="1"/>
      <c r="AR240" s="1"/>
      <c r="AS240" s="1"/>
      <c r="AT240" s="1"/>
      <c r="AU240" s="2"/>
      <c r="AV240" s="1"/>
      <c r="AW240" s="1"/>
      <c r="AX240" s="1"/>
      <c r="AY240" s="1"/>
      <c r="AZ240" s="1"/>
      <c r="BA240" s="1"/>
      <c r="BB240" s="1"/>
      <c r="BC240" s="1"/>
      <c r="BD240" s="2"/>
      <c r="BE240" s="1"/>
      <c r="BF240" s="1"/>
      <c r="BG240" s="1"/>
      <c r="BH240" s="1"/>
      <c r="BI240" s="1"/>
      <c r="BJ240" s="1"/>
      <c r="BK240" s="1"/>
      <c r="BL240" s="1"/>
      <c r="BM240" s="2"/>
      <c r="BN240" s="1"/>
      <c r="BO240" s="1"/>
      <c r="BP240" s="1"/>
      <c r="BQ240" s="1"/>
      <c r="BR240" s="1"/>
      <c r="BS240" s="1"/>
      <c r="BT240" s="1"/>
      <c r="BU240" s="1"/>
      <c r="BV240" s="2"/>
      <c r="BW240" s="1"/>
      <c r="BX240" s="1"/>
      <c r="BY240" s="1"/>
      <c r="BZ240" s="1"/>
      <c r="CA240" s="1"/>
      <c r="CB240" s="1"/>
      <c r="CC240" s="1"/>
      <c r="CD240" s="1"/>
      <c r="CE240" s="2"/>
      <c r="CF240" s="1"/>
      <c r="CG240" s="1"/>
      <c r="CH240" s="1"/>
      <c r="CI240" s="1"/>
      <c r="CJ240" s="1"/>
      <c r="CK240" s="1"/>
      <c r="CL240" s="1"/>
    </row>
    <row r="241" spans="1:90" ht="14.65" x14ac:dyDescent="0.4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2"/>
      <c r="L241" s="1"/>
      <c r="M241" s="1"/>
      <c r="N241" s="1"/>
      <c r="O241" s="1"/>
      <c r="P241" s="1"/>
      <c r="Q241" s="1"/>
      <c r="R241" s="1"/>
      <c r="S241" s="1"/>
      <c r="T241" s="2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2"/>
      <c r="AM241" s="1"/>
      <c r="AN241" s="1"/>
      <c r="AO241" s="1"/>
      <c r="AP241" s="1"/>
      <c r="AQ241" s="1"/>
      <c r="AR241" s="1"/>
      <c r="AS241" s="1"/>
      <c r="AT241" s="1"/>
      <c r="AU241" s="2"/>
      <c r="AV241" s="1"/>
      <c r="AW241" s="1"/>
      <c r="AX241" s="1"/>
      <c r="AY241" s="1"/>
      <c r="AZ241" s="1"/>
      <c r="BA241" s="1"/>
      <c r="BB241" s="1"/>
      <c r="BC241" s="1"/>
      <c r="BD241" s="2"/>
      <c r="BE241" s="1"/>
      <c r="BF241" s="1"/>
      <c r="BG241" s="1"/>
      <c r="BH241" s="1"/>
      <c r="BI241" s="1"/>
      <c r="BJ241" s="1"/>
      <c r="BK241" s="1"/>
      <c r="BL241" s="1"/>
      <c r="BM241" s="2"/>
      <c r="BN241" s="1"/>
      <c r="BO241" s="1"/>
      <c r="BP241" s="1"/>
      <c r="BQ241" s="1"/>
      <c r="BR241" s="1"/>
      <c r="BS241" s="1"/>
      <c r="BT241" s="1"/>
      <c r="BU241" s="1"/>
      <c r="BV241" s="2"/>
      <c r="BW241" s="1"/>
      <c r="BX241" s="1"/>
      <c r="BY241" s="1"/>
      <c r="BZ241" s="1"/>
      <c r="CA241" s="1"/>
      <c r="CB241" s="1"/>
      <c r="CC241" s="1"/>
      <c r="CD241" s="1"/>
      <c r="CE241" s="2"/>
      <c r="CF241" s="1"/>
      <c r="CG241" s="1"/>
      <c r="CH241" s="1"/>
      <c r="CI241" s="1"/>
      <c r="CJ241" s="1"/>
      <c r="CK241" s="1"/>
      <c r="CL241" s="1"/>
    </row>
    <row r="242" spans="1:90" ht="14.65" x14ac:dyDescent="0.4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2"/>
      <c r="L242" s="1"/>
      <c r="M242" s="1"/>
      <c r="N242" s="1"/>
      <c r="O242" s="1"/>
      <c r="P242" s="1"/>
      <c r="Q242" s="1"/>
      <c r="R242" s="1"/>
      <c r="S242" s="1"/>
      <c r="T242" s="2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2"/>
      <c r="AM242" s="1"/>
      <c r="AN242" s="1"/>
      <c r="AO242" s="1"/>
      <c r="AP242" s="1"/>
      <c r="AQ242" s="1"/>
      <c r="AR242" s="1"/>
      <c r="AS242" s="1"/>
      <c r="AT242" s="1"/>
      <c r="AU242" s="2"/>
      <c r="AV242" s="1"/>
      <c r="AW242" s="1"/>
      <c r="AX242" s="1"/>
      <c r="AY242" s="1"/>
      <c r="AZ242" s="1"/>
      <c r="BA242" s="1"/>
      <c r="BB242" s="1"/>
      <c r="BC242" s="1"/>
      <c r="BD242" s="2"/>
      <c r="BE242" s="1"/>
      <c r="BF242" s="1"/>
      <c r="BG242" s="1"/>
      <c r="BH242" s="1"/>
      <c r="BI242" s="1"/>
      <c r="BJ242" s="1"/>
      <c r="BK242" s="1"/>
      <c r="BL242" s="1"/>
      <c r="BM242" s="2"/>
      <c r="BN242" s="1"/>
      <c r="BO242" s="1"/>
      <c r="BP242" s="1"/>
      <c r="BQ242" s="1"/>
      <c r="BR242" s="1"/>
      <c r="BS242" s="1"/>
      <c r="BT242" s="1"/>
      <c r="BU242" s="1"/>
      <c r="BV242" s="2"/>
      <c r="BW242" s="1"/>
      <c r="BX242" s="1"/>
      <c r="BY242" s="1"/>
      <c r="BZ242" s="1"/>
      <c r="CA242" s="1"/>
      <c r="CB242" s="1"/>
      <c r="CC242" s="1"/>
      <c r="CD242" s="1"/>
      <c r="CE242" s="2"/>
      <c r="CF242" s="1"/>
      <c r="CG242" s="1"/>
      <c r="CH242" s="1"/>
      <c r="CI242" s="1"/>
      <c r="CJ242" s="1"/>
      <c r="CK242" s="1"/>
      <c r="CL242" s="1"/>
    </row>
    <row r="243" spans="1:90" ht="14.65" x14ac:dyDescent="0.4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2"/>
      <c r="L243" s="1"/>
      <c r="M243" s="1"/>
      <c r="N243" s="1"/>
      <c r="O243" s="1"/>
      <c r="P243" s="1"/>
      <c r="Q243" s="1"/>
      <c r="R243" s="1"/>
      <c r="S243" s="1"/>
      <c r="T243" s="2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2"/>
      <c r="AM243" s="1"/>
      <c r="AN243" s="1"/>
      <c r="AO243" s="1"/>
      <c r="AP243" s="1"/>
      <c r="AQ243" s="1"/>
      <c r="AR243" s="1"/>
      <c r="AS243" s="1"/>
      <c r="AT243" s="1"/>
      <c r="AU243" s="2"/>
      <c r="AV243" s="1"/>
      <c r="AW243" s="1"/>
      <c r="AX243" s="1"/>
      <c r="AY243" s="1"/>
      <c r="AZ243" s="1"/>
      <c r="BA243" s="1"/>
      <c r="BB243" s="1"/>
      <c r="BC243" s="1"/>
      <c r="BD243" s="2"/>
      <c r="BE243" s="1"/>
      <c r="BF243" s="1"/>
      <c r="BG243" s="1"/>
      <c r="BH243" s="1"/>
      <c r="BI243" s="1"/>
      <c r="BJ243" s="1"/>
      <c r="BK243" s="1"/>
      <c r="BL243" s="1"/>
      <c r="BM243" s="2"/>
      <c r="BN243" s="1"/>
      <c r="BO243" s="1"/>
      <c r="BP243" s="1"/>
      <c r="BQ243" s="1"/>
      <c r="BR243" s="1"/>
      <c r="BS243" s="1"/>
      <c r="BT243" s="1"/>
      <c r="BU243" s="1"/>
      <c r="BV243" s="2"/>
      <c r="BW243" s="1"/>
      <c r="BX243" s="1"/>
      <c r="BY243" s="1"/>
      <c r="BZ243" s="1"/>
      <c r="CA243" s="1"/>
      <c r="CB243" s="1"/>
      <c r="CC243" s="1"/>
      <c r="CD243" s="1"/>
      <c r="CE243" s="2"/>
      <c r="CF243" s="1"/>
      <c r="CG243" s="1"/>
      <c r="CH243" s="1"/>
      <c r="CI243" s="1"/>
      <c r="CJ243" s="1"/>
      <c r="CK243" s="1"/>
      <c r="CL243" s="1"/>
    </row>
    <row r="244" spans="1:90" ht="14.65" x14ac:dyDescent="0.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2"/>
      <c r="L244" s="1"/>
      <c r="M244" s="1"/>
      <c r="N244" s="1"/>
      <c r="O244" s="1"/>
      <c r="P244" s="1"/>
      <c r="Q244" s="1"/>
      <c r="R244" s="1"/>
      <c r="S244" s="1"/>
      <c r="T244" s="2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2"/>
      <c r="AM244" s="1"/>
      <c r="AN244" s="1"/>
      <c r="AO244" s="1"/>
      <c r="AP244" s="1"/>
      <c r="AQ244" s="1"/>
      <c r="AR244" s="1"/>
      <c r="AS244" s="1"/>
      <c r="AT244" s="1"/>
      <c r="AU244" s="2"/>
      <c r="AV244" s="1"/>
      <c r="AW244" s="1"/>
      <c r="AX244" s="1"/>
      <c r="AY244" s="1"/>
      <c r="AZ244" s="1"/>
      <c r="BA244" s="1"/>
      <c r="BB244" s="1"/>
      <c r="BC244" s="1"/>
      <c r="BD244" s="2"/>
      <c r="BE244" s="1"/>
      <c r="BF244" s="1"/>
      <c r="BG244" s="1"/>
      <c r="BH244" s="1"/>
      <c r="BI244" s="1"/>
      <c r="BJ244" s="1"/>
      <c r="BK244" s="1"/>
      <c r="BL244" s="1"/>
      <c r="BM244" s="2"/>
      <c r="BN244" s="1"/>
      <c r="BO244" s="1"/>
      <c r="BP244" s="1"/>
      <c r="BQ244" s="1"/>
      <c r="BR244" s="1"/>
      <c r="BS244" s="1"/>
      <c r="BT244" s="1"/>
      <c r="BU244" s="1"/>
      <c r="BV244" s="2"/>
      <c r="BW244" s="1"/>
      <c r="BX244" s="1"/>
      <c r="BY244" s="1"/>
      <c r="BZ244" s="1"/>
      <c r="CA244" s="1"/>
      <c r="CB244" s="1"/>
      <c r="CC244" s="1"/>
      <c r="CD244" s="1"/>
      <c r="CE244" s="2"/>
      <c r="CF244" s="1"/>
      <c r="CG244" s="1"/>
      <c r="CH244" s="1"/>
      <c r="CI244" s="1"/>
      <c r="CJ244" s="1"/>
      <c r="CK244" s="1"/>
      <c r="CL244" s="1"/>
    </row>
    <row r="245" spans="1:90" ht="14.65" x14ac:dyDescent="0.4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2"/>
      <c r="L245" s="1"/>
      <c r="M245" s="1"/>
      <c r="N245" s="1"/>
      <c r="O245" s="1"/>
      <c r="P245" s="1"/>
      <c r="Q245" s="1"/>
      <c r="R245" s="1"/>
      <c r="S245" s="1"/>
      <c r="T245" s="2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2"/>
      <c r="AM245" s="1"/>
      <c r="AN245" s="1"/>
      <c r="AO245" s="1"/>
      <c r="AP245" s="1"/>
      <c r="AQ245" s="1"/>
      <c r="AR245" s="1"/>
      <c r="AS245" s="1"/>
      <c r="AT245" s="1"/>
      <c r="AU245" s="2"/>
      <c r="AV245" s="1"/>
      <c r="AW245" s="1"/>
      <c r="AX245" s="1"/>
      <c r="AY245" s="1"/>
      <c r="AZ245" s="1"/>
      <c r="BA245" s="1"/>
      <c r="BB245" s="1"/>
      <c r="BC245" s="1"/>
      <c r="BD245" s="2"/>
      <c r="BE245" s="1"/>
      <c r="BF245" s="1"/>
      <c r="BG245" s="1"/>
      <c r="BH245" s="1"/>
      <c r="BI245" s="1"/>
      <c r="BJ245" s="1"/>
      <c r="BK245" s="1"/>
      <c r="BL245" s="1"/>
      <c r="BM245" s="2"/>
      <c r="BN245" s="1"/>
      <c r="BO245" s="1"/>
      <c r="BP245" s="1"/>
      <c r="BQ245" s="1"/>
      <c r="BR245" s="1"/>
      <c r="BS245" s="1"/>
      <c r="BT245" s="1"/>
      <c r="BU245" s="1"/>
      <c r="BV245" s="2"/>
      <c r="BW245" s="1"/>
      <c r="BX245" s="1"/>
      <c r="BY245" s="1"/>
      <c r="BZ245" s="1"/>
      <c r="CA245" s="1"/>
      <c r="CB245" s="1"/>
      <c r="CC245" s="1"/>
      <c r="CD245" s="1"/>
      <c r="CE245" s="2"/>
      <c r="CF245" s="1"/>
      <c r="CG245" s="1"/>
      <c r="CH245" s="1"/>
      <c r="CI245" s="1"/>
      <c r="CJ245" s="1"/>
      <c r="CK245" s="1"/>
      <c r="CL245" s="1"/>
    </row>
    <row r="246" spans="1:90" ht="14.65" x14ac:dyDescent="0.4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2"/>
      <c r="L246" s="1"/>
      <c r="M246" s="1"/>
      <c r="N246" s="1"/>
      <c r="O246" s="1"/>
      <c r="P246" s="1"/>
      <c r="Q246" s="1"/>
      <c r="R246" s="1"/>
      <c r="S246" s="1"/>
      <c r="T246" s="2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2"/>
      <c r="AM246" s="1"/>
      <c r="AN246" s="1"/>
      <c r="AO246" s="1"/>
      <c r="AP246" s="1"/>
      <c r="AQ246" s="1"/>
      <c r="AR246" s="1"/>
      <c r="AS246" s="1"/>
      <c r="AT246" s="1"/>
      <c r="AU246" s="2"/>
      <c r="AV246" s="1"/>
      <c r="AW246" s="1"/>
      <c r="AX246" s="1"/>
      <c r="AY246" s="1"/>
      <c r="AZ246" s="1"/>
      <c r="BA246" s="1"/>
      <c r="BB246" s="1"/>
      <c r="BC246" s="1"/>
      <c r="BD246" s="2"/>
      <c r="BE246" s="1"/>
      <c r="BF246" s="1"/>
      <c r="BG246" s="1"/>
      <c r="BH246" s="1"/>
      <c r="BI246" s="1"/>
      <c r="BJ246" s="1"/>
      <c r="BK246" s="1"/>
      <c r="BL246" s="1"/>
      <c r="BM246" s="2"/>
      <c r="BN246" s="1"/>
      <c r="BO246" s="1"/>
      <c r="BP246" s="1"/>
      <c r="BQ246" s="1"/>
      <c r="BR246" s="1"/>
      <c r="BS246" s="1"/>
      <c r="BT246" s="1"/>
      <c r="BU246" s="1"/>
      <c r="BV246" s="2"/>
      <c r="BW246" s="1"/>
      <c r="BX246" s="1"/>
      <c r="BY246" s="1"/>
      <c r="BZ246" s="1"/>
      <c r="CA246" s="1"/>
      <c r="CB246" s="1"/>
      <c r="CC246" s="1"/>
      <c r="CD246" s="1"/>
      <c r="CE246" s="2"/>
      <c r="CF246" s="1"/>
      <c r="CG246" s="1"/>
      <c r="CH246" s="1"/>
      <c r="CI246" s="1"/>
      <c r="CJ246" s="1"/>
      <c r="CK246" s="1"/>
      <c r="CL246" s="1"/>
    </row>
    <row r="247" spans="1:90" ht="14.65" x14ac:dyDescent="0.4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2"/>
      <c r="L247" s="1"/>
      <c r="M247" s="1"/>
      <c r="N247" s="1"/>
      <c r="O247" s="1"/>
      <c r="P247" s="1"/>
      <c r="Q247" s="1"/>
      <c r="R247" s="1"/>
      <c r="S247" s="1"/>
      <c r="T247" s="2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2"/>
      <c r="AM247" s="1"/>
      <c r="AN247" s="1"/>
      <c r="AO247" s="1"/>
      <c r="AP247" s="1"/>
      <c r="AQ247" s="1"/>
      <c r="AR247" s="1"/>
      <c r="AS247" s="1"/>
      <c r="AT247" s="1"/>
      <c r="AU247" s="2"/>
      <c r="AV247" s="1"/>
      <c r="AW247" s="1"/>
      <c r="AX247" s="1"/>
      <c r="AY247" s="1"/>
      <c r="AZ247" s="1"/>
      <c r="BA247" s="1"/>
      <c r="BB247" s="1"/>
      <c r="BC247" s="1"/>
      <c r="BD247" s="2"/>
      <c r="BE247" s="1"/>
      <c r="BF247" s="1"/>
      <c r="BG247" s="1"/>
      <c r="BH247" s="1"/>
      <c r="BI247" s="1"/>
      <c r="BJ247" s="1"/>
      <c r="BK247" s="1"/>
      <c r="BL247" s="1"/>
      <c r="BM247" s="2"/>
      <c r="BN247" s="1"/>
      <c r="BO247" s="1"/>
      <c r="BP247" s="1"/>
      <c r="BQ247" s="1"/>
      <c r="BR247" s="1"/>
      <c r="BS247" s="1"/>
      <c r="BT247" s="1"/>
      <c r="BU247" s="1"/>
      <c r="BV247" s="2"/>
      <c r="BW247" s="1"/>
      <c r="BX247" s="1"/>
      <c r="BY247" s="1"/>
      <c r="BZ247" s="1"/>
      <c r="CA247" s="1"/>
      <c r="CB247" s="1"/>
      <c r="CC247" s="1"/>
      <c r="CD247" s="1"/>
      <c r="CE247" s="2"/>
      <c r="CF247" s="1"/>
      <c r="CG247" s="1"/>
      <c r="CH247" s="1"/>
      <c r="CI247" s="1"/>
      <c r="CJ247" s="1"/>
      <c r="CK247" s="1"/>
      <c r="CL247" s="1"/>
    </row>
    <row r="248" spans="1:90" ht="14.65" x14ac:dyDescent="0.4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2"/>
      <c r="L248" s="1"/>
      <c r="M248" s="1"/>
      <c r="N248" s="1"/>
      <c r="O248" s="1"/>
      <c r="P248" s="1"/>
      <c r="Q248" s="1"/>
      <c r="R248" s="1"/>
      <c r="S248" s="1"/>
      <c r="T248" s="2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2"/>
      <c r="AM248" s="1"/>
      <c r="AN248" s="1"/>
      <c r="AO248" s="1"/>
      <c r="AP248" s="1"/>
      <c r="AQ248" s="1"/>
      <c r="AR248" s="1"/>
      <c r="AS248" s="1"/>
      <c r="AT248" s="1"/>
      <c r="AU248" s="2"/>
      <c r="AV248" s="1"/>
      <c r="AW248" s="1"/>
      <c r="AX248" s="1"/>
      <c r="AY248" s="1"/>
      <c r="AZ248" s="1"/>
      <c r="BA248" s="1"/>
      <c r="BB248" s="1"/>
      <c r="BC248" s="1"/>
      <c r="BD248" s="2"/>
      <c r="BE248" s="1"/>
      <c r="BF248" s="1"/>
      <c r="BG248" s="1"/>
      <c r="BH248" s="1"/>
      <c r="BI248" s="1"/>
      <c r="BJ248" s="1"/>
      <c r="BK248" s="1"/>
      <c r="BL248" s="1"/>
      <c r="BM248" s="2"/>
      <c r="BN248" s="1"/>
      <c r="BO248" s="1"/>
      <c r="BP248" s="1"/>
      <c r="BQ248" s="1"/>
      <c r="BR248" s="1"/>
      <c r="BS248" s="1"/>
      <c r="BT248" s="1"/>
      <c r="BU248" s="1"/>
      <c r="BV248" s="2"/>
      <c r="BW248" s="1"/>
      <c r="BX248" s="1"/>
      <c r="BY248" s="1"/>
      <c r="BZ248" s="1"/>
      <c r="CA248" s="1"/>
      <c r="CB248" s="1"/>
      <c r="CC248" s="1"/>
      <c r="CD248" s="1"/>
      <c r="CE248" s="2"/>
      <c r="CF248" s="1"/>
      <c r="CG248" s="1"/>
      <c r="CH248" s="1"/>
      <c r="CI248" s="1"/>
      <c r="CJ248" s="1"/>
      <c r="CK248" s="1"/>
      <c r="CL248" s="1"/>
    </row>
    <row r="249" spans="1:90" ht="14.65" x14ac:dyDescent="0.4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2"/>
      <c r="L249" s="1"/>
      <c r="M249" s="1"/>
      <c r="N249" s="1"/>
      <c r="O249" s="1"/>
      <c r="P249" s="1"/>
      <c r="Q249" s="1"/>
      <c r="R249" s="1"/>
      <c r="S249" s="1"/>
      <c r="T249" s="2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2"/>
      <c r="AM249" s="1"/>
      <c r="AN249" s="1"/>
      <c r="AO249" s="1"/>
      <c r="AP249" s="1"/>
      <c r="AQ249" s="1"/>
      <c r="AR249" s="1"/>
      <c r="AS249" s="1"/>
      <c r="AT249" s="1"/>
      <c r="AU249" s="2"/>
      <c r="AV249" s="1"/>
      <c r="AW249" s="1"/>
      <c r="AX249" s="1"/>
      <c r="AY249" s="1"/>
      <c r="AZ249" s="1"/>
      <c r="BA249" s="1"/>
      <c r="BB249" s="1"/>
      <c r="BC249" s="1"/>
      <c r="BD249" s="2"/>
      <c r="BE249" s="1"/>
      <c r="BF249" s="1"/>
      <c r="BG249" s="1"/>
      <c r="BH249" s="1"/>
      <c r="BI249" s="1"/>
      <c r="BJ249" s="1"/>
      <c r="BK249" s="1"/>
      <c r="BL249" s="1"/>
      <c r="BM249" s="2"/>
      <c r="BN249" s="1"/>
      <c r="BO249" s="1"/>
      <c r="BP249" s="1"/>
      <c r="BQ249" s="1"/>
      <c r="BR249" s="1"/>
      <c r="BS249" s="1"/>
      <c r="BT249" s="1"/>
      <c r="BU249" s="1"/>
      <c r="BV249" s="2"/>
      <c r="BW249" s="1"/>
      <c r="BX249" s="1"/>
      <c r="BY249" s="1"/>
      <c r="BZ249" s="1"/>
      <c r="CA249" s="1"/>
      <c r="CB249" s="1"/>
      <c r="CC249" s="1"/>
      <c r="CD249" s="1"/>
      <c r="CE249" s="2"/>
      <c r="CF249" s="1"/>
      <c r="CG249" s="1"/>
      <c r="CH249" s="1"/>
      <c r="CI249" s="1"/>
      <c r="CJ249" s="1"/>
      <c r="CK249" s="1"/>
      <c r="CL249" s="1"/>
    </row>
    <row r="250" spans="1:90" ht="14.65" x14ac:dyDescent="0.4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2"/>
      <c r="L250" s="1"/>
      <c r="M250" s="1"/>
      <c r="N250" s="1"/>
      <c r="O250" s="1"/>
      <c r="P250" s="1"/>
      <c r="Q250" s="1"/>
      <c r="R250" s="1"/>
      <c r="S250" s="1"/>
      <c r="T250" s="2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2"/>
      <c r="AM250" s="1"/>
      <c r="AN250" s="1"/>
      <c r="AO250" s="1"/>
      <c r="AP250" s="1"/>
      <c r="AQ250" s="1"/>
      <c r="AR250" s="1"/>
      <c r="AS250" s="1"/>
      <c r="AT250" s="1"/>
      <c r="AU250" s="2"/>
      <c r="AV250" s="1"/>
      <c r="AW250" s="1"/>
      <c r="AX250" s="1"/>
      <c r="AY250" s="1"/>
      <c r="AZ250" s="1"/>
      <c r="BA250" s="1"/>
      <c r="BB250" s="1"/>
      <c r="BC250" s="1"/>
      <c r="BD250" s="2"/>
      <c r="BE250" s="1"/>
      <c r="BF250" s="1"/>
      <c r="BG250" s="1"/>
      <c r="BH250" s="1"/>
      <c r="BI250" s="1"/>
      <c r="BJ250" s="1"/>
      <c r="BK250" s="1"/>
      <c r="BL250" s="1"/>
      <c r="BM250" s="2"/>
      <c r="BN250" s="1"/>
      <c r="BO250" s="1"/>
      <c r="BP250" s="1"/>
      <c r="BQ250" s="1"/>
      <c r="BR250" s="1"/>
      <c r="BS250" s="1"/>
      <c r="BT250" s="1"/>
      <c r="BU250" s="1"/>
      <c r="BV250" s="2"/>
      <c r="BW250" s="1"/>
      <c r="BX250" s="1"/>
      <c r="BY250" s="1"/>
      <c r="BZ250" s="1"/>
      <c r="CA250" s="1"/>
      <c r="CB250" s="1"/>
      <c r="CC250" s="1"/>
      <c r="CD250" s="1"/>
      <c r="CE250" s="2"/>
      <c r="CF250" s="1"/>
      <c r="CG250" s="1"/>
      <c r="CH250" s="1"/>
      <c r="CI250" s="1"/>
      <c r="CJ250" s="1"/>
      <c r="CK250" s="1"/>
      <c r="CL250" s="1"/>
    </row>
    <row r="251" spans="1:90" ht="14.65" x14ac:dyDescent="0.4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2"/>
      <c r="L251" s="1"/>
      <c r="M251" s="1"/>
      <c r="N251" s="1"/>
      <c r="O251" s="1"/>
      <c r="P251" s="1"/>
      <c r="Q251" s="1"/>
      <c r="R251" s="1"/>
      <c r="S251" s="1"/>
      <c r="T251" s="2"/>
      <c r="U251" s="1"/>
      <c r="V251" s="1"/>
      <c r="W251" s="1"/>
      <c r="X251" s="1"/>
      <c r="Y251" s="1"/>
      <c r="Z251" s="1"/>
      <c r="AA251" s="1"/>
      <c r="AB251" s="1"/>
      <c r="AC251" s="2"/>
      <c r="AD251" s="1"/>
      <c r="AE251" s="1"/>
      <c r="AF251" s="1"/>
      <c r="AG251" s="1"/>
      <c r="AH251" s="1"/>
      <c r="AI251" s="1"/>
      <c r="AJ251" s="1"/>
      <c r="AK251" s="1"/>
      <c r="AL251" s="2"/>
      <c r="AM251" s="1"/>
      <c r="AN251" s="1"/>
      <c r="AO251" s="1"/>
      <c r="AP251" s="1"/>
      <c r="AQ251" s="1"/>
      <c r="AR251" s="1"/>
      <c r="AS251" s="1"/>
      <c r="AT251" s="1"/>
      <c r="AU251" s="2"/>
      <c r="AV251" s="1"/>
      <c r="AW251" s="1"/>
      <c r="AX251" s="1"/>
      <c r="AY251" s="1"/>
      <c r="AZ251" s="1"/>
      <c r="BA251" s="1"/>
      <c r="BB251" s="1"/>
      <c r="BC251" s="1"/>
      <c r="BD251" s="2"/>
      <c r="BE251" s="1"/>
      <c r="BF251" s="1"/>
      <c r="BG251" s="1"/>
      <c r="BH251" s="1"/>
      <c r="BI251" s="1"/>
      <c r="BJ251" s="1"/>
      <c r="BK251" s="1"/>
      <c r="BL251" s="1"/>
      <c r="BM251" s="2"/>
      <c r="BN251" s="1"/>
      <c r="BO251" s="1"/>
      <c r="BP251" s="1"/>
      <c r="BQ251" s="1"/>
      <c r="BR251" s="1"/>
      <c r="BS251" s="1"/>
      <c r="BT251" s="1"/>
      <c r="BU251" s="1"/>
      <c r="BV251" s="2"/>
      <c r="BW251" s="1"/>
      <c r="BX251" s="1"/>
      <c r="BY251" s="1"/>
      <c r="BZ251" s="1"/>
      <c r="CA251" s="1"/>
      <c r="CB251" s="1"/>
      <c r="CC251" s="1"/>
      <c r="CD251" s="1"/>
      <c r="CE251" s="2"/>
      <c r="CF251" s="1"/>
      <c r="CG251" s="1"/>
      <c r="CH251" s="1"/>
      <c r="CI251" s="1"/>
      <c r="CJ251" s="1"/>
      <c r="CK251" s="1"/>
      <c r="CL251" s="1"/>
    </row>
    <row r="252" spans="1:90" ht="14.65" x14ac:dyDescent="0.4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2"/>
      <c r="L252" s="1"/>
      <c r="M252" s="1"/>
      <c r="N252" s="1"/>
      <c r="O252" s="1"/>
      <c r="P252" s="1"/>
      <c r="Q252" s="1"/>
      <c r="R252" s="1"/>
      <c r="S252" s="1"/>
      <c r="T252" s="2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2"/>
      <c r="AM252" s="1"/>
      <c r="AN252" s="1"/>
      <c r="AO252" s="1"/>
      <c r="AP252" s="1"/>
      <c r="AQ252" s="1"/>
      <c r="AR252" s="1"/>
      <c r="AS252" s="1"/>
      <c r="AT252" s="1"/>
      <c r="AU252" s="2"/>
      <c r="AV252" s="1"/>
      <c r="AW252" s="1"/>
      <c r="AX252" s="1"/>
      <c r="AY252" s="1"/>
      <c r="AZ252" s="1"/>
      <c r="BA252" s="1"/>
      <c r="BB252" s="1"/>
      <c r="BC252" s="1"/>
      <c r="BD252" s="2"/>
      <c r="BE252" s="1"/>
      <c r="BF252" s="1"/>
      <c r="BG252" s="1"/>
      <c r="BH252" s="1"/>
      <c r="BI252" s="1"/>
      <c r="BJ252" s="1"/>
      <c r="BK252" s="1"/>
      <c r="BL252" s="1"/>
      <c r="BM252" s="2"/>
      <c r="BN252" s="1"/>
      <c r="BO252" s="1"/>
      <c r="BP252" s="1"/>
      <c r="BQ252" s="1"/>
      <c r="BR252" s="1"/>
      <c r="BS252" s="1"/>
      <c r="BT252" s="1"/>
      <c r="BU252" s="1"/>
      <c r="BV252" s="2"/>
      <c r="BW252" s="1"/>
      <c r="BX252" s="1"/>
      <c r="BY252" s="1"/>
      <c r="BZ252" s="1"/>
      <c r="CA252" s="1"/>
      <c r="CB252" s="1"/>
      <c r="CC252" s="1"/>
      <c r="CD252" s="1"/>
      <c r="CE252" s="2"/>
      <c r="CF252" s="1"/>
      <c r="CG252" s="1"/>
      <c r="CH252" s="1"/>
      <c r="CI252" s="1"/>
      <c r="CJ252" s="1"/>
      <c r="CK252" s="1"/>
      <c r="CL252" s="1"/>
    </row>
    <row r="253" spans="1:90" ht="14.65" x14ac:dyDescent="0.4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2"/>
      <c r="L253" s="1"/>
      <c r="M253" s="1"/>
      <c r="N253" s="1"/>
      <c r="O253" s="1"/>
      <c r="P253" s="1"/>
      <c r="Q253" s="1"/>
      <c r="R253" s="1"/>
      <c r="S253" s="1"/>
      <c r="T253" s="2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2"/>
      <c r="AM253" s="1"/>
      <c r="AN253" s="1"/>
      <c r="AO253" s="1"/>
      <c r="AP253" s="1"/>
      <c r="AQ253" s="1"/>
      <c r="AR253" s="1"/>
      <c r="AS253" s="1"/>
      <c r="AT253" s="1"/>
      <c r="AU253" s="2"/>
      <c r="AV253" s="1"/>
      <c r="AW253" s="1"/>
      <c r="AX253" s="1"/>
      <c r="AY253" s="1"/>
      <c r="AZ253" s="1"/>
      <c r="BA253" s="1"/>
      <c r="BB253" s="1"/>
      <c r="BC253" s="1"/>
      <c r="BD253" s="2"/>
      <c r="BE253" s="1"/>
      <c r="BF253" s="1"/>
      <c r="BG253" s="1"/>
      <c r="BH253" s="1"/>
      <c r="BI253" s="1"/>
      <c r="BJ253" s="1"/>
      <c r="BK253" s="1"/>
      <c r="BL253" s="1"/>
      <c r="BM253" s="2"/>
      <c r="BN253" s="1"/>
      <c r="BO253" s="1"/>
      <c r="BP253" s="1"/>
      <c r="BQ253" s="1"/>
      <c r="BR253" s="1"/>
      <c r="BS253" s="1"/>
      <c r="BT253" s="1"/>
      <c r="BU253" s="1"/>
      <c r="BV253" s="2"/>
      <c r="BW253" s="1"/>
      <c r="BX253" s="1"/>
      <c r="BY253" s="1"/>
      <c r="BZ253" s="1"/>
      <c r="CA253" s="1"/>
      <c r="CB253" s="1"/>
      <c r="CC253" s="1"/>
      <c r="CD253" s="1"/>
      <c r="CE253" s="2"/>
      <c r="CF253" s="1"/>
      <c r="CG253" s="1"/>
      <c r="CH253" s="1"/>
      <c r="CI253" s="1"/>
      <c r="CJ253" s="1"/>
      <c r="CK253" s="1"/>
      <c r="CL253" s="1"/>
    </row>
    <row r="254" spans="1:90" ht="14.65" x14ac:dyDescent="0.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2"/>
      <c r="L254" s="1"/>
      <c r="M254" s="1"/>
      <c r="N254" s="1"/>
      <c r="O254" s="1"/>
      <c r="P254" s="1"/>
      <c r="Q254" s="1"/>
      <c r="R254" s="1"/>
      <c r="S254" s="1"/>
      <c r="T254" s="2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2"/>
      <c r="AM254" s="1"/>
      <c r="AN254" s="1"/>
      <c r="AO254" s="1"/>
      <c r="AP254" s="1"/>
      <c r="AQ254" s="1"/>
      <c r="AR254" s="1"/>
      <c r="AS254" s="1"/>
      <c r="AT254" s="1"/>
      <c r="AU254" s="2"/>
      <c r="AV254" s="1"/>
      <c r="AW254" s="1"/>
      <c r="AX254" s="1"/>
      <c r="AY254" s="1"/>
      <c r="AZ254" s="1"/>
      <c r="BA254" s="1"/>
      <c r="BB254" s="1"/>
      <c r="BC254" s="1"/>
      <c r="BD254" s="2"/>
      <c r="BE254" s="1"/>
      <c r="BF254" s="1"/>
      <c r="BG254" s="1"/>
      <c r="BH254" s="1"/>
      <c r="BI254" s="1"/>
      <c r="BJ254" s="1"/>
      <c r="BK254" s="1"/>
      <c r="BL254" s="1"/>
      <c r="BM254" s="2"/>
      <c r="BN254" s="1"/>
      <c r="BO254" s="1"/>
      <c r="BP254" s="1"/>
      <c r="BQ254" s="1"/>
      <c r="BR254" s="1"/>
      <c r="BS254" s="1"/>
      <c r="BT254" s="1"/>
      <c r="BU254" s="1"/>
      <c r="BV254" s="2"/>
      <c r="BW254" s="1"/>
      <c r="BX254" s="1"/>
      <c r="BY254" s="1"/>
      <c r="BZ254" s="1"/>
      <c r="CA254" s="1"/>
      <c r="CB254" s="1"/>
      <c r="CC254" s="1"/>
      <c r="CD254" s="1"/>
      <c r="CE254" s="2"/>
      <c r="CF254" s="1"/>
      <c r="CG254" s="1"/>
      <c r="CH254" s="1"/>
      <c r="CI254" s="1"/>
      <c r="CJ254" s="1"/>
      <c r="CK254" s="1"/>
      <c r="CL254" s="1"/>
    </row>
    <row r="255" spans="1:90" ht="14.65" x14ac:dyDescent="0.4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2"/>
      <c r="L255" s="1"/>
      <c r="M255" s="1"/>
      <c r="N255" s="1"/>
      <c r="O255" s="1"/>
      <c r="P255" s="1"/>
      <c r="Q255" s="1"/>
      <c r="R255" s="1"/>
      <c r="S255" s="1"/>
      <c r="T255" s="2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2"/>
      <c r="AM255" s="1"/>
      <c r="AN255" s="1"/>
      <c r="AO255" s="1"/>
      <c r="AP255" s="1"/>
      <c r="AQ255" s="1"/>
      <c r="AR255" s="1"/>
      <c r="AS255" s="1"/>
      <c r="AT255" s="1"/>
      <c r="AU255" s="2"/>
      <c r="AV255" s="1"/>
      <c r="AW255" s="1"/>
      <c r="AX255" s="1"/>
      <c r="AY255" s="1"/>
      <c r="AZ255" s="1"/>
      <c r="BA255" s="1"/>
      <c r="BB255" s="1"/>
      <c r="BC255" s="1"/>
      <c r="BD255" s="2"/>
      <c r="BE255" s="1"/>
      <c r="BF255" s="1"/>
      <c r="BG255" s="1"/>
      <c r="BH255" s="1"/>
      <c r="BI255" s="1"/>
      <c r="BJ255" s="1"/>
      <c r="BK255" s="1"/>
      <c r="BL255" s="1"/>
      <c r="BM255" s="2"/>
      <c r="BN255" s="1"/>
      <c r="BO255" s="1"/>
      <c r="BP255" s="1"/>
      <c r="BQ255" s="1"/>
      <c r="BR255" s="1"/>
      <c r="BS255" s="1"/>
      <c r="BT255" s="1"/>
      <c r="BU255" s="1"/>
      <c r="BV255" s="2"/>
      <c r="BW255" s="1"/>
      <c r="BX255" s="1"/>
      <c r="BY255" s="1"/>
      <c r="BZ255" s="1"/>
      <c r="CA255" s="1"/>
      <c r="CB255" s="1"/>
      <c r="CC255" s="1"/>
      <c r="CD255" s="1"/>
      <c r="CE255" s="2"/>
      <c r="CF255" s="1"/>
      <c r="CG255" s="1"/>
      <c r="CH255" s="1"/>
      <c r="CI255" s="1"/>
      <c r="CJ255" s="1"/>
      <c r="CK255" s="1"/>
      <c r="CL255" s="1"/>
    </row>
    <row r="256" spans="1:90" ht="14.65" x14ac:dyDescent="0.4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2"/>
      <c r="L256" s="1"/>
      <c r="M256" s="1"/>
      <c r="N256" s="1"/>
      <c r="O256" s="1"/>
      <c r="P256" s="1"/>
      <c r="Q256" s="1"/>
      <c r="R256" s="1"/>
      <c r="S256" s="1"/>
      <c r="T256" s="2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2"/>
      <c r="AM256" s="1"/>
      <c r="AN256" s="1"/>
      <c r="AO256" s="1"/>
      <c r="AP256" s="1"/>
      <c r="AQ256" s="1"/>
      <c r="AR256" s="1"/>
      <c r="AS256" s="1"/>
      <c r="AT256" s="1"/>
      <c r="AU256" s="2"/>
      <c r="AV256" s="1"/>
      <c r="AW256" s="1"/>
      <c r="AX256" s="1"/>
      <c r="AY256" s="1"/>
      <c r="AZ256" s="1"/>
      <c r="BA256" s="1"/>
      <c r="BB256" s="1"/>
      <c r="BC256" s="1"/>
      <c r="BD256" s="2"/>
      <c r="BE256" s="1"/>
      <c r="BF256" s="1"/>
      <c r="BG256" s="1"/>
      <c r="BH256" s="1"/>
      <c r="BI256" s="1"/>
      <c r="BJ256" s="1"/>
      <c r="BK256" s="1"/>
      <c r="BL256" s="1"/>
      <c r="BM256" s="2"/>
      <c r="BN256" s="1"/>
      <c r="BO256" s="1"/>
      <c r="BP256" s="1"/>
      <c r="BQ256" s="1"/>
      <c r="BR256" s="1"/>
      <c r="BS256" s="1"/>
      <c r="BT256" s="1"/>
      <c r="BU256" s="1"/>
      <c r="BV256" s="2"/>
      <c r="BW256" s="1"/>
      <c r="BX256" s="1"/>
      <c r="BY256" s="1"/>
      <c r="BZ256" s="1"/>
      <c r="CA256" s="1"/>
      <c r="CB256" s="1"/>
      <c r="CC256" s="1"/>
      <c r="CD256" s="1"/>
      <c r="CE256" s="2"/>
      <c r="CF256" s="1"/>
      <c r="CG256" s="1"/>
      <c r="CH256" s="1"/>
      <c r="CI256" s="1"/>
      <c r="CJ256" s="1"/>
      <c r="CK256" s="1"/>
      <c r="CL256" s="1"/>
    </row>
    <row r="257" spans="1:90" ht="14.65" x14ac:dyDescent="0.4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2"/>
      <c r="L257" s="1"/>
      <c r="M257" s="1"/>
      <c r="N257" s="1"/>
      <c r="O257" s="1"/>
      <c r="P257" s="1"/>
      <c r="Q257" s="1"/>
      <c r="R257" s="1"/>
      <c r="S257" s="1"/>
      <c r="T257" s="2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2"/>
      <c r="AM257" s="1"/>
      <c r="AN257" s="1"/>
      <c r="AO257" s="1"/>
      <c r="AP257" s="1"/>
      <c r="AQ257" s="1"/>
      <c r="AR257" s="1"/>
      <c r="AS257" s="1"/>
      <c r="AT257" s="1"/>
      <c r="AU257" s="2"/>
      <c r="AV257" s="1"/>
      <c r="AW257" s="1"/>
      <c r="AX257" s="1"/>
      <c r="AY257" s="1"/>
      <c r="AZ257" s="1"/>
      <c r="BA257" s="1"/>
      <c r="BB257" s="1"/>
      <c r="BC257" s="1"/>
      <c r="BD257" s="2"/>
      <c r="BE257" s="1"/>
      <c r="BF257" s="1"/>
      <c r="BG257" s="1"/>
      <c r="BH257" s="1"/>
      <c r="BI257" s="1"/>
      <c r="BJ257" s="1"/>
      <c r="BK257" s="1"/>
      <c r="BL257" s="1"/>
      <c r="BM257" s="2"/>
      <c r="BN257" s="1"/>
      <c r="BO257" s="1"/>
      <c r="BP257" s="1"/>
      <c r="BQ257" s="1"/>
      <c r="BR257" s="1"/>
      <c r="BS257" s="1"/>
      <c r="BT257" s="1"/>
      <c r="BU257" s="1"/>
      <c r="BV257" s="2"/>
      <c r="BW257" s="1"/>
      <c r="BX257" s="1"/>
      <c r="BY257" s="1"/>
      <c r="BZ257" s="1"/>
      <c r="CA257" s="1"/>
      <c r="CB257" s="1"/>
      <c r="CC257" s="1"/>
      <c r="CD257" s="1"/>
      <c r="CE257" s="2"/>
      <c r="CF257" s="1"/>
      <c r="CG257" s="1"/>
      <c r="CH257" s="1"/>
      <c r="CI257" s="1"/>
      <c r="CJ257" s="1"/>
      <c r="CK257" s="1"/>
      <c r="CL257" s="1"/>
    </row>
    <row r="258" spans="1:90" ht="14.65" x14ac:dyDescent="0.4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2"/>
      <c r="L258" s="1"/>
      <c r="M258" s="1"/>
      <c r="N258" s="1"/>
      <c r="O258" s="1"/>
      <c r="P258" s="1"/>
      <c r="Q258" s="1"/>
      <c r="R258" s="1"/>
      <c r="S258" s="1"/>
      <c r="T258" s="2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2"/>
      <c r="AM258" s="1"/>
      <c r="AN258" s="1"/>
      <c r="AO258" s="1"/>
      <c r="AP258" s="1"/>
      <c r="AQ258" s="1"/>
      <c r="AR258" s="1"/>
      <c r="AS258" s="1"/>
      <c r="AT258" s="1"/>
      <c r="AU258" s="2"/>
      <c r="AV258" s="1"/>
      <c r="AW258" s="1"/>
      <c r="AX258" s="1"/>
      <c r="AY258" s="1"/>
      <c r="AZ258" s="1"/>
      <c r="BA258" s="1"/>
      <c r="BB258" s="1"/>
      <c r="BC258" s="1"/>
      <c r="BD258" s="2"/>
      <c r="BE258" s="1"/>
      <c r="BF258" s="1"/>
      <c r="BG258" s="1"/>
      <c r="BH258" s="1"/>
      <c r="BI258" s="1"/>
      <c r="BJ258" s="1"/>
      <c r="BK258" s="1"/>
      <c r="BL258" s="1"/>
      <c r="BM258" s="2"/>
      <c r="BN258" s="1"/>
      <c r="BO258" s="1"/>
      <c r="BP258" s="1"/>
      <c r="BQ258" s="1"/>
      <c r="BR258" s="1"/>
      <c r="BS258" s="1"/>
      <c r="BT258" s="1"/>
      <c r="BU258" s="1"/>
      <c r="BV258" s="2"/>
      <c r="BW258" s="1"/>
      <c r="BX258" s="1"/>
      <c r="BY258" s="1"/>
      <c r="BZ258" s="1"/>
      <c r="CA258" s="1"/>
      <c r="CB258" s="1"/>
      <c r="CC258" s="1"/>
      <c r="CD258" s="1"/>
      <c r="CE258" s="2"/>
      <c r="CF258" s="1"/>
      <c r="CG258" s="1"/>
      <c r="CH258" s="1"/>
      <c r="CI258" s="1"/>
      <c r="CJ258" s="1"/>
      <c r="CK258" s="1"/>
      <c r="CL258" s="1"/>
    </row>
    <row r="259" spans="1:90" ht="14.65" x14ac:dyDescent="0.4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2"/>
      <c r="L259" s="1"/>
      <c r="M259" s="1"/>
      <c r="N259" s="1"/>
      <c r="O259" s="1"/>
      <c r="P259" s="1"/>
      <c r="Q259" s="1"/>
      <c r="R259" s="1"/>
      <c r="S259" s="1"/>
      <c r="T259" s="2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2"/>
      <c r="AM259" s="1"/>
      <c r="AN259" s="1"/>
      <c r="AO259" s="1"/>
      <c r="AP259" s="1"/>
      <c r="AQ259" s="1"/>
      <c r="AR259" s="1"/>
      <c r="AS259" s="1"/>
      <c r="AT259" s="1"/>
      <c r="AU259" s="2"/>
      <c r="AV259" s="1"/>
      <c r="AW259" s="1"/>
      <c r="AX259" s="1"/>
      <c r="AY259" s="1"/>
      <c r="AZ259" s="1"/>
      <c r="BA259" s="1"/>
      <c r="BB259" s="1"/>
      <c r="BC259" s="1"/>
      <c r="BD259" s="2"/>
      <c r="BE259" s="1"/>
      <c r="BF259" s="1"/>
      <c r="BG259" s="1"/>
      <c r="BH259" s="1"/>
      <c r="BI259" s="1"/>
      <c r="BJ259" s="1"/>
      <c r="BK259" s="1"/>
      <c r="BL259" s="1"/>
      <c r="BM259" s="2"/>
      <c r="BN259" s="1"/>
      <c r="BO259" s="1"/>
      <c r="BP259" s="1"/>
      <c r="BQ259" s="1"/>
      <c r="BR259" s="1"/>
      <c r="BS259" s="1"/>
      <c r="BT259" s="1"/>
      <c r="BU259" s="1"/>
      <c r="BV259" s="2"/>
      <c r="BW259" s="1"/>
      <c r="BX259" s="1"/>
      <c r="BY259" s="1"/>
      <c r="BZ259" s="1"/>
      <c r="CA259" s="1"/>
      <c r="CB259" s="1"/>
      <c r="CC259" s="1"/>
      <c r="CD259" s="1"/>
      <c r="CE259" s="2"/>
      <c r="CF259" s="1"/>
      <c r="CG259" s="1"/>
      <c r="CH259" s="1"/>
      <c r="CI259" s="1"/>
      <c r="CJ259" s="1"/>
      <c r="CK259" s="1"/>
      <c r="CL259" s="1"/>
    </row>
    <row r="260" spans="1:90" ht="14.65" x14ac:dyDescent="0.4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2"/>
      <c r="L260" s="1"/>
      <c r="M260" s="1"/>
      <c r="N260" s="1"/>
      <c r="O260" s="1"/>
      <c r="P260" s="1"/>
      <c r="Q260" s="1"/>
      <c r="R260" s="1"/>
      <c r="S260" s="1"/>
      <c r="T260" s="2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2"/>
      <c r="AM260" s="1"/>
      <c r="AN260" s="1"/>
      <c r="AO260" s="1"/>
      <c r="AP260" s="1"/>
      <c r="AQ260" s="1"/>
      <c r="AR260" s="1"/>
      <c r="AS260" s="1"/>
      <c r="AT260" s="1"/>
      <c r="AU260" s="2"/>
      <c r="AV260" s="1"/>
      <c r="AW260" s="1"/>
      <c r="AX260" s="1"/>
      <c r="AY260" s="1"/>
      <c r="AZ260" s="1"/>
      <c r="BA260" s="1"/>
      <c r="BB260" s="1"/>
      <c r="BC260" s="1"/>
      <c r="BD260" s="2"/>
      <c r="BE260" s="1"/>
      <c r="BF260" s="1"/>
      <c r="BG260" s="1"/>
      <c r="BH260" s="1"/>
      <c r="BI260" s="1"/>
      <c r="BJ260" s="1"/>
      <c r="BK260" s="1"/>
      <c r="BL260" s="1"/>
      <c r="BM260" s="2"/>
      <c r="BN260" s="1"/>
      <c r="BO260" s="1"/>
      <c r="BP260" s="1"/>
      <c r="BQ260" s="1"/>
      <c r="BR260" s="1"/>
      <c r="BS260" s="1"/>
      <c r="BT260" s="1"/>
      <c r="BU260" s="1"/>
      <c r="BV260" s="2"/>
      <c r="BW260" s="1"/>
      <c r="BX260" s="1"/>
      <c r="BY260" s="1"/>
      <c r="BZ260" s="1"/>
      <c r="CA260" s="1"/>
      <c r="CB260" s="1"/>
      <c r="CC260" s="1"/>
      <c r="CD260" s="1"/>
      <c r="CE260" s="2"/>
      <c r="CF260" s="1"/>
      <c r="CG260" s="1"/>
      <c r="CH260" s="1"/>
      <c r="CI260" s="1"/>
      <c r="CJ260" s="1"/>
      <c r="CK260" s="1"/>
      <c r="CL260" s="1"/>
    </row>
    <row r="261" spans="1:90" ht="14.65" x14ac:dyDescent="0.4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2"/>
      <c r="L261" s="1"/>
      <c r="M261" s="1"/>
      <c r="N261" s="1"/>
      <c r="O261" s="1"/>
      <c r="P261" s="1"/>
      <c r="Q261" s="1"/>
      <c r="R261" s="1"/>
      <c r="S261" s="1"/>
      <c r="T261" s="2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2"/>
      <c r="AM261" s="1"/>
      <c r="AN261" s="1"/>
      <c r="AO261" s="1"/>
      <c r="AP261" s="1"/>
      <c r="AQ261" s="1"/>
      <c r="AR261" s="1"/>
      <c r="AS261" s="1"/>
      <c r="AT261" s="1"/>
      <c r="AU261" s="2"/>
      <c r="AV261" s="1"/>
      <c r="AW261" s="1"/>
      <c r="AX261" s="1"/>
      <c r="AY261" s="1"/>
      <c r="AZ261" s="1"/>
      <c r="BA261" s="1"/>
      <c r="BB261" s="1"/>
      <c r="BC261" s="1"/>
      <c r="BD261" s="2"/>
      <c r="BE261" s="1"/>
      <c r="BF261" s="1"/>
      <c r="BG261" s="1"/>
      <c r="BH261" s="1"/>
      <c r="BI261" s="1"/>
      <c r="BJ261" s="1"/>
      <c r="BK261" s="1"/>
      <c r="BL261" s="1"/>
      <c r="BM261" s="2"/>
      <c r="BN261" s="1"/>
      <c r="BO261" s="1"/>
      <c r="BP261" s="1"/>
      <c r="BQ261" s="1"/>
      <c r="BR261" s="1"/>
      <c r="BS261" s="1"/>
      <c r="BT261" s="1"/>
      <c r="BU261" s="1"/>
      <c r="BV261" s="2"/>
      <c r="BW261" s="1"/>
      <c r="BX261" s="1"/>
      <c r="BY261" s="1"/>
      <c r="BZ261" s="1"/>
      <c r="CA261" s="1"/>
      <c r="CB261" s="1"/>
      <c r="CC261" s="1"/>
      <c r="CD261" s="1"/>
      <c r="CE261" s="2"/>
      <c r="CF261" s="1"/>
      <c r="CG261" s="1"/>
      <c r="CH261" s="1"/>
      <c r="CI261" s="1"/>
      <c r="CJ261" s="1"/>
      <c r="CK261" s="1"/>
      <c r="CL261" s="1"/>
    </row>
    <row r="262" spans="1:90" ht="14.65" x14ac:dyDescent="0.4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2"/>
      <c r="L262" s="1"/>
      <c r="M262" s="1"/>
      <c r="N262" s="1"/>
      <c r="O262" s="1"/>
      <c r="P262" s="1"/>
      <c r="Q262" s="1"/>
      <c r="R262" s="1"/>
      <c r="S262" s="1"/>
      <c r="T262" s="2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2"/>
      <c r="AM262" s="1"/>
      <c r="AN262" s="1"/>
      <c r="AO262" s="1"/>
      <c r="AP262" s="1"/>
      <c r="AQ262" s="1"/>
      <c r="AR262" s="1"/>
      <c r="AS262" s="1"/>
      <c r="AT262" s="1"/>
      <c r="AU262" s="2"/>
      <c r="AV262" s="1"/>
      <c r="AW262" s="1"/>
      <c r="AX262" s="1"/>
      <c r="AY262" s="1"/>
      <c r="AZ262" s="1"/>
      <c r="BA262" s="1"/>
      <c r="BB262" s="1"/>
      <c r="BC262" s="1"/>
      <c r="BD262" s="2"/>
      <c r="BE262" s="1"/>
      <c r="BF262" s="1"/>
      <c r="BG262" s="1"/>
      <c r="BH262" s="1"/>
      <c r="BI262" s="1"/>
      <c r="BJ262" s="1"/>
      <c r="BK262" s="1"/>
      <c r="BL262" s="1"/>
      <c r="BM262" s="2"/>
      <c r="BN262" s="1"/>
      <c r="BO262" s="1"/>
      <c r="BP262" s="1"/>
      <c r="BQ262" s="1"/>
      <c r="BR262" s="1"/>
      <c r="BS262" s="1"/>
      <c r="BT262" s="1"/>
      <c r="BU262" s="1"/>
      <c r="BV262" s="2"/>
      <c r="BW262" s="1"/>
      <c r="BX262" s="1"/>
      <c r="BY262" s="1"/>
      <c r="BZ262" s="1"/>
      <c r="CA262" s="1"/>
      <c r="CB262" s="1"/>
      <c r="CC262" s="1"/>
      <c r="CD262" s="1"/>
      <c r="CE262" s="2"/>
      <c r="CF262" s="1"/>
      <c r="CG262" s="1"/>
      <c r="CH262" s="1"/>
      <c r="CI262" s="1"/>
      <c r="CJ262" s="1"/>
      <c r="CK262" s="1"/>
      <c r="CL262" s="1"/>
    </row>
    <row r="263" spans="1:90" ht="14.65" x14ac:dyDescent="0.4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2"/>
      <c r="L263" s="1"/>
      <c r="M263" s="1"/>
      <c r="N263" s="1"/>
      <c r="O263" s="1"/>
      <c r="P263" s="1"/>
      <c r="Q263" s="1"/>
      <c r="R263" s="1"/>
      <c r="S263" s="1"/>
      <c r="T263" s="2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2"/>
      <c r="AM263" s="1"/>
      <c r="AN263" s="1"/>
      <c r="AO263" s="1"/>
      <c r="AP263" s="1"/>
      <c r="AQ263" s="1"/>
      <c r="AR263" s="1"/>
      <c r="AS263" s="1"/>
      <c r="AT263" s="1"/>
      <c r="AU263" s="2"/>
      <c r="AV263" s="1"/>
      <c r="AW263" s="1"/>
      <c r="AX263" s="1"/>
      <c r="AY263" s="1"/>
      <c r="AZ263" s="1"/>
      <c r="BA263" s="1"/>
      <c r="BB263" s="1"/>
      <c r="BC263" s="1"/>
      <c r="BD263" s="2"/>
      <c r="BE263" s="1"/>
      <c r="BF263" s="1"/>
      <c r="BG263" s="1"/>
      <c r="BH263" s="1"/>
      <c r="BI263" s="1"/>
      <c r="BJ263" s="1"/>
      <c r="BK263" s="1"/>
      <c r="BL263" s="1"/>
      <c r="BM263" s="2"/>
      <c r="BN263" s="1"/>
      <c r="BO263" s="1"/>
      <c r="BP263" s="1"/>
      <c r="BQ263" s="1"/>
      <c r="BR263" s="1"/>
      <c r="BS263" s="1"/>
      <c r="BT263" s="1"/>
      <c r="BU263" s="1"/>
      <c r="BV263" s="2"/>
      <c r="BW263" s="1"/>
      <c r="BX263" s="1"/>
      <c r="BY263" s="1"/>
      <c r="BZ263" s="1"/>
      <c r="CA263" s="1"/>
      <c r="CB263" s="1"/>
      <c r="CC263" s="1"/>
      <c r="CD263" s="1"/>
      <c r="CE263" s="2"/>
      <c r="CF263" s="1"/>
      <c r="CG263" s="1"/>
      <c r="CH263" s="1"/>
      <c r="CI263" s="1"/>
      <c r="CJ263" s="1"/>
      <c r="CK263" s="1"/>
      <c r="CL263" s="1"/>
    </row>
    <row r="264" spans="1:90" ht="14.65" x14ac:dyDescent="0.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2"/>
      <c r="L264" s="1"/>
      <c r="M264" s="1"/>
      <c r="N264" s="1"/>
      <c r="O264" s="1"/>
      <c r="P264" s="1"/>
      <c r="Q264" s="1"/>
      <c r="R264" s="1"/>
      <c r="S264" s="1"/>
      <c r="T264" s="2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2"/>
      <c r="AM264" s="1"/>
      <c r="AN264" s="1"/>
      <c r="AO264" s="1"/>
      <c r="AP264" s="1"/>
      <c r="AQ264" s="1"/>
      <c r="AR264" s="1"/>
      <c r="AS264" s="1"/>
      <c r="AT264" s="1"/>
      <c r="AU264" s="2"/>
      <c r="AV264" s="1"/>
      <c r="AW264" s="1"/>
      <c r="AX264" s="1"/>
      <c r="AY264" s="1"/>
      <c r="AZ264" s="1"/>
      <c r="BA264" s="1"/>
      <c r="BB264" s="1"/>
      <c r="BC264" s="1"/>
      <c r="BD264" s="2"/>
      <c r="BE264" s="1"/>
      <c r="BF264" s="1"/>
      <c r="BG264" s="1"/>
      <c r="BH264" s="1"/>
      <c r="BI264" s="1"/>
      <c r="BJ264" s="1"/>
      <c r="BK264" s="1"/>
      <c r="BL264" s="1"/>
      <c r="BM264" s="2"/>
      <c r="BN264" s="1"/>
      <c r="BO264" s="1"/>
      <c r="BP264" s="1"/>
      <c r="BQ264" s="1"/>
      <c r="BR264" s="1"/>
      <c r="BS264" s="1"/>
      <c r="BT264" s="1"/>
      <c r="BU264" s="1"/>
      <c r="BV264" s="2"/>
      <c r="BW264" s="1"/>
      <c r="BX264" s="1"/>
      <c r="BY264" s="1"/>
      <c r="BZ264" s="1"/>
      <c r="CA264" s="1"/>
      <c r="CB264" s="1"/>
      <c r="CC264" s="1"/>
      <c r="CD264" s="1"/>
      <c r="CE264" s="2"/>
      <c r="CF264" s="1"/>
      <c r="CG264" s="1"/>
      <c r="CH264" s="1"/>
      <c r="CI264" s="1"/>
      <c r="CJ264" s="1"/>
      <c r="CK264" s="1"/>
      <c r="CL264" s="1"/>
    </row>
    <row r="265" spans="1:90" ht="14.65" x14ac:dyDescent="0.4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2"/>
      <c r="L265" s="1"/>
      <c r="M265" s="1"/>
      <c r="N265" s="1"/>
      <c r="O265" s="1"/>
      <c r="P265" s="1"/>
      <c r="Q265" s="1"/>
      <c r="R265" s="1"/>
      <c r="S265" s="1"/>
      <c r="T265" s="2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2"/>
      <c r="AM265" s="1"/>
      <c r="AN265" s="1"/>
      <c r="AO265" s="1"/>
      <c r="AP265" s="1"/>
      <c r="AQ265" s="1"/>
      <c r="AR265" s="1"/>
      <c r="AS265" s="1"/>
      <c r="AT265" s="1"/>
      <c r="AU265" s="2"/>
      <c r="AV265" s="1"/>
      <c r="AW265" s="1"/>
      <c r="AX265" s="1"/>
      <c r="AY265" s="1"/>
      <c r="AZ265" s="1"/>
      <c r="BA265" s="1"/>
      <c r="BB265" s="1"/>
      <c r="BC265" s="1"/>
      <c r="BD265" s="2"/>
      <c r="BE265" s="1"/>
      <c r="BF265" s="1"/>
      <c r="BG265" s="1"/>
      <c r="BH265" s="1"/>
      <c r="BI265" s="1"/>
      <c r="BJ265" s="1"/>
      <c r="BK265" s="1"/>
      <c r="BL265" s="1"/>
      <c r="BM265" s="2"/>
      <c r="BN265" s="1"/>
      <c r="BO265" s="1"/>
      <c r="BP265" s="1"/>
      <c r="BQ265" s="1"/>
      <c r="BR265" s="1"/>
      <c r="BS265" s="1"/>
      <c r="BT265" s="1"/>
      <c r="BU265" s="1"/>
      <c r="BV265" s="2"/>
      <c r="BW265" s="1"/>
      <c r="BX265" s="1"/>
      <c r="BY265" s="1"/>
      <c r="BZ265" s="1"/>
      <c r="CA265" s="1"/>
      <c r="CB265" s="1"/>
      <c r="CC265" s="1"/>
      <c r="CD265" s="1"/>
      <c r="CE265" s="2"/>
      <c r="CF265" s="1"/>
      <c r="CG265" s="1"/>
      <c r="CH265" s="1"/>
      <c r="CI265" s="1"/>
      <c r="CJ265" s="1"/>
      <c r="CK265" s="1"/>
      <c r="CL265" s="1"/>
    </row>
    <row r="266" spans="1:90" ht="14.65" x14ac:dyDescent="0.4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2"/>
      <c r="L266" s="1"/>
      <c r="M266" s="1"/>
      <c r="N266" s="1"/>
      <c r="O266" s="1"/>
      <c r="P266" s="1"/>
      <c r="Q266" s="1"/>
      <c r="R266" s="1"/>
      <c r="S266" s="1"/>
      <c r="T266" s="2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2"/>
      <c r="AM266" s="1"/>
      <c r="AN266" s="1"/>
      <c r="AO266" s="1"/>
      <c r="AP266" s="1"/>
      <c r="AQ266" s="1"/>
      <c r="AR266" s="1"/>
      <c r="AS266" s="1"/>
      <c r="AT266" s="1"/>
      <c r="AU266" s="2"/>
      <c r="AV266" s="1"/>
      <c r="AW266" s="1"/>
      <c r="AX266" s="1"/>
      <c r="AY266" s="1"/>
      <c r="AZ266" s="1"/>
      <c r="BA266" s="1"/>
      <c r="BB266" s="1"/>
      <c r="BC266" s="1"/>
      <c r="BD266" s="2"/>
      <c r="BE266" s="1"/>
      <c r="BF266" s="1"/>
      <c r="BG266" s="1"/>
      <c r="BH266" s="1"/>
      <c r="BI266" s="1"/>
      <c r="BJ266" s="1"/>
      <c r="BK266" s="1"/>
      <c r="BL266" s="1"/>
      <c r="BM266" s="2"/>
      <c r="BN266" s="1"/>
      <c r="BO266" s="1"/>
      <c r="BP266" s="1"/>
      <c r="BQ266" s="1"/>
      <c r="BR266" s="1"/>
      <c r="BS266" s="1"/>
      <c r="BT266" s="1"/>
      <c r="BU266" s="1"/>
      <c r="BV266" s="2"/>
      <c r="BW266" s="1"/>
      <c r="BX266" s="1"/>
      <c r="BY266" s="1"/>
      <c r="BZ266" s="1"/>
      <c r="CA266" s="1"/>
      <c r="CB266" s="1"/>
      <c r="CC266" s="1"/>
      <c r="CD266" s="1"/>
      <c r="CE266" s="2"/>
      <c r="CF266" s="1"/>
      <c r="CG266" s="1"/>
      <c r="CH266" s="1"/>
      <c r="CI266" s="1"/>
      <c r="CJ266" s="1"/>
      <c r="CK266" s="1"/>
      <c r="CL266" s="1"/>
    </row>
    <row r="267" spans="1:90" ht="14.65" x14ac:dyDescent="0.4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2"/>
      <c r="L267" s="1"/>
      <c r="M267" s="1"/>
      <c r="N267" s="1"/>
      <c r="O267" s="1"/>
      <c r="P267" s="1"/>
      <c r="Q267" s="1"/>
      <c r="R267" s="1"/>
      <c r="S267" s="1"/>
      <c r="T267" s="2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2"/>
      <c r="AM267" s="1"/>
      <c r="AN267" s="1"/>
      <c r="AO267" s="1"/>
      <c r="AP267" s="1"/>
      <c r="AQ267" s="1"/>
      <c r="AR267" s="1"/>
      <c r="AS267" s="1"/>
      <c r="AT267" s="1"/>
      <c r="AU267" s="2"/>
      <c r="AV267" s="1"/>
      <c r="AW267" s="1"/>
      <c r="AX267" s="1"/>
      <c r="AY267" s="1"/>
      <c r="AZ267" s="1"/>
      <c r="BA267" s="1"/>
      <c r="BB267" s="1"/>
      <c r="BC267" s="1"/>
      <c r="BD267" s="2"/>
      <c r="BE267" s="1"/>
      <c r="BF267" s="1"/>
      <c r="BG267" s="1"/>
      <c r="BH267" s="1"/>
      <c r="BI267" s="1"/>
      <c r="BJ267" s="1"/>
      <c r="BK267" s="1"/>
      <c r="BL267" s="1"/>
      <c r="BM267" s="2"/>
      <c r="BN267" s="1"/>
      <c r="BO267" s="1"/>
      <c r="BP267" s="1"/>
      <c r="BQ267" s="1"/>
      <c r="BR267" s="1"/>
      <c r="BS267" s="1"/>
      <c r="BT267" s="1"/>
      <c r="BU267" s="1"/>
      <c r="BV267" s="2"/>
      <c r="BW267" s="1"/>
      <c r="BX267" s="1"/>
      <c r="BY267" s="1"/>
      <c r="BZ267" s="1"/>
      <c r="CA267" s="1"/>
      <c r="CB267" s="1"/>
      <c r="CC267" s="1"/>
      <c r="CD267" s="1"/>
      <c r="CE267" s="2"/>
      <c r="CF267" s="1"/>
      <c r="CG267" s="1"/>
      <c r="CH267" s="1"/>
      <c r="CI267" s="1"/>
      <c r="CJ267" s="1"/>
      <c r="CK267" s="1"/>
      <c r="CL267" s="1"/>
    </row>
    <row r="268" spans="1:90" ht="14.65" x14ac:dyDescent="0.4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2"/>
      <c r="L268" s="1"/>
      <c r="M268" s="1"/>
      <c r="N268" s="1"/>
      <c r="O268" s="1"/>
      <c r="P268" s="1"/>
      <c r="Q268" s="1"/>
      <c r="R268" s="1"/>
      <c r="S268" s="1"/>
      <c r="T268" s="2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2"/>
      <c r="AM268" s="1"/>
      <c r="AN268" s="1"/>
      <c r="AO268" s="1"/>
      <c r="AP268" s="1"/>
      <c r="AQ268" s="1"/>
      <c r="AR268" s="1"/>
      <c r="AS268" s="1"/>
      <c r="AT268" s="1"/>
      <c r="AU268" s="2"/>
      <c r="AV268" s="1"/>
      <c r="AW268" s="1"/>
      <c r="AX268" s="1"/>
      <c r="AY268" s="1"/>
      <c r="AZ268" s="1"/>
      <c r="BA268" s="1"/>
      <c r="BB268" s="1"/>
      <c r="BC268" s="1"/>
      <c r="BD268" s="2"/>
      <c r="BE268" s="1"/>
      <c r="BF268" s="1"/>
      <c r="BG268" s="1"/>
      <c r="BH268" s="1"/>
      <c r="BI268" s="1"/>
      <c r="BJ268" s="1"/>
      <c r="BK268" s="1"/>
      <c r="BL268" s="1"/>
      <c r="BM268" s="2"/>
      <c r="BN268" s="1"/>
      <c r="BO268" s="1"/>
      <c r="BP268" s="1"/>
      <c r="BQ268" s="1"/>
      <c r="BR268" s="1"/>
      <c r="BS268" s="1"/>
      <c r="BT268" s="1"/>
      <c r="BU268" s="1"/>
      <c r="BV268" s="2"/>
      <c r="BW268" s="1"/>
      <c r="BX268" s="1"/>
      <c r="BY268" s="1"/>
      <c r="BZ268" s="1"/>
      <c r="CA268" s="1"/>
      <c r="CB268" s="1"/>
      <c r="CC268" s="1"/>
      <c r="CD268" s="1"/>
      <c r="CE268" s="2"/>
      <c r="CF268" s="1"/>
      <c r="CG268" s="1"/>
      <c r="CH268" s="1"/>
      <c r="CI268" s="1"/>
      <c r="CJ268" s="1"/>
      <c r="CK268" s="1"/>
      <c r="CL268" s="1"/>
    </row>
    <row r="269" spans="1:90" ht="14.65" x14ac:dyDescent="0.4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2"/>
      <c r="L269" s="1"/>
      <c r="M269" s="1"/>
      <c r="N269" s="1"/>
      <c r="O269" s="1"/>
      <c r="P269" s="1"/>
      <c r="Q269" s="1"/>
      <c r="R269" s="1"/>
      <c r="S269" s="1"/>
      <c r="T269" s="2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2"/>
      <c r="AM269" s="1"/>
      <c r="AN269" s="1"/>
      <c r="AO269" s="1"/>
      <c r="AP269" s="1"/>
      <c r="AQ269" s="1"/>
      <c r="AR269" s="1"/>
      <c r="AS269" s="1"/>
      <c r="AT269" s="1"/>
      <c r="AU269" s="2"/>
      <c r="AV269" s="1"/>
      <c r="AW269" s="1"/>
      <c r="AX269" s="1"/>
      <c r="AY269" s="1"/>
      <c r="AZ269" s="1"/>
      <c r="BA269" s="1"/>
      <c r="BB269" s="1"/>
      <c r="BC269" s="1"/>
      <c r="BD269" s="2"/>
      <c r="BE269" s="1"/>
      <c r="BF269" s="1"/>
      <c r="BG269" s="1"/>
      <c r="BH269" s="1"/>
      <c r="BI269" s="1"/>
      <c r="BJ269" s="1"/>
      <c r="BK269" s="1"/>
      <c r="BL269" s="1"/>
      <c r="BM269" s="2"/>
      <c r="BN269" s="1"/>
      <c r="BO269" s="1"/>
      <c r="BP269" s="1"/>
      <c r="BQ269" s="1"/>
      <c r="BR269" s="1"/>
      <c r="BS269" s="1"/>
      <c r="BT269" s="1"/>
      <c r="BU269" s="1"/>
      <c r="BV269" s="2"/>
      <c r="BW269" s="1"/>
      <c r="BX269" s="1"/>
      <c r="BY269" s="1"/>
      <c r="BZ269" s="1"/>
      <c r="CA269" s="1"/>
      <c r="CB269" s="1"/>
      <c r="CC269" s="1"/>
      <c r="CD269" s="1"/>
      <c r="CE269" s="2"/>
      <c r="CF269" s="1"/>
      <c r="CG269" s="1"/>
      <c r="CH269" s="1"/>
      <c r="CI269" s="1"/>
      <c r="CJ269" s="1"/>
      <c r="CK269" s="1"/>
      <c r="CL269" s="1"/>
    </row>
    <row r="270" spans="1:90" ht="14.65" x14ac:dyDescent="0.4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2"/>
      <c r="L270" s="1"/>
      <c r="M270" s="1"/>
      <c r="N270" s="1"/>
      <c r="O270" s="1"/>
      <c r="P270" s="1"/>
      <c r="Q270" s="1"/>
      <c r="R270" s="1"/>
      <c r="S270" s="1"/>
      <c r="T270" s="2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2"/>
      <c r="AM270" s="1"/>
      <c r="AN270" s="1"/>
      <c r="AO270" s="1"/>
      <c r="AP270" s="1"/>
      <c r="AQ270" s="1"/>
      <c r="AR270" s="1"/>
      <c r="AS270" s="1"/>
      <c r="AT270" s="1"/>
      <c r="AU270" s="2"/>
      <c r="AV270" s="1"/>
      <c r="AW270" s="1"/>
      <c r="AX270" s="1"/>
      <c r="AY270" s="1"/>
      <c r="AZ270" s="1"/>
      <c r="BA270" s="1"/>
      <c r="BB270" s="1"/>
      <c r="BC270" s="1"/>
      <c r="BD270" s="2"/>
      <c r="BE270" s="1"/>
      <c r="BF270" s="1"/>
      <c r="BG270" s="1"/>
      <c r="BH270" s="1"/>
      <c r="BI270" s="1"/>
      <c r="BJ270" s="1"/>
      <c r="BK270" s="1"/>
      <c r="BL270" s="1"/>
      <c r="BM270" s="2"/>
      <c r="BN270" s="1"/>
      <c r="BO270" s="1"/>
      <c r="BP270" s="1"/>
      <c r="BQ270" s="1"/>
      <c r="BR270" s="1"/>
      <c r="BS270" s="1"/>
      <c r="BT270" s="1"/>
      <c r="BU270" s="1"/>
      <c r="BV270" s="2"/>
      <c r="BW270" s="1"/>
      <c r="BX270" s="1"/>
      <c r="BY270" s="1"/>
      <c r="BZ270" s="1"/>
      <c r="CA270" s="1"/>
      <c r="CB270" s="1"/>
      <c r="CC270" s="1"/>
      <c r="CD270" s="1"/>
      <c r="CE270" s="2"/>
      <c r="CF270" s="1"/>
      <c r="CG270" s="1"/>
      <c r="CH270" s="1"/>
      <c r="CI270" s="1"/>
      <c r="CJ270" s="1"/>
      <c r="CK270" s="1"/>
      <c r="CL270" s="1"/>
    </row>
    <row r="271" spans="1:90" ht="14.65" x14ac:dyDescent="0.4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2"/>
      <c r="L271" s="1"/>
      <c r="M271" s="1"/>
      <c r="N271" s="1"/>
      <c r="O271" s="1"/>
      <c r="P271" s="1"/>
      <c r="Q271" s="1"/>
      <c r="R271" s="1"/>
      <c r="S271" s="1"/>
      <c r="T271" s="2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2"/>
      <c r="AM271" s="1"/>
      <c r="AN271" s="1"/>
      <c r="AO271" s="1"/>
      <c r="AP271" s="1"/>
      <c r="AQ271" s="1"/>
      <c r="AR271" s="1"/>
      <c r="AS271" s="1"/>
      <c r="AT271" s="1"/>
      <c r="AU271" s="2"/>
      <c r="AV271" s="1"/>
      <c r="AW271" s="1"/>
      <c r="AX271" s="1"/>
      <c r="AY271" s="1"/>
      <c r="AZ271" s="1"/>
      <c r="BA271" s="1"/>
      <c r="BB271" s="1"/>
      <c r="BC271" s="1"/>
      <c r="BD271" s="2"/>
      <c r="BE271" s="1"/>
      <c r="BF271" s="1"/>
      <c r="BG271" s="1"/>
      <c r="BH271" s="1"/>
      <c r="BI271" s="1"/>
      <c r="BJ271" s="1"/>
      <c r="BK271" s="1"/>
      <c r="BL271" s="1"/>
      <c r="BM271" s="2"/>
      <c r="BN271" s="1"/>
      <c r="BO271" s="1"/>
      <c r="BP271" s="1"/>
      <c r="BQ271" s="1"/>
      <c r="BR271" s="1"/>
      <c r="BS271" s="1"/>
      <c r="BT271" s="1"/>
      <c r="BU271" s="1"/>
      <c r="BV271" s="2"/>
      <c r="BW271" s="1"/>
      <c r="BX271" s="1"/>
      <c r="BY271" s="1"/>
      <c r="BZ271" s="1"/>
      <c r="CA271" s="1"/>
      <c r="CB271" s="1"/>
      <c r="CC271" s="1"/>
      <c r="CD271" s="1"/>
      <c r="CE271" s="2"/>
      <c r="CF271" s="1"/>
      <c r="CG271" s="1"/>
      <c r="CH271" s="1"/>
      <c r="CI271" s="1"/>
      <c r="CJ271" s="1"/>
      <c r="CK271" s="1"/>
      <c r="CL271" s="1"/>
    </row>
    <row r="272" spans="1:90" ht="14.65" x14ac:dyDescent="0.4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2"/>
      <c r="L272" s="1"/>
      <c r="M272" s="1"/>
      <c r="N272" s="1"/>
      <c r="O272" s="1"/>
      <c r="P272" s="1"/>
      <c r="Q272" s="1"/>
      <c r="R272" s="1"/>
      <c r="S272" s="1"/>
      <c r="T272" s="2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2"/>
      <c r="AM272" s="1"/>
      <c r="AN272" s="1"/>
      <c r="AO272" s="1"/>
      <c r="AP272" s="1"/>
      <c r="AQ272" s="1"/>
      <c r="AR272" s="1"/>
      <c r="AS272" s="1"/>
      <c r="AT272" s="1"/>
      <c r="AU272" s="2"/>
      <c r="AV272" s="1"/>
      <c r="AW272" s="1"/>
      <c r="AX272" s="1"/>
      <c r="AY272" s="1"/>
      <c r="AZ272" s="1"/>
      <c r="BA272" s="1"/>
      <c r="BB272" s="1"/>
      <c r="BC272" s="1"/>
      <c r="BD272" s="2"/>
      <c r="BE272" s="1"/>
      <c r="BF272" s="1"/>
      <c r="BG272" s="1"/>
      <c r="BH272" s="1"/>
      <c r="BI272" s="1"/>
      <c r="BJ272" s="1"/>
      <c r="BK272" s="1"/>
      <c r="BL272" s="1"/>
      <c r="BM272" s="2"/>
      <c r="BN272" s="1"/>
      <c r="BO272" s="1"/>
      <c r="BP272" s="1"/>
      <c r="BQ272" s="1"/>
      <c r="BR272" s="1"/>
      <c r="BS272" s="1"/>
      <c r="BT272" s="1"/>
      <c r="BU272" s="1"/>
      <c r="BV272" s="2"/>
      <c r="BW272" s="1"/>
      <c r="BX272" s="1"/>
      <c r="BY272" s="1"/>
      <c r="BZ272" s="1"/>
      <c r="CA272" s="1"/>
      <c r="CB272" s="1"/>
      <c r="CC272" s="1"/>
      <c r="CD272" s="1"/>
      <c r="CE272" s="2"/>
      <c r="CF272" s="1"/>
      <c r="CG272" s="1"/>
      <c r="CH272" s="1"/>
      <c r="CI272" s="1"/>
      <c r="CJ272" s="1"/>
      <c r="CK272" s="1"/>
      <c r="CL272" s="1"/>
    </row>
    <row r="273" spans="1:90" ht="14.65" x14ac:dyDescent="0.4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2"/>
      <c r="L273" s="1"/>
      <c r="M273" s="1"/>
      <c r="N273" s="1"/>
      <c r="O273" s="1"/>
      <c r="P273" s="1"/>
      <c r="Q273" s="1"/>
      <c r="R273" s="1"/>
      <c r="S273" s="1"/>
      <c r="T273" s="2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2"/>
      <c r="AM273" s="1"/>
      <c r="AN273" s="1"/>
      <c r="AO273" s="1"/>
      <c r="AP273" s="1"/>
      <c r="AQ273" s="1"/>
      <c r="AR273" s="1"/>
      <c r="AS273" s="1"/>
      <c r="AT273" s="1"/>
      <c r="AU273" s="2"/>
      <c r="AV273" s="1"/>
      <c r="AW273" s="1"/>
      <c r="AX273" s="1"/>
      <c r="AY273" s="1"/>
      <c r="AZ273" s="1"/>
      <c r="BA273" s="1"/>
      <c r="BB273" s="1"/>
      <c r="BC273" s="1"/>
      <c r="BD273" s="2"/>
      <c r="BE273" s="1"/>
      <c r="BF273" s="1"/>
      <c r="BG273" s="1"/>
      <c r="BH273" s="1"/>
      <c r="BI273" s="1"/>
      <c r="BJ273" s="1"/>
      <c r="BK273" s="1"/>
      <c r="BL273" s="1"/>
      <c r="BM273" s="2"/>
      <c r="BN273" s="1"/>
      <c r="BO273" s="1"/>
      <c r="BP273" s="1"/>
      <c r="BQ273" s="1"/>
      <c r="BR273" s="1"/>
      <c r="BS273" s="1"/>
      <c r="BT273" s="1"/>
      <c r="BU273" s="1"/>
      <c r="BV273" s="2"/>
      <c r="BW273" s="1"/>
      <c r="BX273" s="1"/>
      <c r="BY273" s="1"/>
      <c r="BZ273" s="1"/>
      <c r="CA273" s="1"/>
      <c r="CB273" s="1"/>
      <c r="CC273" s="1"/>
      <c r="CD273" s="1"/>
      <c r="CE273" s="2"/>
      <c r="CF273" s="1"/>
      <c r="CG273" s="1"/>
      <c r="CH273" s="1"/>
      <c r="CI273" s="1"/>
      <c r="CJ273" s="1"/>
      <c r="CK273" s="1"/>
      <c r="CL273" s="1"/>
    </row>
    <row r="274" spans="1:90" ht="14.65" x14ac:dyDescent="0.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2"/>
      <c r="L274" s="1"/>
      <c r="M274" s="1"/>
      <c r="N274" s="1"/>
      <c r="O274" s="1"/>
      <c r="P274" s="1"/>
      <c r="Q274" s="1"/>
      <c r="R274" s="1"/>
      <c r="S274" s="1"/>
      <c r="T274" s="2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2"/>
      <c r="AM274" s="1"/>
      <c r="AN274" s="1"/>
      <c r="AO274" s="1"/>
      <c r="AP274" s="1"/>
      <c r="AQ274" s="1"/>
      <c r="AR274" s="1"/>
      <c r="AS274" s="1"/>
      <c r="AT274" s="1"/>
      <c r="AU274" s="2"/>
      <c r="AV274" s="1"/>
      <c r="AW274" s="1"/>
      <c r="AX274" s="1"/>
      <c r="AY274" s="1"/>
      <c r="AZ274" s="1"/>
      <c r="BA274" s="1"/>
      <c r="BB274" s="1"/>
      <c r="BC274" s="1"/>
      <c r="BD274" s="2"/>
      <c r="BE274" s="1"/>
      <c r="BF274" s="1"/>
      <c r="BG274" s="1"/>
      <c r="BH274" s="1"/>
      <c r="BI274" s="1"/>
      <c r="BJ274" s="1"/>
      <c r="BK274" s="1"/>
      <c r="BL274" s="1"/>
      <c r="BM274" s="2"/>
      <c r="BN274" s="1"/>
      <c r="BO274" s="1"/>
      <c r="BP274" s="1"/>
      <c r="BQ274" s="1"/>
      <c r="BR274" s="1"/>
      <c r="BS274" s="1"/>
      <c r="BT274" s="1"/>
      <c r="BU274" s="1"/>
      <c r="BV274" s="2"/>
      <c r="BW274" s="1"/>
      <c r="BX274" s="1"/>
      <c r="BY274" s="1"/>
      <c r="BZ274" s="1"/>
      <c r="CA274" s="1"/>
      <c r="CB274" s="1"/>
      <c r="CC274" s="1"/>
      <c r="CD274" s="1"/>
      <c r="CE274" s="2"/>
      <c r="CF274" s="1"/>
      <c r="CG274" s="1"/>
      <c r="CH274" s="1"/>
      <c r="CI274" s="1"/>
      <c r="CJ274" s="1"/>
      <c r="CK274" s="1"/>
      <c r="CL274" s="1"/>
    </row>
    <row r="275" spans="1:90" ht="14.65" x14ac:dyDescent="0.4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2"/>
      <c r="L275" s="1"/>
      <c r="M275" s="1"/>
      <c r="N275" s="1"/>
      <c r="O275" s="1"/>
      <c r="P275" s="1"/>
      <c r="Q275" s="1"/>
      <c r="R275" s="1"/>
      <c r="S275" s="1"/>
      <c r="T275" s="2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2"/>
      <c r="AM275" s="1"/>
      <c r="AN275" s="1"/>
      <c r="AO275" s="1"/>
      <c r="AP275" s="1"/>
      <c r="AQ275" s="1"/>
      <c r="AR275" s="1"/>
      <c r="AS275" s="1"/>
      <c r="AT275" s="1"/>
      <c r="AU275" s="2"/>
      <c r="AV275" s="1"/>
      <c r="AW275" s="1"/>
      <c r="AX275" s="1"/>
      <c r="AY275" s="1"/>
      <c r="AZ275" s="1"/>
      <c r="BA275" s="1"/>
      <c r="BB275" s="1"/>
      <c r="BC275" s="1"/>
      <c r="BD275" s="2"/>
      <c r="BE275" s="1"/>
      <c r="BF275" s="1"/>
      <c r="BG275" s="1"/>
      <c r="BH275" s="1"/>
      <c r="BI275" s="1"/>
      <c r="BJ275" s="1"/>
      <c r="BK275" s="1"/>
      <c r="BL275" s="1"/>
      <c r="BM275" s="2"/>
      <c r="BN275" s="1"/>
      <c r="BO275" s="1"/>
      <c r="BP275" s="1"/>
      <c r="BQ275" s="1"/>
      <c r="BR275" s="1"/>
      <c r="BS275" s="1"/>
      <c r="BT275" s="1"/>
      <c r="BU275" s="1"/>
      <c r="BV275" s="2"/>
      <c r="BW275" s="1"/>
      <c r="BX275" s="1"/>
      <c r="BY275" s="1"/>
      <c r="BZ275" s="1"/>
      <c r="CA275" s="1"/>
      <c r="CB275" s="1"/>
      <c r="CC275" s="1"/>
      <c r="CD275" s="1"/>
      <c r="CE275" s="2"/>
      <c r="CF275" s="1"/>
      <c r="CG275" s="1"/>
      <c r="CH275" s="1"/>
      <c r="CI275" s="1"/>
      <c r="CJ275" s="1"/>
      <c r="CK275" s="1"/>
      <c r="CL275" s="1"/>
    </row>
    <row r="276" spans="1:90" ht="14.65" x14ac:dyDescent="0.4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2"/>
      <c r="L276" s="1"/>
      <c r="M276" s="1"/>
      <c r="N276" s="1"/>
      <c r="O276" s="1"/>
      <c r="P276" s="1"/>
      <c r="Q276" s="1"/>
      <c r="R276" s="1"/>
      <c r="S276" s="1"/>
      <c r="T276" s="2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2"/>
      <c r="AM276" s="1"/>
      <c r="AN276" s="1"/>
      <c r="AO276" s="1"/>
      <c r="AP276" s="1"/>
      <c r="AQ276" s="1"/>
      <c r="AR276" s="1"/>
      <c r="AS276" s="1"/>
      <c r="AT276" s="1"/>
      <c r="AU276" s="2"/>
      <c r="AV276" s="1"/>
      <c r="AW276" s="1"/>
      <c r="AX276" s="1"/>
      <c r="AY276" s="1"/>
      <c r="AZ276" s="1"/>
      <c r="BA276" s="1"/>
      <c r="BB276" s="1"/>
      <c r="BC276" s="1"/>
      <c r="BD276" s="2"/>
      <c r="BE276" s="1"/>
      <c r="BF276" s="1"/>
      <c r="BG276" s="1"/>
      <c r="BH276" s="1"/>
      <c r="BI276" s="1"/>
      <c r="BJ276" s="1"/>
      <c r="BK276" s="1"/>
      <c r="BL276" s="1"/>
      <c r="BM276" s="2"/>
      <c r="BN276" s="1"/>
      <c r="BO276" s="1"/>
      <c r="BP276" s="1"/>
      <c r="BQ276" s="1"/>
      <c r="BR276" s="1"/>
      <c r="BS276" s="1"/>
      <c r="BT276" s="1"/>
      <c r="BU276" s="1"/>
      <c r="BV276" s="2"/>
      <c r="BW276" s="1"/>
      <c r="BX276" s="1"/>
      <c r="BY276" s="1"/>
      <c r="BZ276" s="1"/>
      <c r="CA276" s="1"/>
      <c r="CB276" s="1"/>
      <c r="CC276" s="1"/>
      <c r="CD276" s="1"/>
      <c r="CE276" s="2"/>
      <c r="CF276" s="1"/>
      <c r="CG276" s="1"/>
      <c r="CH276" s="1"/>
      <c r="CI276" s="1"/>
      <c r="CJ276" s="1"/>
      <c r="CK276" s="1"/>
      <c r="CL276" s="1"/>
    </row>
    <row r="277" spans="1:90" ht="14.65" x14ac:dyDescent="0.4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2"/>
      <c r="L277" s="1"/>
      <c r="M277" s="1"/>
      <c r="N277" s="1"/>
      <c r="O277" s="1"/>
      <c r="P277" s="1"/>
      <c r="Q277" s="1"/>
      <c r="R277" s="1"/>
      <c r="S277" s="1"/>
      <c r="T277" s="2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2"/>
      <c r="AM277" s="1"/>
      <c r="AN277" s="1"/>
      <c r="AO277" s="1"/>
      <c r="AP277" s="1"/>
      <c r="AQ277" s="1"/>
      <c r="AR277" s="1"/>
      <c r="AS277" s="1"/>
      <c r="AT277" s="1"/>
      <c r="AU277" s="2"/>
      <c r="AV277" s="1"/>
      <c r="AW277" s="1"/>
      <c r="AX277" s="1"/>
      <c r="AY277" s="1"/>
      <c r="AZ277" s="1"/>
      <c r="BA277" s="1"/>
      <c r="BB277" s="1"/>
      <c r="BC277" s="1"/>
      <c r="BD277" s="2"/>
      <c r="BE277" s="1"/>
      <c r="BF277" s="1"/>
      <c r="BG277" s="1"/>
      <c r="BH277" s="1"/>
      <c r="BI277" s="1"/>
      <c r="BJ277" s="1"/>
      <c r="BK277" s="1"/>
      <c r="BL277" s="1"/>
      <c r="BM277" s="2"/>
      <c r="BN277" s="1"/>
      <c r="BO277" s="1"/>
      <c r="BP277" s="1"/>
      <c r="BQ277" s="1"/>
      <c r="BR277" s="1"/>
      <c r="BS277" s="1"/>
      <c r="BT277" s="1"/>
      <c r="BU277" s="1"/>
      <c r="BV277" s="2"/>
      <c r="BW277" s="1"/>
      <c r="BX277" s="1"/>
      <c r="BY277" s="1"/>
      <c r="BZ277" s="1"/>
      <c r="CA277" s="1"/>
      <c r="CB277" s="1"/>
      <c r="CC277" s="1"/>
      <c r="CD277" s="1"/>
      <c r="CE277" s="2"/>
      <c r="CF277" s="1"/>
      <c r="CG277" s="1"/>
      <c r="CH277" s="1"/>
      <c r="CI277" s="1"/>
      <c r="CJ277" s="1"/>
      <c r="CK277" s="1"/>
      <c r="CL277" s="1"/>
    </row>
    <row r="278" spans="1:90" ht="14.65" x14ac:dyDescent="0.4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2"/>
      <c r="L278" s="1"/>
      <c r="M278" s="1"/>
      <c r="N278" s="1"/>
      <c r="O278" s="1"/>
      <c r="P278" s="1"/>
      <c r="Q278" s="1"/>
      <c r="R278" s="1"/>
      <c r="S278" s="1"/>
      <c r="T278" s="2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2"/>
      <c r="AM278" s="1"/>
      <c r="AN278" s="1"/>
      <c r="AO278" s="1"/>
      <c r="AP278" s="1"/>
      <c r="AQ278" s="1"/>
      <c r="AR278" s="1"/>
      <c r="AS278" s="1"/>
      <c r="AT278" s="1"/>
      <c r="AU278" s="2"/>
      <c r="AV278" s="1"/>
      <c r="AW278" s="1"/>
      <c r="AX278" s="1"/>
      <c r="AY278" s="1"/>
      <c r="AZ278" s="1"/>
      <c r="BA278" s="1"/>
      <c r="BB278" s="1"/>
      <c r="BC278" s="1"/>
      <c r="BD278" s="2"/>
      <c r="BE278" s="1"/>
      <c r="BF278" s="1"/>
      <c r="BG278" s="1"/>
      <c r="BH278" s="1"/>
      <c r="BI278" s="1"/>
      <c r="BJ278" s="1"/>
      <c r="BK278" s="1"/>
      <c r="BL278" s="1"/>
      <c r="BM278" s="2"/>
      <c r="BN278" s="1"/>
      <c r="BO278" s="1"/>
      <c r="BP278" s="1"/>
      <c r="BQ278" s="1"/>
      <c r="BR278" s="1"/>
      <c r="BS278" s="1"/>
      <c r="BT278" s="1"/>
      <c r="BU278" s="1"/>
      <c r="BV278" s="2"/>
      <c r="BW278" s="1"/>
      <c r="BX278" s="1"/>
      <c r="BY278" s="1"/>
      <c r="BZ278" s="1"/>
      <c r="CA278" s="1"/>
      <c r="CB278" s="1"/>
      <c r="CC278" s="1"/>
      <c r="CD278" s="1"/>
      <c r="CE278" s="2"/>
      <c r="CF278" s="1"/>
      <c r="CG278" s="1"/>
      <c r="CH278" s="1"/>
      <c r="CI278" s="1"/>
      <c r="CJ278" s="1"/>
      <c r="CK278" s="1"/>
      <c r="CL278" s="1"/>
    </row>
    <row r="279" spans="1:90" ht="14.65" x14ac:dyDescent="0.4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2"/>
      <c r="L279" s="1"/>
      <c r="M279" s="1"/>
      <c r="N279" s="1"/>
      <c r="O279" s="1"/>
      <c r="P279" s="1"/>
      <c r="Q279" s="1"/>
      <c r="R279" s="1"/>
      <c r="S279" s="1"/>
      <c r="T279" s="2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2"/>
      <c r="AM279" s="1"/>
      <c r="AN279" s="1"/>
      <c r="AO279" s="1"/>
      <c r="AP279" s="1"/>
      <c r="AQ279" s="1"/>
      <c r="AR279" s="1"/>
      <c r="AS279" s="1"/>
      <c r="AT279" s="1"/>
      <c r="AU279" s="2"/>
      <c r="AV279" s="1"/>
      <c r="AW279" s="1"/>
      <c r="AX279" s="1"/>
      <c r="AY279" s="1"/>
      <c r="AZ279" s="1"/>
      <c r="BA279" s="1"/>
      <c r="BB279" s="1"/>
      <c r="BC279" s="1"/>
      <c r="BD279" s="2"/>
      <c r="BE279" s="1"/>
      <c r="BF279" s="1"/>
      <c r="BG279" s="1"/>
      <c r="BH279" s="1"/>
      <c r="BI279" s="1"/>
      <c r="BJ279" s="1"/>
      <c r="BK279" s="1"/>
      <c r="BL279" s="1"/>
      <c r="BM279" s="2"/>
      <c r="BN279" s="1"/>
      <c r="BO279" s="1"/>
      <c r="BP279" s="1"/>
      <c r="BQ279" s="1"/>
      <c r="BR279" s="1"/>
      <c r="BS279" s="1"/>
      <c r="BT279" s="1"/>
      <c r="BU279" s="1"/>
      <c r="BV279" s="2"/>
      <c r="BW279" s="1"/>
      <c r="BX279" s="1"/>
      <c r="BY279" s="1"/>
      <c r="BZ279" s="1"/>
      <c r="CA279" s="1"/>
      <c r="CB279" s="1"/>
      <c r="CC279" s="1"/>
      <c r="CD279" s="1"/>
      <c r="CE279" s="2"/>
      <c r="CF279" s="1"/>
      <c r="CG279" s="1"/>
      <c r="CH279" s="1"/>
      <c r="CI279" s="1"/>
      <c r="CJ279" s="1"/>
      <c r="CK279" s="1"/>
      <c r="CL279" s="1"/>
    </row>
    <row r="280" spans="1:90" ht="14.65" x14ac:dyDescent="0.4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2"/>
      <c r="L280" s="1"/>
      <c r="M280" s="1"/>
      <c r="N280" s="1"/>
      <c r="O280" s="1"/>
      <c r="P280" s="1"/>
      <c r="Q280" s="1"/>
      <c r="R280" s="1"/>
      <c r="S280" s="1"/>
      <c r="T280" s="2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2"/>
      <c r="AM280" s="1"/>
      <c r="AN280" s="1"/>
      <c r="AO280" s="1"/>
      <c r="AP280" s="1"/>
      <c r="AQ280" s="1"/>
      <c r="AR280" s="1"/>
      <c r="AS280" s="1"/>
      <c r="AT280" s="1"/>
      <c r="AU280" s="2"/>
      <c r="AV280" s="1"/>
      <c r="AW280" s="1"/>
      <c r="AX280" s="1"/>
      <c r="AY280" s="1"/>
      <c r="AZ280" s="1"/>
      <c r="BA280" s="1"/>
      <c r="BB280" s="1"/>
      <c r="BC280" s="1"/>
      <c r="BD280" s="2"/>
      <c r="BE280" s="1"/>
      <c r="BF280" s="1"/>
      <c r="BG280" s="1"/>
      <c r="BH280" s="1"/>
      <c r="BI280" s="1"/>
      <c r="BJ280" s="1"/>
      <c r="BK280" s="1"/>
      <c r="BL280" s="1"/>
      <c r="BM280" s="2"/>
      <c r="BN280" s="1"/>
      <c r="BO280" s="1"/>
      <c r="BP280" s="1"/>
      <c r="BQ280" s="1"/>
      <c r="BR280" s="1"/>
      <c r="BS280" s="1"/>
      <c r="BT280" s="1"/>
      <c r="BU280" s="1"/>
      <c r="BV280" s="2"/>
      <c r="BW280" s="1"/>
      <c r="BX280" s="1"/>
      <c r="BY280" s="1"/>
      <c r="BZ280" s="1"/>
      <c r="CA280" s="1"/>
      <c r="CB280" s="1"/>
      <c r="CC280" s="1"/>
      <c r="CD280" s="1"/>
      <c r="CE280" s="2"/>
      <c r="CF280" s="1"/>
      <c r="CG280" s="1"/>
      <c r="CH280" s="1"/>
      <c r="CI280" s="1"/>
      <c r="CJ280" s="1"/>
      <c r="CK280" s="1"/>
      <c r="CL280" s="1"/>
    </row>
    <row r="281" spans="1:90" ht="14.65" x14ac:dyDescent="0.4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2"/>
      <c r="L281" s="1"/>
      <c r="M281" s="1"/>
      <c r="N281" s="1"/>
      <c r="O281" s="1"/>
      <c r="P281" s="1"/>
      <c r="Q281" s="1"/>
      <c r="R281" s="1"/>
      <c r="S281" s="1"/>
      <c r="T281" s="2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2"/>
      <c r="AM281" s="1"/>
      <c r="AN281" s="1"/>
      <c r="AO281" s="1"/>
      <c r="AP281" s="1"/>
      <c r="AQ281" s="1"/>
      <c r="AR281" s="1"/>
      <c r="AS281" s="1"/>
      <c r="AT281" s="1"/>
      <c r="AU281" s="2"/>
      <c r="AV281" s="1"/>
      <c r="AW281" s="1"/>
      <c r="AX281" s="1"/>
      <c r="AY281" s="1"/>
      <c r="AZ281" s="1"/>
      <c r="BA281" s="1"/>
      <c r="BB281" s="1"/>
      <c r="BC281" s="1"/>
      <c r="BD281" s="2"/>
      <c r="BE281" s="1"/>
      <c r="BF281" s="1"/>
      <c r="BG281" s="1"/>
      <c r="BH281" s="1"/>
      <c r="BI281" s="1"/>
      <c r="BJ281" s="1"/>
      <c r="BK281" s="1"/>
      <c r="BL281" s="1"/>
      <c r="BM281" s="2"/>
      <c r="BN281" s="1"/>
      <c r="BO281" s="1"/>
      <c r="BP281" s="1"/>
      <c r="BQ281" s="1"/>
      <c r="BR281" s="1"/>
      <c r="BS281" s="1"/>
      <c r="BT281" s="1"/>
      <c r="BU281" s="1"/>
      <c r="BV281" s="2"/>
      <c r="BW281" s="1"/>
      <c r="BX281" s="1"/>
      <c r="BY281" s="1"/>
      <c r="BZ281" s="1"/>
      <c r="CA281" s="1"/>
      <c r="CB281" s="1"/>
      <c r="CC281" s="1"/>
      <c r="CD281" s="1"/>
      <c r="CE281" s="2"/>
      <c r="CF281" s="1"/>
      <c r="CG281" s="1"/>
      <c r="CH281" s="1"/>
      <c r="CI281" s="1"/>
      <c r="CJ281" s="1"/>
      <c r="CK281" s="1"/>
      <c r="CL281" s="1"/>
    </row>
    <row r="282" spans="1:90" ht="14.65" x14ac:dyDescent="0.4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2"/>
      <c r="L282" s="1"/>
      <c r="M282" s="1"/>
      <c r="N282" s="1"/>
      <c r="O282" s="1"/>
      <c r="P282" s="1"/>
      <c r="Q282" s="1"/>
      <c r="R282" s="1"/>
      <c r="S282" s="1"/>
      <c r="T282" s="2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2"/>
      <c r="AM282" s="1"/>
      <c r="AN282" s="1"/>
      <c r="AO282" s="1"/>
      <c r="AP282" s="1"/>
      <c r="AQ282" s="1"/>
      <c r="AR282" s="1"/>
      <c r="AS282" s="1"/>
      <c r="AT282" s="1"/>
      <c r="AU282" s="2"/>
      <c r="AV282" s="1"/>
      <c r="AW282" s="1"/>
      <c r="AX282" s="1"/>
      <c r="AY282" s="1"/>
      <c r="AZ282" s="1"/>
      <c r="BA282" s="1"/>
      <c r="BB282" s="1"/>
      <c r="BC282" s="1"/>
      <c r="BD282" s="2"/>
      <c r="BE282" s="1"/>
      <c r="BF282" s="1"/>
      <c r="BG282" s="1"/>
      <c r="BH282" s="1"/>
      <c r="BI282" s="1"/>
      <c r="BJ282" s="1"/>
      <c r="BK282" s="1"/>
      <c r="BL282" s="1"/>
      <c r="BM282" s="2"/>
      <c r="BN282" s="1"/>
      <c r="BO282" s="1"/>
      <c r="BP282" s="1"/>
      <c r="BQ282" s="1"/>
      <c r="BR282" s="1"/>
      <c r="BS282" s="1"/>
      <c r="BT282" s="1"/>
      <c r="BU282" s="1"/>
      <c r="BV282" s="2"/>
      <c r="BW282" s="1"/>
      <c r="BX282" s="1"/>
      <c r="BY282" s="1"/>
      <c r="BZ282" s="1"/>
      <c r="CA282" s="1"/>
      <c r="CB282" s="1"/>
      <c r="CC282" s="1"/>
      <c r="CD282" s="1"/>
      <c r="CE282" s="2"/>
      <c r="CF282" s="1"/>
      <c r="CG282" s="1"/>
      <c r="CH282" s="1"/>
      <c r="CI282" s="1"/>
      <c r="CJ282" s="1"/>
      <c r="CK282" s="1"/>
      <c r="CL282" s="1"/>
    </row>
    <row r="283" spans="1:90" ht="14.65" x14ac:dyDescent="0.4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2"/>
      <c r="L283" s="1"/>
      <c r="M283" s="1"/>
      <c r="N283" s="1"/>
      <c r="O283" s="1"/>
      <c r="P283" s="1"/>
      <c r="Q283" s="1"/>
      <c r="R283" s="1"/>
      <c r="S283" s="1"/>
      <c r="T283" s="2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2"/>
      <c r="AM283" s="1"/>
      <c r="AN283" s="1"/>
      <c r="AO283" s="1"/>
      <c r="AP283" s="1"/>
      <c r="AQ283" s="1"/>
      <c r="AR283" s="1"/>
      <c r="AS283" s="1"/>
      <c r="AT283" s="1"/>
      <c r="AU283" s="2"/>
      <c r="AV283" s="1"/>
      <c r="AW283" s="1"/>
      <c r="AX283" s="1"/>
      <c r="AY283" s="1"/>
      <c r="AZ283" s="1"/>
      <c r="BA283" s="1"/>
      <c r="BB283" s="1"/>
      <c r="BC283" s="1"/>
      <c r="BD283" s="2"/>
      <c r="BE283" s="1"/>
      <c r="BF283" s="1"/>
      <c r="BG283" s="1"/>
      <c r="BH283" s="1"/>
      <c r="BI283" s="1"/>
      <c r="BJ283" s="1"/>
      <c r="BK283" s="1"/>
      <c r="BL283" s="1"/>
      <c r="BM283" s="2"/>
      <c r="BN283" s="1"/>
      <c r="BO283" s="1"/>
      <c r="BP283" s="1"/>
      <c r="BQ283" s="1"/>
      <c r="BR283" s="1"/>
      <c r="BS283" s="1"/>
      <c r="BT283" s="1"/>
      <c r="BU283" s="1"/>
      <c r="BV283" s="2"/>
      <c r="BW283" s="1"/>
      <c r="BX283" s="1"/>
      <c r="BY283" s="1"/>
      <c r="BZ283" s="1"/>
      <c r="CA283" s="1"/>
      <c r="CB283" s="1"/>
      <c r="CC283" s="1"/>
      <c r="CD283" s="1"/>
      <c r="CE283" s="2"/>
      <c r="CF283" s="1"/>
      <c r="CG283" s="1"/>
      <c r="CH283" s="1"/>
      <c r="CI283" s="1"/>
      <c r="CJ283" s="1"/>
      <c r="CK283" s="1"/>
      <c r="CL283" s="1"/>
    </row>
    <row r="284" spans="1:90" ht="14.65" x14ac:dyDescent="0.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2"/>
      <c r="L284" s="1"/>
      <c r="M284" s="1"/>
      <c r="N284" s="1"/>
      <c r="O284" s="1"/>
      <c r="P284" s="1"/>
      <c r="Q284" s="1"/>
      <c r="R284" s="1"/>
      <c r="S284" s="1"/>
      <c r="T284" s="2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2"/>
      <c r="AM284" s="1"/>
      <c r="AN284" s="1"/>
      <c r="AO284" s="1"/>
      <c r="AP284" s="1"/>
      <c r="AQ284" s="1"/>
      <c r="AR284" s="1"/>
      <c r="AS284" s="1"/>
      <c r="AT284" s="1"/>
      <c r="AU284" s="2"/>
      <c r="AV284" s="1"/>
      <c r="AW284" s="1"/>
      <c r="AX284" s="1"/>
      <c r="AY284" s="1"/>
      <c r="AZ284" s="1"/>
      <c r="BA284" s="1"/>
      <c r="BB284" s="1"/>
      <c r="BC284" s="1"/>
      <c r="BD284" s="2"/>
      <c r="BE284" s="1"/>
      <c r="BF284" s="1"/>
      <c r="BG284" s="1"/>
      <c r="BH284" s="1"/>
      <c r="BI284" s="1"/>
      <c r="BJ284" s="1"/>
      <c r="BK284" s="1"/>
      <c r="BL284" s="1"/>
      <c r="BM284" s="2"/>
      <c r="BN284" s="1"/>
      <c r="BO284" s="1"/>
      <c r="BP284" s="1"/>
      <c r="BQ284" s="1"/>
      <c r="BR284" s="1"/>
      <c r="BS284" s="1"/>
      <c r="BT284" s="1"/>
      <c r="BU284" s="1"/>
      <c r="BV284" s="2"/>
      <c r="BW284" s="1"/>
      <c r="BX284" s="1"/>
      <c r="BY284" s="1"/>
      <c r="BZ284" s="1"/>
      <c r="CA284" s="1"/>
      <c r="CB284" s="1"/>
      <c r="CC284" s="1"/>
      <c r="CD284" s="1"/>
      <c r="CE284" s="2"/>
      <c r="CF284" s="1"/>
      <c r="CG284" s="1"/>
      <c r="CH284" s="1"/>
      <c r="CI284" s="1"/>
      <c r="CJ284" s="1"/>
      <c r="CK284" s="1"/>
      <c r="CL284" s="1"/>
    </row>
    <row r="285" spans="1:90" ht="14.65" x14ac:dyDescent="0.4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2"/>
      <c r="L285" s="1"/>
      <c r="M285" s="1"/>
      <c r="N285" s="1"/>
      <c r="O285" s="1"/>
      <c r="P285" s="1"/>
      <c r="Q285" s="1"/>
      <c r="R285" s="1"/>
      <c r="S285" s="1"/>
      <c r="T285" s="2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2"/>
      <c r="AM285" s="1"/>
      <c r="AN285" s="1"/>
      <c r="AO285" s="1"/>
      <c r="AP285" s="1"/>
      <c r="AQ285" s="1"/>
      <c r="AR285" s="1"/>
      <c r="AS285" s="1"/>
      <c r="AT285" s="1"/>
      <c r="AU285" s="2"/>
      <c r="AV285" s="1"/>
      <c r="AW285" s="1"/>
      <c r="AX285" s="1"/>
      <c r="AY285" s="1"/>
      <c r="AZ285" s="1"/>
      <c r="BA285" s="1"/>
      <c r="BB285" s="1"/>
      <c r="BC285" s="1"/>
      <c r="BD285" s="2"/>
      <c r="BE285" s="1"/>
      <c r="BF285" s="1"/>
      <c r="BG285" s="1"/>
      <c r="BH285" s="1"/>
      <c r="BI285" s="1"/>
      <c r="BJ285" s="1"/>
      <c r="BK285" s="1"/>
      <c r="BL285" s="1"/>
      <c r="BM285" s="2"/>
      <c r="BN285" s="1"/>
      <c r="BO285" s="1"/>
      <c r="BP285" s="1"/>
      <c r="BQ285" s="1"/>
      <c r="BR285" s="1"/>
      <c r="BS285" s="1"/>
      <c r="BT285" s="1"/>
      <c r="BU285" s="1"/>
      <c r="BV285" s="2"/>
      <c r="BW285" s="1"/>
      <c r="BX285" s="1"/>
      <c r="BY285" s="1"/>
      <c r="BZ285" s="1"/>
      <c r="CA285" s="1"/>
      <c r="CB285" s="1"/>
      <c r="CC285" s="1"/>
      <c r="CD285" s="1"/>
      <c r="CE285" s="2"/>
      <c r="CF285" s="1"/>
      <c r="CG285" s="1"/>
      <c r="CH285" s="1"/>
      <c r="CI285" s="1"/>
      <c r="CJ285" s="1"/>
      <c r="CK285" s="1"/>
      <c r="CL285" s="1"/>
    </row>
    <row r="286" spans="1:90" ht="14.65" x14ac:dyDescent="0.4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2"/>
      <c r="L286" s="1"/>
      <c r="M286" s="1"/>
      <c r="N286" s="1"/>
      <c r="O286" s="1"/>
      <c r="P286" s="1"/>
      <c r="Q286" s="1"/>
      <c r="R286" s="1"/>
      <c r="S286" s="1"/>
      <c r="T286" s="2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2"/>
      <c r="AM286" s="1"/>
      <c r="AN286" s="1"/>
      <c r="AO286" s="1"/>
      <c r="AP286" s="1"/>
      <c r="AQ286" s="1"/>
      <c r="AR286" s="1"/>
      <c r="AS286" s="1"/>
      <c r="AT286" s="1"/>
      <c r="AU286" s="2"/>
      <c r="AV286" s="1"/>
      <c r="AW286" s="1"/>
      <c r="AX286" s="1"/>
      <c r="AY286" s="1"/>
      <c r="AZ286" s="1"/>
      <c r="BA286" s="1"/>
      <c r="BB286" s="1"/>
      <c r="BC286" s="1"/>
      <c r="BD286" s="2"/>
      <c r="BE286" s="1"/>
      <c r="BF286" s="1"/>
      <c r="BG286" s="1"/>
      <c r="BH286" s="1"/>
      <c r="BI286" s="1"/>
      <c r="BJ286" s="1"/>
      <c r="BK286" s="1"/>
      <c r="BL286" s="1"/>
      <c r="BM286" s="2"/>
      <c r="BN286" s="1"/>
      <c r="BO286" s="1"/>
      <c r="BP286" s="1"/>
      <c r="BQ286" s="1"/>
      <c r="BR286" s="1"/>
      <c r="BS286" s="1"/>
      <c r="BT286" s="1"/>
      <c r="BU286" s="1"/>
      <c r="BV286" s="2"/>
      <c r="BW286" s="1"/>
      <c r="BX286" s="1"/>
      <c r="BY286" s="1"/>
      <c r="BZ286" s="1"/>
      <c r="CA286" s="1"/>
      <c r="CB286" s="1"/>
      <c r="CC286" s="1"/>
      <c r="CD286" s="1"/>
      <c r="CE286" s="2"/>
      <c r="CF286" s="1"/>
      <c r="CG286" s="1"/>
      <c r="CH286" s="1"/>
      <c r="CI286" s="1"/>
      <c r="CJ286" s="1"/>
      <c r="CK286" s="1"/>
      <c r="CL286" s="1"/>
    </row>
    <row r="287" spans="1:90" ht="14.65" x14ac:dyDescent="0.4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2"/>
      <c r="L287" s="1"/>
      <c r="M287" s="1"/>
      <c r="N287" s="1"/>
      <c r="O287" s="1"/>
      <c r="P287" s="1"/>
      <c r="Q287" s="1"/>
      <c r="R287" s="1"/>
      <c r="S287" s="1"/>
      <c r="T287" s="2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2"/>
      <c r="AM287" s="1"/>
      <c r="AN287" s="1"/>
      <c r="AO287" s="1"/>
      <c r="AP287" s="1"/>
      <c r="AQ287" s="1"/>
      <c r="AR287" s="1"/>
      <c r="AS287" s="1"/>
      <c r="AT287" s="1"/>
      <c r="AU287" s="2"/>
      <c r="AV287" s="1"/>
      <c r="AW287" s="1"/>
      <c r="AX287" s="1"/>
      <c r="AY287" s="1"/>
      <c r="AZ287" s="1"/>
      <c r="BA287" s="1"/>
      <c r="BB287" s="1"/>
      <c r="BC287" s="1"/>
      <c r="BD287" s="2"/>
      <c r="BE287" s="1"/>
      <c r="BF287" s="1"/>
      <c r="BG287" s="1"/>
      <c r="BH287" s="1"/>
      <c r="BI287" s="1"/>
      <c r="BJ287" s="1"/>
      <c r="BK287" s="1"/>
      <c r="BL287" s="1"/>
      <c r="BM287" s="2"/>
      <c r="BN287" s="1"/>
      <c r="BO287" s="1"/>
      <c r="BP287" s="1"/>
      <c r="BQ287" s="1"/>
      <c r="BR287" s="1"/>
      <c r="BS287" s="1"/>
      <c r="BT287" s="1"/>
      <c r="BU287" s="1"/>
      <c r="BV287" s="2"/>
      <c r="BW287" s="1"/>
      <c r="BX287" s="1"/>
      <c r="BY287" s="1"/>
      <c r="BZ287" s="1"/>
      <c r="CA287" s="1"/>
      <c r="CB287" s="1"/>
      <c r="CC287" s="1"/>
      <c r="CD287" s="1"/>
      <c r="CE287" s="2"/>
      <c r="CF287" s="1"/>
      <c r="CG287" s="1"/>
      <c r="CH287" s="1"/>
      <c r="CI287" s="1"/>
      <c r="CJ287" s="1"/>
      <c r="CK287" s="1"/>
      <c r="CL287" s="1"/>
    </row>
    <row r="288" spans="1:90" ht="14.65" x14ac:dyDescent="0.4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2"/>
      <c r="L288" s="1"/>
      <c r="M288" s="1"/>
      <c r="N288" s="1"/>
      <c r="O288" s="1"/>
      <c r="P288" s="1"/>
      <c r="Q288" s="1"/>
      <c r="R288" s="1"/>
      <c r="S288" s="1"/>
      <c r="T288" s="2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2"/>
      <c r="AM288" s="1"/>
      <c r="AN288" s="1"/>
      <c r="AO288" s="1"/>
      <c r="AP288" s="1"/>
      <c r="AQ288" s="1"/>
      <c r="AR288" s="1"/>
      <c r="AS288" s="1"/>
      <c r="AT288" s="1"/>
      <c r="AU288" s="2"/>
      <c r="AV288" s="1"/>
      <c r="AW288" s="1"/>
      <c r="AX288" s="1"/>
      <c r="AY288" s="1"/>
      <c r="AZ288" s="1"/>
      <c r="BA288" s="1"/>
      <c r="BB288" s="1"/>
      <c r="BC288" s="1"/>
      <c r="BD288" s="2"/>
      <c r="BE288" s="1"/>
      <c r="BF288" s="1"/>
      <c r="BG288" s="1"/>
      <c r="BH288" s="1"/>
      <c r="BI288" s="1"/>
      <c r="BJ288" s="1"/>
      <c r="BK288" s="1"/>
      <c r="BL288" s="1"/>
      <c r="BM288" s="2"/>
      <c r="BN288" s="1"/>
      <c r="BO288" s="1"/>
      <c r="BP288" s="1"/>
      <c r="BQ288" s="1"/>
      <c r="BR288" s="1"/>
      <c r="BS288" s="1"/>
      <c r="BT288" s="1"/>
      <c r="BU288" s="1"/>
      <c r="BV288" s="2"/>
      <c r="BW288" s="1"/>
      <c r="BX288" s="1"/>
      <c r="BY288" s="1"/>
      <c r="BZ288" s="1"/>
      <c r="CA288" s="1"/>
      <c r="CB288" s="1"/>
      <c r="CC288" s="1"/>
      <c r="CD288" s="1"/>
      <c r="CE288" s="2"/>
      <c r="CF288" s="1"/>
      <c r="CG288" s="1"/>
      <c r="CH288" s="1"/>
      <c r="CI288" s="1"/>
      <c r="CJ288" s="1"/>
      <c r="CK288" s="1"/>
      <c r="CL288" s="1"/>
    </row>
    <row r="289" spans="1:90" ht="14.65" x14ac:dyDescent="0.4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2"/>
      <c r="L289" s="1"/>
      <c r="M289" s="1"/>
      <c r="N289" s="1"/>
      <c r="O289" s="1"/>
      <c r="P289" s="1"/>
      <c r="Q289" s="1"/>
      <c r="R289" s="1"/>
      <c r="S289" s="1"/>
      <c r="T289" s="2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2"/>
      <c r="AM289" s="1"/>
      <c r="AN289" s="1"/>
      <c r="AO289" s="1"/>
      <c r="AP289" s="1"/>
      <c r="AQ289" s="1"/>
      <c r="AR289" s="1"/>
      <c r="AS289" s="1"/>
      <c r="AT289" s="1"/>
      <c r="AU289" s="2"/>
      <c r="AV289" s="1"/>
      <c r="AW289" s="1"/>
      <c r="AX289" s="1"/>
      <c r="AY289" s="1"/>
      <c r="AZ289" s="1"/>
      <c r="BA289" s="1"/>
      <c r="BB289" s="1"/>
      <c r="BC289" s="1"/>
      <c r="BD289" s="2"/>
      <c r="BE289" s="1"/>
      <c r="BF289" s="1"/>
      <c r="BG289" s="1"/>
      <c r="BH289" s="1"/>
      <c r="BI289" s="1"/>
      <c r="BJ289" s="1"/>
      <c r="BK289" s="1"/>
      <c r="BL289" s="1"/>
      <c r="BM289" s="2"/>
      <c r="BN289" s="1"/>
      <c r="BO289" s="1"/>
      <c r="BP289" s="1"/>
      <c r="BQ289" s="1"/>
      <c r="BR289" s="1"/>
      <c r="BS289" s="1"/>
      <c r="BT289" s="1"/>
      <c r="BU289" s="1"/>
      <c r="BV289" s="2"/>
      <c r="BW289" s="1"/>
      <c r="BX289" s="1"/>
      <c r="BY289" s="1"/>
      <c r="BZ289" s="1"/>
      <c r="CA289" s="1"/>
      <c r="CB289" s="1"/>
      <c r="CC289" s="1"/>
      <c r="CD289" s="1"/>
      <c r="CE289" s="2"/>
      <c r="CF289" s="1"/>
      <c r="CG289" s="1"/>
      <c r="CH289" s="1"/>
      <c r="CI289" s="1"/>
      <c r="CJ289" s="1"/>
      <c r="CK289" s="1"/>
      <c r="CL289" s="1"/>
    </row>
    <row r="290" spans="1:90" ht="14.65" x14ac:dyDescent="0.4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2"/>
      <c r="L290" s="1"/>
      <c r="M290" s="1"/>
      <c r="N290" s="1"/>
      <c r="O290" s="1"/>
      <c r="P290" s="1"/>
      <c r="Q290" s="1"/>
      <c r="R290" s="1"/>
      <c r="S290" s="1"/>
      <c r="T290" s="2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2"/>
      <c r="AM290" s="1"/>
      <c r="AN290" s="1"/>
      <c r="AO290" s="1"/>
      <c r="AP290" s="1"/>
      <c r="AQ290" s="1"/>
      <c r="AR290" s="1"/>
      <c r="AS290" s="1"/>
      <c r="AT290" s="1"/>
      <c r="AU290" s="2"/>
      <c r="AV290" s="1"/>
      <c r="AW290" s="1"/>
      <c r="AX290" s="1"/>
      <c r="AY290" s="1"/>
      <c r="AZ290" s="1"/>
      <c r="BA290" s="1"/>
      <c r="BB290" s="1"/>
      <c r="BC290" s="1"/>
      <c r="BD290" s="2"/>
      <c r="BE290" s="1"/>
      <c r="BF290" s="1"/>
      <c r="BG290" s="1"/>
      <c r="BH290" s="1"/>
      <c r="BI290" s="1"/>
      <c r="BJ290" s="1"/>
      <c r="BK290" s="1"/>
      <c r="BL290" s="1"/>
      <c r="BM290" s="2"/>
      <c r="BN290" s="1"/>
      <c r="BO290" s="1"/>
      <c r="BP290" s="1"/>
      <c r="BQ290" s="1"/>
      <c r="BR290" s="1"/>
      <c r="BS290" s="1"/>
      <c r="BT290" s="1"/>
      <c r="BU290" s="1"/>
      <c r="BV290" s="2"/>
      <c r="BW290" s="1"/>
      <c r="BX290" s="1"/>
      <c r="BY290" s="1"/>
      <c r="BZ290" s="1"/>
      <c r="CA290" s="1"/>
      <c r="CB290" s="1"/>
      <c r="CC290" s="1"/>
      <c r="CD290" s="1"/>
      <c r="CE290" s="2"/>
      <c r="CF290" s="1"/>
      <c r="CG290" s="1"/>
      <c r="CH290" s="1"/>
      <c r="CI290" s="1"/>
      <c r="CJ290" s="1"/>
      <c r="CK290" s="1"/>
      <c r="CL290" s="1"/>
    </row>
    <row r="291" spans="1:90" ht="14.65" x14ac:dyDescent="0.4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2"/>
      <c r="L291" s="1"/>
      <c r="M291" s="1"/>
      <c r="N291" s="1"/>
      <c r="O291" s="1"/>
      <c r="P291" s="1"/>
      <c r="Q291" s="1"/>
      <c r="R291" s="1"/>
      <c r="S291" s="1"/>
      <c r="T291" s="2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2"/>
      <c r="AM291" s="1"/>
      <c r="AN291" s="1"/>
      <c r="AO291" s="1"/>
      <c r="AP291" s="1"/>
      <c r="AQ291" s="1"/>
      <c r="AR291" s="1"/>
      <c r="AS291" s="1"/>
      <c r="AT291" s="1"/>
      <c r="AU291" s="2"/>
      <c r="AV291" s="1"/>
      <c r="AW291" s="1"/>
      <c r="AX291" s="1"/>
      <c r="AY291" s="1"/>
      <c r="AZ291" s="1"/>
      <c r="BA291" s="1"/>
      <c r="BB291" s="1"/>
      <c r="BC291" s="1"/>
      <c r="BD291" s="2"/>
      <c r="BE291" s="1"/>
      <c r="BF291" s="1"/>
      <c r="BG291" s="1"/>
      <c r="BH291" s="1"/>
      <c r="BI291" s="1"/>
      <c r="BJ291" s="1"/>
      <c r="BK291" s="1"/>
      <c r="BL291" s="1"/>
      <c r="BM291" s="2"/>
      <c r="BN291" s="1"/>
      <c r="BO291" s="1"/>
      <c r="BP291" s="1"/>
      <c r="BQ291" s="1"/>
      <c r="BR291" s="1"/>
      <c r="BS291" s="1"/>
      <c r="BT291" s="1"/>
      <c r="BU291" s="1"/>
      <c r="BV291" s="2"/>
      <c r="BW291" s="1"/>
      <c r="BX291" s="1"/>
      <c r="BY291" s="1"/>
      <c r="BZ291" s="1"/>
      <c r="CA291" s="1"/>
      <c r="CB291" s="1"/>
      <c r="CC291" s="1"/>
      <c r="CD291" s="1"/>
      <c r="CE291" s="2"/>
      <c r="CF291" s="1"/>
      <c r="CG291" s="1"/>
      <c r="CH291" s="1"/>
      <c r="CI291" s="1"/>
      <c r="CJ291" s="1"/>
      <c r="CK291" s="1"/>
      <c r="CL291" s="1"/>
    </row>
    <row r="292" spans="1:90" ht="14.65" x14ac:dyDescent="0.4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2"/>
      <c r="L292" s="1"/>
      <c r="M292" s="1"/>
      <c r="N292" s="1"/>
      <c r="O292" s="1"/>
      <c r="P292" s="1"/>
      <c r="Q292" s="1"/>
      <c r="R292" s="1"/>
      <c r="S292" s="1"/>
      <c r="T292" s="2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2"/>
      <c r="AM292" s="1"/>
      <c r="AN292" s="1"/>
      <c r="AO292" s="1"/>
      <c r="AP292" s="1"/>
      <c r="AQ292" s="1"/>
      <c r="AR292" s="1"/>
      <c r="AS292" s="1"/>
      <c r="AT292" s="1"/>
      <c r="AU292" s="2"/>
      <c r="AV292" s="1"/>
      <c r="AW292" s="1"/>
      <c r="AX292" s="1"/>
      <c r="AY292" s="1"/>
      <c r="AZ292" s="1"/>
      <c r="BA292" s="1"/>
      <c r="BB292" s="1"/>
      <c r="BC292" s="1"/>
      <c r="BD292" s="2"/>
      <c r="BE292" s="1"/>
      <c r="BF292" s="1"/>
      <c r="BG292" s="1"/>
      <c r="BH292" s="1"/>
      <c r="BI292" s="1"/>
      <c r="BJ292" s="1"/>
      <c r="BK292" s="1"/>
      <c r="BL292" s="1"/>
      <c r="BM292" s="2"/>
      <c r="BN292" s="1"/>
      <c r="BO292" s="1"/>
      <c r="BP292" s="1"/>
      <c r="BQ292" s="1"/>
      <c r="BR292" s="1"/>
      <c r="BS292" s="1"/>
      <c r="BT292" s="1"/>
      <c r="BU292" s="1"/>
      <c r="BV292" s="2"/>
      <c r="BW292" s="1"/>
      <c r="BX292" s="1"/>
      <c r="BY292" s="1"/>
      <c r="BZ292" s="1"/>
      <c r="CA292" s="1"/>
      <c r="CB292" s="1"/>
      <c r="CC292" s="1"/>
      <c r="CD292" s="1"/>
      <c r="CE292" s="2"/>
      <c r="CF292" s="1"/>
      <c r="CG292" s="1"/>
      <c r="CH292" s="1"/>
      <c r="CI292" s="1"/>
      <c r="CJ292" s="1"/>
      <c r="CK292" s="1"/>
      <c r="CL292" s="1"/>
    </row>
    <row r="293" spans="1:90" ht="14.65" x14ac:dyDescent="0.4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2"/>
      <c r="L293" s="1"/>
      <c r="M293" s="1"/>
      <c r="N293" s="1"/>
      <c r="O293" s="1"/>
      <c r="P293" s="1"/>
      <c r="Q293" s="1"/>
      <c r="R293" s="1"/>
      <c r="S293" s="1"/>
      <c r="T293" s="2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2"/>
      <c r="AM293" s="1"/>
      <c r="AN293" s="1"/>
      <c r="AO293" s="1"/>
      <c r="AP293" s="1"/>
      <c r="AQ293" s="1"/>
      <c r="AR293" s="1"/>
      <c r="AS293" s="1"/>
      <c r="AT293" s="1"/>
      <c r="AU293" s="2"/>
      <c r="AV293" s="1"/>
      <c r="AW293" s="1"/>
      <c r="AX293" s="1"/>
      <c r="AY293" s="1"/>
      <c r="AZ293" s="1"/>
      <c r="BA293" s="1"/>
      <c r="BB293" s="1"/>
      <c r="BC293" s="1"/>
      <c r="BD293" s="2"/>
      <c r="BE293" s="1"/>
      <c r="BF293" s="1"/>
      <c r="BG293" s="1"/>
      <c r="BH293" s="1"/>
      <c r="BI293" s="1"/>
      <c r="BJ293" s="1"/>
      <c r="BK293" s="1"/>
      <c r="BL293" s="1"/>
      <c r="BM293" s="2"/>
      <c r="BN293" s="1"/>
      <c r="BO293" s="1"/>
      <c r="BP293" s="1"/>
      <c r="BQ293" s="1"/>
      <c r="BR293" s="1"/>
      <c r="BS293" s="1"/>
      <c r="BT293" s="1"/>
      <c r="BU293" s="1"/>
      <c r="BV293" s="2"/>
      <c r="BW293" s="1"/>
      <c r="BX293" s="1"/>
      <c r="BY293" s="1"/>
      <c r="BZ293" s="1"/>
      <c r="CA293" s="1"/>
      <c r="CB293" s="1"/>
      <c r="CC293" s="1"/>
      <c r="CD293" s="1"/>
      <c r="CE293" s="2"/>
      <c r="CF293" s="1"/>
      <c r="CG293" s="1"/>
      <c r="CH293" s="1"/>
      <c r="CI293" s="1"/>
      <c r="CJ293" s="1"/>
      <c r="CK293" s="1"/>
      <c r="CL293" s="1"/>
    </row>
    <row r="294" spans="1:90" ht="14.65" x14ac:dyDescent="0.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2"/>
      <c r="L294" s="1"/>
      <c r="M294" s="1"/>
      <c r="N294" s="1"/>
      <c r="O294" s="1"/>
      <c r="P294" s="1"/>
      <c r="Q294" s="1"/>
      <c r="R294" s="1"/>
      <c r="S294" s="1"/>
      <c r="T294" s="2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2"/>
      <c r="AM294" s="1"/>
      <c r="AN294" s="1"/>
      <c r="AO294" s="1"/>
      <c r="AP294" s="1"/>
      <c r="AQ294" s="1"/>
      <c r="AR294" s="1"/>
      <c r="AS294" s="1"/>
      <c r="AT294" s="1"/>
      <c r="AU294" s="2"/>
      <c r="AV294" s="1"/>
      <c r="AW294" s="1"/>
      <c r="AX294" s="1"/>
      <c r="AY294" s="1"/>
      <c r="AZ294" s="1"/>
      <c r="BA294" s="1"/>
      <c r="BB294" s="1"/>
      <c r="BC294" s="1"/>
      <c r="BD294" s="2"/>
      <c r="BE294" s="1"/>
      <c r="BF294" s="1"/>
      <c r="BG294" s="1"/>
      <c r="BH294" s="1"/>
      <c r="BI294" s="1"/>
      <c r="BJ294" s="1"/>
      <c r="BK294" s="1"/>
      <c r="BL294" s="1"/>
      <c r="BM294" s="2"/>
      <c r="BN294" s="1"/>
      <c r="BO294" s="1"/>
      <c r="BP294" s="1"/>
      <c r="BQ294" s="1"/>
      <c r="BR294" s="1"/>
      <c r="BS294" s="1"/>
      <c r="BT294" s="1"/>
      <c r="BU294" s="1"/>
      <c r="BV294" s="2"/>
      <c r="BW294" s="1"/>
      <c r="BX294" s="1"/>
      <c r="BY294" s="1"/>
      <c r="BZ294" s="1"/>
      <c r="CA294" s="1"/>
      <c r="CB294" s="1"/>
      <c r="CC294" s="1"/>
      <c r="CD294" s="1"/>
      <c r="CE294" s="2"/>
      <c r="CF294" s="1"/>
      <c r="CG294" s="1"/>
      <c r="CH294" s="1"/>
      <c r="CI294" s="1"/>
      <c r="CJ294" s="1"/>
      <c r="CK294" s="1"/>
      <c r="CL294" s="1"/>
    </row>
    <row r="295" spans="1:90" ht="14.65" x14ac:dyDescent="0.4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2"/>
      <c r="L295" s="1"/>
      <c r="M295" s="1"/>
      <c r="N295" s="1"/>
      <c r="O295" s="1"/>
      <c r="P295" s="1"/>
      <c r="Q295" s="1"/>
      <c r="R295" s="1"/>
      <c r="S295" s="1"/>
      <c r="T295" s="2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2"/>
      <c r="AM295" s="1"/>
      <c r="AN295" s="1"/>
      <c r="AO295" s="1"/>
      <c r="AP295" s="1"/>
      <c r="AQ295" s="1"/>
      <c r="AR295" s="1"/>
      <c r="AS295" s="1"/>
      <c r="AT295" s="1"/>
      <c r="AU295" s="2"/>
      <c r="AV295" s="1"/>
      <c r="AW295" s="1"/>
      <c r="AX295" s="1"/>
      <c r="AY295" s="1"/>
      <c r="AZ295" s="1"/>
      <c r="BA295" s="1"/>
      <c r="BB295" s="1"/>
      <c r="BC295" s="1"/>
      <c r="BD295" s="2"/>
      <c r="BE295" s="1"/>
      <c r="BF295" s="1"/>
      <c r="BG295" s="1"/>
      <c r="BH295" s="1"/>
      <c r="BI295" s="1"/>
      <c r="BJ295" s="1"/>
      <c r="BK295" s="1"/>
      <c r="BL295" s="1"/>
      <c r="BM295" s="2"/>
      <c r="BN295" s="1"/>
      <c r="BO295" s="1"/>
      <c r="BP295" s="1"/>
      <c r="BQ295" s="1"/>
      <c r="BR295" s="1"/>
      <c r="BS295" s="1"/>
      <c r="BT295" s="1"/>
      <c r="BU295" s="1"/>
      <c r="BV295" s="2"/>
      <c r="BW295" s="1"/>
      <c r="BX295" s="1"/>
      <c r="BY295" s="1"/>
      <c r="BZ295" s="1"/>
      <c r="CA295" s="1"/>
      <c r="CB295" s="1"/>
      <c r="CC295" s="1"/>
      <c r="CD295" s="1"/>
      <c r="CE295" s="2"/>
      <c r="CF295" s="1"/>
      <c r="CG295" s="1"/>
      <c r="CH295" s="1"/>
      <c r="CI295" s="1"/>
      <c r="CJ295" s="1"/>
      <c r="CK295" s="1"/>
      <c r="CL295" s="1"/>
    </row>
    <row r="296" spans="1:90" ht="14.65" x14ac:dyDescent="0.4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2"/>
      <c r="L296" s="1"/>
      <c r="M296" s="1"/>
      <c r="N296" s="1"/>
      <c r="O296" s="1"/>
      <c r="P296" s="1"/>
      <c r="Q296" s="1"/>
      <c r="R296" s="1"/>
      <c r="S296" s="1"/>
      <c r="T296" s="2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2"/>
      <c r="AM296" s="1"/>
      <c r="AN296" s="1"/>
      <c r="AO296" s="1"/>
      <c r="AP296" s="1"/>
      <c r="AQ296" s="1"/>
      <c r="AR296" s="1"/>
      <c r="AS296" s="1"/>
      <c r="AT296" s="1"/>
      <c r="AU296" s="2"/>
      <c r="AV296" s="1"/>
      <c r="AW296" s="1"/>
      <c r="AX296" s="1"/>
      <c r="AY296" s="1"/>
      <c r="AZ296" s="1"/>
      <c r="BA296" s="1"/>
      <c r="BB296" s="1"/>
      <c r="BC296" s="1"/>
      <c r="BD296" s="2"/>
      <c r="BE296" s="1"/>
      <c r="BF296" s="1"/>
      <c r="BG296" s="1"/>
      <c r="BH296" s="1"/>
      <c r="BI296" s="1"/>
      <c r="BJ296" s="1"/>
      <c r="BK296" s="1"/>
      <c r="BL296" s="1"/>
      <c r="BM296" s="2"/>
      <c r="BN296" s="1"/>
      <c r="BO296" s="1"/>
      <c r="BP296" s="1"/>
      <c r="BQ296" s="1"/>
      <c r="BR296" s="1"/>
      <c r="BS296" s="1"/>
      <c r="BT296" s="1"/>
      <c r="BU296" s="1"/>
      <c r="BV296" s="2"/>
      <c r="BW296" s="1"/>
      <c r="BX296" s="1"/>
      <c r="BY296" s="1"/>
      <c r="BZ296" s="1"/>
      <c r="CA296" s="1"/>
      <c r="CB296" s="1"/>
      <c r="CC296" s="1"/>
      <c r="CD296" s="1"/>
      <c r="CE296" s="2"/>
      <c r="CF296" s="1"/>
      <c r="CG296" s="1"/>
      <c r="CH296" s="1"/>
      <c r="CI296" s="1"/>
      <c r="CJ296" s="1"/>
      <c r="CK296" s="1"/>
      <c r="CL296" s="1"/>
    </row>
    <row r="297" spans="1:90" ht="14.65" x14ac:dyDescent="0.4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2"/>
      <c r="L297" s="1"/>
      <c r="M297" s="1"/>
      <c r="N297" s="1"/>
      <c r="O297" s="1"/>
      <c r="P297" s="1"/>
      <c r="Q297" s="1"/>
      <c r="R297" s="1"/>
      <c r="S297" s="1"/>
      <c r="T297" s="2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2"/>
      <c r="AM297" s="1"/>
      <c r="AN297" s="1"/>
      <c r="AO297" s="1"/>
      <c r="AP297" s="1"/>
      <c r="AQ297" s="1"/>
      <c r="AR297" s="1"/>
      <c r="AS297" s="1"/>
      <c r="AT297" s="1"/>
      <c r="AU297" s="2"/>
      <c r="AV297" s="1"/>
      <c r="AW297" s="1"/>
      <c r="AX297" s="1"/>
      <c r="AY297" s="1"/>
      <c r="AZ297" s="1"/>
      <c r="BA297" s="1"/>
      <c r="BB297" s="1"/>
      <c r="BC297" s="1"/>
      <c r="BD297" s="2"/>
      <c r="BE297" s="1"/>
      <c r="BF297" s="1"/>
      <c r="BG297" s="1"/>
      <c r="BH297" s="1"/>
      <c r="BI297" s="1"/>
      <c r="BJ297" s="1"/>
      <c r="BK297" s="1"/>
      <c r="BL297" s="1"/>
      <c r="BM297" s="2"/>
      <c r="BN297" s="1"/>
      <c r="BO297" s="1"/>
      <c r="BP297" s="1"/>
      <c r="BQ297" s="1"/>
      <c r="BR297" s="1"/>
      <c r="BS297" s="1"/>
      <c r="BT297" s="1"/>
      <c r="BU297" s="1"/>
      <c r="BV297" s="2"/>
      <c r="BW297" s="1"/>
      <c r="BX297" s="1"/>
      <c r="BY297" s="1"/>
      <c r="BZ297" s="1"/>
      <c r="CA297" s="1"/>
      <c r="CB297" s="1"/>
      <c r="CC297" s="1"/>
      <c r="CD297" s="1"/>
      <c r="CE297" s="2"/>
      <c r="CF297" s="1"/>
      <c r="CG297" s="1"/>
      <c r="CH297" s="1"/>
      <c r="CI297" s="1"/>
      <c r="CJ297" s="1"/>
      <c r="CK297" s="1"/>
      <c r="CL297" s="1"/>
    </row>
    <row r="298" spans="1:90" ht="14.65" x14ac:dyDescent="0.4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2"/>
      <c r="L298" s="1"/>
      <c r="M298" s="1"/>
      <c r="N298" s="1"/>
      <c r="O298" s="1"/>
      <c r="P298" s="1"/>
      <c r="Q298" s="1"/>
      <c r="R298" s="1"/>
      <c r="S298" s="1"/>
      <c r="T298" s="2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2"/>
      <c r="AM298" s="1"/>
      <c r="AN298" s="1"/>
      <c r="AO298" s="1"/>
      <c r="AP298" s="1"/>
      <c r="AQ298" s="1"/>
      <c r="AR298" s="1"/>
      <c r="AS298" s="1"/>
      <c r="AT298" s="1"/>
      <c r="AU298" s="2"/>
      <c r="AV298" s="1"/>
      <c r="AW298" s="1"/>
      <c r="AX298" s="1"/>
      <c r="AY298" s="1"/>
      <c r="AZ298" s="1"/>
      <c r="BA298" s="1"/>
      <c r="BB298" s="1"/>
      <c r="BC298" s="1"/>
      <c r="BD298" s="2"/>
      <c r="BE298" s="1"/>
      <c r="BF298" s="1"/>
      <c r="BG298" s="1"/>
      <c r="BH298" s="1"/>
      <c r="BI298" s="1"/>
      <c r="BJ298" s="1"/>
      <c r="BK298" s="1"/>
      <c r="BL298" s="1"/>
      <c r="BM298" s="2"/>
      <c r="BN298" s="1"/>
      <c r="BO298" s="1"/>
      <c r="BP298" s="1"/>
      <c r="BQ298" s="1"/>
      <c r="BR298" s="1"/>
      <c r="BS298" s="1"/>
      <c r="BT298" s="1"/>
      <c r="BU298" s="1"/>
      <c r="BV298" s="2"/>
      <c r="BW298" s="1"/>
      <c r="BX298" s="1"/>
      <c r="BY298" s="1"/>
      <c r="BZ298" s="1"/>
      <c r="CA298" s="1"/>
      <c r="CB298" s="1"/>
      <c r="CC298" s="1"/>
      <c r="CD298" s="1"/>
      <c r="CE298" s="2"/>
      <c r="CF298" s="1"/>
      <c r="CG298" s="1"/>
      <c r="CH298" s="1"/>
      <c r="CI298" s="1"/>
      <c r="CJ298" s="1"/>
      <c r="CK298" s="1"/>
      <c r="CL298" s="1"/>
    </row>
    <row r="299" spans="1:90" ht="14.65" x14ac:dyDescent="0.4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2"/>
      <c r="L299" s="1"/>
      <c r="M299" s="1"/>
      <c r="N299" s="1"/>
      <c r="O299" s="1"/>
      <c r="P299" s="1"/>
      <c r="Q299" s="1"/>
      <c r="R299" s="1"/>
      <c r="S299" s="1"/>
      <c r="T299" s="2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2"/>
      <c r="AM299" s="1"/>
      <c r="AN299" s="1"/>
      <c r="AO299" s="1"/>
      <c r="AP299" s="1"/>
      <c r="AQ299" s="1"/>
      <c r="AR299" s="1"/>
      <c r="AS299" s="1"/>
      <c r="AT299" s="1"/>
      <c r="AU299" s="2"/>
      <c r="AV299" s="1"/>
      <c r="AW299" s="1"/>
      <c r="AX299" s="1"/>
      <c r="AY299" s="1"/>
      <c r="AZ299" s="1"/>
      <c r="BA299" s="1"/>
      <c r="BB299" s="1"/>
      <c r="BC299" s="1"/>
      <c r="BD299" s="2"/>
      <c r="BE299" s="1"/>
      <c r="BF299" s="1"/>
      <c r="BG299" s="1"/>
      <c r="BH299" s="1"/>
      <c r="BI299" s="1"/>
      <c r="BJ299" s="1"/>
      <c r="BK299" s="1"/>
      <c r="BL299" s="1"/>
      <c r="BM299" s="2"/>
      <c r="BN299" s="1"/>
      <c r="BO299" s="1"/>
      <c r="BP299" s="1"/>
      <c r="BQ299" s="1"/>
      <c r="BR299" s="1"/>
      <c r="BS299" s="1"/>
      <c r="BT299" s="1"/>
      <c r="BU299" s="1"/>
      <c r="BV299" s="2"/>
      <c r="BW299" s="1"/>
      <c r="BX299" s="1"/>
      <c r="BY299" s="1"/>
      <c r="BZ299" s="1"/>
      <c r="CA299" s="1"/>
      <c r="CB299" s="1"/>
      <c r="CC299" s="1"/>
      <c r="CD299" s="1"/>
      <c r="CE299" s="2"/>
      <c r="CF299" s="1"/>
      <c r="CG299" s="1"/>
      <c r="CH299" s="1"/>
      <c r="CI299" s="1"/>
      <c r="CJ299" s="1"/>
      <c r="CK299" s="1"/>
      <c r="CL299" s="1"/>
    </row>
    <row r="300" spans="1:90" ht="14.65" x14ac:dyDescent="0.4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2"/>
      <c r="L300" s="1"/>
      <c r="M300" s="1"/>
      <c r="N300" s="1"/>
      <c r="O300" s="1"/>
      <c r="P300" s="1"/>
      <c r="Q300" s="1"/>
      <c r="R300" s="1"/>
      <c r="S300" s="1"/>
      <c r="T300" s="2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2"/>
      <c r="AM300" s="1"/>
      <c r="AN300" s="1"/>
      <c r="AO300" s="1"/>
      <c r="AP300" s="1"/>
      <c r="AQ300" s="1"/>
      <c r="AR300" s="1"/>
      <c r="AS300" s="1"/>
      <c r="AT300" s="1"/>
      <c r="AU300" s="2"/>
      <c r="AV300" s="1"/>
      <c r="AW300" s="1"/>
      <c r="AX300" s="1"/>
      <c r="AY300" s="1"/>
      <c r="AZ300" s="1"/>
      <c r="BA300" s="1"/>
      <c r="BB300" s="1"/>
      <c r="BC300" s="1"/>
      <c r="BD300" s="2"/>
      <c r="BE300" s="1"/>
      <c r="BF300" s="1"/>
      <c r="BG300" s="1"/>
      <c r="BH300" s="1"/>
      <c r="BI300" s="1"/>
      <c r="BJ300" s="1"/>
      <c r="BK300" s="1"/>
      <c r="BL300" s="1"/>
      <c r="BM300" s="2"/>
      <c r="BN300" s="1"/>
      <c r="BO300" s="1"/>
      <c r="BP300" s="1"/>
      <c r="BQ300" s="1"/>
      <c r="BR300" s="1"/>
      <c r="BS300" s="1"/>
      <c r="BT300" s="1"/>
      <c r="BU300" s="1"/>
      <c r="BV300" s="2"/>
      <c r="BW300" s="1"/>
      <c r="BX300" s="1"/>
      <c r="BY300" s="1"/>
      <c r="BZ300" s="1"/>
      <c r="CA300" s="1"/>
      <c r="CB300" s="1"/>
      <c r="CC300" s="1"/>
      <c r="CD300" s="1"/>
      <c r="CE300" s="2"/>
      <c r="CF300" s="1"/>
      <c r="CG300" s="1"/>
      <c r="CH300" s="1"/>
      <c r="CI300" s="1"/>
      <c r="CJ300" s="1"/>
      <c r="CK300" s="1"/>
      <c r="CL300" s="1"/>
    </row>
    <row r="301" spans="1:90" ht="14.65" x14ac:dyDescent="0.4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2"/>
      <c r="L301" s="1"/>
      <c r="M301" s="1"/>
      <c r="N301" s="1"/>
      <c r="O301" s="1"/>
      <c r="P301" s="1"/>
      <c r="Q301" s="1"/>
      <c r="R301" s="1"/>
      <c r="S301" s="1"/>
      <c r="T301" s="2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2"/>
      <c r="AM301" s="1"/>
      <c r="AN301" s="1"/>
      <c r="AO301" s="1"/>
      <c r="AP301" s="1"/>
      <c r="AQ301" s="1"/>
      <c r="AR301" s="1"/>
      <c r="AS301" s="1"/>
      <c r="AT301" s="1"/>
      <c r="AU301" s="2"/>
      <c r="AV301" s="1"/>
      <c r="AW301" s="1"/>
      <c r="AX301" s="1"/>
      <c r="AY301" s="1"/>
      <c r="AZ301" s="1"/>
      <c r="BA301" s="1"/>
      <c r="BB301" s="1"/>
      <c r="BC301" s="1"/>
      <c r="BD301" s="2"/>
      <c r="BE301" s="1"/>
      <c r="BF301" s="1"/>
      <c r="BG301" s="1"/>
      <c r="BH301" s="1"/>
      <c r="BI301" s="1"/>
      <c r="BJ301" s="1"/>
      <c r="BK301" s="1"/>
      <c r="BL301" s="1"/>
      <c r="BM301" s="2"/>
      <c r="BN301" s="1"/>
      <c r="BO301" s="1"/>
      <c r="BP301" s="1"/>
      <c r="BQ301" s="1"/>
      <c r="BR301" s="1"/>
      <c r="BS301" s="1"/>
      <c r="BT301" s="1"/>
      <c r="BU301" s="1"/>
      <c r="BV301" s="2"/>
      <c r="BW301" s="1"/>
      <c r="BX301" s="1"/>
      <c r="BY301" s="1"/>
      <c r="BZ301" s="1"/>
      <c r="CA301" s="1"/>
      <c r="CB301" s="1"/>
      <c r="CC301" s="1"/>
      <c r="CD301" s="1"/>
      <c r="CE301" s="2"/>
      <c r="CF301" s="1"/>
      <c r="CG301" s="1"/>
      <c r="CH301" s="1"/>
      <c r="CI301" s="1"/>
      <c r="CJ301" s="1"/>
      <c r="CK301" s="1"/>
      <c r="CL301" s="1"/>
    </row>
    <row r="302" spans="1:90" ht="14.65" x14ac:dyDescent="0.4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2"/>
      <c r="L302" s="1"/>
      <c r="M302" s="1"/>
      <c r="N302" s="1"/>
      <c r="O302" s="1"/>
      <c r="P302" s="1"/>
      <c r="Q302" s="1"/>
      <c r="R302" s="1"/>
      <c r="S302" s="1"/>
      <c r="T302" s="2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2"/>
      <c r="AM302" s="1"/>
      <c r="AN302" s="1"/>
      <c r="AO302" s="1"/>
      <c r="AP302" s="1"/>
      <c r="AQ302" s="1"/>
      <c r="AR302" s="1"/>
      <c r="AS302" s="1"/>
      <c r="AT302" s="1"/>
      <c r="AU302" s="2"/>
      <c r="AV302" s="1"/>
      <c r="AW302" s="1"/>
      <c r="AX302" s="1"/>
      <c r="AY302" s="1"/>
      <c r="AZ302" s="1"/>
      <c r="BA302" s="1"/>
      <c r="BB302" s="1"/>
      <c r="BC302" s="1"/>
      <c r="BD302" s="2"/>
      <c r="BE302" s="1"/>
      <c r="BF302" s="1"/>
      <c r="BG302" s="1"/>
      <c r="BH302" s="1"/>
      <c r="BI302" s="1"/>
      <c r="BJ302" s="1"/>
      <c r="BK302" s="1"/>
      <c r="BL302" s="1"/>
      <c r="BM302" s="2"/>
      <c r="BN302" s="1"/>
      <c r="BO302" s="1"/>
      <c r="BP302" s="1"/>
      <c r="BQ302" s="1"/>
      <c r="BR302" s="1"/>
      <c r="BS302" s="1"/>
      <c r="BT302" s="1"/>
      <c r="BU302" s="1"/>
      <c r="BV302" s="2"/>
      <c r="BW302" s="1"/>
      <c r="BX302" s="1"/>
      <c r="BY302" s="1"/>
      <c r="BZ302" s="1"/>
      <c r="CA302" s="1"/>
      <c r="CB302" s="1"/>
      <c r="CC302" s="1"/>
      <c r="CD302" s="1"/>
      <c r="CE302" s="2"/>
      <c r="CF302" s="1"/>
      <c r="CG302" s="1"/>
      <c r="CH302" s="1"/>
      <c r="CI302" s="1"/>
      <c r="CJ302" s="1"/>
      <c r="CK302" s="1"/>
      <c r="CL302" s="1"/>
    </row>
    <row r="303" spans="1:90" ht="14.65" x14ac:dyDescent="0.4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2"/>
      <c r="L303" s="1"/>
      <c r="M303" s="1"/>
      <c r="N303" s="1"/>
      <c r="O303" s="1"/>
      <c r="P303" s="1"/>
      <c r="Q303" s="1"/>
      <c r="R303" s="1"/>
      <c r="S303" s="1"/>
      <c r="T303" s="2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2"/>
      <c r="AM303" s="1"/>
      <c r="AN303" s="1"/>
      <c r="AO303" s="1"/>
      <c r="AP303" s="1"/>
      <c r="AQ303" s="1"/>
      <c r="AR303" s="1"/>
      <c r="AS303" s="1"/>
      <c r="AT303" s="1"/>
      <c r="AU303" s="2"/>
      <c r="AV303" s="1"/>
      <c r="AW303" s="1"/>
      <c r="AX303" s="1"/>
      <c r="AY303" s="1"/>
      <c r="AZ303" s="1"/>
      <c r="BA303" s="1"/>
      <c r="BB303" s="1"/>
      <c r="BC303" s="1"/>
      <c r="BD303" s="2"/>
      <c r="BE303" s="1"/>
      <c r="BF303" s="1"/>
      <c r="BG303" s="1"/>
      <c r="BH303" s="1"/>
      <c r="BI303" s="1"/>
      <c r="BJ303" s="1"/>
      <c r="BK303" s="1"/>
      <c r="BL303" s="1"/>
      <c r="BM303" s="2"/>
      <c r="BN303" s="1"/>
      <c r="BO303" s="1"/>
      <c r="BP303" s="1"/>
      <c r="BQ303" s="1"/>
      <c r="BR303" s="1"/>
      <c r="BS303" s="1"/>
      <c r="BT303" s="1"/>
      <c r="BU303" s="1"/>
      <c r="BV303" s="2"/>
      <c r="BW303" s="1"/>
      <c r="BX303" s="1"/>
      <c r="BY303" s="1"/>
      <c r="BZ303" s="1"/>
      <c r="CA303" s="1"/>
      <c r="CB303" s="1"/>
      <c r="CC303" s="1"/>
      <c r="CD303" s="1"/>
      <c r="CE303" s="2"/>
      <c r="CF303" s="1"/>
      <c r="CG303" s="1"/>
      <c r="CH303" s="1"/>
      <c r="CI303" s="1"/>
      <c r="CJ303" s="1"/>
      <c r="CK303" s="1"/>
      <c r="CL303" s="1"/>
    </row>
    <row r="304" spans="1:90" ht="14.65" x14ac:dyDescent="0.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2"/>
      <c r="L304" s="1"/>
      <c r="M304" s="1"/>
      <c r="N304" s="1"/>
      <c r="O304" s="1"/>
      <c r="P304" s="1"/>
      <c r="Q304" s="1"/>
      <c r="R304" s="1"/>
      <c r="S304" s="1"/>
      <c r="T304" s="2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2"/>
      <c r="AM304" s="1"/>
      <c r="AN304" s="1"/>
      <c r="AO304" s="1"/>
      <c r="AP304" s="1"/>
      <c r="AQ304" s="1"/>
      <c r="AR304" s="1"/>
      <c r="AS304" s="1"/>
      <c r="AT304" s="1"/>
      <c r="AU304" s="2"/>
      <c r="AV304" s="1"/>
      <c r="AW304" s="1"/>
      <c r="AX304" s="1"/>
      <c r="AY304" s="1"/>
      <c r="AZ304" s="1"/>
      <c r="BA304" s="1"/>
      <c r="BB304" s="1"/>
      <c r="BC304" s="1"/>
      <c r="BD304" s="2"/>
      <c r="BE304" s="1"/>
      <c r="BF304" s="1"/>
      <c r="BG304" s="1"/>
      <c r="BH304" s="1"/>
      <c r="BI304" s="1"/>
      <c r="BJ304" s="1"/>
      <c r="BK304" s="1"/>
      <c r="BL304" s="1"/>
      <c r="BM304" s="2"/>
      <c r="BN304" s="1"/>
      <c r="BO304" s="1"/>
      <c r="BP304" s="1"/>
      <c r="BQ304" s="1"/>
      <c r="BR304" s="1"/>
      <c r="BS304" s="1"/>
      <c r="BT304" s="1"/>
      <c r="BU304" s="1"/>
      <c r="BV304" s="2"/>
      <c r="BW304" s="1"/>
      <c r="BX304" s="1"/>
      <c r="BY304" s="1"/>
      <c r="BZ304" s="1"/>
      <c r="CA304" s="1"/>
      <c r="CB304" s="1"/>
      <c r="CC304" s="1"/>
      <c r="CD304" s="1"/>
      <c r="CE304" s="2"/>
      <c r="CF304" s="1"/>
      <c r="CG304" s="1"/>
      <c r="CH304" s="1"/>
      <c r="CI304" s="1"/>
      <c r="CJ304" s="1"/>
      <c r="CK304" s="1"/>
      <c r="CL304" s="1"/>
    </row>
    <row r="305" spans="1:90" ht="14.65" x14ac:dyDescent="0.4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2"/>
      <c r="L305" s="1"/>
      <c r="M305" s="1"/>
      <c r="N305" s="1"/>
      <c r="O305" s="1"/>
      <c r="P305" s="1"/>
      <c r="Q305" s="1"/>
      <c r="R305" s="1"/>
      <c r="S305" s="1"/>
      <c r="T305" s="2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2"/>
      <c r="AM305" s="1"/>
      <c r="AN305" s="1"/>
      <c r="AO305" s="1"/>
      <c r="AP305" s="1"/>
      <c r="AQ305" s="1"/>
      <c r="AR305" s="1"/>
      <c r="AS305" s="1"/>
      <c r="AT305" s="1"/>
      <c r="AU305" s="2"/>
      <c r="AV305" s="1"/>
      <c r="AW305" s="1"/>
      <c r="AX305" s="1"/>
      <c r="AY305" s="1"/>
      <c r="AZ305" s="1"/>
      <c r="BA305" s="1"/>
      <c r="BB305" s="1"/>
      <c r="BC305" s="1"/>
      <c r="BD305" s="2"/>
      <c r="BE305" s="1"/>
      <c r="BF305" s="1"/>
      <c r="BG305" s="1"/>
      <c r="BH305" s="1"/>
      <c r="BI305" s="1"/>
      <c r="BJ305" s="1"/>
      <c r="BK305" s="1"/>
      <c r="BL305" s="1"/>
      <c r="BM305" s="2"/>
      <c r="BN305" s="1"/>
      <c r="BO305" s="1"/>
      <c r="BP305" s="1"/>
      <c r="BQ305" s="1"/>
      <c r="BR305" s="1"/>
      <c r="BS305" s="1"/>
      <c r="BT305" s="1"/>
      <c r="BU305" s="1"/>
      <c r="BV305" s="2"/>
      <c r="BW305" s="1"/>
      <c r="BX305" s="1"/>
      <c r="BY305" s="1"/>
      <c r="BZ305" s="1"/>
      <c r="CA305" s="1"/>
      <c r="CB305" s="1"/>
      <c r="CC305" s="1"/>
      <c r="CD305" s="1"/>
      <c r="CE305" s="2"/>
      <c r="CF305" s="1"/>
      <c r="CG305" s="1"/>
      <c r="CH305" s="1"/>
      <c r="CI305" s="1"/>
      <c r="CJ305" s="1"/>
      <c r="CK305" s="1"/>
      <c r="CL305" s="1"/>
    </row>
    <row r="306" spans="1:90" ht="14.65" x14ac:dyDescent="0.4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2"/>
      <c r="L306" s="1"/>
      <c r="M306" s="1"/>
      <c r="N306" s="1"/>
      <c r="O306" s="1"/>
      <c r="P306" s="1"/>
      <c r="Q306" s="1"/>
      <c r="R306" s="1"/>
      <c r="S306" s="1"/>
      <c r="T306" s="2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2"/>
      <c r="AM306" s="1"/>
      <c r="AN306" s="1"/>
      <c r="AO306" s="1"/>
      <c r="AP306" s="1"/>
      <c r="AQ306" s="1"/>
      <c r="AR306" s="1"/>
      <c r="AS306" s="1"/>
      <c r="AT306" s="1"/>
      <c r="AU306" s="2"/>
      <c r="AV306" s="1"/>
      <c r="AW306" s="1"/>
      <c r="AX306" s="1"/>
      <c r="AY306" s="1"/>
      <c r="AZ306" s="1"/>
      <c r="BA306" s="1"/>
      <c r="BB306" s="1"/>
      <c r="BC306" s="1"/>
      <c r="BD306" s="2"/>
      <c r="BE306" s="1"/>
      <c r="BF306" s="1"/>
      <c r="BG306" s="1"/>
      <c r="BH306" s="1"/>
      <c r="BI306" s="1"/>
      <c r="BJ306" s="1"/>
      <c r="BK306" s="1"/>
      <c r="BL306" s="1"/>
      <c r="BM306" s="2"/>
      <c r="BN306" s="1"/>
      <c r="BO306" s="1"/>
      <c r="BP306" s="1"/>
      <c r="BQ306" s="1"/>
      <c r="BR306" s="1"/>
      <c r="BS306" s="1"/>
      <c r="BT306" s="1"/>
      <c r="BU306" s="1"/>
      <c r="BV306" s="2"/>
      <c r="BW306" s="1"/>
      <c r="BX306" s="1"/>
      <c r="BY306" s="1"/>
      <c r="BZ306" s="1"/>
      <c r="CA306" s="1"/>
      <c r="CB306" s="1"/>
      <c r="CC306" s="1"/>
      <c r="CD306" s="1"/>
      <c r="CE306" s="2"/>
      <c r="CF306" s="1"/>
      <c r="CG306" s="1"/>
      <c r="CH306" s="1"/>
      <c r="CI306" s="1"/>
      <c r="CJ306" s="1"/>
      <c r="CK306" s="1"/>
      <c r="CL306" s="1"/>
    </row>
    <row r="307" spans="1:90" ht="14.65" x14ac:dyDescent="0.4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2"/>
      <c r="L307" s="1"/>
      <c r="M307" s="1"/>
      <c r="N307" s="1"/>
      <c r="O307" s="1"/>
      <c r="P307" s="1"/>
      <c r="Q307" s="1"/>
      <c r="R307" s="1"/>
      <c r="S307" s="1"/>
      <c r="T307" s="2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2"/>
      <c r="AM307" s="1"/>
      <c r="AN307" s="1"/>
      <c r="AO307" s="1"/>
      <c r="AP307" s="1"/>
      <c r="AQ307" s="1"/>
      <c r="AR307" s="1"/>
      <c r="AS307" s="1"/>
      <c r="AT307" s="1"/>
      <c r="AU307" s="2"/>
      <c r="AV307" s="1"/>
      <c r="AW307" s="1"/>
      <c r="AX307" s="1"/>
      <c r="AY307" s="1"/>
      <c r="AZ307" s="1"/>
      <c r="BA307" s="1"/>
      <c r="BB307" s="1"/>
      <c r="BC307" s="1"/>
      <c r="BD307" s="2"/>
      <c r="BE307" s="1"/>
      <c r="BF307" s="1"/>
      <c r="BG307" s="1"/>
      <c r="BH307" s="1"/>
      <c r="BI307" s="1"/>
      <c r="BJ307" s="1"/>
      <c r="BK307" s="1"/>
      <c r="BL307" s="1"/>
      <c r="BM307" s="2"/>
      <c r="BN307" s="1"/>
      <c r="BO307" s="1"/>
      <c r="BP307" s="1"/>
      <c r="BQ307" s="1"/>
      <c r="BR307" s="1"/>
      <c r="BS307" s="1"/>
      <c r="BT307" s="1"/>
      <c r="BU307" s="1"/>
      <c r="BV307" s="2"/>
      <c r="BW307" s="1"/>
      <c r="BX307" s="1"/>
      <c r="BY307" s="1"/>
      <c r="BZ307" s="1"/>
      <c r="CA307" s="1"/>
      <c r="CB307" s="1"/>
      <c r="CC307" s="1"/>
      <c r="CD307" s="1"/>
      <c r="CE307" s="2"/>
      <c r="CF307" s="1"/>
      <c r="CG307" s="1"/>
      <c r="CH307" s="1"/>
      <c r="CI307" s="1"/>
      <c r="CJ307" s="1"/>
      <c r="CK307" s="1"/>
      <c r="CL307" s="1"/>
    </row>
    <row r="308" spans="1:90" ht="14.65" x14ac:dyDescent="0.4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2"/>
      <c r="L308" s="1"/>
      <c r="M308" s="1"/>
      <c r="N308" s="1"/>
      <c r="O308" s="1"/>
      <c r="P308" s="1"/>
      <c r="Q308" s="1"/>
      <c r="R308" s="1"/>
      <c r="S308" s="1"/>
      <c r="T308" s="2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2"/>
      <c r="AM308" s="1"/>
      <c r="AN308" s="1"/>
      <c r="AO308" s="1"/>
      <c r="AP308" s="1"/>
      <c r="AQ308" s="1"/>
      <c r="AR308" s="1"/>
      <c r="AS308" s="1"/>
      <c r="AT308" s="1"/>
      <c r="AU308" s="2"/>
      <c r="AV308" s="1"/>
      <c r="AW308" s="1"/>
      <c r="AX308" s="1"/>
      <c r="AY308" s="1"/>
      <c r="AZ308" s="1"/>
      <c r="BA308" s="1"/>
      <c r="BB308" s="1"/>
      <c r="BC308" s="1"/>
      <c r="BD308" s="2"/>
      <c r="BE308" s="1"/>
      <c r="BF308" s="1"/>
      <c r="BG308" s="1"/>
      <c r="BH308" s="1"/>
      <c r="BI308" s="1"/>
      <c r="BJ308" s="1"/>
      <c r="BK308" s="1"/>
      <c r="BL308" s="1"/>
      <c r="BM308" s="2"/>
      <c r="BN308" s="1"/>
      <c r="BO308" s="1"/>
      <c r="BP308" s="1"/>
      <c r="BQ308" s="1"/>
      <c r="BR308" s="1"/>
      <c r="BS308" s="1"/>
      <c r="BT308" s="1"/>
      <c r="BU308" s="1"/>
      <c r="BV308" s="2"/>
      <c r="BW308" s="1"/>
      <c r="BX308" s="1"/>
      <c r="BY308" s="1"/>
      <c r="BZ308" s="1"/>
      <c r="CA308" s="1"/>
      <c r="CB308" s="1"/>
      <c r="CC308" s="1"/>
      <c r="CD308" s="1"/>
      <c r="CE308" s="2"/>
      <c r="CF308" s="1"/>
      <c r="CG308" s="1"/>
      <c r="CH308" s="1"/>
      <c r="CI308" s="1"/>
      <c r="CJ308" s="1"/>
      <c r="CK308" s="1"/>
      <c r="CL308" s="1"/>
    </row>
    <row r="309" spans="1:90" ht="14.65" x14ac:dyDescent="0.4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2"/>
      <c r="L309" s="1"/>
      <c r="M309" s="1"/>
      <c r="N309" s="1"/>
      <c r="O309" s="1"/>
      <c r="P309" s="1"/>
      <c r="Q309" s="1"/>
      <c r="R309" s="1"/>
      <c r="S309" s="1"/>
      <c r="T309" s="2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2"/>
      <c r="AM309" s="1"/>
      <c r="AN309" s="1"/>
      <c r="AO309" s="1"/>
      <c r="AP309" s="1"/>
      <c r="AQ309" s="1"/>
      <c r="AR309" s="1"/>
      <c r="AS309" s="1"/>
      <c r="AT309" s="1"/>
      <c r="AU309" s="2"/>
      <c r="AV309" s="1"/>
      <c r="AW309" s="1"/>
      <c r="AX309" s="1"/>
      <c r="AY309" s="1"/>
      <c r="AZ309" s="1"/>
      <c r="BA309" s="1"/>
      <c r="BB309" s="1"/>
      <c r="BC309" s="1"/>
      <c r="BD309" s="2"/>
      <c r="BE309" s="1"/>
      <c r="BF309" s="1"/>
      <c r="BG309" s="1"/>
      <c r="BH309" s="1"/>
      <c r="BI309" s="1"/>
      <c r="BJ309" s="1"/>
      <c r="BK309" s="1"/>
      <c r="BL309" s="1"/>
      <c r="BM309" s="2"/>
      <c r="BN309" s="1"/>
      <c r="BO309" s="1"/>
      <c r="BP309" s="1"/>
      <c r="BQ309" s="1"/>
      <c r="BR309" s="1"/>
      <c r="BS309" s="1"/>
      <c r="BT309" s="1"/>
      <c r="BU309" s="1"/>
      <c r="BV309" s="2"/>
      <c r="BW309" s="1"/>
      <c r="BX309" s="1"/>
      <c r="BY309" s="1"/>
      <c r="BZ309" s="1"/>
      <c r="CA309" s="1"/>
      <c r="CB309" s="1"/>
      <c r="CC309" s="1"/>
      <c r="CD309" s="1"/>
      <c r="CE309" s="2"/>
      <c r="CF309" s="1"/>
      <c r="CG309" s="1"/>
      <c r="CH309" s="1"/>
      <c r="CI309" s="1"/>
      <c r="CJ309" s="1"/>
      <c r="CK309" s="1"/>
      <c r="CL309" s="1"/>
    </row>
    <row r="310" spans="1:90" ht="14.65" x14ac:dyDescent="0.4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2"/>
      <c r="L310" s="1"/>
      <c r="M310" s="1"/>
      <c r="N310" s="1"/>
      <c r="O310" s="1"/>
      <c r="P310" s="1"/>
      <c r="Q310" s="1"/>
      <c r="R310" s="1"/>
      <c r="S310" s="1"/>
      <c r="T310" s="2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2"/>
      <c r="AM310" s="1"/>
      <c r="AN310" s="1"/>
      <c r="AO310" s="1"/>
      <c r="AP310" s="1"/>
      <c r="AQ310" s="1"/>
      <c r="AR310" s="1"/>
      <c r="AS310" s="1"/>
      <c r="AT310" s="1"/>
      <c r="AU310" s="2"/>
      <c r="AV310" s="1"/>
      <c r="AW310" s="1"/>
      <c r="AX310" s="1"/>
      <c r="AY310" s="1"/>
      <c r="AZ310" s="1"/>
      <c r="BA310" s="1"/>
      <c r="BB310" s="1"/>
      <c r="BC310" s="1"/>
      <c r="BD310" s="2"/>
      <c r="BE310" s="1"/>
      <c r="BF310" s="1"/>
      <c r="BG310" s="1"/>
      <c r="BH310" s="1"/>
      <c r="BI310" s="1"/>
      <c r="BJ310" s="1"/>
      <c r="BK310" s="1"/>
      <c r="BL310" s="1"/>
      <c r="BM310" s="2"/>
      <c r="BN310" s="1"/>
      <c r="BO310" s="1"/>
      <c r="BP310" s="1"/>
      <c r="BQ310" s="1"/>
      <c r="BR310" s="1"/>
      <c r="BS310" s="1"/>
      <c r="BT310" s="1"/>
      <c r="BU310" s="1"/>
      <c r="BV310" s="2"/>
      <c r="BW310" s="1"/>
      <c r="BX310" s="1"/>
      <c r="BY310" s="1"/>
      <c r="BZ310" s="1"/>
      <c r="CA310" s="1"/>
      <c r="CB310" s="1"/>
      <c r="CC310" s="1"/>
      <c r="CD310" s="1"/>
      <c r="CE310" s="2"/>
      <c r="CF310" s="1"/>
      <c r="CG310" s="1"/>
      <c r="CH310" s="1"/>
      <c r="CI310" s="1"/>
      <c r="CJ310" s="1"/>
      <c r="CK310" s="1"/>
      <c r="CL310" s="1"/>
    </row>
    <row r="311" spans="1:90" ht="14.65" x14ac:dyDescent="0.4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2"/>
      <c r="L311" s="1"/>
      <c r="M311" s="1"/>
      <c r="N311" s="1"/>
      <c r="O311" s="1"/>
      <c r="P311" s="1"/>
      <c r="Q311" s="1"/>
      <c r="R311" s="1"/>
      <c r="S311" s="1"/>
      <c r="T311" s="2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2"/>
      <c r="AM311" s="1"/>
      <c r="AN311" s="1"/>
      <c r="AO311" s="1"/>
      <c r="AP311" s="1"/>
      <c r="AQ311" s="1"/>
      <c r="AR311" s="1"/>
      <c r="AS311" s="1"/>
      <c r="AT311" s="1"/>
      <c r="AU311" s="2"/>
      <c r="AV311" s="1"/>
      <c r="AW311" s="1"/>
      <c r="AX311" s="1"/>
      <c r="AY311" s="1"/>
      <c r="AZ311" s="1"/>
      <c r="BA311" s="1"/>
      <c r="BB311" s="1"/>
      <c r="BC311" s="1"/>
      <c r="BD311" s="2"/>
      <c r="BE311" s="1"/>
      <c r="BF311" s="1"/>
      <c r="BG311" s="1"/>
      <c r="BH311" s="1"/>
      <c r="BI311" s="1"/>
      <c r="BJ311" s="1"/>
      <c r="BK311" s="1"/>
      <c r="BL311" s="1"/>
      <c r="BM311" s="2"/>
      <c r="BN311" s="1"/>
      <c r="BO311" s="1"/>
      <c r="BP311" s="1"/>
      <c r="BQ311" s="1"/>
      <c r="BR311" s="1"/>
      <c r="BS311" s="1"/>
      <c r="BT311" s="1"/>
      <c r="BU311" s="1"/>
      <c r="BV311" s="2"/>
      <c r="BW311" s="1"/>
      <c r="BX311" s="1"/>
      <c r="BY311" s="1"/>
      <c r="BZ311" s="1"/>
      <c r="CA311" s="1"/>
      <c r="CB311" s="1"/>
      <c r="CC311" s="1"/>
      <c r="CD311" s="1"/>
      <c r="CE311" s="2"/>
      <c r="CF311" s="1"/>
      <c r="CG311" s="1"/>
      <c r="CH311" s="1"/>
      <c r="CI311" s="1"/>
      <c r="CJ311" s="1"/>
      <c r="CK311" s="1"/>
      <c r="CL311" s="1"/>
    </row>
    <row r="312" spans="1:90" ht="14.65" x14ac:dyDescent="0.4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2"/>
      <c r="L312" s="1"/>
      <c r="M312" s="1"/>
      <c r="N312" s="1"/>
      <c r="O312" s="1"/>
      <c r="P312" s="1"/>
      <c r="Q312" s="1"/>
      <c r="R312" s="1"/>
      <c r="S312" s="1"/>
      <c r="T312" s="2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2"/>
      <c r="AM312" s="1"/>
      <c r="AN312" s="1"/>
      <c r="AO312" s="1"/>
      <c r="AP312" s="1"/>
      <c r="AQ312" s="1"/>
      <c r="AR312" s="1"/>
      <c r="AS312" s="1"/>
      <c r="AT312" s="1"/>
      <c r="AU312" s="2"/>
      <c r="AV312" s="1"/>
      <c r="AW312" s="1"/>
      <c r="AX312" s="1"/>
      <c r="AY312" s="1"/>
      <c r="AZ312" s="1"/>
      <c r="BA312" s="1"/>
      <c r="BB312" s="1"/>
      <c r="BC312" s="1"/>
      <c r="BD312" s="2"/>
      <c r="BE312" s="1"/>
      <c r="BF312" s="1"/>
      <c r="BG312" s="1"/>
      <c r="BH312" s="1"/>
      <c r="BI312" s="1"/>
      <c r="BJ312" s="1"/>
      <c r="BK312" s="1"/>
      <c r="BL312" s="1"/>
      <c r="BM312" s="2"/>
      <c r="BN312" s="1"/>
      <c r="BO312" s="1"/>
      <c r="BP312" s="1"/>
      <c r="BQ312" s="1"/>
      <c r="BR312" s="1"/>
      <c r="BS312" s="1"/>
      <c r="BT312" s="1"/>
      <c r="BU312" s="1"/>
      <c r="BV312" s="2"/>
      <c r="BW312" s="1"/>
      <c r="BX312" s="1"/>
      <c r="BY312" s="1"/>
      <c r="BZ312" s="1"/>
      <c r="CA312" s="1"/>
      <c r="CB312" s="1"/>
      <c r="CC312" s="1"/>
      <c r="CD312" s="1"/>
      <c r="CE312" s="2"/>
      <c r="CF312" s="1"/>
      <c r="CG312" s="1"/>
      <c r="CH312" s="1"/>
      <c r="CI312" s="1"/>
      <c r="CJ312" s="1"/>
      <c r="CK312" s="1"/>
      <c r="CL312" s="1"/>
    </row>
    <row r="313" spans="1:90" ht="14.65" x14ac:dyDescent="0.4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2"/>
      <c r="L313" s="1"/>
      <c r="M313" s="1"/>
      <c r="N313" s="1"/>
      <c r="O313" s="1"/>
      <c r="P313" s="1"/>
      <c r="Q313" s="1"/>
      <c r="R313" s="1"/>
      <c r="S313" s="1"/>
      <c r="T313" s="2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2"/>
      <c r="AM313" s="1"/>
      <c r="AN313" s="1"/>
      <c r="AO313" s="1"/>
      <c r="AP313" s="1"/>
      <c r="AQ313" s="1"/>
      <c r="AR313" s="1"/>
      <c r="AS313" s="1"/>
      <c r="AT313" s="1"/>
      <c r="AU313" s="2"/>
      <c r="AV313" s="1"/>
      <c r="AW313" s="1"/>
      <c r="AX313" s="1"/>
      <c r="AY313" s="1"/>
      <c r="AZ313" s="1"/>
      <c r="BA313" s="1"/>
      <c r="BB313" s="1"/>
      <c r="BC313" s="1"/>
      <c r="BD313" s="2"/>
      <c r="BE313" s="1"/>
      <c r="BF313" s="1"/>
      <c r="BG313" s="1"/>
      <c r="BH313" s="1"/>
      <c r="BI313" s="1"/>
      <c r="BJ313" s="1"/>
      <c r="BK313" s="1"/>
      <c r="BL313" s="1"/>
      <c r="BM313" s="2"/>
      <c r="BN313" s="1"/>
      <c r="BO313" s="1"/>
      <c r="BP313" s="1"/>
      <c r="BQ313" s="1"/>
      <c r="BR313" s="1"/>
      <c r="BS313" s="1"/>
      <c r="BT313" s="1"/>
      <c r="BU313" s="1"/>
      <c r="BV313" s="2"/>
      <c r="BW313" s="1"/>
      <c r="BX313" s="1"/>
      <c r="BY313" s="1"/>
      <c r="BZ313" s="1"/>
      <c r="CA313" s="1"/>
      <c r="CB313" s="1"/>
      <c r="CC313" s="1"/>
      <c r="CD313" s="1"/>
      <c r="CE313" s="2"/>
      <c r="CF313" s="1"/>
      <c r="CG313" s="1"/>
      <c r="CH313" s="1"/>
      <c r="CI313" s="1"/>
      <c r="CJ313" s="1"/>
      <c r="CK313" s="1"/>
      <c r="CL313" s="1"/>
    </row>
    <row r="314" spans="1:90" ht="14.65" x14ac:dyDescent="0.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2"/>
      <c r="L314" s="1"/>
      <c r="M314" s="1"/>
      <c r="N314" s="1"/>
      <c r="O314" s="1"/>
      <c r="P314" s="1"/>
      <c r="Q314" s="1"/>
      <c r="R314" s="1"/>
      <c r="S314" s="1"/>
      <c r="T314" s="2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2"/>
      <c r="AM314" s="1"/>
      <c r="AN314" s="1"/>
      <c r="AO314" s="1"/>
      <c r="AP314" s="1"/>
      <c r="AQ314" s="1"/>
      <c r="AR314" s="1"/>
      <c r="AS314" s="1"/>
      <c r="AT314" s="1"/>
      <c r="AU314" s="2"/>
      <c r="AV314" s="1"/>
      <c r="AW314" s="1"/>
      <c r="AX314" s="1"/>
      <c r="AY314" s="1"/>
      <c r="AZ314" s="1"/>
      <c r="BA314" s="1"/>
      <c r="BB314" s="1"/>
      <c r="BC314" s="1"/>
      <c r="BD314" s="2"/>
      <c r="BE314" s="1"/>
      <c r="BF314" s="1"/>
      <c r="BG314" s="1"/>
      <c r="BH314" s="1"/>
      <c r="BI314" s="1"/>
      <c r="BJ314" s="1"/>
      <c r="BK314" s="1"/>
      <c r="BL314" s="1"/>
      <c r="BM314" s="2"/>
      <c r="BN314" s="1"/>
      <c r="BO314" s="1"/>
      <c r="BP314" s="1"/>
      <c r="BQ314" s="1"/>
      <c r="BR314" s="1"/>
      <c r="BS314" s="1"/>
      <c r="BT314" s="1"/>
      <c r="BU314" s="1"/>
      <c r="BV314" s="2"/>
      <c r="BW314" s="1"/>
      <c r="BX314" s="1"/>
      <c r="BY314" s="1"/>
      <c r="BZ314" s="1"/>
      <c r="CA314" s="1"/>
      <c r="CB314" s="1"/>
      <c r="CC314" s="1"/>
      <c r="CD314" s="1"/>
      <c r="CE314" s="2"/>
      <c r="CF314" s="1"/>
      <c r="CG314" s="1"/>
      <c r="CH314" s="1"/>
      <c r="CI314" s="1"/>
      <c r="CJ314" s="1"/>
      <c r="CK314" s="1"/>
      <c r="CL314" s="1"/>
    </row>
    <row r="315" spans="1:90" ht="14.65" x14ac:dyDescent="0.4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2"/>
      <c r="L315" s="1"/>
      <c r="M315" s="1"/>
      <c r="N315" s="1"/>
      <c r="O315" s="1"/>
      <c r="P315" s="1"/>
      <c r="Q315" s="1"/>
      <c r="R315" s="1"/>
      <c r="S315" s="1"/>
      <c r="T315" s="2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2"/>
      <c r="AM315" s="1"/>
      <c r="AN315" s="1"/>
      <c r="AO315" s="1"/>
      <c r="AP315" s="1"/>
      <c r="AQ315" s="1"/>
      <c r="AR315" s="1"/>
      <c r="AS315" s="1"/>
      <c r="AT315" s="1"/>
      <c r="AU315" s="2"/>
      <c r="AV315" s="1"/>
      <c r="AW315" s="1"/>
      <c r="AX315" s="1"/>
      <c r="AY315" s="1"/>
      <c r="AZ315" s="1"/>
      <c r="BA315" s="1"/>
      <c r="BB315" s="1"/>
      <c r="BC315" s="1"/>
      <c r="BD315" s="2"/>
      <c r="BE315" s="1"/>
      <c r="BF315" s="1"/>
      <c r="BG315" s="1"/>
      <c r="BH315" s="1"/>
      <c r="BI315" s="1"/>
      <c r="BJ315" s="1"/>
      <c r="BK315" s="1"/>
      <c r="BL315" s="1"/>
      <c r="BM315" s="2"/>
      <c r="BN315" s="1"/>
      <c r="BO315" s="1"/>
      <c r="BP315" s="1"/>
      <c r="BQ315" s="1"/>
      <c r="BR315" s="1"/>
      <c r="BS315" s="1"/>
      <c r="BT315" s="1"/>
      <c r="BU315" s="1"/>
      <c r="BV315" s="2"/>
      <c r="BW315" s="1"/>
      <c r="BX315" s="1"/>
      <c r="BY315" s="1"/>
      <c r="BZ315" s="1"/>
      <c r="CA315" s="1"/>
      <c r="CB315" s="1"/>
      <c r="CC315" s="1"/>
      <c r="CD315" s="1"/>
      <c r="CE315" s="2"/>
      <c r="CF315" s="1"/>
      <c r="CG315" s="1"/>
      <c r="CH315" s="1"/>
      <c r="CI315" s="1"/>
      <c r="CJ315" s="1"/>
      <c r="CK315" s="1"/>
      <c r="CL315" s="1"/>
    </row>
    <row r="316" spans="1:90" ht="14.65" x14ac:dyDescent="0.4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2"/>
      <c r="L316" s="1"/>
      <c r="M316" s="1"/>
      <c r="N316" s="1"/>
      <c r="O316" s="1"/>
      <c r="P316" s="1"/>
      <c r="Q316" s="1"/>
      <c r="R316" s="1"/>
      <c r="S316" s="1"/>
      <c r="T316" s="2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2"/>
      <c r="AM316" s="1"/>
      <c r="AN316" s="1"/>
      <c r="AO316" s="1"/>
      <c r="AP316" s="1"/>
      <c r="AQ316" s="1"/>
      <c r="AR316" s="1"/>
      <c r="AS316" s="1"/>
      <c r="AT316" s="1"/>
      <c r="AU316" s="2"/>
      <c r="AV316" s="1"/>
      <c r="AW316" s="1"/>
      <c r="AX316" s="1"/>
      <c r="AY316" s="1"/>
      <c r="AZ316" s="1"/>
      <c r="BA316" s="1"/>
      <c r="BB316" s="1"/>
      <c r="BC316" s="1"/>
      <c r="BD316" s="2"/>
      <c r="BE316" s="1"/>
      <c r="BF316" s="1"/>
      <c r="BG316" s="1"/>
      <c r="BH316" s="1"/>
      <c r="BI316" s="1"/>
      <c r="BJ316" s="1"/>
      <c r="BK316" s="1"/>
      <c r="BL316" s="1"/>
      <c r="BM316" s="2"/>
      <c r="BN316" s="1"/>
      <c r="BO316" s="1"/>
      <c r="BP316" s="1"/>
      <c r="BQ316" s="1"/>
      <c r="BR316" s="1"/>
      <c r="BS316" s="1"/>
      <c r="BT316" s="1"/>
      <c r="BU316" s="1"/>
      <c r="BV316" s="2"/>
      <c r="BW316" s="1"/>
      <c r="BX316" s="1"/>
      <c r="BY316" s="1"/>
      <c r="BZ316" s="1"/>
      <c r="CA316" s="1"/>
      <c r="CB316" s="1"/>
      <c r="CC316" s="1"/>
      <c r="CD316" s="1"/>
      <c r="CE316" s="2"/>
      <c r="CF316" s="1"/>
      <c r="CG316" s="1"/>
      <c r="CH316" s="1"/>
      <c r="CI316" s="1"/>
      <c r="CJ316" s="1"/>
      <c r="CK316" s="1"/>
      <c r="CL316" s="1"/>
    </row>
    <row r="317" spans="1:90" ht="14.65" x14ac:dyDescent="0.4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2"/>
      <c r="L317" s="1"/>
      <c r="M317" s="1"/>
      <c r="N317" s="1"/>
      <c r="O317" s="1"/>
      <c r="P317" s="1"/>
      <c r="Q317" s="1"/>
      <c r="R317" s="1"/>
      <c r="S317" s="1"/>
      <c r="T317" s="2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2"/>
      <c r="AM317" s="1"/>
      <c r="AN317" s="1"/>
      <c r="AO317" s="1"/>
      <c r="AP317" s="1"/>
      <c r="AQ317" s="1"/>
      <c r="AR317" s="1"/>
      <c r="AS317" s="1"/>
      <c r="AT317" s="1"/>
      <c r="AU317" s="2"/>
      <c r="AV317" s="1"/>
      <c r="AW317" s="1"/>
      <c r="AX317" s="1"/>
      <c r="AY317" s="1"/>
      <c r="AZ317" s="1"/>
      <c r="BA317" s="1"/>
      <c r="BB317" s="1"/>
      <c r="BC317" s="1"/>
      <c r="BD317" s="2"/>
      <c r="BE317" s="1"/>
      <c r="BF317" s="1"/>
      <c r="BG317" s="1"/>
      <c r="BH317" s="1"/>
      <c r="BI317" s="1"/>
      <c r="BJ317" s="1"/>
      <c r="BK317" s="1"/>
      <c r="BL317" s="1"/>
      <c r="BM317" s="2"/>
      <c r="BN317" s="1"/>
      <c r="BO317" s="1"/>
      <c r="BP317" s="1"/>
      <c r="BQ317" s="1"/>
      <c r="BR317" s="1"/>
      <c r="BS317" s="1"/>
      <c r="BT317" s="1"/>
      <c r="BU317" s="1"/>
      <c r="BV317" s="2"/>
      <c r="BW317" s="1"/>
      <c r="BX317" s="1"/>
      <c r="BY317" s="1"/>
      <c r="BZ317" s="1"/>
      <c r="CA317" s="1"/>
      <c r="CB317" s="1"/>
      <c r="CC317" s="1"/>
      <c r="CD317" s="1"/>
      <c r="CE317" s="2"/>
      <c r="CF317" s="1"/>
      <c r="CG317" s="1"/>
      <c r="CH317" s="1"/>
      <c r="CI317" s="1"/>
      <c r="CJ317" s="1"/>
      <c r="CK317" s="1"/>
      <c r="CL317" s="1"/>
    </row>
    <row r="318" spans="1:90" ht="14.65" x14ac:dyDescent="0.4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2"/>
      <c r="L318" s="1"/>
      <c r="M318" s="1"/>
      <c r="N318" s="1"/>
      <c r="O318" s="1"/>
      <c r="P318" s="1"/>
      <c r="Q318" s="1"/>
      <c r="R318" s="1"/>
      <c r="S318" s="1"/>
      <c r="T318" s="2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2"/>
      <c r="AM318" s="1"/>
      <c r="AN318" s="1"/>
      <c r="AO318" s="1"/>
      <c r="AP318" s="1"/>
      <c r="AQ318" s="1"/>
      <c r="AR318" s="1"/>
      <c r="AS318" s="1"/>
      <c r="AT318" s="1"/>
      <c r="AU318" s="2"/>
      <c r="AV318" s="1"/>
      <c r="AW318" s="1"/>
      <c r="AX318" s="1"/>
      <c r="AY318" s="1"/>
      <c r="AZ318" s="1"/>
      <c r="BA318" s="1"/>
      <c r="BB318" s="1"/>
      <c r="BC318" s="1"/>
      <c r="BD318" s="2"/>
      <c r="BE318" s="1"/>
      <c r="BF318" s="1"/>
      <c r="BG318" s="1"/>
      <c r="BH318" s="1"/>
      <c r="BI318" s="1"/>
      <c r="BJ318" s="1"/>
      <c r="BK318" s="1"/>
      <c r="BL318" s="1"/>
      <c r="BM318" s="2"/>
      <c r="BN318" s="1"/>
      <c r="BO318" s="1"/>
      <c r="BP318" s="1"/>
      <c r="BQ318" s="1"/>
      <c r="BR318" s="1"/>
      <c r="BS318" s="1"/>
      <c r="BT318" s="1"/>
      <c r="BU318" s="1"/>
      <c r="BV318" s="2"/>
      <c r="BW318" s="1"/>
      <c r="BX318" s="1"/>
      <c r="BY318" s="1"/>
      <c r="BZ318" s="1"/>
      <c r="CA318" s="1"/>
      <c r="CB318" s="1"/>
      <c r="CC318" s="1"/>
      <c r="CD318" s="1"/>
      <c r="CE318" s="2"/>
      <c r="CF318" s="1"/>
      <c r="CG318" s="1"/>
      <c r="CH318" s="1"/>
      <c r="CI318" s="1"/>
      <c r="CJ318" s="1"/>
      <c r="CK318" s="1"/>
      <c r="CL318" s="1"/>
    </row>
    <row r="319" spans="1:90" ht="14.65" x14ac:dyDescent="0.4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2"/>
      <c r="L319" s="1"/>
      <c r="M319" s="1"/>
      <c r="N319" s="1"/>
      <c r="O319" s="1"/>
      <c r="P319" s="1"/>
      <c r="Q319" s="1"/>
      <c r="R319" s="1"/>
      <c r="S319" s="1"/>
      <c r="T319" s="2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2"/>
      <c r="AM319" s="1"/>
      <c r="AN319" s="1"/>
      <c r="AO319" s="1"/>
      <c r="AP319" s="1"/>
      <c r="AQ319" s="1"/>
      <c r="AR319" s="1"/>
      <c r="AS319" s="1"/>
      <c r="AT319" s="1"/>
      <c r="AU319" s="2"/>
      <c r="AV319" s="1"/>
      <c r="AW319" s="1"/>
      <c r="AX319" s="1"/>
      <c r="AY319" s="1"/>
      <c r="AZ319" s="1"/>
      <c r="BA319" s="1"/>
      <c r="BB319" s="1"/>
      <c r="BC319" s="1"/>
      <c r="BD319" s="2"/>
      <c r="BE319" s="1"/>
      <c r="BF319" s="1"/>
      <c r="BG319" s="1"/>
      <c r="BH319" s="1"/>
      <c r="BI319" s="1"/>
      <c r="BJ319" s="1"/>
      <c r="BK319" s="1"/>
      <c r="BL319" s="1"/>
      <c r="BM319" s="2"/>
      <c r="BN319" s="1"/>
      <c r="BO319" s="1"/>
      <c r="BP319" s="1"/>
      <c r="BQ319" s="1"/>
      <c r="BR319" s="1"/>
      <c r="BS319" s="1"/>
      <c r="BT319" s="1"/>
      <c r="BU319" s="1"/>
      <c r="BV319" s="2"/>
      <c r="BW319" s="1"/>
      <c r="BX319" s="1"/>
      <c r="BY319" s="1"/>
      <c r="BZ319" s="1"/>
      <c r="CA319" s="1"/>
      <c r="CB319" s="1"/>
      <c r="CC319" s="1"/>
      <c r="CD319" s="1"/>
      <c r="CE319" s="2"/>
      <c r="CF319" s="1"/>
      <c r="CG319" s="1"/>
      <c r="CH319" s="1"/>
      <c r="CI319" s="1"/>
      <c r="CJ319" s="1"/>
      <c r="CK319" s="1"/>
      <c r="CL319" s="1"/>
    </row>
    <row r="320" spans="1:90" ht="14.65" x14ac:dyDescent="0.4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2"/>
      <c r="L320" s="1"/>
      <c r="M320" s="1"/>
      <c r="N320" s="1"/>
      <c r="O320" s="1"/>
      <c r="P320" s="1"/>
      <c r="Q320" s="1"/>
      <c r="R320" s="1"/>
      <c r="S320" s="1"/>
      <c r="T320" s="2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2"/>
      <c r="AM320" s="1"/>
      <c r="AN320" s="1"/>
      <c r="AO320" s="1"/>
      <c r="AP320" s="1"/>
      <c r="AQ320" s="1"/>
      <c r="AR320" s="1"/>
      <c r="AS320" s="1"/>
      <c r="AT320" s="1"/>
      <c r="AU320" s="2"/>
      <c r="AV320" s="1"/>
      <c r="AW320" s="1"/>
      <c r="AX320" s="1"/>
      <c r="AY320" s="1"/>
      <c r="AZ320" s="1"/>
      <c r="BA320" s="1"/>
      <c r="BB320" s="1"/>
      <c r="BC320" s="1"/>
      <c r="BD320" s="2"/>
      <c r="BE320" s="1"/>
      <c r="BF320" s="1"/>
      <c r="BG320" s="1"/>
      <c r="BH320" s="1"/>
      <c r="BI320" s="1"/>
      <c r="BJ320" s="1"/>
      <c r="BK320" s="1"/>
      <c r="BL320" s="1"/>
      <c r="BM320" s="2"/>
      <c r="BN320" s="1"/>
      <c r="BO320" s="1"/>
      <c r="BP320" s="1"/>
      <c r="BQ320" s="1"/>
      <c r="BR320" s="1"/>
      <c r="BS320" s="1"/>
      <c r="BT320" s="1"/>
      <c r="BU320" s="1"/>
      <c r="BV320" s="2"/>
      <c r="BW320" s="1"/>
      <c r="BX320" s="1"/>
      <c r="BY320" s="1"/>
      <c r="BZ320" s="1"/>
      <c r="CA320" s="1"/>
      <c r="CB320" s="1"/>
      <c r="CC320" s="1"/>
      <c r="CD320" s="1"/>
      <c r="CE320" s="2"/>
      <c r="CF320" s="1"/>
      <c r="CG320" s="1"/>
      <c r="CH320" s="1"/>
      <c r="CI320" s="1"/>
      <c r="CJ320" s="1"/>
      <c r="CK320" s="1"/>
      <c r="CL320" s="1"/>
    </row>
    <row r="321" spans="1:90" ht="14.65" x14ac:dyDescent="0.4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2"/>
      <c r="L321" s="1"/>
      <c r="M321" s="1"/>
      <c r="N321" s="1"/>
      <c r="O321" s="1"/>
      <c r="P321" s="1"/>
      <c r="Q321" s="1"/>
      <c r="R321" s="1"/>
      <c r="S321" s="1"/>
      <c r="T321" s="2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2"/>
      <c r="AM321" s="1"/>
      <c r="AN321" s="1"/>
      <c r="AO321" s="1"/>
      <c r="AP321" s="1"/>
      <c r="AQ321" s="1"/>
      <c r="AR321" s="1"/>
      <c r="AS321" s="1"/>
      <c r="AT321" s="1"/>
      <c r="AU321" s="2"/>
      <c r="AV321" s="1"/>
      <c r="AW321" s="1"/>
      <c r="AX321" s="1"/>
      <c r="AY321" s="1"/>
      <c r="AZ321" s="1"/>
      <c r="BA321" s="1"/>
      <c r="BB321" s="1"/>
      <c r="BC321" s="1"/>
      <c r="BD321" s="2"/>
      <c r="BE321" s="1"/>
      <c r="BF321" s="1"/>
      <c r="BG321" s="1"/>
      <c r="BH321" s="1"/>
      <c r="BI321" s="1"/>
      <c r="BJ321" s="1"/>
      <c r="BK321" s="1"/>
      <c r="BL321" s="1"/>
      <c r="BM321" s="2"/>
      <c r="BN321" s="1"/>
      <c r="BO321" s="1"/>
      <c r="BP321" s="1"/>
      <c r="BQ321" s="1"/>
      <c r="BR321" s="1"/>
      <c r="BS321" s="1"/>
      <c r="BT321" s="1"/>
      <c r="BU321" s="1"/>
      <c r="BV321" s="2"/>
      <c r="BW321" s="1"/>
      <c r="BX321" s="1"/>
      <c r="BY321" s="1"/>
      <c r="BZ321" s="1"/>
      <c r="CA321" s="1"/>
      <c r="CB321" s="1"/>
      <c r="CC321" s="1"/>
      <c r="CD321" s="1"/>
      <c r="CE321" s="2"/>
      <c r="CF321" s="1"/>
      <c r="CG321" s="1"/>
      <c r="CH321" s="1"/>
      <c r="CI321" s="1"/>
      <c r="CJ321" s="1"/>
      <c r="CK321" s="1"/>
      <c r="CL321" s="1"/>
    </row>
    <row r="322" spans="1:90" ht="14.65" x14ac:dyDescent="0.4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2"/>
      <c r="L322" s="1"/>
      <c r="M322" s="1"/>
      <c r="N322" s="1"/>
      <c r="O322" s="1"/>
      <c r="P322" s="1"/>
      <c r="Q322" s="1"/>
      <c r="R322" s="1"/>
      <c r="S322" s="1"/>
      <c r="T322" s="2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2"/>
      <c r="AM322" s="1"/>
      <c r="AN322" s="1"/>
      <c r="AO322" s="1"/>
      <c r="AP322" s="1"/>
      <c r="AQ322" s="1"/>
      <c r="AR322" s="1"/>
      <c r="AS322" s="1"/>
      <c r="AT322" s="1"/>
      <c r="AU322" s="2"/>
      <c r="AV322" s="1"/>
      <c r="AW322" s="1"/>
      <c r="AX322" s="1"/>
      <c r="AY322" s="1"/>
      <c r="AZ322" s="1"/>
      <c r="BA322" s="1"/>
      <c r="BB322" s="1"/>
      <c r="BC322" s="1"/>
      <c r="BD322" s="2"/>
      <c r="BE322" s="1"/>
      <c r="BF322" s="1"/>
      <c r="BG322" s="1"/>
      <c r="BH322" s="1"/>
      <c r="BI322" s="1"/>
      <c r="BJ322" s="1"/>
      <c r="BK322" s="1"/>
      <c r="BL322" s="1"/>
      <c r="BM322" s="2"/>
      <c r="BN322" s="1"/>
      <c r="BO322" s="1"/>
      <c r="BP322" s="1"/>
      <c r="BQ322" s="1"/>
      <c r="BR322" s="1"/>
      <c r="BS322" s="1"/>
      <c r="BT322" s="1"/>
      <c r="BU322" s="1"/>
      <c r="BV322" s="2"/>
      <c r="BW322" s="1"/>
      <c r="BX322" s="1"/>
      <c r="BY322" s="1"/>
      <c r="BZ322" s="1"/>
      <c r="CA322" s="1"/>
      <c r="CB322" s="1"/>
      <c r="CC322" s="1"/>
      <c r="CD322" s="1"/>
      <c r="CE322" s="2"/>
      <c r="CF322" s="1"/>
      <c r="CG322" s="1"/>
      <c r="CH322" s="1"/>
      <c r="CI322" s="1"/>
      <c r="CJ322" s="1"/>
      <c r="CK322" s="1"/>
      <c r="CL322" s="1"/>
    </row>
    <row r="323" spans="1:90" ht="14.65" x14ac:dyDescent="0.4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2"/>
      <c r="L323" s="1"/>
      <c r="M323" s="1"/>
      <c r="N323" s="1"/>
      <c r="O323" s="1"/>
      <c r="P323" s="1"/>
      <c r="Q323" s="1"/>
      <c r="R323" s="1"/>
      <c r="S323" s="1"/>
      <c r="T323" s="2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2"/>
      <c r="AM323" s="1"/>
      <c r="AN323" s="1"/>
      <c r="AO323" s="1"/>
      <c r="AP323" s="1"/>
      <c r="AQ323" s="1"/>
      <c r="AR323" s="1"/>
      <c r="AS323" s="1"/>
      <c r="AT323" s="1"/>
      <c r="AU323" s="2"/>
      <c r="AV323" s="1"/>
      <c r="AW323" s="1"/>
      <c r="AX323" s="1"/>
      <c r="AY323" s="1"/>
      <c r="AZ323" s="1"/>
      <c r="BA323" s="1"/>
      <c r="BB323" s="1"/>
      <c r="BC323" s="1"/>
      <c r="BD323" s="2"/>
      <c r="BE323" s="1"/>
      <c r="BF323" s="1"/>
      <c r="BG323" s="1"/>
      <c r="BH323" s="1"/>
      <c r="BI323" s="1"/>
      <c r="BJ323" s="1"/>
      <c r="BK323" s="1"/>
      <c r="BL323" s="1"/>
      <c r="BM323" s="2"/>
      <c r="BN323" s="1"/>
      <c r="BO323" s="1"/>
      <c r="BP323" s="1"/>
      <c r="BQ323" s="1"/>
      <c r="BR323" s="1"/>
      <c r="BS323" s="1"/>
      <c r="BT323" s="1"/>
      <c r="BU323" s="1"/>
      <c r="BV323" s="2"/>
      <c r="BW323" s="1"/>
      <c r="BX323" s="1"/>
      <c r="BY323" s="1"/>
      <c r="BZ323" s="1"/>
      <c r="CA323" s="1"/>
      <c r="CB323" s="1"/>
      <c r="CC323" s="1"/>
      <c r="CD323" s="1"/>
      <c r="CE323" s="2"/>
      <c r="CF323" s="1"/>
      <c r="CG323" s="1"/>
      <c r="CH323" s="1"/>
      <c r="CI323" s="1"/>
      <c r="CJ323" s="1"/>
      <c r="CK323" s="1"/>
      <c r="CL323" s="1"/>
    </row>
    <row r="324" spans="1:90" ht="14.65" x14ac:dyDescent="0.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2"/>
      <c r="L324" s="1"/>
      <c r="M324" s="1"/>
      <c r="N324" s="1"/>
      <c r="O324" s="1"/>
      <c r="P324" s="1"/>
      <c r="Q324" s="1"/>
      <c r="R324" s="1"/>
      <c r="S324" s="1"/>
      <c r="T324" s="2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2"/>
      <c r="AM324" s="1"/>
      <c r="AN324" s="1"/>
      <c r="AO324" s="1"/>
      <c r="AP324" s="1"/>
      <c r="AQ324" s="1"/>
      <c r="AR324" s="1"/>
      <c r="AS324" s="1"/>
      <c r="AT324" s="1"/>
      <c r="AU324" s="2"/>
      <c r="AV324" s="1"/>
      <c r="AW324" s="1"/>
      <c r="AX324" s="1"/>
      <c r="AY324" s="1"/>
      <c r="AZ324" s="1"/>
      <c r="BA324" s="1"/>
      <c r="BB324" s="1"/>
      <c r="BC324" s="1"/>
      <c r="BD324" s="2"/>
      <c r="BE324" s="1"/>
      <c r="BF324" s="1"/>
      <c r="BG324" s="1"/>
      <c r="BH324" s="1"/>
      <c r="BI324" s="1"/>
      <c r="BJ324" s="1"/>
      <c r="BK324" s="1"/>
      <c r="BL324" s="1"/>
      <c r="BM324" s="2"/>
      <c r="BN324" s="1"/>
      <c r="BO324" s="1"/>
      <c r="BP324" s="1"/>
      <c r="BQ324" s="1"/>
      <c r="BR324" s="1"/>
      <c r="BS324" s="1"/>
      <c r="BT324" s="1"/>
      <c r="BU324" s="1"/>
      <c r="BV324" s="2"/>
      <c r="BW324" s="1"/>
      <c r="BX324" s="1"/>
      <c r="BY324" s="1"/>
      <c r="BZ324" s="1"/>
      <c r="CA324" s="1"/>
      <c r="CB324" s="1"/>
      <c r="CC324" s="1"/>
      <c r="CD324" s="1"/>
      <c r="CE324" s="2"/>
      <c r="CF324" s="1"/>
      <c r="CG324" s="1"/>
      <c r="CH324" s="1"/>
      <c r="CI324" s="1"/>
      <c r="CJ324" s="1"/>
      <c r="CK324" s="1"/>
      <c r="CL324" s="1"/>
    </row>
    <row r="325" spans="1:90" ht="14.65" x14ac:dyDescent="0.4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2"/>
      <c r="L325" s="1"/>
      <c r="M325" s="1"/>
      <c r="N325" s="1"/>
      <c r="O325" s="1"/>
      <c r="P325" s="1"/>
      <c r="Q325" s="1"/>
      <c r="R325" s="1"/>
      <c r="S325" s="1"/>
      <c r="T325" s="2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2"/>
      <c r="AM325" s="1"/>
      <c r="AN325" s="1"/>
      <c r="AO325" s="1"/>
      <c r="AP325" s="1"/>
      <c r="AQ325" s="1"/>
      <c r="AR325" s="1"/>
      <c r="AS325" s="1"/>
      <c r="AT325" s="1"/>
      <c r="AU325" s="2"/>
      <c r="AV325" s="1"/>
      <c r="AW325" s="1"/>
      <c r="AX325" s="1"/>
      <c r="AY325" s="1"/>
      <c r="AZ325" s="1"/>
      <c r="BA325" s="1"/>
      <c r="BB325" s="1"/>
      <c r="BC325" s="1"/>
      <c r="BD325" s="2"/>
      <c r="BE325" s="1"/>
      <c r="BF325" s="1"/>
      <c r="BG325" s="1"/>
      <c r="BH325" s="1"/>
      <c r="BI325" s="1"/>
      <c r="BJ325" s="1"/>
      <c r="BK325" s="1"/>
      <c r="BL325" s="1"/>
      <c r="BM325" s="2"/>
      <c r="BN325" s="1"/>
      <c r="BO325" s="1"/>
      <c r="BP325" s="1"/>
      <c r="BQ325" s="1"/>
      <c r="BR325" s="1"/>
      <c r="BS325" s="1"/>
      <c r="BT325" s="1"/>
      <c r="BU325" s="1"/>
      <c r="BV325" s="2"/>
      <c r="BW325" s="1"/>
      <c r="BX325" s="1"/>
      <c r="BY325" s="1"/>
      <c r="BZ325" s="1"/>
      <c r="CA325" s="1"/>
      <c r="CB325" s="1"/>
      <c r="CC325" s="1"/>
      <c r="CD325" s="1"/>
      <c r="CE325" s="2"/>
      <c r="CF325" s="1"/>
      <c r="CG325" s="1"/>
      <c r="CH325" s="1"/>
      <c r="CI325" s="1"/>
      <c r="CJ325" s="1"/>
      <c r="CK325" s="1"/>
      <c r="CL325" s="1"/>
    </row>
    <row r="326" spans="1:90" ht="14.65" x14ac:dyDescent="0.4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2"/>
      <c r="L326" s="1"/>
      <c r="M326" s="1"/>
      <c r="N326" s="1"/>
      <c r="O326" s="1"/>
      <c r="P326" s="1"/>
      <c r="Q326" s="1"/>
      <c r="R326" s="1"/>
      <c r="S326" s="1"/>
      <c r="T326" s="2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2"/>
      <c r="AM326" s="1"/>
      <c r="AN326" s="1"/>
      <c r="AO326" s="1"/>
      <c r="AP326" s="1"/>
      <c r="AQ326" s="1"/>
      <c r="AR326" s="1"/>
      <c r="AS326" s="1"/>
      <c r="AT326" s="1"/>
      <c r="AU326" s="2"/>
      <c r="AV326" s="1"/>
      <c r="AW326" s="1"/>
      <c r="AX326" s="1"/>
      <c r="AY326" s="1"/>
      <c r="AZ326" s="1"/>
      <c r="BA326" s="1"/>
      <c r="BB326" s="1"/>
      <c r="BC326" s="1"/>
      <c r="BD326" s="2"/>
      <c r="BE326" s="1"/>
      <c r="BF326" s="1"/>
      <c r="BG326" s="1"/>
      <c r="BH326" s="1"/>
      <c r="BI326" s="1"/>
      <c r="BJ326" s="1"/>
      <c r="BK326" s="1"/>
      <c r="BL326" s="1"/>
      <c r="BM326" s="2"/>
      <c r="BN326" s="1"/>
      <c r="BO326" s="1"/>
      <c r="BP326" s="1"/>
      <c r="BQ326" s="1"/>
      <c r="BR326" s="1"/>
      <c r="BS326" s="1"/>
      <c r="BT326" s="1"/>
      <c r="BU326" s="1"/>
      <c r="BV326" s="2"/>
      <c r="BW326" s="1"/>
      <c r="BX326" s="1"/>
      <c r="BY326" s="1"/>
      <c r="BZ326" s="1"/>
      <c r="CA326" s="1"/>
      <c r="CB326" s="1"/>
      <c r="CC326" s="1"/>
      <c r="CD326" s="1"/>
      <c r="CE326" s="2"/>
      <c r="CF326" s="1"/>
      <c r="CG326" s="1"/>
      <c r="CH326" s="1"/>
      <c r="CI326" s="1"/>
      <c r="CJ326" s="1"/>
      <c r="CK326" s="1"/>
      <c r="CL326" s="1"/>
    </row>
    <row r="327" spans="1:90" ht="14.65" x14ac:dyDescent="0.4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2"/>
      <c r="L327" s="1"/>
      <c r="M327" s="1"/>
      <c r="N327" s="1"/>
      <c r="O327" s="1"/>
      <c r="P327" s="1"/>
      <c r="Q327" s="1"/>
      <c r="R327" s="1"/>
      <c r="S327" s="1"/>
      <c r="T327" s="2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2"/>
      <c r="AM327" s="1"/>
      <c r="AN327" s="1"/>
      <c r="AO327" s="1"/>
      <c r="AP327" s="1"/>
      <c r="AQ327" s="1"/>
      <c r="AR327" s="1"/>
      <c r="AS327" s="1"/>
      <c r="AT327" s="1"/>
      <c r="AU327" s="2"/>
      <c r="AV327" s="1"/>
      <c r="AW327" s="1"/>
      <c r="AX327" s="1"/>
      <c r="AY327" s="1"/>
      <c r="AZ327" s="1"/>
      <c r="BA327" s="1"/>
      <c r="BB327" s="1"/>
      <c r="BC327" s="1"/>
      <c r="BD327" s="2"/>
      <c r="BE327" s="1"/>
      <c r="BF327" s="1"/>
      <c r="BG327" s="1"/>
      <c r="BH327" s="1"/>
      <c r="BI327" s="1"/>
      <c r="BJ327" s="1"/>
      <c r="BK327" s="1"/>
      <c r="BL327" s="1"/>
      <c r="BM327" s="2"/>
      <c r="BN327" s="1"/>
      <c r="BO327" s="1"/>
      <c r="BP327" s="1"/>
      <c r="BQ327" s="1"/>
      <c r="BR327" s="1"/>
      <c r="BS327" s="1"/>
      <c r="BT327" s="1"/>
      <c r="BU327" s="1"/>
      <c r="BV327" s="2"/>
      <c r="BW327" s="1"/>
      <c r="BX327" s="1"/>
      <c r="BY327" s="1"/>
      <c r="BZ327" s="1"/>
      <c r="CA327" s="1"/>
      <c r="CB327" s="1"/>
      <c r="CC327" s="1"/>
      <c r="CD327" s="1"/>
      <c r="CE327" s="2"/>
      <c r="CF327" s="1"/>
      <c r="CG327" s="1"/>
      <c r="CH327" s="1"/>
      <c r="CI327" s="1"/>
      <c r="CJ327" s="1"/>
      <c r="CK327" s="1"/>
      <c r="CL327" s="1"/>
    </row>
    <row r="328" spans="1:90" ht="14.65" x14ac:dyDescent="0.4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2"/>
      <c r="L328" s="1"/>
      <c r="M328" s="1"/>
      <c r="N328" s="1"/>
      <c r="O328" s="1"/>
      <c r="P328" s="1"/>
      <c r="Q328" s="1"/>
      <c r="R328" s="1"/>
      <c r="S328" s="1"/>
      <c r="T328" s="2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2"/>
      <c r="AM328" s="1"/>
      <c r="AN328" s="1"/>
      <c r="AO328" s="1"/>
      <c r="AP328" s="1"/>
      <c r="AQ328" s="1"/>
      <c r="AR328" s="1"/>
      <c r="AS328" s="1"/>
      <c r="AT328" s="1"/>
      <c r="AU328" s="2"/>
      <c r="AV328" s="1"/>
      <c r="AW328" s="1"/>
      <c r="AX328" s="1"/>
      <c r="AY328" s="1"/>
      <c r="AZ328" s="1"/>
      <c r="BA328" s="1"/>
      <c r="BB328" s="1"/>
      <c r="BC328" s="1"/>
      <c r="BD328" s="2"/>
      <c r="BE328" s="1"/>
      <c r="BF328" s="1"/>
      <c r="BG328" s="1"/>
      <c r="BH328" s="1"/>
      <c r="BI328" s="1"/>
      <c r="BJ328" s="1"/>
      <c r="BK328" s="1"/>
      <c r="BL328" s="1"/>
      <c r="BM328" s="2"/>
      <c r="BN328" s="1"/>
      <c r="BO328" s="1"/>
      <c r="BP328" s="1"/>
      <c r="BQ328" s="1"/>
      <c r="BR328" s="1"/>
      <c r="BS328" s="1"/>
      <c r="BT328" s="1"/>
      <c r="BU328" s="1"/>
      <c r="BV328" s="2"/>
      <c r="BW328" s="1"/>
      <c r="BX328" s="1"/>
      <c r="BY328" s="1"/>
      <c r="BZ328" s="1"/>
      <c r="CA328" s="1"/>
      <c r="CB328" s="1"/>
      <c r="CC328" s="1"/>
      <c r="CD328" s="1"/>
      <c r="CE328" s="2"/>
      <c r="CF328" s="1"/>
      <c r="CG328" s="1"/>
      <c r="CH328" s="1"/>
      <c r="CI328" s="1"/>
      <c r="CJ328" s="1"/>
      <c r="CK328" s="1"/>
      <c r="CL328" s="1"/>
    </row>
    <row r="329" spans="1:90" ht="14.65" x14ac:dyDescent="0.4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2"/>
      <c r="L329" s="1"/>
      <c r="M329" s="1"/>
      <c r="N329" s="1"/>
      <c r="O329" s="1"/>
      <c r="P329" s="1"/>
      <c r="Q329" s="1"/>
      <c r="R329" s="1"/>
      <c r="S329" s="1"/>
      <c r="T329" s="2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2"/>
      <c r="AM329" s="1"/>
      <c r="AN329" s="1"/>
      <c r="AO329" s="1"/>
      <c r="AP329" s="1"/>
      <c r="AQ329" s="1"/>
      <c r="AR329" s="1"/>
      <c r="AS329" s="1"/>
      <c r="AT329" s="1"/>
      <c r="AU329" s="2"/>
      <c r="AV329" s="1"/>
      <c r="AW329" s="1"/>
      <c r="AX329" s="1"/>
      <c r="AY329" s="1"/>
      <c r="AZ329" s="1"/>
      <c r="BA329" s="1"/>
      <c r="BB329" s="1"/>
      <c r="BC329" s="1"/>
      <c r="BD329" s="2"/>
      <c r="BE329" s="1"/>
      <c r="BF329" s="1"/>
      <c r="BG329" s="1"/>
      <c r="BH329" s="1"/>
      <c r="BI329" s="1"/>
      <c r="BJ329" s="1"/>
      <c r="BK329" s="1"/>
      <c r="BL329" s="1"/>
      <c r="BM329" s="2"/>
      <c r="BN329" s="1"/>
      <c r="BO329" s="1"/>
      <c r="BP329" s="1"/>
      <c r="BQ329" s="1"/>
      <c r="BR329" s="1"/>
      <c r="BS329" s="1"/>
      <c r="BT329" s="1"/>
      <c r="BU329" s="1"/>
      <c r="BV329" s="2"/>
      <c r="BW329" s="1"/>
      <c r="BX329" s="1"/>
      <c r="BY329" s="1"/>
      <c r="BZ329" s="1"/>
      <c r="CA329" s="1"/>
      <c r="CB329" s="1"/>
      <c r="CC329" s="1"/>
      <c r="CD329" s="1"/>
      <c r="CE329" s="2"/>
      <c r="CF329" s="1"/>
      <c r="CG329" s="1"/>
      <c r="CH329" s="1"/>
      <c r="CI329" s="1"/>
      <c r="CJ329" s="1"/>
      <c r="CK329" s="1"/>
      <c r="CL329" s="1"/>
    </row>
    <row r="330" spans="1:90" ht="14.65" x14ac:dyDescent="0.4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2"/>
      <c r="L330" s="1"/>
      <c r="M330" s="1"/>
      <c r="N330" s="1"/>
      <c r="O330" s="1"/>
      <c r="P330" s="1"/>
      <c r="Q330" s="1"/>
      <c r="R330" s="1"/>
      <c r="S330" s="1"/>
      <c r="T330" s="2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2"/>
      <c r="AM330" s="1"/>
      <c r="AN330" s="1"/>
      <c r="AO330" s="1"/>
      <c r="AP330" s="1"/>
      <c r="AQ330" s="1"/>
      <c r="AR330" s="1"/>
      <c r="AS330" s="1"/>
      <c r="AT330" s="1"/>
      <c r="AU330" s="2"/>
      <c r="AV330" s="1"/>
      <c r="AW330" s="1"/>
      <c r="AX330" s="1"/>
      <c r="AY330" s="1"/>
      <c r="AZ330" s="1"/>
      <c r="BA330" s="1"/>
      <c r="BB330" s="1"/>
      <c r="BC330" s="1"/>
      <c r="BD330" s="2"/>
      <c r="BE330" s="1"/>
      <c r="BF330" s="1"/>
      <c r="BG330" s="1"/>
      <c r="BH330" s="1"/>
      <c r="BI330" s="1"/>
      <c r="BJ330" s="1"/>
      <c r="BK330" s="1"/>
      <c r="BL330" s="1"/>
      <c r="BM330" s="2"/>
      <c r="BN330" s="1"/>
      <c r="BO330" s="1"/>
      <c r="BP330" s="1"/>
      <c r="BQ330" s="1"/>
      <c r="BR330" s="1"/>
      <c r="BS330" s="1"/>
      <c r="BT330" s="1"/>
      <c r="BU330" s="1"/>
      <c r="BV330" s="2"/>
      <c r="BW330" s="1"/>
      <c r="BX330" s="1"/>
      <c r="BY330" s="1"/>
      <c r="BZ330" s="1"/>
      <c r="CA330" s="1"/>
      <c r="CB330" s="1"/>
      <c r="CC330" s="1"/>
      <c r="CD330" s="1"/>
      <c r="CE330" s="2"/>
      <c r="CF330" s="1"/>
      <c r="CG330" s="1"/>
      <c r="CH330" s="1"/>
      <c r="CI330" s="1"/>
      <c r="CJ330" s="1"/>
      <c r="CK330" s="1"/>
      <c r="CL330" s="1"/>
    </row>
    <row r="331" spans="1:90" ht="14.65" x14ac:dyDescent="0.4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2"/>
      <c r="L331" s="1"/>
      <c r="M331" s="1"/>
      <c r="N331" s="1"/>
      <c r="O331" s="1"/>
      <c r="P331" s="1"/>
      <c r="Q331" s="1"/>
      <c r="R331" s="1"/>
      <c r="S331" s="1"/>
      <c r="T331" s="2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2"/>
      <c r="AM331" s="1"/>
      <c r="AN331" s="1"/>
      <c r="AO331" s="1"/>
      <c r="AP331" s="1"/>
      <c r="AQ331" s="1"/>
      <c r="AR331" s="1"/>
      <c r="AS331" s="1"/>
      <c r="AT331" s="1"/>
      <c r="AU331" s="2"/>
      <c r="AV331" s="1"/>
      <c r="AW331" s="1"/>
      <c r="AX331" s="1"/>
      <c r="AY331" s="1"/>
      <c r="AZ331" s="1"/>
      <c r="BA331" s="1"/>
      <c r="BB331" s="1"/>
      <c r="BC331" s="1"/>
      <c r="BD331" s="2"/>
      <c r="BE331" s="1"/>
      <c r="BF331" s="1"/>
      <c r="BG331" s="1"/>
      <c r="BH331" s="1"/>
      <c r="BI331" s="1"/>
      <c r="BJ331" s="1"/>
      <c r="BK331" s="1"/>
      <c r="BL331" s="1"/>
      <c r="BM331" s="2"/>
      <c r="BN331" s="1"/>
      <c r="BO331" s="1"/>
      <c r="BP331" s="1"/>
      <c r="BQ331" s="1"/>
      <c r="BR331" s="1"/>
      <c r="BS331" s="1"/>
      <c r="BT331" s="1"/>
      <c r="BU331" s="1"/>
      <c r="BV331" s="2"/>
      <c r="BW331" s="1"/>
      <c r="BX331" s="1"/>
      <c r="BY331" s="1"/>
      <c r="BZ331" s="1"/>
      <c r="CA331" s="1"/>
      <c r="CB331" s="1"/>
      <c r="CC331" s="1"/>
      <c r="CD331" s="1"/>
      <c r="CE331" s="2"/>
      <c r="CF331" s="1"/>
      <c r="CG331" s="1"/>
      <c r="CH331" s="1"/>
      <c r="CI331" s="1"/>
      <c r="CJ331" s="1"/>
      <c r="CK331" s="1"/>
      <c r="CL331" s="1"/>
    </row>
    <row r="332" spans="1:90" ht="14.65" x14ac:dyDescent="0.4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2"/>
      <c r="L332" s="1"/>
      <c r="M332" s="1"/>
      <c r="N332" s="1"/>
      <c r="O332" s="1"/>
      <c r="P332" s="1"/>
      <c r="Q332" s="1"/>
      <c r="R332" s="1"/>
      <c r="S332" s="1"/>
      <c r="T332" s="2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2"/>
      <c r="AM332" s="1"/>
      <c r="AN332" s="1"/>
      <c r="AO332" s="1"/>
      <c r="AP332" s="1"/>
      <c r="AQ332" s="1"/>
      <c r="AR332" s="1"/>
      <c r="AS332" s="1"/>
      <c r="AT332" s="1"/>
      <c r="AU332" s="2"/>
      <c r="AV332" s="1"/>
      <c r="AW332" s="1"/>
      <c r="AX332" s="1"/>
      <c r="AY332" s="1"/>
      <c r="AZ332" s="1"/>
      <c r="BA332" s="1"/>
      <c r="BB332" s="1"/>
      <c r="BC332" s="1"/>
      <c r="BD332" s="2"/>
      <c r="BE332" s="1"/>
      <c r="BF332" s="1"/>
      <c r="BG332" s="1"/>
      <c r="BH332" s="1"/>
      <c r="BI332" s="1"/>
      <c r="BJ332" s="1"/>
      <c r="BK332" s="1"/>
      <c r="BL332" s="1"/>
      <c r="BM332" s="2"/>
      <c r="BN332" s="1"/>
      <c r="BO332" s="1"/>
      <c r="BP332" s="1"/>
      <c r="BQ332" s="1"/>
      <c r="BR332" s="1"/>
      <c r="BS332" s="1"/>
      <c r="BT332" s="1"/>
      <c r="BU332" s="1"/>
      <c r="BV332" s="2"/>
      <c r="BW332" s="1"/>
      <c r="BX332" s="1"/>
      <c r="BY332" s="1"/>
      <c r="BZ332" s="1"/>
      <c r="CA332" s="1"/>
      <c r="CB332" s="1"/>
      <c r="CC332" s="1"/>
      <c r="CD332" s="1"/>
      <c r="CE332" s="2"/>
      <c r="CF332" s="1"/>
      <c r="CG332" s="1"/>
      <c r="CH332" s="1"/>
      <c r="CI332" s="1"/>
      <c r="CJ332" s="1"/>
      <c r="CK332" s="1"/>
      <c r="CL332" s="1"/>
    </row>
    <row r="333" spans="1:90" ht="14.65" x14ac:dyDescent="0.4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2"/>
      <c r="L333" s="1"/>
      <c r="M333" s="1"/>
      <c r="N333" s="1"/>
      <c r="O333" s="1"/>
      <c r="P333" s="1"/>
      <c r="Q333" s="1"/>
      <c r="R333" s="1"/>
      <c r="S333" s="1"/>
      <c r="T333" s="2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2"/>
      <c r="AM333" s="1"/>
      <c r="AN333" s="1"/>
      <c r="AO333" s="1"/>
      <c r="AP333" s="1"/>
      <c r="AQ333" s="1"/>
      <c r="AR333" s="1"/>
      <c r="AS333" s="1"/>
      <c r="AT333" s="1"/>
      <c r="AU333" s="2"/>
      <c r="AV333" s="1"/>
      <c r="AW333" s="1"/>
      <c r="AX333" s="1"/>
      <c r="AY333" s="1"/>
      <c r="AZ333" s="1"/>
      <c r="BA333" s="1"/>
      <c r="BB333" s="1"/>
      <c r="BC333" s="1"/>
      <c r="BD333" s="2"/>
      <c r="BE333" s="1"/>
      <c r="BF333" s="1"/>
      <c r="BG333" s="1"/>
      <c r="BH333" s="1"/>
      <c r="BI333" s="1"/>
      <c r="BJ333" s="1"/>
      <c r="BK333" s="1"/>
      <c r="BL333" s="1"/>
      <c r="BM333" s="2"/>
      <c r="BN333" s="1"/>
      <c r="BO333" s="1"/>
      <c r="BP333" s="1"/>
      <c r="BQ333" s="1"/>
      <c r="BR333" s="1"/>
      <c r="BS333" s="1"/>
      <c r="BT333" s="1"/>
      <c r="BU333" s="1"/>
      <c r="BV333" s="2"/>
      <c r="BW333" s="1"/>
      <c r="BX333" s="1"/>
      <c r="BY333" s="1"/>
      <c r="BZ333" s="1"/>
      <c r="CA333" s="1"/>
      <c r="CB333" s="1"/>
      <c r="CC333" s="1"/>
      <c r="CD333" s="1"/>
      <c r="CE333" s="2"/>
      <c r="CF333" s="1"/>
      <c r="CG333" s="1"/>
      <c r="CH333" s="1"/>
      <c r="CI333" s="1"/>
      <c r="CJ333" s="1"/>
      <c r="CK333" s="1"/>
      <c r="CL333" s="1"/>
    </row>
    <row r="334" spans="1:90" ht="14.65" x14ac:dyDescent="0.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2"/>
      <c r="L334" s="1"/>
      <c r="M334" s="1"/>
      <c r="N334" s="1"/>
      <c r="O334" s="1"/>
      <c r="P334" s="1"/>
      <c r="Q334" s="1"/>
      <c r="R334" s="1"/>
      <c r="S334" s="1"/>
      <c r="T334" s="2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2"/>
      <c r="AM334" s="1"/>
      <c r="AN334" s="1"/>
      <c r="AO334" s="1"/>
      <c r="AP334" s="1"/>
      <c r="AQ334" s="1"/>
      <c r="AR334" s="1"/>
      <c r="AS334" s="1"/>
      <c r="AT334" s="1"/>
      <c r="AU334" s="2"/>
      <c r="AV334" s="1"/>
      <c r="AW334" s="1"/>
      <c r="AX334" s="1"/>
      <c r="AY334" s="1"/>
      <c r="AZ334" s="1"/>
      <c r="BA334" s="1"/>
      <c r="BB334" s="1"/>
      <c r="BC334" s="1"/>
      <c r="BD334" s="2"/>
      <c r="BE334" s="1"/>
      <c r="BF334" s="1"/>
      <c r="BG334" s="1"/>
      <c r="BH334" s="1"/>
      <c r="BI334" s="1"/>
      <c r="BJ334" s="1"/>
      <c r="BK334" s="1"/>
      <c r="BL334" s="1"/>
      <c r="BM334" s="2"/>
      <c r="BN334" s="1"/>
      <c r="BO334" s="1"/>
      <c r="BP334" s="1"/>
      <c r="BQ334" s="1"/>
      <c r="BR334" s="1"/>
      <c r="BS334" s="1"/>
      <c r="BT334" s="1"/>
      <c r="BU334" s="1"/>
      <c r="BV334" s="2"/>
      <c r="BW334" s="1"/>
      <c r="BX334" s="1"/>
      <c r="BY334" s="1"/>
      <c r="BZ334" s="1"/>
      <c r="CA334" s="1"/>
      <c r="CB334" s="1"/>
      <c r="CC334" s="1"/>
      <c r="CD334" s="1"/>
      <c r="CE334" s="2"/>
      <c r="CF334" s="1"/>
      <c r="CG334" s="1"/>
      <c r="CH334" s="1"/>
      <c r="CI334" s="1"/>
      <c r="CJ334" s="1"/>
      <c r="CK334" s="1"/>
      <c r="CL334" s="1"/>
    </row>
    <row r="335" spans="1:90" ht="14.65" x14ac:dyDescent="0.4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2"/>
      <c r="L335" s="1"/>
      <c r="M335" s="1"/>
      <c r="N335" s="1"/>
      <c r="O335" s="1"/>
      <c r="P335" s="1"/>
      <c r="Q335" s="1"/>
      <c r="R335" s="1"/>
      <c r="S335" s="1"/>
      <c r="T335" s="2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2"/>
      <c r="AM335" s="1"/>
      <c r="AN335" s="1"/>
      <c r="AO335" s="1"/>
      <c r="AP335" s="1"/>
      <c r="AQ335" s="1"/>
      <c r="AR335" s="1"/>
      <c r="AS335" s="1"/>
      <c r="AT335" s="1"/>
      <c r="AU335" s="2"/>
      <c r="AV335" s="1"/>
      <c r="AW335" s="1"/>
      <c r="AX335" s="1"/>
      <c r="AY335" s="1"/>
      <c r="AZ335" s="1"/>
      <c r="BA335" s="1"/>
      <c r="BB335" s="1"/>
      <c r="BC335" s="1"/>
      <c r="BD335" s="2"/>
      <c r="BE335" s="1"/>
      <c r="BF335" s="1"/>
      <c r="BG335" s="1"/>
      <c r="BH335" s="1"/>
      <c r="BI335" s="1"/>
      <c r="BJ335" s="1"/>
      <c r="BK335" s="1"/>
      <c r="BL335" s="1"/>
      <c r="BM335" s="2"/>
      <c r="BN335" s="1"/>
      <c r="BO335" s="1"/>
      <c r="BP335" s="1"/>
      <c r="BQ335" s="1"/>
      <c r="BR335" s="1"/>
      <c r="BS335" s="1"/>
      <c r="BT335" s="1"/>
      <c r="BU335" s="1"/>
      <c r="BV335" s="2"/>
      <c r="BW335" s="1"/>
      <c r="BX335" s="1"/>
      <c r="BY335" s="1"/>
      <c r="BZ335" s="1"/>
      <c r="CA335" s="1"/>
      <c r="CB335" s="1"/>
      <c r="CC335" s="1"/>
      <c r="CD335" s="1"/>
      <c r="CE335" s="2"/>
      <c r="CF335" s="1"/>
      <c r="CG335" s="1"/>
      <c r="CH335" s="1"/>
      <c r="CI335" s="1"/>
      <c r="CJ335" s="1"/>
      <c r="CK335" s="1"/>
      <c r="CL335" s="1"/>
    </row>
    <row r="336" spans="1:90" ht="14.65" x14ac:dyDescent="0.4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2"/>
      <c r="L336" s="1"/>
      <c r="M336" s="1"/>
      <c r="N336" s="1"/>
      <c r="O336" s="1"/>
      <c r="P336" s="1"/>
      <c r="Q336" s="1"/>
      <c r="R336" s="1"/>
      <c r="S336" s="1"/>
      <c r="T336" s="2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2"/>
      <c r="AM336" s="1"/>
      <c r="AN336" s="1"/>
      <c r="AO336" s="1"/>
      <c r="AP336" s="1"/>
      <c r="AQ336" s="1"/>
      <c r="AR336" s="1"/>
      <c r="AS336" s="1"/>
      <c r="AT336" s="1"/>
      <c r="AU336" s="2"/>
      <c r="AV336" s="1"/>
      <c r="AW336" s="1"/>
      <c r="AX336" s="1"/>
      <c r="AY336" s="1"/>
      <c r="AZ336" s="1"/>
      <c r="BA336" s="1"/>
      <c r="BB336" s="1"/>
      <c r="BC336" s="1"/>
      <c r="BD336" s="2"/>
      <c r="BE336" s="1"/>
      <c r="BF336" s="1"/>
      <c r="BG336" s="1"/>
      <c r="BH336" s="1"/>
      <c r="BI336" s="1"/>
      <c r="BJ336" s="1"/>
      <c r="BK336" s="1"/>
      <c r="BL336" s="1"/>
      <c r="BM336" s="2"/>
      <c r="BN336" s="1"/>
      <c r="BO336" s="1"/>
      <c r="BP336" s="1"/>
      <c r="BQ336" s="1"/>
      <c r="BR336" s="1"/>
      <c r="BS336" s="1"/>
      <c r="BT336" s="1"/>
      <c r="BU336" s="1"/>
      <c r="BV336" s="2"/>
      <c r="BW336" s="1"/>
      <c r="BX336" s="1"/>
      <c r="BY336" s="1"/>
      <c r="BZ336" s="1"/>
      <c r="CA336" s="1"/>
      <c r="CB336" s="1"/>
      <c r="CC336" s="1"/>
      <c r="CD336" s="1"/>
      <c r="CE336" s="2"/>
      <c r="CF336" s="1"/>
      <c r="CG336" s="1"/>
      <c r="CH336" s="1"/>
      <c r="CI336" s="1"/>
      <c r="CJ336" s="1"/>
      <c r="CK336" s="1"/>
      <c r="CL336" s="1"/>
    </row>
    <row r="337" spans="1:90" ht="14.65" x14ac:dyDescent="0.4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2"/>
      <c r="L337" s="1"/>
      <c r="M337" s="1"/>
      <c r="N337" s="1"/>
      <c r="O337" s="1"/>
      <c r="P337" s="1"/>
      <c r="Q337" s="1"/>
      <c r="R337" s="1"/>
      <c r="S337" s="1"/>
      <c r="T337" s="2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2"/>
      <c r="AM337" s="1"/>
      <c r="AN337" s="1"/>
      <c r="AO337" s="1"/>
      <c r="AP337" s="1"/>
      <c r="AQ337" s="1"/>
      <c r="AR337" s="1"/>
      <c r="AS337" s="1"/>
      <c r="AT337" s="1"/>
      <c r="AU337" s="2"/>
      <c r="AV337" s="1"/>
      <c r="AW337" s="1"/>
      <c r="AX337" s="1"/>
      <c r="AY337" s="1"/>
      <c r="AZ337" s="1"/>
      <c r="BA337" s="1"/>
      <c r="BB337" s="1"/>
      <c r="BC337" s="1"/>
      <c r="BD337" s="2"/>
      <c r="BE337" s="1"/>
      <c r="BF337" s="1"/>
      <c r="BG337" s="1"/>
      <c r="BH337" s="1"/>
      <c r="BI337" s="1"/>
      <c r="BJ337" s="1"/>
      <c r="BK337" s="1"/>
      <c r="BL337" s="1"/>
      <c r="BM337" s="2"/>
      <c r="BN337" s="1"/>
      <c r="BO337" s="1"/>
      <c r="BP337" s="1"/>
      <c r="BQ337" s="1"/>
      <c r="BR337" s="1"/>
      <c r="BS337" s="1"/>
      <c r="BT337" s="1"/>
      <c r="BU337" s="1"/>
      <c r="BV337" s="2"/>
      <c r="BW337" s="1"/>
      <c r="BX337" s="1"/>
      <c r="BY337" s="1"/>
      <c r="BZ337" s="1"/>
      <c r="CA337" s="1"/>
      <c r="CB337" s="1"/>
      <c r="CC337" s="1"/>
      <c r="CD337" s="1"/>
      <c r="CE337" s="2"/>
      <c r="CF337" s="1"/>
      <c r="CG337" s="1"/>
      <c r="CH337" s="1"/>
      <c r="CI337" s="1"/>
      <c r="CJ337" s="1"/>
      <c r="CK337" s="1"/>
      <c r="CL337" s="1"/>
    </row>
    <row r="338" spans="1:90" ht="14.65" x14ac:dyDescent="0.4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2"/>
      <c r="L338" s="1"/>
      <c r="M338" s="1"/>
      <c r="N338" s="1"/>
      <c r="O338" s="1"/>
      <c r="P338" s="1"/>
      <c r="Q338" s="1"/>
      <c r="R338" s="1"/>
      <c r="S338" s="1"/>
      <c r="T338" s="2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2"/>
      <c r="AM338" s="1"/>
      <c r="AN338" s="1"/>
      <c r="AO338" s="1"/>
      <c r="AP338" s="1"/>
      <c r="AQ338" s="1"/>
      <c r="AR338" s="1"/>
      <c r="AS338" s="1"/>
      <c r="AT338" s="1"/>
      <c r="AU338" s="2"/>
      <c r="AV338" s="1"/>
      <c r="AW338" s="1"/>
      <c r="AX338" s="1"/>
      <c r="AY338" s="1"/>
      <c r="AZ338" s="1"/>
      <c r="BA338" s="1"/>
      <c r="BB338" s="1"/>
      <c r="BC338" s="1"/>
      <c r="BD338" s="2"/>
      <c r="BE338" s="1"/>
      <c r="BF338" s="1"/>
      <c r="BG338" s="1"/>
      <c r="BH338" s="1"/>
      <c r="BI338" s="1"/>
      <c r="BJ338" s="1"/>
      <c r="BK338" s="1"/>
      <c r="BL338" s="1"/>
      <c r="BM338" s="2"/>
      <c r="BN338" s="1"/>
      <c r="BO338" s="1"/>
      <c r="BP338" s="1"/>
      <c r="BQ338" s="1"/>
      <c r="BR338" s="1"/>
      <c r="BS338" s="1"/>
      <c r="BT338" s="1"/>
      <c r="BU338" s="1"/>
      <c r="BV338" s="2"/>
      <c r="BW338" s="1"/>
      <c r="BX338" s="1"/>
      <c r="BY338" s="1"/>
      <c r="BZ338" s="1"/>
      <c r="CA338" s="1"/>
      <c r="CB338" s="1"/>
      <c r="CC338" s="1"/>
      <c r="CD338" s="1"/>
      <c r="CE338" s="2"/>
      <c r="CF338" s="1"/>
      <c r="CG338" s="1"/>
      <c r="CH338" s="1"/>
      <c r="CI338" s="1"/>
      <c r="CJ338" s="1"/>
      <c r="CK338" s="1"/>
      <c r="CL338" s="1"/>
    </row>
    <row r="339" spans="1:90" ht="14.65" x14ac:dyDescent="0.4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2"/>
      <c r="L339" s="1"/>
      <c r="M339" s="1"/>
      <c r="N339" s="1"/>
      <c r="O339" s="1"/>
      <c r="P339" s="1"/>
      <c r="Q339" s="1"/>
      <c r="R339" s="1"/>
      <c r="S339" s="1"/>
      <c r="T339" s="2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2"/>
      <c r="AM339" s="1"/>
      <c r="AN339" s="1"/>
      <c r="AO339" s="1"/>
      <c r="AP339" s="1"/>
      <c r="AQ339" s="1"/>
      <c r="AR339" s="1"/>
      <c r="AS339" s="1"/>
      <c r="AT339" s="1"/>
      <c r="AU339" s="2"/>
      <c r="AV339" s="1"/>
      <c r="AW339" s="1"/>
      <c r="AX339" s="1"/>
      <c r="AY339" s="1"/>
      <c r="AZ339" s="1"/>
      <c r="BA339" s="1"/>
      <c r="BB339" s="1"/>
      <c r="BC339" s="1"/>
      <c r="BD339" s="2"/>
      <c r="BE339" s="1"/>
      <c r="BF339" s="1"/>
      <c r="BG339" s="1"/>
      <c r="BH339" s="1"/>
      <c r="BI339" s="1"/>
      <c r="BJ339" s="1"/>
      <c r="BK339" s="1"/>
      <c r="BL339" s="1"/>
      <c r="BM339" s="2"/>
      <c r="BN339" s="1"/>
      <c r="BO339" s="1"/>
      <c r="BP339" s="1"/>
      <c r="BQ339" s="1"/>
      <c r="BR339" s="1"/>
      <c r="BS339" s="1"/>
      <c r="BT339" s="1"/>
      <c r="BU339" s="1"/>
      <c r="BV339" s="2"/>
      <c r="BW339" s="1"/>
      <c r="BX339" s="1"/>
      <c r="BY339" s="1"/>
      <c r="BZ339" s="1"/>
      <c r="CA339" s="1"/>
      <c r="CB339" s="1"/>
      <c r="CC339" s="1"/>
      <c r="CD339" s="1"/>
      <c r="CE339" s="2"/>
      <c r="CF339" s="1"/>
      <c r="CG339" s="1"/>
      <c r="CH339" s="1"/>
      <c r="CI339" s="1"/>
      <c r="CJ339" s="1"/>
      <c r="CK339" s="1"/>
      <c r="CL339" s="1"/>
    </row>
    <row r="340" spans="1:90" ht="14.65" x14ac:dyDescent="0.4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2"/>
      <c r="L340" s="1"/>
      <c r="M340" s="1"/>
      <c r="N340" s="1"/>
      <c r="O340" s="1"/>
      <c r="P340" s="1"/>
      <c r="Q340" s="1"/>
      <c r="R340" s="1"/>
      <c r="S340" s="1"/>
      <c r="T340" s="2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2"/>
      <c r="AM340" s="1"/>
      <c r="AN340" s="1"/>
      <c r="AO340" s="1"/>
      <c r="AP340" s="1"/>
      <c r="AQ340" s="1"/>
      <c r="AR340" s="1"/>
      <c r="AS340" s="1"/>
      <c r="AT340" s="1"/>
      <c r="AU340" s="2"/>
      <c r="AV340" s="1"/>
      <c r="AW340" s="1"/>
      <c r="AX340" s="1"/>
      <c r="AY340" s="1"/>
      <c r="AZ340" s="1"/>
      <c r="BA340" s="1"/>
      <c r="BB340" s="1"/>
      <c r="BC340" s="1"/>
      <c r="BD340" s="2"/>
      <c r="BE340" s="1"/>
      <c r="BF340" s="1"/>
      <c r="BG340" s="1"/>
      <c r="BH340" s="1"/>
      <c r="BI340" s="1"/>
      <c r="BJ340" s="1"/>
      <c r="BK340" s="1"/>
      <c r="BL340" s="1"/>
      <c r="BM340" s="2"/>
      <c r="BN340" s="1"/>
      <c r="BO340" s="1"/>
      <c r="BP340" s="1"/>
      <c r="BQ340" s="1"/>
      <c r="BR340" s="1"/>
      <c r="BS340" s="1"/>
      <c r="BT340" s="1"/>
      <c r="BU340" s="1"/>
      <c r="BV340" s="2"/>
      <c r="BW340" s="1"/>
      <c r="BX340" s="1"/>
      <c r="BY340" s="1"/>
      <c r="BZ340" s="1"/>
      <c r="CA340" s="1"/>
      <c r="CB340" s="1"/>
      <c r="CC340" s="1"/>
      <c r="CD340" s="1"/>
      <c r="CE340" s="2"/>
      <c r="CF340" s="1"/>
      <c r="CG340" s="1"/>
      <c r="CH340" s="1"/>
      <c r="CI340" s="1"/>
      <c r="CJ340" s="1"/>
      <c r="CK340" s="1"/>
      <c r="CL340" s="1"/>
    </row>
    <row r="341" spans="1:90" ht="14.65" x14ac:dyDescent="0.4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2"/>
      <c r="L341" s="1"/>
      <c r="M341" s="1"/>
      <c r="N341" s="1"/>
      <c r="O341" s="1"/>
      <c r="P341" s="1"/>
      <c r="Q341" s="1"/>
      <c r="R341" s="1"/>
      <c r="S341" s="1"/>
      <c r="T341" s="2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2"/>
      <c r="AM341" s="1"/>
      <c r="AN341" s="1"/>
      <c r="AO341" s="1"/>
      <c r="AP341" s="1"/>
      <c r="AQ341" s="1"/>
      <c r="AR341" s="1"/>
      <c r="AS341" s="1"/>
      <c r="AT341" s="1"/>
      <c r="AU341" s="2"/>
      <c r="AV341" s="1"/>
      <c r="AW341" s="1"/>
      <c r="AX341" s="1"/>
      <c r="AY341" s="1"/>
      <c r="AZ341" s="1"/>
      <c r="BA341" s="1"/>
      <c r="BB341" s="1"/>
      <c r="BC341" s="1"/>
      <c r="BD341" s="2"/>
      <c r="BE341" s="1"/>
      <c r="BF341" s="1"/>
      <c r="BG341" s="1"/>
      <c r="BH341" s="1"/>
      <c r="BI341" s="1"/>
      <c r="BJ341" s="1"/>
      <c r="BK341" s="1"/>
      <c r="BL341" s="1"/>
      <c r="BM341" s="2"/>
      <c r="BN341" s="1"/>
      <c r="BO341" s="1"/>
      <c r="BP341" s="1"/>
      <c r="BQ341" s="1"/>
      <c r="BR341" s="1"/>
      <c r="BS341" s="1"/>
      <c r="BT341" s="1"/>
      <c r="BU341" s="1"/>
      <c r="BV341" s="2"/>
      <c r="BW341" s="1"/>
      <c r="BX341" s="1"/>
      <c r="BY341" s="1"/>
      <c r="BZ341" s="1"/>
      <c r="CA341" s="1"/>
      <c r="CB341" s="1"/>
      <c r="CC341" s="1"/>
      <c r="CD341" s="1"/>
      <c r="CE341" s="2"/>
      <c r="CF341" s="1"/>
      <c r="CG341" s="1"/>
      <c r="CH341" s="1"/>
      <c r="CI341" s="1"/>
      <c r="CJ341" s="1"/>
      <c r="CK341" s="1"/>
      <c r="CL341" s="1"/>
    </row>
    <row r="342" spans="1:90" ht="14.65" x14ac:dyDescent="0.4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2"/>
      <c r="L342" s="1"/>
      <c r="M342" s="1"/>
      <c r="N342" s="1"/>
      <c r="O342" s="1"/>
      <c r="P342" s="1"/>
      <c r="Q342" s="1"/>
      <c r="R342" s="1"/>
      <c r="S342" s="1"/>
      <c r="T342" s="2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2"/>
      <c r="AM342" s="1"/>
      <c r="AN342" s="1"/>
      <c r="AO342" s="1"/>
      <c r="AP342" s="1"/>
      <c r="AQ342" s="1"/>
      <c r="AR342" s="1"/>
      <c r="AS342" s="1"/>
      <c r="AT342" s="1"/>
      <c r="AU342" s="2"/>
      <c r="AV342" s="1"/>
      <c r="AW342" s="1"/>
      <c r="AX342" s="1"/>
      <c r="AY342" s="1"/>
      <c r="AZ342" s="1"/>
      <c r="BA342" s="1"/>
      <c r="BB342" s="1"/>
      <c r="BC342" s="1"/>
      <c r="BD342" s="2"/>
      <c r="BE342" s="1"/>
      <c r="BF342" s="1"/>
      <c r="BG342" s="1"/>
      <c r="BH342" s="1"/>
      <c r="BI342" s="1"/>
      <c r="BJ342" s="1"/>
      <c r="BK342" s="1"/>
      <c r="BL342" s="1"/>
      <c r="BM342" s="2"/>
      <c r="BN342" s="1"/>
      <c r="BO342" s="1"/>
      <c r="BP342" s="1"/>
      <c r="BQ342" s="1"/>
      <c r="BR342" s="1"/>
      <c r="BS342" s="1"/>
      <c r="BT342" s="1"/>
      <c r="BU342" s="1"/>
      <c r="BV342" s="2"/>
      <c r="BW342" s="1"/>
      <c r="BX342" s="1"/>
      <c r="BY342" s="1"/>
      <c r="BZ342" s="1"/>
      <c r="CA342" s="1"/>
      <c r="CB342" s="1"/>
      <c r="CC342" s="1"/>
      <c r="CD342" s="1"/>
      <c r="CE342" s="2"/>
      <c r="CF342" s="1"/>
      <c r="CG342" s="1"/>
      <c r="CH342" s="1"/>
      <c r="CI342" s="1"/>
      <c r="CJ342" s="1"/>
      <c r="CK342" s="1"/>
      <c r="CL342" s="1"/>
    </row>
    <row r="343" spans="1:90" ht="14.65" x14ac:dyDescent="0.4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2"/>
      <c r="L343" s="1"/>
      <c r="M343" s="1"/>
      <c r="N343" s="1"/>
      <c r="O343" s="1"/>
      <c r="P343" s="1"/>
      <c r="Q343" s="1"/>
      <c r="R343" s="1"/>
      <c r="S343" s="1"/>
      <c r="T343" s="2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2"/>
      <c r="AM343" s="1"/>
      <c r="AN343" s="1"/>
      <c r="AO343" s="1"/>
      <c r="AP343" s="1"/>
      <c r="AQ343" s="1"/>
      <c r="AR343" s="1"/>
      <c r="AS343" s="1"/>
      <c r="AT343" s="1"/>
      <c r="AU343" s="2"/>
      <c r="AV343" s="1"/>
      <c r="AW343" s="1"/>
      <c r="AX343" s="1"/>
      <c r="AY343" s="1"/>
      <c r="AZ343" s="1"/>
      <c r="BA343" s="1"/>
      <c r="BB343" s="1"/>
      <c r="BC343" s="1"/>
      <c r="BD343" s="2"/>
      <c r="BE343" s="1"/>
      <c r="BF343" s="1"/>
      <c r="BG343" s="1"/>
      <c r="BH343" s="1"/>
      <c r="BI343" s="1"/>
      <c r="BJ343" s="1"/>
      <c r="BK343" s="1"/>
      <c r="BL343" s="1"/>
      <c r="BM343" s="2"/>
      <c r="BN343" s="1"/>
      <c r="BO343" s="1"/>
      <c r="BP343" s="1"/>
      <c r="BQ343" s="1"/>
      <c r="BR343" s="1"/>
      <c r="BS343" s="1"/>
      <c r="BT343" s="1"/>
      <c r="BU343" s="1"/>
      <c r="BV343" s="2"/>
      <c r="BW343" s="1"/>
      <c r="BX343" s="1"/>
      <c r="BY343" s="1"/>
      <c r="BZ343" s="1"/>
      <c r="CA343" s="1"/>
      <c r="CB343" s="1"/>
      <c r="CC343" s="1"/>
      <c r="CD343" s="1"/>
      <c r="CE343" s="2"/>
      <c r="CF343" s="1"/>
      <c r="CG343" s="1"/>
      <c r="CH343" s="1"/>
      <c r="CI343" s="1"/>
      <c r="CJ343" s="1"/>
      <c r="CK343" s="1"/>
      <c r="CL343" s="1"/>
    </row>
    <row r="344" spans="1:90" ht="14.65" x14ac:dyDescent="0.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2"/>
      <c r="L344" s="1"/>
      <c r="M344" s="1"/>
      <c r="N344" s="1"/>
      <c r="O344" s="1"/>
      <c r="P344" s="1"/>
      <c r="Q344" s="1"/>
      <c r="R344" s="1"/>
      <c r="S344" s="1"/>
      <c r="T344" s="2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2"/>
      <c r="AM344" s="1"/>
      <c r="AN344" s="1"/>
      <c r="AO344" s="1"/>
      <c r="AP344" s="1"/>
      <c r="AQ344" s="1"/>
      <c r="AR344" s="1"/>
      <c r="AS344" s="1"/>
      <c r="AT344" s="1"/>
      <c r="AU344" s="2"/>
      <c r="AV344" s="1"/>
      <c r="AW344" s="1"/>
      <c r="AX344" s="1"/>
      <c r="AY344" s="1"/>
      <c r="AZ344" s="1"/>
      <c r="BA344" s="1"/>
      <c r="BB344" s="1"/>
      <c r="BC344" s="1"/>
      <c r="BD344" s="2"/>
      <c r="BE344" s="1"/>
      <c r="BF344" s="1"/>
      <c r="BG344" s="1"/>
      <c r="BH344" s="1"/>
      <c r="BI344" s="1"/>
      <c r="BJ344" s="1"/>
      <c r="BK344" s="1"/>
      <c r="BL344" s="1"/>
      <c r="BM344" s="2"/>
      <c r="BN344" s="1"/>
      <c r="BO344" s="1"/>
      <c r="BP344" s="1"/>
      <c r="BQ344" s="1"/>
      <c r="BR344" s="1"/>
      <c r="BS344" s="1"/>
      <c r="BT344" s="1"/>
      <c r="BU344" s="1"/>
      <c r="BV344" s="2"/>
      <c r="BW344" s="1"/>
      <c r="BX344" s="1"/>
      <c r="BY344" s="1"/>
      <c r="BZ344" s="1"/>
      <c r="CA344" s="1"/>
      <c r="CB344" s="1"/>
      <c r="CC344" s="1"/>
      <c r="CD344" s="1"/>
      <c r="CE344" s="2"/>
      <c r="CF344" s="1"/>
      <c r="CG344" s="1"/>
      <c r="CH344" s="1"/>
      <c r="CI344" s="1"/>
      <c r="CJ344" s="1"/>
      <c r="CK344" s="1"/>
      <c r="CL344" s="1"/>
    </row>
    <row r="345" spans="1:90" ht="14.65" x14ac:dyDescent="0.4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2"/>
      <c r="L345" s="1"/>
      <c r="M345" s="1"/>
      <c r="N345" s="1"/>
      <c r="O345" s="1"/>
      <c r="P345" s="1"/>
      <c r="Q345" s="1"/>
      <c r="R345" s="1"/>
      <c r="S345" s="1"/>
      <c r="T345" s="2"/>
      <c r="U345" s="1"/>
      <c r="V345" s="1"/>
      <c r="W345" s="1"/>
      <c r="X345" s="1"/>
      <c r="Y345" s="1"/>
      <c r="Z345" s="1"/>
      <c r="AA345" s="1"/>
      <c r="AB345" s="1"/>
      <c r="AC345" s="2"/>
      <c r="AD345" s="1"/>
      <c r="AE345" s="1"/>
      <c r="AF345" s="1"/>
      <c r="AG345" s="1"/>
      <c r="AH345" s="1"/>
      <c r="AI345" s="1"/>
      <c r="AJ345" s="1"/>
      <c r="AK345" s="1"/>
      <c r="AL345" s="2"/>
      <c r="AM345" s="1"/>
      <c r="AN345" s="1"/>
      <c r="AO345" s="1"/>
      <c r="AP345" s="1"/>
      <c r="AQ345" s="1"/>
      <c r="AR345" s="1"/>
      <c r="AS345" s="1"/>
      <c r="AT345" s="1"/>
      <c r="AU345" s="2"/>
      <c r="AV345" s="1"/>
      <c r="AW345" s="1"/>
      <c r="AX345" s="1"/>
      <c r="AY345" s="1"/>
      <c r="AZ345" s="1"/>
      <c r="BA345" s="1"/>
      <c r="BB345" s="1"/>
      <c r="BC345" s="1"/>
      <c r="BD345" s="2"/>
      <c r="BE345" s="1"/>
      <c r="BF345" s="1"/>
      <c r="BG345" s="1"/>
      <c r="BH345" s="1"/>
      <c r="BI345" s="1"/>
      <c r="BJ345" s="1"/>
      <c r="BK345" s="1"/>
      <c r="BL345" s="1"/>
      <c r="BM345" s="2"/>
      <c r="BN345" s="1"/>
      <c r="BO345" s="1"/>
      <c r="BP345" s="1"/>
      <c r="BQ345" s="1"/>
      <c r="BR345" s="1"/>
      <c r="BS345" s="1"/>
      <c r="BT345" s="1"/>
      <c r="BU345" s="1"/>
      <c r="BV345" s="2"/>
      <c r="BW345" s="1"/>
      <c r="BX345" s="1"/>
      <c r="BY345" s="1"/>
      <c r="BZ345" s="1"/>
      <c r="CA345" s="1"/>
      <c r="CB345" s="1"/>
      <c r="CC345" s="1"/>
      <c r="CD345" s="1"/>
      <c r="CE345" s="2"/>
      <c r="CF345" s="1"/>
      <c r="CG345" s="1"/>
      <c r="CH345" s="1"/>
      <c r="CI345" s="1"/>
      <c r="CJ345" s="1"/>
      <c r="CK345" s="1"/>
      <c r="CL345" s="1"/>
    </row>
    <row r="346" spans="1:90" ht="14.65" x14ac:dyDescent="0.4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2"/>
      <c r="L346" s="1"/>
      <c r="M346" s="1"/>
      <c r="N346" s="1"/>
      <c r="O346" s="1"/>
      <c r="P346" s="1"/>
      <c r="Q346" s="1"/>
      <c r="R346" s="1"/>
      <c r="S346" s="1"/>
      <c r="T346" s="2"/>
      <c r="U346" s="1"/>
      <c r="V346" s="1"/>
      <c r="W346" s="1"/>
      <c r="X346" s="1"/>
      <c r="Y346" s="1"/>
      <c r="Z346" s="1"/>
      <c r="AA346" s="1"/>
      <c r="AB346" s="1"/>
      <c r="AC346" s="2"/>
      <c r="AD346" s="1"/>
      <c r="AE346" s="1"/>
      <c r="AF346" s="1"/>
      <c r="AG346" s="1"/>
      <c r="AH346" s="1"/>
      <c r="AI346" s="1"/>
      <c r="AJ346" s="1"/>
      <c r="AK346" s="1"/>
      <c r="AL346" s="2"/>
      <c r="AM346" s="1"/>
      <c r="AN346" s="1"/>
      <c r="AO346" s="1"/>
      <c r="AP346" s="1"/>
      <c r="AQ346" s="1"/>
      <c r="AR346" s="1"/>
      <c r="AS346" s="1"/>
      <c r="AT346" s="1"/>
      <c r="AU346" s="2"/>
      <c r="AV346" s="1"/>
      <c r="AW346" s="1"/>
      <c r="AX346" s="1"/>
      <c r="AY346" s="1"/>
      <c r="AZ346" s="1"/>
      <c r="BA346" s="1"/>
      <c r="BB346" s="1"/>
      <c r="BC346" s="1"/>
      <c r="BD346" s="2"/>
      <c r="BE346" s="1"/>
      <c r="BF346" s="1"/>
      <c r="BG346" s="1"/>
      <c r="BH346" s="1"/>
      <c r="BI346" s="1"/>
      <c r="BJ346" s="1"/>
      <c r="BK346" s="1"/>
      <c r="BL346" s="1"/>
      <c r="BM346" s="2"/>
      <c r="BN346" s="1"/>
      <c r="BO346" s="1"/>
      <c r="BP346" s="1"/>
      <c r="BQ346" s="1"/>
      <c r="BR346" s="1"/>
      <c r="BS346" s="1"/>
      <c r="BT346" s="1"/>
      <c r="BU346" s="1"/>
      <c r="BV346" s="2"/>
      <c r="BW346" s="1"/>
      <c r="BX346" s="1"/>
      <c r="BY346" s="1"/>
      <c r="BZ346" s="1"/>
      <c r="CA346" s="1"/>
      <c r="CB346" s="1"/>
      <c r="CC346" s="1"/>
      <c r="CD346" s="1"/>
      <c r="CE346" s="2"/>
      <c r="CF346" s="1"/>
      <c r="CG346" s="1"/>
      <c r="CH346" s="1"/>
      <c r="CI346" s="1"/>
      <c r="CJ346" s="1"/>
      <c r="CK346" s="1"/>
      <c r="CL346" s="1"/>
    </row>
    <row r="347" spans="1:90" ht="14.65" x14ac:dyDescent="0.4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2"/>
      <c r="L347" s="1"/>
      <c r="M347" s="1"/>
      <c r="N347" s="1"/>
      <c r="O347" s="1"/>
      <c r="P347" s="1"/>
      <c r="Q347" s="1"/>
      <c r="R347" s="1"/>
      <c r="S347" s="1"/>
      <c r="T347" s="2"/>
      <c r="U347" s="1"/>
      <c r="V347" s="1"/>
      <c r="W347" s="1"/>
      <c r="X347" s="1"/>
      <c r="Y347" s="1"/>
      <c r="Z347" s="1"/>
      <c r="AA347" s="1"/>
      <c r="AB347" s="1"/>
      <c r="AC347" s="2"/>
      <c r="AD347" s="1"/>
      <c r="AE347" s="1"/>
      <c r="AF347" s="1"/>
      <c r="AG347" s="1"/>
      <c r="AH347" s="1"/>
      <c r="AI347" s="1"/>
      <c r="AJ347" s="1"/>
      <c r="AK347" s="1"/>
      <c r="AL347" s="2"/>
      <c r="AM347" s="1"/>
      <c r="AN347" s="1"/>
      <c r="AO347" s="1"/>
      <c r="AP347" s="1"/>
      <c r="AQ347" s="1"/>
      <c r="AR347" s="1"/>
      <c r="AS347" s="1"/>
      <c r="AT347" s="1"/>
      <c r="AU347" s="2"/>
      <c r="AV347" s="1"/>
      <c r="AW347" s="1"/>
      <c r="AX347" s="1"/>
      <c r="AY347" s="1"/>
      <c r="AZ347" s="1"/>
      <c r="BA347" s="1"/>
      <c r="BB347" s="1"/>
      <c r="BC347" s="1"/>
      <c r="BD347" s="2"/>
      <c r="BE347" s="1"/>
      <c r="BF347" s="1"/>
      <c r="BG347" s="1"/>
      <c r="BH347" s="1"/>
      <c r="BI347" s="1"/>
      <c r="BJ347" s="1"/>
      <c r="BK347" s="1"/>
      <c r="BL347" s="1"/>
      <c r="BM347" s="2"/>
      <c r="BN347" s="1"/>
      <c r="BO347" s="1"/>
      <c r="BP347" s="1"/>
      <c r="BQ347" s="1"/>
      <c r="BR347" s="1"/>
      <c r="BS347" s="1"/>
      <c r="BT347" s="1"/>
      <c r="BU347" s="1"/>
      <c r="BV347" s="2"/>
      <c r="BW347" s="1"/>
      <c r="BX347" s="1"/>
      <c r="BY347" s="1"/>
      <c r="BZ347" s="1"/>
      <c r="CA347" s="1"/>
      <c r="CB347" s="1"/>
      <c r="CC347" s="1"/>
      <c r="CD347" s="1"/>
      <c r="CE347" s="2"/>
      <c r="CF347" s="1"/>
      <c r="CG347" s="1"/>
      <c r="CH347" s="1"/>
      <c r="CI347" s="1"/>
      <c r="CJ347" s="1"/>
      <c r="CK347" s="1"/>
      <c r="CL347" s="1"/>
    </row>
    <row r="348" spans="1:90" ht="14.65" x14ac:dyDescent="0.4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2"/>
      <c r="L348" s="1"/>
      <c r="M348" s="1"/>
      <c r="N348" s="1"/>
      <c r="O348" s="1"/>
      <c r="P348" s="1"/>
      <c r="Q348" s="1"/>
      <c r="R348" s="1"/>
      <c r="S348" s="1"/>
      <c r="T348" s="2"/>
      <c r="U348" s="1"/>
      <c r="V348" s="1"/>
      <c r="W348" s="1"/>
      <c r="X348" s="1"/>
      <c r="Y348" s="1"/>
      <c r="Z348" s="1"/>
      <c r="AA348" s="1"/>
      <c r="AB348" s="1"/>
      <c r="AC348" s="2"/>
      <c r="AD348" s="1"/>
      <c r="AE348" s="1"/>
      <c r="AF348" s="1"/>
      <c r="AG348" s="1"/>
      <c r="AH348" s="1"/>
      <c r="AI348" s="1"/>
      <c r="AJ348" s="1"/>
      <c r="AK348" s="1"/>
      <c r="AL348" s="2"/>
      <c r="AM348" s="1"/>
      <c r="AN348" s="1"/>
      <c r="AO348" s="1"/>
      <c r="AP348" s="1"/>
      <c r="AQ348" s="1"/>
      <c r="AR348" s="1"/>
      <c r="AS348" s="1"/>
      <c r="AT348" s="1"/>
      <c r="AU348" s="2"/>
      <c r="AV348" s="1"/>
      <c r="AW348" s="1"/>
      <c r="AX348" s="1"/>
      <c r="AY348" s="1"/>
      <c r="AZ348" s="1"/>
      <c r="BA348" s="1"/>
      <c r="BB348" s="1"/>
      <c r="BC348" s="1"/>
      <c r="BD348" s="2"/>
      <c r="BE348" s="1"/>
      <c r="BF348" s="1"/>
      <c r="BG348" s="1"/>
      <c r="BH348" s="1"/>
      <c r="BI348" s="1"/>
      <c r="BJ348" s="1"/>
      <c r="BK348" s="1"/>
      <c r="BL348" s="1"/>
      <c r="BM348" s="2"/>
      <c r="BN348" s="1"/>
      <c r="BO348" s="1"/>
      <c r="BP348" s="1"/>
      <c r="BQ348" s="1"/>
      <c r="BR348" s="1"/>
      <c r="BS348" s="1"/>
      <c r="BT348" s="1"/>
      <c r="BU348" s="1"/>
      <c r="BV348" s="2"/>
      <c r="BW348" s="1"/>
      <c r="BX348" s="1"/>
      <c r="BY348" s="1"/>
      <c r="BZ348" s="1"/>
      <c r="CA348" s="1"/>
      <c r="CB348" s="1"/>
      <c r="CC348" s="1"/>
      <c r="CD348" s="1"/>
      <c r="CE348" s="2"/>
      <c r="CF348" s="1"/>
      <c r="CG348" s="1"/>
      <c r="CH348" s="1"/>
      <c r="CI348" s="1"/>
      <c r="CJ348" s="1"/>
      <c r="CK348" s="1"/>
      <c r="CL348" s="1"/>
    </row>
    <row r="349" spans="1:90" ht="14.65" x14ac:dyDescent="0.4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2"/>
      <c r="L349" s="1"/>
      <c r="M349" s="1"/>
      <c r="N349" s="1"/>
      <c r="O349" s="1"/>
      <c r="P349" s="1"/>
      <c r="Q349" s="1"/>
      <c r="R349" s="1"/>
      <c r="S349" s="1"/>
      <c r="T349" s="2"/>
      <c r="U349" s="1"/>
      <c r="V349" s="1"/>
      <c r="W349" s="1"/>
      <c r="X349" s="1"/>
      <c r="Y349" s="1"/>
      <c r="Z349" s="1"/>
      <c r="AA349" s="1"/>
      <c r="AB349" s="1"/>
      <c r="AC349" s="2"/>
      <c r="AD349" s="1"/>
      <c r="AE349" s="1"/>
      <c r="AF349" s="1"/>
      <c r="AG349" s="1"/>
      <c r="AH349" s="1"/>
      <c r="AI349" s="1"/>
      <c r="AJ349" s="1"/>
      <c r="AK349" s="1"/>
      <c r="AL349" s="2"/>
      <c r="AM349" s="1"/>
      <c r="AN349" s="1"/>
      <c r="AO349" s="1"/>
      <c r="AP349" s="1"/>
      <c r="AQ349" s="1"/>
      <c r="AR349" s="1"/>
      <c r="AS349" s="1"/>
      <c r="AT349" s="1"/>
      <c r="AU349" s="2"/>
      <c r="AV349" s="1"/>
      <c r="AW349" s="1"/>
      <c r="AX349" s="1"/>
      <c r="AY349" s="1"/>
      <c r="AZ349" s="1"/>
      <c r="BA349" s="1"/>
      <c r="BB349" s="1"/>
      <c r="BC349" s="1"/>
      <c r="BD349" s="2"/>
      <c r="BE349" s="1"/>
      <c r="BF349" s="1"/>
      <c r="BG349" s="1"/>
      <c r="BH349" s="1"/>
      <c r="BI349" s="1"/>
      <c r="BJ349" s="1"/>
      <c r="BK349" s="1"/>
      <c r="BL349" s="1"/>
      <c r="BM349" s="2"/>
      <c r="BN349" s="1"/>
      <c r="BO349" s="1"/>
      <c r="BP349" s="1"/>
      <c r="BQ349" s="1"/>
      <c r="BR349" s="1"/>
      <c r="BS349" s="1"/>
      <c r="BT349" s="1"/>
      <c r="BU349" s="1"/>
      <c r="BV349" s="2"/>
      <c r="BW349" s="1"/>
      <c r="BX349" s="1"/>
      <c r="BY349" s="1"/>
      <c r="BZ349" s="1"/>
      <c r="CA349" s="1"/>
      <c r="CB349" s="1"/>
      <c r="CC349" s="1"/>
      <c r="CD349" s="1"/>
      <c r="CE349" s="2"/>
      <c r="CF349" s="1"/>
      <c r="CG349" s="1"/>
      <c r="CH349" s="1"/>
      <c r="CI349" s="1"/>
      <c r="CJ349" s="1"/>
      <c r="CK349" s="1"/>
      <c r="CL349" s="1"/>
    </row>
    <row r="350" spans="1:90" ht="14.65" x14ac:dyDescent="0.4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2"/>
      <c r="L350" s="1"/>
      <c r="M350" s="1"/>
      <c r="N350" s="1"/>
      <c r="O350" s="1"/>
      <c r="P350" s="1"/>
      <c r="Q350" s="1"/>
      <c r="R350" s="1"/>
      <c r="S350" s="1"/>
      <c r="T350" s="2"/>
      <c r="U350" s="1"/>
      <c r="V350" s="1"/>
      <c r="W350" s="1"/>
      <c r="X350" s="1"/>
      <c r="Y350" s="1"/>
      <c r="Z350" s="1"/>
      <c r="AA350" s="1"/>
      <c r="AB350" s="1"/>
      <c r="AC350" s="2"/>
      <c r="AD350" s="1"/>
      <c r="AE350" s="1"/>
      <c r="AF350" s="1"/>
      <c r="AG350" s="1"/>
      <c r="AH350" s="1"/>
      <c r="AI350" s="1"/>
      <c r="AJ350" s="1"/>
      <c r="AK350" s="1"/>
      <c r="AL350" s="2"/>
      <c r="AM350" s="1"/>
      <c r="AN350" s="1"/>
      <c r="AO350" s="1"/>
      <c r="AP350" s="1"/>
      <c r="AQ350" s="1"/>
      <c r="AR350" s="1"/>
      <c r="AS350" s="1"/>
      <c r="AT350" s="1"/>
      <c r="AU350" s="2"/>
      <c r="AV350" s="1"/>
      <c r="AW350" s="1"/>
      <c r="AX350" s="1"/>
      <c r="AY350" s="1"/>
      <c r="AZ350" s="1"/>
      <c r="BA350" s="1"/>
      <c r="BB350" s="1"/>
      <c r="BC350" s="1"/>
      <c r="BD350" s="2"/>
      <c r="BE350" s="1"/>
      <c r="BF350" s="1"/>
      <c r="BG350" s="1"/>
      <c r="BH350" s="1"/>
      <c r="BI350" s="1"/>
      <c r="BJ350" s="1"/>
      <c r="BK350" s="1"/>
      <c r="BL350" s="1"/>
      <c r="BM350" s="2"/>
      <c r="BN350" s="1"/>
      <c r="BO350" s="1"/>
      <c r="BP350" s="1"/>
      <c r="BQ350" s="1"/>
      <c r="BR350" s="1"/>
      <c r="BS350" s="1"/>
      <c r="BT350" s="1"/>
      <c r="BU350" s="1"/>
      <c r="BV350" s="2"/>
      <c r="BW350" s="1"/>
      <c r="BX350" s="1"/>
      <c r="BY350" s="1"/>
      <c r="BZ350" s="1"/>
      <c r="CA350" s="1"/>
      <c r="CB350" s="1"/>
      <c r="CC350" s="1"/>
      <c r="CD350" s="1"/>
      <c r="CE350" s="2"/>
      <c r="CF350" s="1"/>
      <c r="CG350" s="1"/>
      <c r="CH350" s="1"/>
      <c r="CI350" s="1"/>
      <c r="CJ350" s="1"/>
      <c r="CK350" s="1"/>
      <c r="CL350" s="1"/>
    </row>
    <row r="351" spans="1:90" ht="14.65" x14ac:dyDescent="0.4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2"/>
      <c r="L351" s="1"/>
      <c r="M351" s="1"/>
      <c r="N351" s="1"/>
      <c r="O351" s="1"/>
      <c r="P351" s="1"/>
      <c r="Q351" s="1"/>
      <c r="R351" s="1"/>
      <c r="S351" s="1"/>
      <c r="T351" s="2"/>
      <c r="U351" s="1"/>
      <c r="V351" s="1"/>
      <c r="W351" s="1"/>
      <c r="X351" s="1"/>
      <c r="Y351" s="1"/>
      <c r="Z351" s="1"/>
      <c r="AA351" s="1"/>
      <c r="AB351" s="1"/>
      <c r="AC351" s="2"/>
      <c r="AD351" s="1"/>
      <c r="AE351" s="1"/>
      <c r="AF351" s="1"/>
      <c r="AG351" s="1"/>
      <c r="AH351" s="1"/>
      <c r="AI351" s="1"/>
      <c r="AJ351" s="1"/>
      <c r="AK351" s="1"/>
      <c r="AL351" s="2"/>
      <c r="AM351" s="1"/>
      <c r="AN351" s="1"/>
      <c r="AO351" s="1"/>
      <c r="AP351" s="1"/>
      <c r="AQ351" s="1"/>
      <c r="AR351" s="1"/>
      <c r="AS351" s="1"/>
      <c r="AT351" s="1"/>
      <c r="AU351" s="2"/>
      <c r="AV351" s="1"/>
      <c r="AW351" s="1"/>
      <c r="AX351" s="1"/>
      <c r="AY351" s="1"/>
      <c r="AZ351" s="1"/>
      <c r="BA351" s="1"/>
      <c r="BB351" s="1"/>
      <c r="BC351" s="1"/>
      <c r="BD351" s="2"/>
      <c r="BE351" s="1"/>
      <c r="BF351" s="1"/>
      <c r="BG351" s="1"/>
      <c r="BH351" s="1"/>
      <c r="BI351" s="1"/>
      <c r="BJ351" s="1"/>
      <c r="BK351" s="1"/>
      <c r="BL351" s="1"/>
      <c r="BM351" s="2"/>
      <c r="BN351" s="1"/>
      <c r="BO351" s="1"/>
      <c r="BP351" s="1"/>
      <c r="BQ351" s="1"/>
      <c r="BR351" s="1"/>
      <c r="BS351" s="1"/>
      <c r="BT351" s="1"/>
      <c r="BU351" s="1"/>
      <c r="BV351" s="2"/>
      <c r="BW351" s="1"/>
      <c r="BX351" s="1"/>
      <c r="BY351" s="1"/>
      <c r="BZ351" s="1"/>
      <c r="CA351" s="1"/>
      <c r="CB351" s="1"/>
      <c r="CC351" s="1"/>
      <c r="CD351" s="1"/>
      <c r="CE351" s="2"/>
      <c r="CF351" s="1"/>
      <c r="CG351" s="1"/>
      <c r="CH351" s="1"/>
      <c r="CI351" s="1"/>
      <c r="CJ351" s="1"/>
      <c r="CK351" s="1"/>
      <c r="CL351" s="1"/>
    </row>
    <row r="352" spans="1:90" ht="14.65" x14ac:dyDescent="0.4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2"/>
      <c r="L352" s="1"/>
      <c r="M352" s="1"/>
      <c r="N352" s="1"/>
      <c r="O352" s="1"/>
      <c r="P352" s="1"/>
      <c r="Q352" s="1"/>
      <c r="R352" s="1"/>
      <c r="S352" s="1"/>
      <c r="T352" s="2"/>
      <c r="U352" s="1"/>
      <c r="V352" s="1"/>
      <c r="W352" s="1"/>
      <c r="X352" s="1"/>
      <c r="Y352" s="1"/>
      <c r="Z352" s="1"/>
      <c r="AA352" s="1"/>
      <c r="AB352" s="1"/>
      <c r="AC352" s="2"/>
      <c r="AD352" s="1"/>
      <c r="AE352" s="1"/>
      <c r="AF352" s="1"/>
      <c r="AG352" s="1"/>
      <c r="AH352" s="1"/>
      <c r="AI352" s="1"/>
      <c r="AJ352" s="1"/>
      <c r="AK352" s="1"/>
      <c r="AL352" s="2"/>
      <c r="AM352" s="1"/>
      <c r="AN352" s="1"/>
      <c r="AO352" s="1"/>
      <c r="AP352" s="1"/>
      <c r="AQ352" s="1"/>
      <c r="AR352" s="1"/>
      <c r="AS352" s="1"/>
      <c r="AT352" s="1"/>
      <c r="AU352" s="2"/>
      <c r="AV352" s="1"/>
      <c r="AW352" s="1"/>
      <c r="AX352" s="1"/>
      <c r="AY352" s="1"/>
      <c r="AZ352" s="1"/>
      <c r="BA352" s="1"/>
      <c r="BB352" s="1"/>
      <c r="BC352" s="1"/>
      <c r="BD352" s="2"/>
      <c r="BE352" s="1"/>
      <c r="BF352" s="1"/>
      <c r="BG352" s="1"/>
      <c r="BH352" s="1"/>
      <c r="BI352" s="1"/>
      <c r="BJ352" s="1"/>
      <c r="BK352" s="1"/>
      <c r="BL352" s="1"/>
      <c r="BM352" s="2"/>
      <c r="BN352" s="1"/>
      <c r="BO352" s="1"/>
      <c r="BP352" s="1"/>
      <c r="BQ352" s="1"/>
      <c r="BR352" s="1"/>
      <c r="BS352" s="1"/>
      <c r="BT352" s="1"/>
      <c r="BU352" s="1"/>
      <c r="BV352" s="2"/>
      <c r="BW352" s="1"/>
      <c r="BX352" s="1"/>
      <c r="BY352" s="1"/>
      <c r="BZ352" s="1"/>
      <c r="CA352" s="1"/>
      <c r="CB352" s="1"/>
      <c r="CC352" s="1"/>
      <c r="CD352" s="1"/>
      <c r="CE352" s="2"/>
      <c r="CF352" s="1"/>
      <c r="CG352" s="1"/>
      <c r="CH352" s="1"/>
      <c r="CI352" s="1"/>
      <c r="CJ352" s="1"/>
      <c r="CK352" s="1"/>
      <c r="CL352" s="1"/>
    </row>
    <row r="353" spans="1:90" ht="14.65" x14ac:dyDescent="0.4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2"/>
      <c r="L353" s="1"/>
      <c r="M353" s="1"/>
      <c r="N353" s="1"/>
      <c r="O353" s="1"/>
      <c r="P353" s="1"/>
      <c r="Q353" s="1"/>
      <c r="R353" s="1"/>
      <c r="S353" s="1"/>
      <c r="T353" s="2"/>
      <c r="U353" s="1"/>
      <c r="V353" s="1"/>
      <c r="W353" s="1"/>
      <c r="X353" s="1"/>
      <c r="Y353" s="1"/>
      <c r="Z353" s="1"/>
      <c r="AA353" s="1"/>
      <c r="AB353" s="1"/>
      <c r="AC353" s="2"/>
      <c r="AD353" s="1"/>
      <c r="AE353" s="1"/>
      <c r="AF353" s="1"/>
      <c r="AG353" s="1"/>
      <c r="AH353" s="1"/>
      <c r="AI353" s="1"/>
      <c r="AJ353" s="1"/>
      <c r="AK353" s="1"/>
      <c r="AL353" s="2"/>
      <c r="AM353" s="1"/>
      <c r="AN353" s="1"/>
      <c r="AO353" s="1"/>
      <c r="AP353" s="1"/>
      <c r="AQ353" s="1"/>
      <c r="AR353" s="1"/>
      <c r="AS353" s="1"/>
      <c r="AT353" s="1"/>
      <c r="AU353" s="2"/>
      <c r="AV353" s="1"/>
      <c r="AW353" s="1"/>
      <c r="AX353" s="1"/>
      <c r="AY353" s="1"/>
      <c r="AZ353" s="1"/>
      <c r="BA353" s="1"/>
      <c r="BB353" s="1"/>
      <c r="BC353" s="1"/>
      <c r="BD353" s="2"/>
      <c r="BE353" s="1"/>
      <c r="BF353" s="1"/>
      <c r="BG353" s="1"/>
      <c r="BH353" s="1"/>
      <c r="BI353" s="1"/>
      <c r="BJ353" s="1"/>
      <c r="BK353" s="1"/>
      <c r="BL353" s="1"/>
      <c r="BM353" s="2"/>
      <c r="BN353" s="1"/>
      <c r="BO353" s="1"/>
      <c r="BP353" s="1"/>
      <c r="BQ353" s="1"/>
      <c r="BR353" s="1"/>
      <c r="BS353" s="1"/>
      <c r="BT353" s="1"/>
      <c r="BU353" s="1"/>
      <c r="BV353" s="2"/>
      <c r="BW353" s="1"/>
      <c r="BX353" s="1"/>
      <c r="BY353" s="1"/>
      <c r="BZ353" s="1"/>
      <c r="CA353" s="1"/>
      <c r="CB353" s="1"/>
      <c r="CC353" s="1"/>
      <c r="CD353" s="1"/>
      <c r="CE353" s="2"/>
      <c r="CF353" s="1"/>
      <c r="CG353" s="1"/>
      <c r="CH353" s="1"/>
      <c r="CI353" s="1"/>
      <c r="CJ353" s="1"/>
      <c r="CK353" s="1"/>
      <c r="CL353" s="1"/>
    </row>
    <row r="354" spans="1:90" ht="14.65" x14ac:dyDescent="0.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2"/>
      <c r="L354" s="1"/>
      <c r="M354" s="1"/>
      <c r="N354" s="1"/>
      <c r="O354" s="1"/>
      <c r="P354" s="1"/>
      <c r="Q354" s="1"/>
      <c r="R354" s="1"/>
      <c r="S354" s="1"/>
      <c r="T354" s="2"/>
      <c r="U354" s="1"/>
      <c r="V354" s="1"/>
      <c r="W354" s="1"/>
      <c r="X354" s="1"/>
      <c r="Y354" s="1"/>
      <c r="Z354" s="1"/>
      <c r="AA354" s="1"/>
      <c r="AB354" s="1"/>
      <c r="AC354" s="2"/>
      <c r="AD354" s="1"/>
      <c r="AE354" s="1"/>
      <c r="AF354" s="1"/>
      <c r="AG354" s="1"/>
      <c r="AH354" s="1"/>
      <c r="AI354" s="1"/>
      <c r="AJ354" s="1"/>
      <c r="AK354" s="1"/>
      <c r="AL354" s="2"/>
      <c r="AM354" s="1"/>
      <c r="AN354" s="1"/>
      <c r="AO354" s="1"/>
      <c r="AP354" s="1"/>
      <c r="AQ354" s="1"/>
      <c r="AR354" s="1"/>
      <c r="AS354" s="1"/>
      <c r="AT354" s="1"/>
      <c r="AU354" s="2"/>
      <c r="AV354" s="1"/>
      <c r="AW354" s="1"/>
      <c r="AX354" s="1"/>
      <c r="AY354" s="1"/>
      <c r="AZ354" s="1"/>
      <c r="BA354" s="1"/>
      <c r="BB354" s="1"/>
      <c r="BC354" s="1"/>
      <c r="BD354" s="2"/>
      <c r="BE354" s="1"/>
      <c r="BF354" s="1"/>
      <c r="BG354" s="1"/>
      <c r="BH354" s="1"/>
      <c r="BI354" s="1"/>
      <c r="BJ354" s="1"/>
      <c r="BK354" s="1"/>
      <c r="BL354" s="1"/>
      <c r="BM354" s="2"/>
      <c r="BN354" s="1"/>
      <c r="BO354" s="1"/>
      <c r="BP354" s="1"/>
      <c r="BQ354" s="1"/>
      <c r="BR354" s="1"/>
      <c r="BS354" s="1"/>
      <c r="BT354" s="1"/>
      <c r="BU354" s="1"/>
      <c r="BV354" s="2"/>
      <c r="BW354" s="1"/>
      <c r="BX354" s="1"/>
      <c r="BY354" s="1"/>
      <c r="BZ354" s="1"/>
      <c r="CA354" s="1"/>
      <c r="CB354" s="1"/>
      <c r="CC354" s="1"/>
      <c r="CD354" s="1"/>
      <c r="CE354" s="2"/>
      <c r="CF354" s="1"/>
      <c r="CG354" s="1"/>
      <c r="CH354" s="1"/>
      <c r="CI354" s="1"/>
      <c r="CJ354" s="1"/>
      <c r="CK354" s="1"/>
      <c r="CL354" s="1"/>
    </row>
    <row r="355" spans="1:90" ht="14.65" x14ac:dyDescent="0.4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2"/>
      <c r="L355" s="1"/>
      <c r="M355" s="1"/>
      <c r="N355" s="1"/>
      <c r="O355" s="1"/>
      <c r="P355" s="1"/>
      <c r="Q355" s="1"/>
      <c r="R355" s="1"/>
      <c r="S355" s="1"/>
      <c r="T355" s="2"/>
      <c r="U355" s="1"/>
      <c r="V355" s="1"/>
      <c r="W355" s="1"/>
      <c r="X355" s="1"/>
      <c r="Y355" s="1"/>
      <c r="Z355" s="1"/>
      <c r="AA355" s="1"/>
      <c r="AB355" s="1"/>
      <c r="AC355" s="2"/>
      <c r="AD355" s="1"/>
      <c r="AE355" s="1"/>
      <c r="AF355" s="1"/>
      <c r="AG355" s="1"/>
      <c r="AH355" s="1"/>
      <c r="AI355" s="1"/>
      <c r="AJ355" s="1"/>
      <c r="AK355" s="1"/>
      <c r="AL355" s="2"/>
      <c r="AM355" s="1"/>
      <c r="AN355" s="1"/>
      <c r="AO355" s="1"/>
      <c r="AP355" s="1"/>
      <c r="AQ355" s="1"/>
      <c r="AR355" s="1"/>
      <c r="AS355" s="1"/>
      <c r="AT355" s="1"/>
      <c r="AU355" s="2"/>
      <c r="AV355" s="1"/>
      <c r="AW355" s="1"/>
      <c r="AX355" s="1"/>
      <c r="AY355" s="1"/>
      <c r="AZ355" s="1"/>
      <c r="BA355" s="1"/>
      <c r="BB355" s="1"/>
      <c r="BC355" s="1"/>
      <c r="BD355" s="2"/>
      <c r="BE355" s="1"/>
      <c r="BF355" s="1"/>
      <c r="BG355" s="1"/>
      <c r="BH355" s="1"/>
      <c r="BI355" s="1"/>
      <c r="BJ355" s="1"/>
      <c r="BK355" s="1"/>
      <c r="BL355" s="1"/>
      <c r="BM355" s="2"/>
      <c r="BN355" s="1"/>
      <c r="BO355" s="1"/>
      <c r="BP355" s="1"/>
      <c r="BQ355" s="1"/>
      <c r="BR355" s="1"/>
      <c r="BS355" s="1"/>
      <c r="BT355" s="1"/>
      <c r="BU355" s="1"/>
      <c r="BV355" s="2"/>
      <c r="BW355" s="1"/>
      <c r="BX355" s="1"/>
      <c r="BY355" s="1"/>
      <c r="BZ355" s="1"/>
      <c r="CA355" s="1"/>
      <c r="CB355" s="1"/>
      <c r="CC355" s="1"/>
      <c r="CD355" s="1"/>
      <c r="CE355" s="2"/>
      <c r="CF355" s="1"/>
      <c r="CG355" s="1"/>
      <c r="CH355" s="1"/>
      <c r="CI355" s="1"/>
      <c r="CJ355" s="1"/>
      <c r="CK355" s="1"/>
      <c r="CL355" s="1"/>
    </row>
    <row r="356" spans="1:90" ht="14.65" x14ac:dyDescent="0.4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2"/>
      <c r="L356" s="1"/>
      <c r="M356" s="1"/>
      <c r="N356" s="1"/>
      <c r="O356" s="1"/>
      <c r="P356" s="1"/>
      <c r="Q356" s="1"/>
      <c r="R356" s="1"/>
      <c r="S356" s="1"/>
      <c r="T356" s="2"/>
      <c r="U356" s="1"/>
      <c r="V356" s="1"/>
      <c r="W356" s="1"/>
      <c r="X356" s="1"/>
      <c r="Y356" s="1"/>
      <c r="Z356" s="1"/>
      <c r="AA356" s="1"/>
      <c r="AB356" s="1"/>
      <c r="AC356" s="2"/>
      <c r="AD356" s="1"/>
      <c r="AE356" s="1"/>
      <c r="AF356" s="1"/>
      <c r="AG356" s="1"/>
      <c r="AH356" s="1"/>
      <c r="AI356" s="1"/>
      <c r="AJ356" s="1"/>
      <c r="AK356" s="1"/>
      <c r="AL356" s="2"/>
      <c r="AM356" s="1"/>
      <c r="AN356" s="1"/>
      <c r="AO356" s="1"/>
      <c r="AP356" s="1"/>
      <c r="AQ356" s="1"/>
      <c r="AR356" s="1"/>
      <c r="AS356" s="1"/>
      <c r="AT356" s="1"/>
      <c r="AU356" s="2"/>
      <c r="AV356" s="1"/>
      <c r="AW356" s="1"/>
      <c r="AX356" s="1"/>
      <c r="AY356" s="1"/>
      <c r="AZ356" s="1"/>
      <c r="BA356" s="1"/>
      <c r="BB356" s="1"/>
      <c r="BC356" s="1"/>
      <c r="BD356" s="2"/>
      <c r="BE356" s="1"/>
      <c r="BF356" s="1"/>
      <c r="BG356" s="1"/>
      <c r="BH356" s="1"/>
      <c r="BI356" s="1"/>
      <c r="BJ356" s="1"/>
      <c r="BK356" s="1"/>
      <c r="BL356" s="1"/>
      <c r="BM356" s="2"/>
      <c r="BN356" s="1"/>
      <c r="BO356" s="1"/>
      <c r="BP356" s="1"/>
      <c r="BQ356" s="1"/>
      <c r="BR356" s="1"/>
      <c r="BS356" s="1"/>
      <c r="BT356" s="1"/>
      <c r="BU356" s="1"/>
      <c r="BV356" s="2"/>
      <c r="BW356" s="1"/>
      <c r="BX356" s="1"/>
      <c r="BY356" s="1"/>
      <c r="BZ356" s="1"/>
      <c r="CA356" s="1"/>
      <c r="CB356" s="1"/>
      <c r="CC356" s="1"/>
      <c r="CD356" s="1"/>
      <c r="CE356" s="2"/>
      <c r="CF356" s="1"/>
      <c r="CG356" s="1"/>
      <c r="CH356" s="1"/>
      <c r="CI356" s="1"/>
      <c r="CJ356" s="1"/>
      <c r="CK356" s="1"/>
      <c r="CL356" s="1"/>
    </row>
    <row r="357" spans="1:90" ht="14.65" x14ac:dyDescent="0.4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2"/>
      <c r="L357" s="1"/>
      <c r="M357" s="1"/>
      <c r="N357" s="1"/>
      <c r="O357" s="1"/>
      <c r="P357" s="1"/>
      <c r="Q357" s="1"/>
      <c r="R357" s="1"/>
      <c r="S357" s="1"/>
      <c r="T357" s="2"/>
      <c r="U357" s="1"/>
      <c r="V357" s="1"/>
      <c r="W357" s="1"/>
      <c r="X357" s="1"/>
      <c r="Y357" s="1"/>
      <c r="Z357" s="1"/>
      <c r="AA357" s="1"/>
      <c r="AB357" s="1"/>
      <c r="AC357" s="2"/>
      <c r="AD357" s="1"/>
      <c r="AE357" s="1"/>
      <c r="AF357" s="1"/>
      <c r="AG357" s="1"/>
      <c r="AH357" s="1"/>
      <c r="AI357" s="1"/>
      <c r="AJ357" s="1"/>
      <c r="AK357" s="1"/>
      <c r="AL357" s="2"/>
      <c r="AM357" s="1"/>
      <c r="AN357" s="1"/>
      <c r="AO357" s="1"/>
      <c r="AP357" s="1"/>
      <c r="AQ357" s="1"/>
      <c r="AR357" s="1"/>
      <c r="AS357" s="1"/>
      <c r="AT357" s="1"/>
      <c r="AU357" s="2"/>
      <c r="AV357" s="1"/>
      <c r="AW357" s="1"/>
      <c r="AX357" s="1"/>
      <c r="AY357" s="1"/>
      <c r="AZ357" s="1"/>
      <c r="BA357" s="1"/>
      <c r="BB357" s="1"/>
      <c r="BC357" s="1"/>
      <c r="BD357" s="2"/>
      <c r="BE357" s="1"/>
      <c r="BF357" s="1"/>
      <c r="BG357" s="1"/>
      <c r="BH357" s="1"/>
      <c r="BI357" s="1"/>
      <c r="BJ357" s="1"/>
      <c r="BK357" s="1"/>
      <c r="BL357" s="1"/>
      <c r="BM357" s="2"/>
      <c r="BN357" s="1"/>
      <c r="BO357" s="1"/>
      <c r="BP357" s="1"/>
      <c r="BQ357" s="1"/>
      <c r="BR357" s="1"/>
      <c r="BS357" s="1"/>
      <c r="BT357" s="1"/>
      <c r="BU357" s="1"/>
      <c r="BV357" s="2"/>
      <c r="BW357" s="1"/>
      <c r="BX357" s="1"/>
      <c r="BY357" s="1"/>
      <c r="BZ357" s="1"/>
      <c r="CA357" s="1"/>
      <c r="CB357" s="1"/>
      <c r="CC357" s="1"/>
      <c r="CD357" s="1"/>
      <c r="CE357" s="2"/>
      <c r="CF357" s="1"/>
      <c r="CG357" s="1"/>
      <c r="CH357" s="1"/>
      <c r="CI357" s="1"/>
      <c r="CJ357" s="1"/>
      <c r="CK357" s="1"/>
      <c r="CL357" s="1"/>
    </row>
    <row r="358" spans="1:90" ht="14.65" x14ac:dyDescent="0.4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2"/>
      <c r="L358" s="1"/>
      <c r="M358" s="1"/>
      <c r="N358" s="1"/>
      <c r="O358" s="1"/>
      <c r="P358" s="1"/>
      <c r="Q358" s="1"/>
      <c r="R358" s="1"/>
      <c r="S358" s="1"/>
      <c r="T358" s="2"/>
      <c r="U358" s="1"/>
      <c r="V358" s="1"/>
      <c r="W358" s="1"/>
      <c r="X358" s="1"/>
      <c r="Y358" s="1"/>
      <c r="Z358" s="1"/>
      <c r="AA358" s="1"/>
      <c r="AB358" s="1"/>
      <c r="AC358" s="2"/>
      <c r="AD358" s="1"/>
      <c r="AE358" s="1"/>
      <c r="AF358" s="1"/>
      <c r="AG358" s="1"/>
      <c r="AH358" s="1"/>
      <c r="AI358" s="1"/>
      <c r="AJ358" s="1"/>
      <c r="AK358" s="1"/>
      <c r="AL358" s="2"/>
      <c r="AM358" s="1"/>
      <c r="AN358" s="1"/>
      <c r="AO358" s="1"/>
      <c r="AP358" s="1"/>
      <c r="AQ358" s="1"/>
      <c r="AR358" s="1"/>
      <c r="AS358" s="1"/>
      <c r="AT358" s="1"/>
      <c r="AU358" s="2"/>
      <c r="AV358" s="1"/>
      <c r="AW358" s="1"/>
      <c r="AX358" s="1"/>
      <c r="AY358" s="1"/>
      <c r="AZ358" s="1"/>
      <c r="BA358" s="1"/>
      <c r="BB358" s="1"/>
      <c r="BC358" s="1"/>
      <c r="BD358" s="2"/>
      <c r="BE358" s="1"/>
      <c r="BF358" s="1"/>
      <c r="BG358" s="1"/>
      <c r="BH358" s="1"/>
      <c r="BI358" s="1"/>
      <c r="BJ358" s="1"/>
      <c r="BK358" s="1"/>
      <c r="BL358" s="1"/>
      <c r="BM358" s="2"/>
      <c r="BN358" s="1"/>
      <c r="BO358" s="1"/>
      <c r="BP358" s="1"/>
      <c r="BQ358" s="1"/>
      <c r="BR358" s="1"/>
      <c r="BS358" s="1"/>
      <c r="BT358" s="1"/>
      <c r="BU358" s="1"/>
      <c r="BV358" s="2"/>
      <c r="BW358" s="1"/>
      <c r="BX358" s="1"/>
      <c r="BY358" s="1"/>
      <c r="BZ358" s="1"/>
      <c r="CA358" s="1"/>
      <c r="CB358" s="1"/>
      <c r="CC358" s="1"/>
      <c r="CD358" s="1"/>
      <c r="CE358" s="2"/>
      <c r="CF358" s="1"/>
      <c r="CG358" s="1"/>
      <c r="CH358" s="1"/>
      <c r="CI358" s="1"/>
      <c r="CJ358" s="1"/>
      <c r="CK358" s="1"/>
      <c r="CL358" s="1"/>
    </row>
    <row r="359" spans="1:90" ht="14.65" x14ac:dyDescent="0.4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2"/>
      <c r="L359" s="1"/>
      <c r="M359" s="1"/>
      <c r="N359" s="1"/>
      <c r="O359" s="1"/>
      <c r="P359" s="1"/>
      <c r="Q359" s="1"/>
      <c r="R359" s="1"/>
      <c r="S359" s="1"/>
      <c r="T359" s="2"/>
      <c r="U359" s="1"/>
      <c r="V359" s="1"/>
      <c r="W359" s="1"/>
      <c r="X359" s="1"/>
      <c r="Y359" s="1"/>
      <c r="Z359" s="1"/>
      <c r="AA359" s="1"/>
      <c r="AB359" s="1"/>
      <c r="AC359" s="2"/>
      <c r="AD359" s="1"/>
      <c r="AE359" s="1"/>
      <c r="AF359" s="1"/>
      <c r="AG359" s="1"/>
      <c r="AH359" s="1"/>
      <c r="AI359" s="1"/>
      <c r="AJ359" s="1"/>
      <c r="AK359" s="1"/>
      <c r="AL359" s="2"/>
      <c r="AM359" s="1"/>
      <c r="AN359" s="1"/>
      <c r="AO359" s="1"/>
      <c r="AP359" s="1"/>
      <c r="AQ359" s="1"/>
      <c r="AR359" s="1"/>
      <c r="AS359" s="1"/>
      <c r="AT359" s="1"/>
      <c r="AU359" s="2"/>
      <c r="AV359" s="1"/>
      <c r="AW359" s="1"/>
      <c r="AX359" s="1"/>
      <c r="AY359" s="1"/>
      <c r="AZ359" s="1"/>
      <c r="BA359" s="1"/>
      <c r="BB359" s="1"/>
      <c r="BC359" s="1"/>
      <c r="BD359" s="2"/>
      <c r="BE359" s="1"/>
      <c r="BF359" s="1"/>
      <c r="BG359" s="1"/>
      <c r="BH359" s="1"/>
      <c r="BI359" s="1"/>
      <c r="BJ359" s="1"/>
      <c r="BK359" s="1"/>
      <c r="BL359" s="1"/>
      <c r="BM359" s="2"/>
      <c r="BN359" s="1"/>
      <c r="BO359" s="1"/>
      <c r="BP359" s="1"/>
      <c r="BQ359" s="1"/>
      <c r="BR359" s="1"/>
      <c r="BS359" s="1"/>
      <c r="BT359" s="1"/>
      <c r="BU359" s="1"/>
      <c r="BV359" s="2"/>
      <c r="BW359" s="1"/>
      <c r="BX359" s="1"/>
      <c r="BY359" s="1"/>
      <c r="BZ359" s="1"/>
      <c r="CA359" s="1"/>
      <c r="CB359" s="1"/>
      <c r="CC359" s="1"/>
      <c r="CD359" s="1"/>
      <c r="CE359" s="2"/>
      <c r="CF359" s="1"/>
      <c r="CG359" s="1"/>
      <c r="CH359" s="1"/>
      <c r="CI359" s="1"/>
      <c r="CJ359" s="1"/>
      <c r="CK359" s="1"/>
      <c r="CL359" s="1"/>
    </row>
    <row r="360" spans="1:90" ht="14.65" x14ac:dyDescent="0.4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2"/>
      <c r="L360" s="1"/>
      <c r="M360" s="1"/>
      <c r="N360" s="1"/>
      <c r="O360" s="1"/>
      <c r="P360" s="1"/>
      <c r="Q360" s="1"/>
      <c r="R360" s="1"/>
      <c r="S360" s="1"/>
      <c r="T360" s="2"/>
      <c r="U360" s="1"/>
      <c r="V360" s="1"/>
      <c r="W360" s="1"/>
      <c r="X360" s="1"/>
      <c r="Y360" s="1"/>
      <c r="Z360" s="1"/>
      <c r="AA360" s="1"/>
      <c r="AB360" s="1"/>
      <c r="AC360" s="2"/>
      <c r="AD360" s="1"/>
      <c r="AE360" s="1"/>
      <c r="AF360" s="1"/>
      <c r="AG360" s="1"/>
      <c r="AH360" s="1"/>
      <c r="AI360" s="1"/>
      <c r="AJ360" s="1"/>
      <c r="AK360" s="1"/>
      <c r="AL360" s="2"/>
      <c r="AM360" s="1"/>
      <c r="AN360" s="1"/>
      <c r="AO360" s="1"/>
      <c r="AP360" s="1"/>
      <c r="AQ360" s="1"/>
      <c r="AR360" s="1"/>
      <c r="AS360" s="1"/>
      <c r="AT360" s="1"/>
      <c r="AU360" s="2"/>
      <c r="AV360" s="1"/>
      <c r="AW360" s="1"/>
      <c r="AX360" s="1"/>
      <c r="AY360" s="1"/>
      <c r="AZ360" s="1"/>
      <c r="BA360" s="1"/>
      <c r="BB360" s="1"/>
      <c r="BC360" s="1"/>
      <c r="BD360" s="2"/>
      <c r="BE360" s="1"/>
      <c r="BF360" s="1"/>
      <c r="BG360" s="1"/>
      <c r="BH360" s="1"/>
      <c r="BI360" s="1"/>
      <c r="BJ360" s="1"/>
      <c r="BK360" s="1"/>
      <c r="BL360" s="1"/>
      <c r="BM360" s="2"/>
      <c r="BN360" s="1"/>
      <c r="BO360" s="1"/>
      <c r="BP360" s="1"/>
      <c r="BQ360" s="1"/>
      <c r="BR360" s="1"/>
      <c r="BS360" s="1"/>
      <c r="BT360" s="1"/>
      <c r="BU360" s="1"/>
      <c r="BV360" s="2"/>
      <c r="BW360" s="1"/>
      <c r="BX360" s="1"/>
      <c r="BY360" s="1"/>
      <c r="BZ360" s="1"/>
      <c r="CA360" s="1"/>
      <c r="CB360" s="1"/>
      <c r="CC360" s="1"/>
      <c r="CD360" s="1"/>
      <c r="CE360" s="2"/>
      <c r="CF360" s="1"/>
      <c r="CG360" s="1"/>
      <c r="CH360" s="1"/>
      <c r="CI360" s="1"/>
      <c r="CJ360" s="1"/>
      <c r="CK360" s="1"/>
      <c r="CL360" s="1"/>
    </row>
    <row r="361" spans="1:90" ht="14.65" x14ac:dyDescent="0.4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2"/>
      <c r="L361" s="1"/>
      <c r="M361" s="1"/>
      <c r="N361" s="1"/>
      <c r="O361" s="1"/>
      <c r="P361" s="1"/>
      <c r="Q361" s="1"/>
      <c r="R361" s="1"/>
      <c r="S361" s="1"/>
      <c r="T361" s="2"/>
      <c r="U361" s="1"/>
      <c r="V361" s="1"/>
      <c r="W361" s="1"/>
      <c r="X361" s="1"/>
      <c r="Y361" s="1"/>
      <c r="Z361" s="1"/>
      <c r="AA361" s="1"/>
      <c r="AB361" s="1"/>
      <c r="AC361" s="2"/>
      <c r="AD361" s="1"/>
      <c r="AE361" s="1"/>
      <c r="AF361" s="1"/>
      <c r="AG361" s="1"/>
      <c r="AH361" s="1"/>
      <c r="AI361" s="1"/>
      <c r="AJ361" s="1"/>
      <c r="AK361" s="1"/>
      <c r="AL361" s="2"/>
      <c r="AM361" s="1"/>
      <c r="AN361" s="1"/>
      <c r="AO361" s="1"/>
      <c r="AP361" s="1"/>
      <c r="AQ361" s="1"/>
      <c r="AR361" s="1"/>
      <c r="AS361" s="1"/>
      <c r="AT361" s="1"/>
      <c r="AU361" s="2"/>
      <c r="AV361" s="1"/>
      <c r="AW361" s="1"/>
      <c r="AX361" s="1"/>
      <c r="AY361" s="1"/>
      <c r="AZ361" s="1"/>
      <c r="BA361" s="1"/>
      <c r="BB361" s="1"/>
      <c r="BC361" s="1"/>
      <c r="BD361" s="2"/>
      <c r="BE361" s="1"/>
      <c r="BF361" s="1"/>
      <c r="BG361" s="1"/>
      <c r="BH361" s="1"/>
      <c r="BI361" s="1"/>
      <c r="BJ361" s="1"/>
      <c r="BK361" s="1"/>
      <c r="BL361" s="1"/>
      <c r="BM361" s="2"/>
      <c r="BN361" s="1"/>
      <c r="BO361" s="1"/>
      <c r="BP361" s="1"/>
      <c r="BQ361" s="1"/>
      <c r="BR361" s="1"/>
      <c r="BS361" s="1"/>
      <c r="BT361" s="1"/>
      <c r="BU361" s="1"/>
      <c r="BV361" s="2"/>
      <c r="BW361" s="1"/>
      <c r="BX361" s="1"/>
      <c r="BY361" s="1"/>
      <c r="BZ361" s="1"/>
      <c r="CA361" s="1"/>
      <c r="CB361" s="1"/>
      <c r="CC361" s="1"/>
      <c r="CD361" s="1"/>
      <c r="CE361" s="2"/>
      <c r="CF361" s="1"/>
      <c r="CG361" s="1"/>
      <c r="CH361" s="1"/>
      <c r="CI361" s="1"/>
      <c r="CJ361" s="1"/>
      <c r="CK361" s="1"/>
      <c r="CL361" s="1"/>
    </row>
    <row r="362" spans="1:90" ht="14.65" x14ac:dyDescent="0.4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2"/>
      <c r="L362" s="1"/>
      <c r="M362" s="1"/>
      <c r="N362" s="1"/>
      <c r="O362" s="1"/>
      <c r="P362" s="1"/>
      <c r="Q362" s="1"/>
      <c r="R362" s="1"/>
      <c r="S362" s="1"/>
      <c r="T362" s="2"/>
      <c r="U362" s="1"/>
      <c r="V362" s="1"/>
      <c r="W362" s="1"/>
      <c r="X362" s="1"/>
      <c r="Y362" s="1"/>
      <c r="Z362" s="1"/>
      <c r="AA362" s="1"/>
      <c r="AB362" s="1"/>
      <c r="AC362" s="2"/>
      <c r="AD362" s="1"/>
      <c r="AE362" s="1"/>
      <c r="AF362" s="1"/>
      <c r="AG362" s="1"/>
      <c r="AH362" s="1"/>
      <c r="AI362" s="1"/>
      <c r="AJ362" s="1"/>
      <c r="AK362" s="1"/>
      <c r="AL362" s="2"/>
      <c r="AM362" s="1"/>
      <c r="AN362" s="1"/>
      <c r="AO362" s="1"/>
      <c r="AP362" s="1"/>
      <c r="AQ362" s="1"/>
      <c r="AR362" s="1"/>
      <c r="AS362" s="1"/>
      <c r="AT362" s="1"/>
      <c r="AU362" s="2"/>
      <c r="AV362" s="1"/>
      <c r="AW362" s="1"/>
      <c r="AX362" s="1"/>
      <c r="AY362" s="1"/>
      <c r="AZ362" s="1"/>
      <c r="BA362" s="1"/>
      <c r="BB362" s="1"/>
      <c r="BC362" s="1"/>
      <c r="BD362" s="2"/>
      <c r="BE362" s="1"/>
      <c r="BF362" s="1"/>
      <c r="BG362" s="1"/>
      <c r="BH362" s="1"/>
      <c r="BI362" s="1"/>
      <c r="BJ362" s="1"/>
      <c r="BK362" s="1"/>
      <c r="BL362" s="1"/>
      <c r="BM362" s="2"/>
      <c r="BN362" s="1"/>
      <c r="BO362" s="1"/>
      <c r="BP362" s="1"/>
      <c r="BQ362" s="1"/>
      <c r="BR362" s="1"/>
      <c r="BS362" s="1"/>
      <c r="BT362" s="1"/>
      <c r="BU362" s="1"/>
      <c r="BV362" s="2"/>
      <c r="BW362" s="1"/>
      <c r="BX362" s="1"/>
      <c r="BY362" s="1"/>
      <c r="BZ362" s="1"/>
      <c r="CA362" s="1"/>
      <c r="CB362" s="1"/>
      <c r="CC362" s="1"/>
      <c r="CD362" s="1"/>
      <c r="CE362" s="2"/>
      <c r="CF362" s="1"/>
      <c r="CG362" s="1"/>
      <c r="CH362" s="1"/>
      <c r="CI362" s="1"/>
      <c r="CJ362" s="1"/>
      <c r="CK362" s="1"/>
      <c r="CL362" s="1"/>
    </row>
    <row r="363" spans="1:90" ht="14.65" x14ac:dyDescent="0.4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2"/>
      <c r="L363" s="1"/>
      <c r="M363" s="1"/>
      <c r="N363" s="1"/>
      <c r="O363" s="1"/>
      <c r="P363" s="1"/>
      <c r="Q363" s="1"/>
      <c r="R363" s="1"/>
      <c r="S363" s="1"/>
      <c r="T363" s="2"/>
      <c r="U363" s="1"/>
      <c r="V363" s="1"/>
      <c r="W363" s="1"/>
      <c r="X363" s="1"/>
      <c r="Y363" s="1"/>
      <c r="Z363" s="1"/>
      <c r="AA363" s="1"/>
      <c r="AB363" s="1"/>
      <c r="AC363" s="2"/>
      <c r="AD363" s="1"/>
      <c r="AE363" s="1"/>
      <c r="AF363" s="1"/>
      <c r="AG363" s="1"/>
      <c r="AH363" s="1"/>
      <c r="AI363" s="1"/>
      <c r="AJ363" s="1"/>
      <c r="AK363" s="1"/>
      <c r="AL363" s="2"/>
      <c r="AM363" s="1"/>
      <c r="AN363" s="1"/>
      <c r="AO363" s="1"/>
      <c r="AP363" s="1"/>
      <c r="AQ363" s="1"/>
      <c r="AR363" s="1"/>
      <c r="AS363" s="1"/>
      <c r="AT363" s="1"/>
      <c r="AU363" s="2"/>
      <c r="AV363" s="1"/>
      <c r="AW363" s="1"/>
      <c r="AX363" s="1"/>
      <c r="AY363" s="1"/>
      <c r="AZ363" s="1"/>
      <c r="BA363" s="1"/>
      <c r="BB363" s="1"/>
      <c r="BC363" s="1"/>
      <c r="BD363" s="2"/>
      <c r="BE363" s="1"/>
      <c r="BF363" s="1"/>
      <c r="BG363" s="1"/>
      <c r="BH363" s="1"/>
      <c r="BI363" s="1"/>
      <c r="BJ363" s="1"/>
      <c r="BK363" s="1"/>
      <c r="BL363" s="1"/>
      <c r="BM363" s="2"/>
      <c r="BN363" s="1"/>
      <c r="BO363" s="1"/>
      <c r="BP363" s="1"/>
      <c r="BQ363" s="1"/>
      <c r="BR363" s="1"/>
      <c r="BS363" s="1"/>
      <c r="BT363" s="1"/>
      <c r="BU363" s="1"/>
      <c r="BV363" s="2"/>
      <c r="BW363" s="1"/>
      <c r="BX363" s="1"/>
      <c r="BY363" s="1"/>
      <c r="BZ363" s="1"/>
      <c r="CA363" s="1"/>
      <c r="CB363" s="1"/>
      <c r="CC363" s="1"/>
      <c r="CD363" s="1"/>
      <c r="CE363" s="2"/>
      <c r="CF363" s="1"/>
      <c r="CG363" s="1"/>
      <c r="CH363" s="1"/>
      <c r="CI363" s="1"/>
      <c r="CJ363" s="1"/>
      <c r="CK363" s="1"/>
      <c r="CL363" s="1"/>
    </row>
    <row r="364" spans="1:90" ht="14.65" x14ac:dyDescent="0.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2"/>
      <c r="L364" s="1"/>
      <c r="M364" s="1"/>
      <c r="N364" s="1"/>
      <c r="O364" s="1"/>
      <c r="P364" s="1"/>
      <c r="Q364" s="1"/>
      <c r="R364" s="1"/>
      <c r="S364" s="1"/>
      <c r="T364" s="2"/>
      <c r="U364" s="1"/>
      <c r="V364" s="1"/>
      <c r="W364" s="1"/>
      <c r="X364" s="1"/>
      <c r="Y364" s="1"/>
      <c r="Z364" s="1"/>
      <c r="AA364" s="1"/>
      <c r="AB364" s="1"/>
      <c r="AC364" s="2"/>
      <c r="AD364" s="1"/>
      <c r="AE364" s="1"/>
      <c r="AF364" s="1"/>
      <c r="AG364" s="1"/>
      <c r="AH364" s="1"/>
      <c r="AI364" s="1"/>
      <c r="AJ364" s="1"/>
      <c r="AK364" s="1"/>
      <c r="AL364" s="2"/>
      <c r="AM364" s="1"/>
      <c r="AN364" s="1"/>
      <c r="AO364" s="1"/>
      <c r="AP364" s="1"/>
      <c r="AQ364" s="1"/>
      <c r="AR364" s="1"/>
      <c r="AS364" s="1"/>
      <c r="AT364" s="1"/>
      <c r="AU364" s="2"/>
      <c r="AV364" s="1"/>
      <c r="AW364" s="1"/>
      <c r="AX364" s="1"/>
      <c r="AY364" s="1"/>
      <c r="AZ364" s="1"/>
      <c r="BA364" s="1"/>
      <c r="BB364" s="1"/>
      <c r="BC364" s="1"/>
      <c r="BD364" s="2"/>
      <c r="BE364" s="1"/>
      <c r="BF364" s="1"/>
      <c r="BG364" s="1"/>
      <c r="BH364" s="1"/>
      <c r="BI364" s="1"/>
      <c r="BJ364" s="1"/>
      <c r="BK364" s="1"/>
      <c r="BL364" s="1"/>
      <c r="BM364" s="2"/>
      <c r="BN364" s="1"/>
      <c r="BO364" s="1"/>
      <c r="BP364" s="1"/>
      <c r="BQ364" s="1"/>
      <c r="BR364" s="1"/>
      <c r="BS364" s="1"/>
      <c r="BT364" s="1"/>
      <c r="BU364" s="1"/>
      <c r="BV364" s="2"/>
      <c r="BW364" s="1"/>
      <c r="BX364" s="1"/>
      <c r="BY364" s="1"/>
      <c r="BZ364" s="1"/>
      <c r="CA364" s="1"/>
      <c r="CB364" s="1"/>
      <c r="CC364" s="1"/>
      <c r="CD364" s="1"/>
      <c r="CE364" s="2"/>
      <c r="CF364" s="1"/>
      <c r="CG364" s="1"/>
      <c r="CH364" s="1"/>
      <c r="CI364" s="1"/>
      <c r="CJ364" s="1"/>
      <c r="CK364" s="1"/>
      <c r="CL364" s="1"/>
    </row>
    <row r="365" spans="1:90" ht="14.65" x14ac:dyDescent="0.4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2"/>
      <c r="L365" s="1"/>
      <c r="M365" s="1"/>
      <c r="N365" s="1"/>
      <c r="O365" s="1"/>
      <c r="P365" s="1"/>
      <c r="Q365" s="1"/>
      <c r="R365" s="1"/>
      <c r="S365" s="1"/>
      <c r="T365" s="2"/>
      <c r="U365" s="1"/>
      <c r="V365" s="1"/>
      <c r="W365" s="1"/>
      <c r="X365" s="1"/>
      <c r="Y365" s="1"/>
      <c r="Z365" s="1"/>
      <c r="AA365" s="1"/>
      <c r="AB365" s="1"/>
      <c r="AC365" s="2"/>
      <c r="AD365" s="1"/>
      <c r="AE365" s="1"/>
      <c r="AF365" s="1"/>
      <c r="AG365" s="1"/>
      <c r="AH365" s="1"/>
      <c r="AI365" s="1"/>
      <c r="AJ365" s="1"/>
      <c r="AK365" s="1"/>
      <c r="AL365" s="2"/>
      <c r="AM365" s="1"/>
      <c r="AN365" s="1"/>
      <c r="AO365" s="1"/>
      <c r="AP365" s="1"/>
      <c r="AQ365" s="1"/>
      <c r="AR365" s="1"/>
      <c r="AS365" s="1"/>
      <c r="AT365" s="1"/>
      <c r="AU365" s="2"/>
      <c r="AV365" s="1"/>
      <c r="AW365" s="1"/>
      <c r="AX365" s="1"/>
      <c r="AY365" s="1"/>
      <c r="AZ365" s="1"/>
      <c r="BA365" s="1"/>
      <c r="BB365" s="1"/>
      <c r="BC365" s="1"/>
      <c r="BD365" s="2"/>
      <c r="BE365" s="1"/>
      <c r="BF365" s="1"/>
      <c r="BG365" s="1"/>
      <c r="BH365" s="1"/>
      <c r="BI365" s="1"/>
      <c r="BJ365" s="1"/>
      <c r="BK365" s="1"/>
      <c r="BL365" s="1"/>
      <c r="BM365" s="2"/>
      <c r="BN365" s="1"/>
      <c r="BO365" s="1"/>
      <c r="BP365" s="1"/>
      <c r="BQ365" s="1"/>
      <c r="BR365" s="1"/>
      <c r="BS365" s="1"/>
      <c r="BT365" s="1"/>
      <c r="BU365" s="1"/>
      <c r="BV365" s="2"/>
      <c r="BW365" s="1"/>
      <c r="BX365" s="1"/>
      <c r="BY365" s="1"/>
      <c r="BZ365" s="1"/>
      <c r="CA365" s="1"/>
      <c r="CB365" s="1"/>
      <c r="CC365" s="1"/>
      <c r="CD365" s="1"/>
      <c r="CE365" s="2"/>
      <c r="CF365" s="1"/>
      <c r="CG365" s="1"/>
      <c r="CH365" s="1"/>
      <c r="CI365" s="1"/>
      <c r="CJ365" s="1"/>
      <c r="CK365" s="1"/>
      <c r="CL365" s="1"/>
    </row>
    <row r="366" spans="1:90" ht="14.65" x14ac:dyDescent="0.4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2"/>
      <c r="L366" s="1"/>
      <c r="M366" s="1"/>
      <c r="N366" s="1"/>
      <c r="O366" s="1"/>
      <c r="P366" s="1"/>
      <c r="Q366" s="1"/>
      <c r="R366" s="1"/>
      <c r="S366" s="1"/>
      <c r="T366" s="2"/>
      <c r="U366" s="1"/>
      <c r="V366" s="1"/>
      <c r="W366" s="1"/>
      <c r="X366" s="1"/>
      <c r="Y366" s="1"/>
      <c r="Z366" s="1"/>
      <c r="AA366" s="1"/>
      <c r="AB366" s="1"/>
      <c r="AC366" s="2"/>
      <c r="AD366" s="1"/>
      <c r="AE366" s="1"/>
      <c r="AF366" s="1"/>
      <c r="AG366" s="1"/>
      <c r="AH366" s="1"/>
      <c r="AI366" s="1"/>
      <c r="AJ366" s="1"/>
      <c r="AK366" s="1"/>
      <c r="AL366" s="2"/>
      <c r="AM366" s="1"/>
      <c r="AN366" s="1"/>
      <c r="AO366" s="1"/>
      <c r="AP366" s="1"/>
      <c r="AQ366" s="1"/>
      <c r="AR366" s="1"/>
      <c r="AS366" s="1"/>
      <c r="AT366" s="1"/>
      <c r="AU366" s="2"/>
      <c r="AV366" s="1"/>
      <c r="AW366" s="1"/>
      <c r="AX366" s="1"/>
      <c r="AY366" s="1"/>
      <c r="AZ366" s="1"/>
      <c r="BA366" s="1"/>
      <c r="BB366" s="1"/>
      <c r="BC366" s="1"/>
      <c r="BD366" s="2"/>
      <c r="BE366" s="1"/>
      <c r="BF366" s="1"/>
      <c r="BG366" s="1"/>
      <c r="BH366" s="1"/>
      <c r="BI366" s="1"/>
      <c r="BJ366" s="1"/>
      <c r="BK366" s="1"/>
      <c r="BL366" s="1"/>
      <c r="BM366" s="2"/>
      <c r="BN366" s="1"/>
      <c r="BO366" s="1"/>
      <c r="BP366" s="1"/>
      <c r="BQ366" s="1"/>
      <c r="BR366" s="1"/>
      <c r="BS366" s="1"/>
      <c r="BT366" s="1"/>
      <c r="BU366" s="1"/>
      <c r="BV366" s="2"/>
      <c r="BW366" s="1"/>
      <c r="BX366" s="1"/>
      <c r="BY366" s="1"/>
      <c r="BZ366" s="1"/>
      <c r="CA366" s="1"/>
      <c r="CB366" s="1"/>
      <c r="CC366" s="1"/>
      <c r="CD366" s="1"/>
      <c r="CE366" s="2"/>
      <c r="CF366" s="1"/>
      <c r="CG366" s="1"/>
      <c r="CH366" s="1"/>
      <c r="CI366" s="1"/>
      <c r="CJ366" s="1"/>
      <c r="CK366" s="1"/>
      <c r="CL366" s="1"/>
    </row>
    <row r="367" spans="1:90" ht="14.65" x14ac:dyDescent="0.4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2"/>
      <c r="L367" s="1"/>
      <c r="M367" s="1"/>
      <c r="N367" s="1"/>
      <c r="O367" s="1"/>
      <c r="P367" s="1"/>
      <c r="Q367" s="1"/>
      <c r="R367" s="1"/>
      <c r="S367" s="1"/>
      <c r="T367" s="2"/>
      <c r="U367" s="1"/>
      <c r="V367" s="1"/>
      <c r="W367" s="1"/>
      <c r="X367" s="1"/>
      <c r="Y367" s="1"/>
      <c r="Z367" s="1"/>
      <c r="AA367" s="1"/>
      <c r="AB367" s="1"/>
      <c r="AC367" s="2"/>
      <c r="AD367" s="1"/>
      <c r="AE367" s="1"/>
      <c r="AF367" s="1"/>
      <c r="AG367" s="1"/>
      <c r="AH367" s="1"/>
      <c r="AI367" s="1"/>
      <c r="AJ367" s="1"/>
      <c r="AK367" s="1"/>
      <c r="AL367" s="2"/>
      <c r="AM367" s="1"/>
      <c r="AN367" s="1"/>
      <c r="AO367" s="1"/>
      <c r="AP367" s="1"/>
      <c r="AQ367" s="1"/>
      <c r="AR367" s="1"/>
      <c r="AS367" s="1"/>
      <c r="AT367" s="1"/>
      <c r="AU367" s="2"/>
      <c r="AV367" s="1"/>
      <c r="AW367" s="1"/>
      <c r="AX367" s="1"/>
      <c r="AY367" s="1"/>
      <c r="AZ367" s="1"/>
      <c r="BA367" s="1"/>
      <c r="BB367" s="1"/>
      <c r="BC367" s="1"/>
      <c r="BD367" s="2"/>
      <c r="BE367" s="1"/>
      <c r="BF367" s="1"/>
      <c r="BG367" s="1"/>
      <c r="BH367" s="1"/>
      <c r="BI367" s="1"/>
      <c r="BJ367" s="1"/>
      <c r="BK367" s="1"/>
      <c r="BL367" s="1"/>
      <c r="BM367" s="2"/>
      <c r="BN367" s="1"/>
      <c r="BO367" s="1"/>
      <c r="BP367" s="1"/>
      <c r="BQ367" s="1"/>
      <c r="BR367" s="1"/>
      <c r="BS367" s="1"/>
      <c r="BT367" s="1"/>
      <c r="BU367" s="1"/>
      <c r="BV367" s="2"/>
      <c r="BW367" s="1"/>
      <c r="BX367" s="1"/>
      <c r="BY367" s="1"/>
      <c r="BZ367" s="1"/>
      <c r="CA367" s="1"/>
      <c r="CB367" s="1"/>
      <c r="CC367" s="1"/>
      <c r="CD367" s="1"/>
      <c r="CE367" s="2"/>
      <c r="CF367" s="1"/>
      <c r="CG367" s="1"/>
      <c r="CH367" s="1"/>
      <c r="CI367" s="1"/>
      <c r="CJ367" s="1"/>
      <c r="CK367" s="1"/>
      <c r="CL367" s="1"/>
    </row>
    <row r="368" spans="1:90" ht="14.65" x14ac:dyDescent="0.4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2"/>
      <c r="L368" s="1"/>
      <c r="M368" s="1"/>
      <c r="N368" s="1"/>
      <c r="O368" s="1"/>
      <c r="P368" s="1"/>
      <c r="Q368" s="1"/>
      <c r="R368" s="1"/>
      <c r="S368" s="1"/>
      <c r="T368" s="2"/>
      <c r="U368" s="1"/>
      <c r="V368" s="1"/>
      <c r="W368" s="1"/>
      <c r="X368" s="1"/>
      <c r="Y368" s="1"/>
      <c r="Z368" s="1"/>
      <c r="AA368" s="1"/>
      <c r="AB368" s="1"/>
      <c r="AC368" s="2"/>
      <c r="AD368" s="1"/>
      <c r="AE368" s="1"/>
      <c r="AF368" s="1"/>
      <c r="AG368" s="1"/>
      <c r="AH368" s="1"/>
      <c r="AI368" s="1"/>
      <c r="AJ368" s="1"/>
      <c r="AK368" s="1"/>
      <c r="AL368" s="2"/>
      <c r="AM368" s="1"/>
      <c r="AN368" s="1"/>
      <c r="AO368" s="1"/>
      <c r="AP368" s="1"/>
      <c r="AQ368" s="1"/>
      <c r="AR368" s="1"/>
      <c r="AS368" s="1"/>
      <c r="AT368" s="1"/>
      <c r="AU368" s="2"/>
      <c r="AV368" s="1"/>
      <c r="AW368" s="1"/>
      <c r="AX368" s="1"/>
      <c r="AY368" s="1"/>
      <c r="AZ368" s="1"/>
      <c r="BA368" s="1"/>
      <c r="BB368" s="1"/>
      <c r="BC368" s="1"/>
      <c r="BD368" s="2"/>
      <c r="BE368" s="1"/>
      <c r="BF368" s="1"/>
      <c r="BG368" s="1"/>
      <c r="BH368" s="1"/>
      <c r="BI368" s="1"/>
      <c r="BJ368" s="1"/>
      <c r="BK368" s="1"/>
      <c r="BL368" s="1"/>
      <c r="BM368" s="2"/>
      <c r="BN368" s="1"/>
      <c r="BO368" s="1"/>
      <c r="BP368" s="1"/>
      <c r="BQ368" s="1"/>
      <c r="BR368" s="1"/>
      <c r="BS368" s="1"/>
      <c r="BT368" s="1"/>
      <c r="BU368" s="1"/>
      <c r="BV368" s="2"/>
      <c r="BW368" s="1"/>
      <c r="BX368" s="1"/>
      <c r="BY368" s="1"/>
      <c r="BZ368" s="1"/>
      <c r="CA368" s="1"/>
      <c r="CB368" s="1"/>
      <c r="CC368" s="1"/>
      <c r="CD368" s="1"/>
      <c r="CE368" s="2"/>
      <c r="CF368" s="1"/>
      <c r="CG368" s="1"/>
      <c r="CH368" s="1"/>
      <c r="CI368" s="1"/>
      <c r="CJ368" s="1"/>
      <c r="CK368" s="1"/>
      <c r="CL368" s="1"/>
    </row>
    <row r="369" spans="1:90" ht="14.65" x14ac:dyDescent="0.4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2"/>
      <c r="L369" s="1"/>
      <c r="M369" s="1"/>
      <c r="N369" s="1"/>
      <c r="O369" s="1"/>
      <c r="P369" s="1"/>
      <c r="Q369" s="1"/>
      <c r="R369" s="1"/>
      <c r="S369" s="1"/>
      <c r="T369" s="2"/>
      <c r="U369" s="1"/>
      <c r="V369" s="1"/>
      <c r="W369" s="1"/>
      <c r="X369" s="1"/>
      <c r="Y369" s="1"/>
      <c r="Z369" s="1"/>
      <c r="AA369" s="1"/>
      <c r="AB369" s="1"/>
      <c r="AC369" s="2"/>
      <c r="AD369" s="1"/>
      <c r="AE369" s="1"/>
      <c r="AF369" s="1"/>
      <c r="AG369" s="1"/>
      <c r="AH369" s="1"/>
      <c r="AI369" s="1"/>
      <c r="AJ369" s="1"/>
      <c r="AK369" s="1"/>
      <c r="AL369" s="2"/>
      <c r="AM369" s="1"/>
      <c r="AN369" s="1"/>
      <c r="AO369" s="1"/>
      <c r="AP369" s="1"/>
      <c r="AQ369" s="1"/>
      <c r="AR369" s="1"/>
      <c r="AS369" s="1"/>
      <c r="AT369" s="1"/>
      <c r="AU369" s="2"/>
      <c r="AV369" s="1"/>
      <c r="AW369" s="1"/>
      <c r="AX369" s="1"/>
      <c r="AY369" s="1"/>
      <c r="AZ369" s="1"/>
      <c r="BA369" s="1"/>
      <c r="BB369" s="1"/>
      <c r="BC369" s="1"/>
      <c r="BD369" s="2"/>
      <c r="BE369" s="1"/>
      <c r="BF369" s="1"/>
      <c r="BG369" s="1"/>
      <c r="BH369" s="1"/>
      <c r="BI369" s="1"/>
      <c r="BJ369" s="1"/>
      <c r="BK369" s="1"/>
      <c r="BL369" s="1"/>
      <c r="BM369" s="2"/>
      <c r="BN369" s="1"/>
      <c r="BO369" s="1"/>
      <c r="BP369" s="1"/>
      <c r="BQ369" s="1"/>
      <c r="BR369" s="1"/>
      <c r="BS369" s="1"/>
      <c r="BT369" s="1"/>
      <c r="BU369" s="1"/>
      <c r="BV369" s="2"/>
      <c r="BW369" s="1"/>
      <c r="BX369" s="1"/>
      <c r="BY369" s="1"/>
      <c r="BZ369" s="1"/>
      <c r="CA369" s="1"/>
      <c r="CB369" s="1"/>
      <c r="CC369" s="1"/>
      <c r="CD369" s="1"/>
      <c r="CE369" s="2"/>
      <c r="CF369" s="1"/>
      <c r="CG369" s="1"/>
      <c r="CH369" s="1"/>
      <c r="CI369" s="1"/>
      <c r="CJ369" s="1"/>
      <c r="CK369" s="1"/>
      <c r="CL369" s="1"/>
    </row>
    <row r="370" spans="1:90" ht="14.65" x14ac:dyDescent="0.4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2"/>
      <c r="L370" s="1"/>
      <c r="M370" s="1"/>
      <c r="N370" s="1"/>
      <c r="O370" s="1"/>
      <c r="P370" s="1"/>
      <c r="Q370" s="1"/>
      <c r="R370" s="1"/>
      <c r="S370" s="1"/>
      <c r="T370" s="2"/>
      <c r="U370" s="1"/>
      <c r="V370" s="1"/>
      <c r="W370" s="1"/>
      <c r="X370" s="1"/>
      <c r="Y370" s="1"/>
      <c r="Z370" s="1"/>
      <c r="AA370" s="1"/>
      <c r="AB370" s="1"/>
      <c r="AC370" s="2"/>
      <c r="AD370" s="1"/>
      <c r="AE370" s="1"/>
      <c r="AF370" s="1"/>
      <c r="AG370" s="1"/>
      <c r="AH370" s="1"/>
      <c r="AI370" s="1"/>
      <c r="AJ370" s="1"/>
      <c r="AK370" s="1"/>
      <c r="AL370" s="2"/>
      <c r="AM370" s="1"/>
      <c r="AN370" s="1"/>
      <c r="AO370" s="1"/>
      <c r="AP370" s="1"/>
      <c r="AQ370" s="1"/>
      <c r="AR370" s="1"/>
      <c r="AS370" s="1"/>
      <c r="AT370" s="1"/>
      <c r="AU370" s="2"/>
      <c r="AV370" s="1"/>
      <c r="AW370" s="1"/>
      <c r="AX370" s="1"/>
      <c r="AY370" s="1"/>
      <c r="AZ370" s="1"/>
      <c r="BA370" s="1"/>
      <c r="BB370" s="1"/>
      <c r="BC370" s="1"/>
      <c r="BD370" s="2"/>
      <c r="BE370" s="1"/>
      <c r="BF370" s="1"/>
      <c r="BG370" s="1"/>
      <c r="BH370" s="1"/>
      <c r="BI370" s="1"/>
      <c r="BJ370" s="1"/>
      <c r="BK370" s="1"/>
      <c r="BL370" s="1"/>
      <c r="BM370" s="2"/>
      <c r="BN370" s="1"/>
      <c r="BO370" s="1"/>
      <c r="BP370" s="1"/>
      <c r="BQ370" s="1"/>
      <c r="BR370" s="1"/>
      <c r="BS370" s="1"/>
      <c r="BT370" s="1"/>
      <c r="BU370" s="1"/>
      <c r="BV370" s="2"/>
      <c r="BW370" s="1"/>
      <c r="BX370" s="1"/>
      <c r="BY370" s="1"/>
      <c r="BZ370" s="1"/>
      <c r="CA370" s="1"/>
      <c r="CB370" s="1"/>
      <c r="CC370" s="1"/>
      <c r="CD370" s="1"/>
      <c r="CE370" s="2"/>
      <c r="CF370" s="1"/>
      <c r="CG370" s="1"/>
      <c r="CH370" s="1"/>
      <c r="CI370" s="1"/>
      <c r="CJ370" s="1"/>
      <c r="CK370" s="1"/>
      <c r="CL370" s="1"/>
    </row>
    <row r="371" spans="1:90" ht="14.65" x14ac:dyDescent="0.4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2"/>
      <c r="L371" s="1"/>
      <c r="M371" s="1"/>
      <c r="N371" s="1"/>
      <c r="O371" s="1"/>
      <c r="P371" s="1"/>
      <c r="Q371" s="1"/>
      <c r="R371" s="1"/>
      <c r="S371" s="1"/>
      <c r="T371" s="2"/>
      <c r="U371" s="1"/>
      <c r="V371" s="1"/>
      <c r="W371" s="1"/>
      <c r="X371" s="1"/>
      <c r="Y371" s="1"/>
      <c r="Z371" s="1"/>
      <c r="AA371" s="1"/>
      <c r="AB371" s="1"/>
      <c r="AC371" s="2"/>
      <c r="AD371" s="1"/>
      <c r="AE371" s="1"/>
      <c r="AF371" s="1"/>
      <c r="AG371" s="1"/>
      <c r="AH371" s="1"/>
      <c r="AI371" s="1"/>
      <c r="AJ371" s="1"/>
      <c r="AK371" s="1"/>
      <c r="AL371" s="2"/>
      <c r="AM371" s="1"/>
      <c r="AN371" s="1"/>
      <c r="AO371" s="1"/>
      <c r="AP371" s="1"/>
      <c r="AQ371" s="1"/>
      <c r="AR371" s="1"/>
      <c r="AS371" s="1"/>
      <c r="AT371" s="1"/>
      <c r="AU371" s="2"/>
      <c r="AV371" s="1"/>
      <c r="AW371" s="1"/>
      <c r="AX371" s="1"/>
      <c r="AY371" s="1"/>
      <c r="AZ371" s="1"/>
      <c r="BA371" s="1"/>
      <c r="BB371" s="1"/>
      <c r="BC371" s="1"/>
      <c r="BD371" s="2"/>
      <c r="BE371" s="1"/>
      <c r="BF371" s="1"/>
      <c r="BG371" s="1"/>
      <c r="BH371" s="1"/>
      <c r="BI371" s="1"/>
      <c r="BJ371" s="1"/>
      <c r="BK371" s="1"/>
      <c r="BL371" s="1"/>
      <c r="BM371" s="2"/>
      <c r="BN371" s="1"/>
      <c r="BO371" s="1"/>
      <c r="BP371" s="1"/>
      <c r="BQ371" s="1"/>
      <c r="BR371" s="1"/>
      <c r="BS371" s="1"/>
      <c r="BT371" s="1"/>
      <c r="BU371" s="1"/>
      <c r="BV371" s="2"/>
      <c r="BW371" s="1"/>
      <c r="BX371" s="1"/>
      <c r="BY371" s="1"/>
      <c r="BZ371" s="1"/>
      <c r="CA371" s="1"/>
      <c r="CB371" s="1"/>
      <c r="CC371" s="1"/>
      <c r="CD371" s="1"/>
      <c r="CE371" s="2"/>
      <c r="CF371" s="1"/>
      <c r="CG371" s="1"/>
      <c r="CH371" s="1"/>
      <c r="CI371" s="1"/>
      <c r="CJ371" s="1"/>
      <c r="CK371" s="1"/>
      <c r="CL371" s="1"/>
    </row>
    <row r="372" spans="1:90" ht="14.65" x14ac:dyDescent="0.4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2"/>
      <c r="L372" s="1"/>
      <c r="M372" s="1"/>
      <c r="N372" s="1"/>
      <c r="O372" s="1"/>
      <c r="P372" s="1"/>
      <c r="Q372" s="1"/>
      <c r="R372" s="1"/>
      <c r="S372" s="1"/>
      <c r="T372" s="2"/>
      <c r="U372" s="1"/>
      <c r="V372" s="1"/>
      <c r="W372" s="1"/>
      <c r="X372" s="1"/>
      <c r="Y372" s="1"/>
      <c r="Z372" s="1"/>
      <c r="AA372" s="1"/>
      <c r="AB372" s="1"/>
      <c r="AC372" s="2"/>
      <c r="AD372" s="1"/>
      <c r="AE372" s="1"/>
      <c r="AF372" s="1"/>
      <c r="AG372" s="1"/>
      <c r="AH372" s="1"/>
      <c r="AI372" s="1"/>
      <c r="AJ372" s="1"/>
      <c r="AK372" s="1"/>
      <c r="AL372" s="2"/>
      <c r="AM372" s="1"/>
      <c r="AN372" s="1"/>
      <c r="AO372" s="1"/>
      <c r="AP372" s="1"/>
      <c r="AQ372" s="1"/>
      <c r="AR372" s="1"/>
      <c r="AS372" s="1"/>
      <c r="AT372" s="1"/>
      <c r="AU372" s="2"/>
      <c r="AV372" s="1"/>
      <c r="AW372" s="1"/>
      <c r="AX372" s="1"/>
      <c r="AY372" s="1"/>
      <c r="AZ372" s="1"/>
      <c r="BA372" s="1"/>
      <c r="BB372" s="1"/>
      <c r="BC372" s="1"/>
      <c r="BD372" s="2"/>
      <c r="BE372" s="1"/>
      <c r="BF372" s="1"/>
      <c r="BG372" s="1"/>
      <c r="BH372" s="1"/>
      <c r="BI372" s="1"/>
      <c r="BJ372" s="1"/>
      <c r="BK372" s="1"/>
      <c r="BL372" s="1"/>
      <c r="BM372" s="2"/>
      <c r="BN372" s="1"/>
      <c r="BO372" s="1"/>
      <c r="BP372" s="1"/>
      <c r="BQ372" s="1"/>
      <c r="BR372" s="1"/>
      <c r="BS372" s="1"/>
      <c r="BT372" s="1"/>
      <c r="BU372" s="1"/>
      <c r="BV372" s="2"/>
      <c r="BW372" s="1"/>
      <c r="BX372" s="1"/>
      <c r="BY372" s="1"/>
      <c r="BZ372" s="1"/>
      <c r="CA372" s="1"/>
      <c r="CB372" s="1"/>
      <c r="CC372" s="1"/>
      <c r="CD372" s="1"/>
      <c r="CE372" s="2"/>
      <c r="CF372" s="1"/>
      <c r="CG372" s="1"/>
      <c r="CH372" s="1"/>
      <c r="CI372" s="1"/>
      <c r="CJ372" s="1"/>
      <c r="CK372" s="1"/>
      <c r="CL372" s="1"/>
    </row>
    <row r="373" spans="1:90" ht="14.65" x14ac:dyDescent="0.4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2"/>
      <c r="L373" s="1"/>
      <c r="M373" s="1"/>
      <c r="N373" s="1"/>
      <c r="O373" s="1"/>
      <c r="P373" s="1"/>
      <c r="Q373" s="1"/>
      <c r="R373" s="1"/>
      <c r="S373" s="1"/>
      <c r="T373" s="2"/>
      <c r="U373" s="1"/>
      <c r="V373" s="1"/>
      <c r="W373" s="1"/>
      <c r="X373" s="1"/>
      <c r="Y373" s="1"/>
      <c r="Z373" s="1"/>
      <c r="AA373" s="1"/>
      <c r="AB373" s="1"/>
      <c r="AC373" s="2"/>
      <c r="AD373" s="1"/>
      <c r="AE373" s="1"/>
      <c r="AF373" s="1"/>
      <c r="AG373" s="1"/>
      <c r="AH373" s="1"/>
      <c r="AI373" s="1"/>
      <c r="AJ373" s="1"/>
      <c r="AK373" s="1"/>
      <c r="AL373" s="2"/>
      <c r="AM373" s="1"/>
      <c r="AN373" s="1"/>
      <c r="AO373" s="1"/>
      <c r="AP373" s="1"/>
      <c r="AQ373" s="1"/>
      <c r="AR373" s="1"/>
      <c r="AS373" s="1"/>
      <c r="AT373" s="1"/>
      <c r="AU373" s="2"/>
      <c r="AV373" s="1"/>
      <c r="AW373" s="1"/>
      <c r="AX373" s="1"/>
      <c r="AY373" s="1"/>
      <c r="AZ373" s="1"/>
      <c r="BA373" s="1"/>
      <c r="BB373" s="1"/>
      <c r="BC373" s="1"/>
      <c r="BD373" s="2"/>
      <c r="BE373" s="1"/>
      <c r="BF373" s="1"/>
      <c r="BG373" s="1"/>
      <c r="BH373" s="1"/>
      <c r="BI373" s="1"/>
      <c r="BJ373" s="1"/>
      <c r="BK373" s="1"/>
      <c r="BL373" s="1"/>
      <c r="BM373" s="2"/>
      <c r="BN373" s="1"/>
      <c r="BO373" s="1"/>
      <c r="BP373" s="1"/>
      <c r="BQ373" s="1"/>
      <c r="BR373" s="1"/>
      <c r="BS373" s="1"/>
      <c r="BT373" s="1"/>
      <c r="BU373" s="1"/>
      <c r="BV373" s="2"/>
      <c r="BW373" s="1"/>
      <c r="BX373" s="1"/>
      <c r="BY373" s="1"/>
      <c r="BZ373" s="1"/>
      <c r="CA373" s="1"/>
      <c r="CB373" s="1"/>
      <c r="CC373" s="1"/>
      <c r="CD373" s="1"/>
      <c r="CE373" s="2"/>
      <c r="CF373" s="1"/>
      <c r="CG373" s="1"/>
      <c r="CH373" s="1"/>
      <c r="CI373" s="1"/>
      <c r="CJ373" s="1"/>
      <c r="CK373" s="1"/>
      <c r="CL373" s="1"/>
    </row>
    <row r="374" spans="1:90" ht="14.65" x14ac:dyDescent="0.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2"/>
      <c r="L374" s="1"/>
      <c r="M374" s="1"/>
      <c r="N374" s="1"/>
      <c r="O374" s="1"/>
      <c r="P374" s="1"/>
      <c r="Q374" s="1"/>
      <c r="R374" s="1"/>
      <c r="S374" s="1"/>
      <c r="T374" s="2"/>
      <c r="U374" s="1"/>
      <c r="V374" s="1"/>
      <c r="W374" s="1"/>
      <c r="X374" s="1"/>
      <c r="Y374" s="1"/>
      <c r="Z374" s="1"/>
      <c r="AA374" s="1"/>
      <c r="AB374" s="1"/>
      <c r="AC374" s="2"/>
      <c r="AD374" s="1"/>
      <c r="AE374" s="1"/>
      <c r="AF374" s="1"/>
      <c r="AG374" s="1"/>
      <c r="AH374" s="1"/>
      <c r="AI374" s="1"/>
      <c r="AJ374" s="1"/>
      <c r="AK374" s="1"/>
      <c r="AL374" s="2"/>
      <c r="AM374" s="1"/>
      <c r="AN374" s="1"/>
      <c r="AO374" s="1"/>
      <c r="AP374" s="1"/>
      <c r="AQ374" s="1"/>
      <c r="AR374" s="1"/>
      <c r="AS374" s="1"/>
      <c r="AT374" s="1"/>
      <c r="AU374" s="2"/>
      <c r="AV374" s="1"/>
      <c r="AW374" s="1"/>
      <c r="AX374" s="1"/>
      <c r="AY374" s="1"/>
      <c r="AZ374" s="1"/>
      <c r="BA374" s="1"/>
      <c r="BB374" s="1"/>
      <c r="BC374" s="1"/>
      <c r="BD374" s="2"/>
      <c r="BE374" s="1"/>
      <c r="BF374" s="1"/>
      <c r="BG374" s="1"/>
      <c r="BH374" s="1"/>
      <c r="BI374" s="1"/>
      <c r="BJ374" s="1"/>
      <c r="BK374" s="1"/>
      <c r="BL374" s="1"/>
      <c r="BM374" s="2"/>
      <c r="BN374" s="1"/>
      <c r="BO374" s="1"/>
      <c r="BP374" s="1"/>
      <c r="BQ374" s="1"/>
      <c r="BR374" s="1"/>
      <c r="BS374" s="1"/>
      <c r="BT374" s="1"/>
      <c r="BU374" s="1"/>
      <c r="BV374" s="2"/>
      <c r="BW374" s="1"/>
      <c r="BX374" s="1"/>
      <c r="BY374" s="1"/>
      <c r="BZ374" s="1"/>
      <c r="CA374" s="1"/>
      <c r="CB374" s="1"/>
      <c r="CC374" s="1"/>
      <c r="CD374" s="1"/>
      <c r="CE374" s="2"/>
      <c r="CF374" s="1"/>
      <c r="CG374" s="1"/>
      <c r="CH374" s="1"/>
      <c r="CI374" s="1"/>
      <c r="CJ374" s="1"/>
      <c r="CK374" s="1"/>
      <c r="CL374" s="1"/>
    </row>
    <row r="375" spans="1:90" ht="14.65" x14ac:dyDescent="0.4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2"/>
      <c r="L375" s="1"/>
      <c r="M375" s="1"/>
      <c r="N375" s="1"/>
      <c r="O375" s="1"/>
      <c r="P375" s="1"/>
      <c r="Q375" s="1"/>
      <c r="R375" s="1"/>
      <c r="S375" s="1"/>
      <c r="T375" s="2"/>
      <c r="U375" s="1"/>
      <c r="V375" s="1"/>
      <c r="W375" s="1"/>
      <c r="X375" s="1"/>
      <c r="Y375" s="1"/>
      <c r="Z375" s="1"/>
      <c r="AA375" s="1"/>
      <c r="AB375" s="1"/>
      <c r="AC375" s="2"/>
      <c r="AD375" s="1"/>
      <c r="AE375" s="1"/>
      <c r="AF375" s="1"/>
      <c r="AG375" s="1"/>
      <c r="AH375" s="1"/>
      <c r="AI375" s="1"/>
      <c r="AJ375" s="1"/>
      <c r="AK375" s="1"/>
      <c r="AL375" s="2"/>
      <c r="AM375" s="1"/>
      <c r="AN375" s="1"/>
      <c r="AO375" s="1"/>
      <c r="AP375" s="1"/>
      <c r="AQ375" s="1"/>
      <c r="AR375" s="1"/>
      <c r="AS375" s="1"/>
      <c r="AT375" s="1"/>
      <c r="AU375" s="2"/>
      <c r="AV375" s="1"/>
      <c r="AW375" s="1"/>
      <c r="AX375" s="1"/>
      <c r="AY375" s="1"/>
      <c r="AZ375" s="1"/>
      <c r="BA375" s="1"/>
      <c r="BB375" s="1"/>
      <c r="BC375" s="1"/>
      <c r="BD375" s="2"/>
      <c r="BE375" s="1"/>
      <c r="BF375" s="1"/>
      <c r="BG375" s="1"/>
      <c r="BH375" s="1"/>
      <c r="BI375" s="1"/>
      <c r="BJ375" s="1"/>
      <c r="BK375" s="1"/>
      <c r="BL375" s="1"/>
      <c r="BM375" s="2"/>
      <c r="BN375" s="1"/>
      <c r="BO375" s="1"/>
      <c r="BP375" s="1"/>
      <c r="BQ375" s="1"/>
      <c r="BR375" s="1"/>
      <c r="BS375" s="1"/>
      <c r="BT375" s="1"/>
      <c r="BU375" s="1"/>
      <c r="BV375" s="2"/>
      <c r="BW375" s="1"/>
      <c r="BX375" s="1"/>
      <c r="BY375" s="1"/>
      <c r="BZ375" s="1"/>
      <c r="CA375" s="1"/>
      <c r="CB375" s="1"/>
      <c r="CC375" s="1"/>
      <c r="CD375" s="1"/>
      <c r="CE375" s="2"/>
      <c r="CF375" s="1"/>
      <c r="CG375" s="1"/>
      <c r="CH375" s="1"/>
      <c r="CI375" s="1"/>
      <c r="CJ375" s="1"/>
      <c r="CK375" s="1"/>
      <c r="CL375" s="1"/>
    </row>
    <row r="376" spans="1:90" ht="14.65" x14ac:dyDescent="0.4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2"/>
      <c r="L376" s="1"/>
      <c r="M376" s="1"/>
      <c r="N376" s="1"/>
      <c r="O376" s="1"/>
      <c r="P376" s="1"/>
      <c r="Q376" s="1"/>
      <c r="R376" s="1"/>
      <c r="S376" s="1"/>
      <c r="T376" s="2"/>
      <c r="U376" s="1"/>
      <c r="V376" s="1"/>
      <c r="W376" s="1"/>
      <c r="X376" s="1"/>
      <c r="Y376" s="1"/>
      <c r="Z376" s="1"/>
      <c r="AA376" s="1"/>
      <c r="AB376" s="1"/>
      <c r="AC376" s="2"/>
      <c r="AD376" s="1"/>
      <c r="AE376" s="1"/>
      <c r="AF376" s="1"/>
      <c r="AG376" s="1"/>
      <c r="AH376" s="1"/>
      <c r="AI376" s="1"/>
      <c r="AJ376" s="1"/>
      <c r="AK376" s="1"/>
      <c r="AL376" s="2"/>
      <c r="AM376" s="1"/>
      <c r="AN376" s="1"/>
      <c r="AO376" s="1"/>
      <c r="AP376" s="1"/>
      <c r="AQ376" s="1"/>
      <c r="AR376" s="1"/>
      <c r="AS376" s="1"/>
      <c r="AT376" s="1"/>
      <c r="AU376" s="2"/>
      <c r="AV376" s="1"/>
      <c r="AW376" s="1"/>
      <c r="AX376" s="1"/>
      <c r="AY376" s="1"/>
      <c r="AZ376" s="1"/>
      <c r="BA376" s="1"/>
      <c r="BB376" s="1"/>
      <c r="BC376" s="1"/>
      <c r="BD376" s="2"/>
      <c r="BE376" s="1"/>
      <c r="BF376" s="1"/>
      <c r="BG376" s="1"/>
      <c r="BH376" s="1"/>
      <c r="BI376" s="1"/>
      <c r="BJ376" s="1"/>
      <c r="BK376" s="1"/>
      <c r="BL376" s="1"/>
      <c r="BM376" s="2"/>
      <c r="BN376" s="1"/>
      <c r="BO376" s="1"/>
      <c r="BP376" s="1"/>
      <c r="BQ376" s="1"/>
      <c r="BR376" s="1"/>
      <c r="BS376" s="1"/>
      <c r="BT376" s="1"/>
      <c r="BU376" s="1"/>
      <c r="BV376" s="2"/>
      <c r="BW376" s="1"/>
      <c r="BX376" s="1"/>
      <c r="BY376" s="1"/>
      <c r="BZ376" s="1"/>
      <c r="CA376" s="1"/>
      <c r="CB376" s="1"/>
      <c r="CC376" s="1"/>
      <c r="CD376" s="1"/>
      <c r="CE376" s="2"/>
      <c r="CF376" s="1"/>
      <c r="CG376" s="1"/>
      <c r="CH376" s="1"/>
      <c r="CI376" s="1"/>
      <c r="CJ376" s="1"/>
      <c r="CK376" s="1"/>
      <c r="CL376" s="1"/>
    </row>
    <row r="377" spans="1:90" ht="14.65" x14ac:dyDescent="0.4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2"/>
      <c r="L377" s="1"/>
      <c r="M377" s="1"/>
      <c r="N377" s="1"/>
      <c r="O377" s="1"/>
      <c r="P377" s="1"/>
      <c r="Q377" s="1"/>
      <c r="R377" s="1"/>
      <c r="S377" s="1"/>
      <c r="T377" s="2"/>
      <c r="U377" s="1"/>
      <c r="V377" s="1"/>
      <c r="W377" s="1"/>
      <c r="X377" s="1"/>
      <c r="Y377" s="1"/>
      <c r="Z377" s="1"/>
      <c r="AA377" s="1"/>
      <c r="AB377" s="1"/>
      <c r="AC377" s="2"/>
      <c r="AD377" s="1"/>
      <c r="AE377" s="1"/>
      <c r="AF377" s="1"/>
      <c r="AG377" s="1"/>
      <c r="AH377" s="1"/>
      <c r="AI377" s="1"/>
      <c r="AJ377" s="1"/>
      <c r="AK377" s="1"/>
      <c r="AL377" s="2"/>
      <c r="AM377" s="1"/>
      <c r="AN377" s="1"/>
      <c r="AO377" s="1"/>
      <c r="AP377" s="1"/>
      <c r="AQ377" s="1"/>
      <c r="AR377" s="1"/>
      <c r="AS377" s="1"/>
      <c r="AT377" s="1"/>
      <c r="AU377" s="2"/>
      <c r="AV377" s="1"/>
      <c r="AW377" s="1"/>
      <c r="AX377" s="1"/>
      <c r="AY377" s="1"/>
      <c r="AZ377" s="1"/>
      <c r="BA377" s="1"/>
      <c r="BB377" s="1"/>
      <c r="BC377" s="1"/>
      <c r="BD377" s="2"/>
      <c r="BE377" s="1"/>
      <c r="BF377" s="1"/>
      <c r="BG377" s="1"/>
      <c r="BH377" s="1"/>
      <c r="BI377" s="1"/>
      <c r="BJ377" s="1"/>
      <c r="BK377" s="1"/>
      <c r="BL377" s="1"/>
      <c r="BM377" s="2"/>
      <c r="BN377" s="1"/>
      <c r="BO377" s="1"/>
      <c r="BP377" s="1"/>
      <c r="BQ377" s="1"/>
      <c r="BR377" s="1"/>
      <c r="BS377" s="1"/>
      <c r="BT377" s="1"/>
      <c r="BU377" s="1"/>
      <c r="BV377" s="2"/>
      <c r="BW377" s="1"/>
      <c r="BX377" s="1"/>
      <c r="BY377" s="1"/>
      <c r="BZ377" s="1"/>
      <c r="CA377" s="1"/>
      <c r="CB377" s="1"/>
      <c r="CC377" s="1"/>
      <c r="CD377" s="1"/>
      <c r="CE377" s="2"/>
      <c r="CF377" s="1"/>
      <c r="CG377" s="1"/>
      <c r="CH377" s="1"/>
      <c r="CI377" s="1"/>
      <c r="CJ377" s="1"/>
      <c r="CK377" s="1"/>
      <c r="CL377" s="1"/>
    </row>
    <row r="378" spans="1:90" ht="14.65" x14ac:dyDescent="0.4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2"/>
      <c r="L378" s="1"/>
      <c r="M378" s="1"/>
      <c r="N378" s="1"/>
      <c r="O378" s="1"/>
      <c r="P378" s="1"/>
      <c r="Q378" s="1"/>
      <c r="R378" s="1"/>
      <c r="S378" s="1"/>
      <c r="T378" s="2"/>
      <c r="U378" s="1"/>
      <c r="V378" s="1"/>
      <c r="W378" s="1"/>
      <c r="X378" s="1"/>
      <c r="Y378" s="1"/>
      <c r="Z378" s="1"/>
      <c r="AA378" s="1"/>
      <c r="AB378" s="1"/>
      <c r="AC378" s="2"/>
      <c r="AD378" s="1"/>
      <c r="AE378" s="1"/>
      <c r="AF378" s="1"/>
      <c r="AG378" s="1"/>
      <c r="AH378" s="1"/>
      <c r="AI378" s="1"/>
      <c r="AJ378" s="1"/>
      <c r="AK378" s="1"/>
      <c r="AL378" s="2"/>
      <c r="AM378" s="1"/>
      <c r="AN378" s="1"/>
      <c r="AO378" s="1"/>
      <c r="AP378" s="1"/>
      <c r="AQ378" s="1"/>
      <c r="AR378" s="1"/>
      <c r="AS378" s="1"/>
      <c r="AT378" s="1"/>
      <c r="AU378" s="2"/>
      <c r="AV378" s="1"/>
      <c r="AW378" s="1"/>
      <c r="AX378" s="1"/>
      <c r="AY378" s="1"/>
      <c r="AZ378" s="1"/>
      <c r="BA378" s="1"/>
      <c r="BB378" s="1"/>
      <c r="BC378" s="1"/>
      <c r="BD378" s="2"/>
      <c r="BE378" s="1"/>
      <c r="BF378" s="1"/>
      <c r="BG378" s="1"/>
      <c r="BH378" s="1"/>
      <c r="BI378" s="1"/>
      <c r="BJ378" s="1"/>
      <c r="BK378" s="1"/>
      <c r="BL378" s="1"/>
      <c r="BM378" s="2"/>
      <c r="BN378" s="1"/>
      <c r="BO378" s="1"/>
      <c r="BP378" s="1"/>
      <c r="BQ378" s="1"/>
      <c r="BR378" s="1"/>
      <c r="BS378" s="1"/>
      <c r="BT378" s="1"/>
      <c r="BU378" s="1"/>
      <c r="BV378" s="2"/>
      <c r="BW378" s="1"/>
      <c r="BX378" s="1"/>
      <c r="BY378" s="1"/>
      <c r="BZ378" s="1"/>
      <c r="CA378" s="1"/>
      <c r="CB378" s="1"/>
      <c r="CC378" s="1"/>
      <c r="CD378" s="1"/>
      <c r="CE378" s="2"/>
      <c r="CF378" s="1"/>
      <c r="CG378" s="1"/>
      <c r="CH378" s="1"/>
      <c r="CI378" s="1"/>
      <c r="CJ378" s="1"/>
      <c r="CK378" s="1"/>
      <c r="CL378" s="1"/>
    </row>
    <row r="379" spans="1:90" ht="14.65" x14ac:dyDescent="0.4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2"/>
      <c r="L379" s="1"/>
      <c r="M379" s="1"/>
      <c r="N379" s="1"/>
      <c r="O379" s="1"/>
      <c r="P379" s="1"/>
      <c r="Q379" s="1"/>
      <c r="R379" s="1"/>
      <c r="S379" s="1"/>
      <c r="T379" s="2"/>
      <c r="U379" s="1"/>
      <c r="V379" s="1"/>
      <c r="W379" s="1"/>
      <c r="X379" s="1"/>
      <c r="Y379" s="1"/>
      <c r="Z379" s="1"/>
      <c r="AA379" s="1"/>
      <c r="AB379" s="1"/>
      <c r="AC379" s="2"/>
      <c r="AD379" s="1"/>
      <c r="AE379" s="1"/>
      <c r="AF379" s="1"/>
      <c r="AG379" s="1"/>
      <c r="AH379" s="1"/>
      <c r="AI379" s="1"/>
      <c r="AJ379" s="1"/>
      <c r="AK379" s="1"/>
      <c r="AL379" s="2"/>
      <c r="AM379" s="1"/>
      <c r="AN379" s="1"/>
      <c r="AO379" s="1"/>
      <c r="AP379" s="1"/>
      <c r="AQ379" s="1"/>
      <c r="AR379" s="1"/>
      <c r="AS379" s="1"/>
      <c r="AT379" s="1"/>
      <c r="AU379" s="2"/>
      <c r="AV379" s="1"/>
      <c r="AW379" s="1"/>
      <c r="AX379" s="1"/>
      <c r="AY379" s="1"/>
      <c r="AZ379" s="1"/>
      <c r="BA379" s="1"/>
      <c r="BB379" s="1"/>
      <c r="BC379" s="1"/>
      <c r="BD379" s="2"/>
      <c r="BE379" s="1"/>
      <c r="BF379" s="1"/>
      <c r="BG379" s="1"/>
      <c r="BH379" s="1"/>
      <c r="BI379" s="1"/>
      <c r="BJ379" s="1"/>
      <c r="BK379" s="1"/>
      <c r="BL379" s="1"/>
      <c r="BM379" s="2"/>
      <c r="BN379" s="1"/>
      <c r="BO379" s="1"/>
      <c r="BP379" s="1"/>
      <c r="BQ379" s="1"/>
      <c r="BR379" s="1"/>
      <c r="BS379" s="1"/>
      <c r="BT379" s="1"/>
      <c r="BU379" s="1"/>
      <c r="BV379" s="2"/>
      <c r="BW379" s="1"/>
      <c r="BX379" s="1"/>
      <c r="BY379" s="1"/>
      <c r="BZ379" s="1"/>
      <c r="CA379" s="1"/>
      <c r="CB379" s="1"/>
      <c r="CC379" s="1"/>
      <c r="CD379" s="1"/>
      <c r="CE379" s="2"/>
      <c r="CF379" s="1"/>
      <c r="CG379" s="1"/>
      <c r="CH379" s="1"/>
      <c r="CI379" s="1"/>
      <c r="CJ379" s="1"/>
      <c r="CK379" s="1"/>
      <c r="CL379" s="1"/>
    </row>
    <row r="380" spans="1:90" ht="14.65" x14ac:dyDescent="0.4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2"/>
      <c r="L380" s="1"/>
      <c r="M380" s="1"/>
      <c r="N380" s="1"/>
      <c r="O380" s="1"/>
      <c r="P380" s="1"/>
      <c r="Q380" s="1"/>
      <c r="R380" s="1"/>
      <c r="S380" s="1"/>
      <c r="T380" s="2"/>
      <c r="U380" s="1"/>
      <c r="V380" s="1"/>
      <c r="W380" s="1"/>
      <c r="X380" s="1"/>
      <c r="Y380" s="1"/>
      <c r="Z380" s="1"/>
      <c r="AA380" s="1"/>
      <c r="AB380" s="1"/>
      <c r="AC380" s="2"/>
      <c r="AD380" s="1"/>
      <c r="AE380" s="1"/>
      <c r="AF380" s="1"/>
      <c r="AG380" s="1"/>
      <c r="AH380" s="1"/>
      <c r="AI380" s="1"/>
      <c r="AJ380" s="1"/>
      <c r="AK380" s="1"/>
      <c r="AL380" s="2"/>
      <c r="AM380" s="1"/>
      <c r="AN380" s="1"/>
      <c r="AO380" s="1"/>
      <c r="AP380" s="1"/>
      <c r="AQ380" s="1"/>
      <c r="AR380" s="1"/>
      <c r="AS380" s="1"/>
      <c r="AT380" s="1"/>
      <c r="AU380" s="2"/>
      <c r="AV380" s="1"/>
      <c r="AW380" s="1"/>
      <c r="AX380" s="1"/>
      <c r="AY380" s="1"/>
      <c r="AZ380" s="1"/>
      <c r="BA380" s="1"/>
      <c r="BB380" s="1"/>
      <c r="BC380" s="1"/>
      <c r="BD380" s="2"/>
      <c r="BE380" s="1"/>
      <c r="BF380" s="1"/>
      <c r="BG380" s="1"/>
      <c r="BH380" s="1"/>
      <c r="BI380" s="1"/>
      <c r="BJ380" s="1"/>
      <c r="BK380" s="1"/>
      <c r="BL380" s="1"/>
      <c r="BM380" s="2"/>
      <c r="BN380" s="1"/>
      <c r="BO380" s="1"/>
      <c r="BP380" s="1"/>
      <c r="BQ380" s="1"/>
      <c r="BR380" s="1"/>
      <c r="BS380" s="1"/>
      <c r="BT380" s="1"/>
      <c r="BU380" s="1"/>
      <c r="BV380" s="2"/>
      <c r="BW380" s="1"/>
      <c r="BX380" s="1"/>
      <c r="BY380" s="1"/>
      <c r="BZ380" s="1"/>
      <c r="CA380" s="1"/>
      <c r="CB380" s="1"/>
      <c r="CC380" s="1"/>
      <c r="CD380" s="1"/>
      <c r="CE380" s="2"/>
      <c r="CF380" s="1"/>
      <c r="CG380" s="1"/>
      <c r="CH380" s="1"/>
      <c r="CI380" s="1"/>
      <c r="CJ380" s="1"/>
      <c r="CK380" s="1"/>
      <c r="CL380" s="1"/>
    </row>
    <row r="381" spans="1:90" ht="14.65" x14ac:dyDescent="0.4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2"/>
      <c r="L381" s="1"/>
      <c r="M381" s="1"/>
      <c r="N381" s="1"/>
      <c r="O381" s="1"/>
      <c r="P381" s="1"/>
      <c r="Q381" s="1"/>
      <c r="R381" s="1"/>
      <c r="S381" s="1"/>
      <c r="T381" s="2"/>
      <c r="U381" s="1"/>
      <c r="V381" s="1"/>
      <c r="W381" s="1"/>
      <c r="X381" s="1"/>
      <c r="Y381" s="1"/>
      <c r="Z381" s="1"/>
      <c r="AA381" s="1"/>
      <c r="AB381" s="1"/>
      <c r="AC381" s="2"/>
      <c r="AD381" s="1"/>
      <c r="AE381" s="1"/>
      <c r="AF381" s="1"/>
      <c r="AG381" s="1"/>
      <c r="AH381" s="1"/>
      <c r="AI381" s="1"/>
      <c r="AJ381" s="1"/>
      <c r="AK381" s="1"/>
      <c r="AL381" s="2"/>
      <c r="AM381" s="1"/>
      <c r="AN381" s="1"/>
      <c r="AO381" s="1"/>
      <c r="AP381" s="1"/>
      <c r="AQ381" s="1"/>
      <c r="AR381" s="1"/>
      <c r="AS381" s="1"/>
      <c r="AT381" s="1"/>
      <c r="AU381" s="2"/>
      <c r="AV381" s="1"/>
      <c r="AW381" s="1"/>
      <c r="AX381" s="1"/>
      <c r="AY381" s="1"/>
      <c r="AZ381" s="1"/>
      <c r="BA381" s="1"/>
      <c r="BB381" s="1"/>
      <c r="BC381" s="1"/>
      <c r="BD381" s="2"/>
      <c r="BE381" s="1"/>
      <c r="BF381" s="1"/>
      <c r="BG381" s="1"/>
      <c r="BH381" s="1"/>
      <c r="BI381" s="1"/>
      <c r="BJ381" s="1"/>
      <c r="BK381" s="1"/>
      <c r="BL381" s="1"/>
      <c r="BM381" s="2"/>
      <c r="BN381" s="1"/>
      <c r="BO381" s="1"/>
      <c r="BP381" s="1"/>
      <c r="BQ381" s="1"/>
      <c r="BR381" s="1"/>
      <c r="BS381" s="1"/>
      <c r="BT381" s="1"/>
      <c r="BU381" s="1"/>
      <c r="BV381" s="2"/>
      <c r="BW381" s="1"/>
      <c r="BX381" s="1"/>
      <c r="BY381" s="1"/>
      <c r="BZ381" s="1"/>
      <c r="CA381" s="1"/>
      <c r="CB381" s="1"/>
      <c r="CC381" s="1"/>
      <c r="CD381" s="1"/>
      <c r="CE381" s="2"/>
      <c r="CF381" s="1"/>
      <c r="CG381" s="1"/>
      <c r="CH381" s="1"/>
      <c r="CI381" s="1"/>
      <c r="CJ381" s="1"/>
      <c r="CK381" s="1"/>
      <c r="CL381" s="1"/>
    </row>
    <row r="382" spans="1:90" ht="14.65" x14ac:dyDescent="0.4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2"/>
      <c r="L382" s="1"/>
      <c r="M382" s="1"/>
      <c r="N382" s="1"/>
      <c r="O382" s="1"/>
      <c r="P382" s="1"/>
      <c r="Q382" s="1"/>
      <c r="R382" s="1"/>
      <c r="S382" s="1"/>
      <c r="T382" s="2"/>
      <c r="U382" s="1"/>
      <c r="V382" s="1"/>
      <c r="W382" s="1"/>
      <c r="X382" s="1"/>
      <c r="Y382" s="1"/>
      <c r="Z382" s="1"/>
      <c r="AA382" s="1"/>
      <c r="AB382" s="1"/>
      <c r="AC382" s="2"/>
      <c r="AD382" s="1"/>
      <c r="AE382" s="1"/>
      <c r="AF382" s="1"/>
      <c r="AG382" s="1"/>
      <c r="AH382" s="1"/>
      <c r="AI382" s="1"/>
      <c r="AJ382" s="1"/>
      <c r="AK382" s="1"/>
      <c r="AL382" s="2"/>
      <c r="AM382" s="1"/>
      <c r="AN382" s="1"/>
      <c r="AO382" s="1"/>
      <c r="AP382" s="1"/>
      <c r="AQ382" s="1"/>
      <c r="AR382" s="1"/>
      <c r="AS382" s="1"/>
      <c r="AT382" s="1"/>
      <c r="AU382" s="2"/>
      <c r="AV382" s="1"/>
      <c r="AW382" s="1"/>
      <c r="AX382" s="1"/>
      <c r="AY382" s="1"/>
      <c r="AZ382" s="1"/>
      <c r="BA382" s="1"/>
      <c r="BB382" s="1"/>
      <c r="BC382" s="1"/>
      <c r="BD382" s="2"/>
      <c r="BE382" s="1"/>
      <c r="BF382" s="1"/>
      <c r="BG382" s="1"/>
      <c r="BH382" s="1"/>
      <c r="BI382" s="1"/>
      <c r="BJ382" s="1"/>
      <c r="BK382" s="1"/>
      <c r="BL382" s="1"/>
      <c r="BM382" s="2"/>
      <c r="BN382" s="1"/>
      <c r="BO382" s="1"/>
      <c r="BP382" s="1"/>
      <c r="BQ382" s="1"/>
      <c r="BR382" s="1"/>
      <c r="BS382" s="1"/>
      <c r="BT382" s="1"/>
      <c r="BU382" s="1"/>
      <c r="BV382" s="2"/>
      <c r="BW382" s="1"/>
      <c r="BX382" s="1"/>
      <c r="BY382" s="1"/>
      <c r="BZ382" s="1"/>
      <c r="CA382" s="1"/>
      <c r="CB382" s="1"/>
      <c r="CC382" s="1"/>
      <c r="CD382" s="1"/>
      <c r="CE382" s="2"/>
      <c r="CF382" s="1"/>
      <c r="CG382" s="1"/>
      <c r="CH382" s="1"/>
      <c r="CI382" s="1"/>
      <c r="CJ382" s="1"/>
      <c r="CK382" s="1"/>
      <c r="CL382" s="1"/>
    </row>
    <row r="383" spans="1:90" ht="14.65" x14ac:dyDescent="0.4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2"/>
      <c r="L383" s="1"/>
      <c r="M383" s="1"/>
      <c r="N383" s="1"/>
      <c r="O383" s="1"/>
      <c r="P383" s="1"/>
      <c r="Q383" s="1"/>
      <c r="R383" s="1"/>
      <c r="S383" s="1"/>
      <c r="T383" s="2"/>
      <c r="U383" s="1"/>
      <c r="V383" s="1"/>
      <c r="W383" s="1"/>
      <c r="X383" s="1"/>
      <c r="Y383" s="1"/>
      <c r="Z383" s="1"/>
      <c r="AA383" s="1"/>
      <c r="AB383" s="1"/>
      <c r="AC383" s="2"/>
      <c r="AD383" s="1"/>
      <c r="AE383" s="1"/>
      <c r="AF383" s="1"/>
      <c r="AG383" s="1"/>
      <c r="AH383" s="1"/>
      <c r="AI383" s="1"/>
      <c r="AJ383" s="1"/>
      <c r="AK383" s="1"/>
      <c r="AL383" s="2"/>
      <c r="AM383" s="1"/>
      <c r="AN383" s="1"/>
      <c r="AO383" s="1"/>
      <c r="AP383" s="1"/>
      <c r="AQ383" s="1"/>
      <c r="AR383" s="1"/>
      <c r="AS383" s="1"/>
      <c r="AT383" s="1"/>
      <c r="AU383" s="2"/>
      <c r="AV383" s="1"/>
      <c r="AW383" s="1"/>
      <c r="AX383" s="1"/>
      <c r="AY383" s="1"/>
      <c r="AZ383" s="1"/>
      <c r="BA383" s="1"/>
      <c r="BB383" s="1"/>
      <c r="BC383" s="1"/>
      <c r="BD383" s="2"/>
      <c r="BE383" s="1"/>
      <c r="BF383" s="1"/>
      <c r="BG383" s="1"/>
      <c r="BH383" s="1"/>
      <c r="BI383" s="1"/>
      <c r="BJ383" s="1"/>
      <c r="BK383" s="1"/>
      <c r="BL383" s="1"/>
      <c r="BM383" s="2"/>
      <c r="BN383" s="1"/>
      <c r="BO383" s="1"/>
      <c r="BP383" s="1"/>
      <c r="BQ383" s="1"/>
      <c r="BR383" s="1"/>
      <c r="BS383" s="1"/>
      <c r="BT383" s="1"/>
      <c r="BU383" s="1"/>
      <c r="BV383" s="2"/>
      <c r="BW383" s="1"/>
      <c r="BX383" s="1"/>
      <c r="BY383" s="1"/>
      <c r="BZ383" s="1"/>
      <c r="CA383" s="1"/>
      <c r="CB383" s="1"/>
      <c r="CC383" s="1"/>
      <c r="CD383" s="1"/>
      <c r="CE383" s="2"/>
      <c r="CF383" s="1"/>
      <c r="CG383" s="1"/>
      <c r="CH383" s="1"/>
      <c r="CI383" s="1"/>
      <c r="CJ383" s="1"/>
      <c r="CK383" s="1"/>
      <c r="CL383" s="1"/>
    </row>
    <row r="384" spans="1:90" ht="14.65" x14ac:dyDescent="0.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2"/>
      <c r="L384" s="1"/>
      <c r="M384" s="1"/>
      <c r="N384" s="1"/>
      <c r="O384" s="1"/>
      <c r="P384" s="1"/>
      <c r="Q384" s="1"/>
      <c r="R384" s="1"/>
      <c r="S384" s="1"/>
      <c r="T384" s="2"/>
      <c r="U384" s="1"/>
      <c r="V384" s="1"/>
      <c r="W384" s="1"/>
      <c r="X384" s="1"/>
      <c r="Y384" s="1"/>
      <c r="Z384" s="1"/>
      <c r="AA384" s="1"/>
      <c r="AB384" s="1"/>
      <c r="AC384" s="2"/>
      <c r="AD384" s="1"/>
      <c r="AE384" s="1"/>
      <c r="AF384" s="1"/>
      <c r="AG384" s="1"/>
      <c r="AH384" s="1"/>
      <c r="AI384" s="1"/>
      <c r="AJ384" s="1"/>
      <c r="AK384" s="1"/>
      <c r="AL384" s="2"/>
      <c r="AM384" s="1"/>
      <c r="AN384" s="1"/>
      <c r="AO384" s="1"/>
      <c r="AP384" s="1"/>
      <c r="AQ384" s="1"/>
      <c r="AR384" s="1"/>
      <c r="AS384" s="1"/>
      <c r="AT384" s="1"/>
      <c r="AU384" s="2"/>
      <c r="AV384" s="1"/>
      <c r="AW384" s="1"/>
      <c r="AX384" s="1"/>
      <c r="AY384" s="1"/>
      <c r="AZ384" s="1"/>
      <c r="BA384" s="1"/>
      <c r="BB384" s="1"/>
      <c r="BC384" s="1"/>
      <c r="BD384" s="2"/>
      <c r="BE384" s="1"/>
      <c r="BF384" s="1"/>
      <c r="BG384" s="1"/>
      <c r="BH384" s="1"/>
      <c r="BI384" s="1"/>
      <c r="BJ384" s="1"/>
      <c r="BK384" s="1"/>
      <c r="BL384" s="1"/>
      <c r="BM384" s="2"/>
      <c r="BN384" s="1"/>
      <c r="BO384" s="1"/>
      <c r="BP384" s="1"/>
      <c r="BQ384" s="1"/>
      <c r="BR384" s="1"/>
      <c r="BS384" s="1"/>
      <c r="BT384" s="1"/>
      <c r="BU384" s="1"/>
      <c r="BV384" s="2"/>
      <c r="BW384" s="1"/>
      <c r="BX384" s="1"/>
      <c r="BY384" s="1"/>
      <c r="BZ384" s="1"/>
      <c r="CA384" s="1"/>
      <c r="CB384" s="1"/>
      <c r="CC384" s="1"/>
      <c r="CD384" s="1"/>
      <c r="CE384" s="2"/>
      <c r="CF384" s="1"/>
      <c r="CG384" s="1"/>
      <c r="CH384" s="1"/>
      <c r="CI384" s="1"/>
      <c r="CJ384" s="1"/>
      <c r="CK384" s="1"/>
      <c r="CL384" s="1"/>
    </row>
    <row r="385" spans="1:90" ht="14.65" x14ac:dyDescent="0.4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2"/>
      <c r="L385" s="1"/>
      <c r="M385" s="1"/>
      <c r="N385" s="1"/>
      <c r="O385" s="1"/>
      <c r="P385" s="1"/>
      <c r="Q385" s="1"/>
      <c r="R385" s="1"/>
      <c r="S385" s="1"/>
      <c r="T385" s="2"/>
      <c r="U385" s="1"/>
      <c r="V385" s="1"/>
      <c r="W385" s="1"/>
      <c r="X385" s="1"/>
      <c r="Y385" s="1"/>
      <c r="Z385" s="1"/>
      <c r="AA385" s="1"/>
      <c r="AB385" s="1"/>
      <c r="AC385" s="2"/>
      <c r="AD385" s="1"/>
      <c r="AE385" s="1"/>
      <c r="AF385" s="1"/>
      <c r="AG385" s="1"/>
      <c r="AH385" s="1"/>
      <c r="AI385" s="1"/>
      <c r="AJ385" s="1"/>
      <c r="AK385" s="1"/>
      <c r="AL385" s="2"/>
      <c r="AM385" s="1"/>
      <c r="AN385" s="1"/>
      <c r="AO385" s="1"/>
      <c r="AP385" s="1"/>
      <c r="AQ385" s="1"/>
      <c r="AR385" s="1"/>
      <c r="AS385" s="1"/>
      <c r="AT385" s="1"/>
      <c r="AU385" s="2"/>
      <c r="AV385" s="1"/>
      <c r="AW385" s="1"/>
      <c r="AX385" s="1"/>
      <c r="AY385" s="1"/>
      <c r="AZ385" s="1"/>
      <c r="BA385" s="1"/>
      <c r="BB385" s="1"/>
      <c r="BC385" s="1"/>
      <c r="BD385" s="2"/>
      <c r="BE385" s="1"/>
      <c r="BF385" s="1"/>
      <c r="BG385" s="1"/>
      <c r="BH385" s="1"/>
      <c r="BI385" s="1"/>
      <c r="BJ385" s="1"/>
      <c r="BK385" s="1"/>
      <c r="BL385" s="1"/>
      <c r="BM385" s="2"/>
      <c r="BN385" s="1"/>
      <c r="BO385" s="1"/>
      <c r="BP385" s="1"/>
      <c r="BQ385" s="1"/>
      <c r="BR385" s="1"/>
      <c r="BS385" s="1"/>
      <c r="BT385" s="1"/>
      <c r="BU385" s="1"/>
      <c r="BV385" s="2"/>
      <c r="BW385" s="1"/>
      <c r="BX385" s="1"/>
      <c r="BY385" s="1"/>
      <c r="BZ385" s="1"/>
      <c r="CA385" s="1"/>
      <c r="CB385" s="1"/>
      <c r="CC385" s="1"/>
      <c r="CD385" s="1"/>
      <c r="CE385" s="2"/>
      <c r="CF385" s="1"/>
      <c r="CG385" s="1"/>
      <c r="CH385" s="1"/>
      <c r="CI385" s="1"/>
      <c r="CJ385" s="1"/>
      <c r="CK385" s="1"/>
      <c r="CL385" s="1"/>
    </row>
    <row r="386" spans="1:90" ht="14.65" x14ac:dyDescent="0.4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2"/>
      <c r="L386" s="1"/>
      <c r="M386" s="1"/>
      <c r="N386" s="1"/>
      <c r="O386" s="1"/>
      <c r="P386" s="1"/>
      <c r="Q386" s="1"/>
      <c r="R386" s="1"/>
      <c r="S386" s="1"/>
      <c r="T386" s="2"/>
      <c r="U386" s="1"/>
      <c r="V386" s="1"/>
      <c r="W386" s="1"/>
      <c r="X386" s="1"/>
      <c r="Y386" s="1"/>
      <c r="Z386" s="1"/>
      <c r="AA386" s="1"/>
      <c r="AB386" s="1"/>
      <c r="AC386" s="2"/>
      <c r="AD386" s="1"/>
      <c r="AE386" s="1"/>
      <c r="AF386" s="1"/>
      <c r="AG386" s="1"/>
      <c r="AH386" s="1"/>
      <c r="AI386" s="1"/>
      <c r="AJ386" s="1"/>
      <c r="AK386" s="1"/>
      <c r="AL386" s="2"/>
      <c r="AM386" s="1"/>
      <c r="AN386" s="1"/>
      <c r="AO386" s="1"/>
      <c r="AP386" s="1"/>
      <c r="AQ386" s="1"/>
      <c r="AR386" s="1"/>
      <c r="AS386" s="1"/>
      <c r="AT386" s="1"/>
      <c r="AU386" s="2"/>
      <c r="AV386" s="1"/>
      <c r="AW386" s="1"/>
      <c r="AX386" s="1"/>
      <c r="AY386" s="1"/>
      <c r="AZ386" s="1"/>
      <c r="BA386" s="1"/>
      <c r="BB386" s="1"/>
      <c r="BC386" s="1"/>
      <c r="BD386" s="2"/>
      <c r="BE386" s="1"/>
      <c r="BF386" s="1"/>
      <c r="BG386" s="1"/>
      <c r="BH386" s="1"/>
      <c r="BI386" s="1"/>
      <c r="BJ386" s="1"/>
      <c r="BK386" s="1"/>
      <c r="BL386" s="1"/>
      <c r="BM386" s="2"/>
      <c r="BN386" s="1"/>
      <c r="BO386" s="1"/>
      <c r="BP386" s="1"/>
      <c r="BQ386" s="1"/>
      <c r="BR386" s="1"/>
      <c r="BS386" s="1"/>
      <c r="BT386" s="1"/>
      <c r="BU386" s="1"/>
      <c r="BV386" s="2"/>
      <c r="BW386" s="1"/>
      <c r="BX386" s="1"/>
      <c r="BY386" s="1"/>
      <c r="BZ386" s="1"/>
      <c r="CA386" s="1"/>
      <c r="CB386" s="1"/>
      <c r="CC386" s="1"/>
      <c r="CD386" s="1"/>
      <c r="CE386" s="2"/>
      <c r="CF386" s="1"/>
      <c r="CG386" s="1"/>
      <c r="CH386" s="1"/>
      <c r="CI386" s="1"/>
      <c r="CJ386" s="1"/>
      <c r="CK386" s="1"/>
      <c r="CL386" s="1"/>
    </row>
    <row r="387" spans="1:90" ht="14.65" x14ac:dyDescent="0.4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2"/>
      <c r="L387" s="1"/>
      <c r="M387" s="1"/>
      <c r="N387" s="1"/>
      <c r="O387" s="1"/>
      <c r="P387" s="1"/>
      <c r="Q387" s="1"/>
      <c r="R387" s="1"/>
      <c r="S387" s="1"/>
      <c r="T387" s="2"/>
      <c r="U387" s="1"/>
      <c r="V387" s="1"/>
      <c r="W387" s="1"/>
      <c r="X387" s="1"/>
      <c r="Y387" s="1"/>
      <c r="Z387" s="1"/>
      <c r="AA387" s="1"/>
      <c r="AB387" s="1"/>
      <c r="AC387" s="2"/>
      <c r="AD387" s="1"/>
      <c r="AE387" s="1"/>
      <c r="AF387" s="1"/>
      <c r="AG387" s="1"/>
      <c r="AH387" s="1"/>
      <c r="AI387" s="1"/>
      <c r="AJ387" s="1"/>
      <c r="AK387" s="1"/>
      <c r="AL387" s="2"/>
      <c r="AM387" s="1"/>
      <c r="AN387" s="1"/>
      <c r="AO387" s="1"/>
      <c r="AP387" s="1"/>
      <c r="AQ387" s="1"/>
      <c r="AR387" s="1"/>
      <c r="AS387" s="1"/>
      <c r="AT387" s="1"/>
      <c r="AU387" s="2"/>
      <c r="AV387" s="1"/>
      <c r="AW387" s="1"/>
      <c r="AX387" s="1"/>
      <c r="AY387" s="1"/>
      <c r="AZ387" s="1"/>
      <c r="BA387" s="1"/>
      <c r="BB387" s="1"/>
      <c r="BC387" s="1"/>
      <c r="BD387" s="2"/>
      <c r="BE387" s="1"/>
      <c r="BF387" s="1"/>
      <c r="BG387" s="1"/>
      <c r="BH387" s="1"/>
      <c r="BI387" s="1"/>
      <c r="BJ387" s="1"/>
      <c r="BK387" s="1"/>
      <c r="BL387" s="1"/>
      <c r="BM387" s="2"/>
      <c r="BN387" s="1"/>
      <c r="BO387" s="1"/>
      <c r="BP387" s="1"/>
      <c r="BQ387" s="1"/>
      <c r="BR387" s="1"/>
      <c r="BS387" s="1"/>
      <c r="BT387" s="1"/>
      <c r="BU387" s="1"/>
      <c r="BV387" s="2"/>
      <c r="BW387" s="1"/>
      <c r="BX387" s="1"/>
      <c r="BY387" s="1"/>
      <c r="BZ387" s="1"/>
      <c r="CA387" s="1"/>
      <c r="CB387" s="1"/>
      <c r="CC387" s="1"/>
      <c r="CD387" s="1"/>
      <c r="CE387" s="2"/>
      <c r="CF387" s="1"/>
      <c r="CG387" s="1"/>
      <c r="CH387" s="1"/>
      <c r="CI387" s="1"/>
      <c r="CJ387" s="1"/>
      <c r="CK387" s="1"/>
      <c r="CL387" s="1"/>
    </row>
    <row r="388" spans="1:90" ht="14.65" x14ac:dyDescent="0.4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2"/>
      <c r="L388" s="1"/>
      <c r="M388" s="1"/>
      <c r="N388" s="1"/>
      <c r="O388" s="1"/>
      <c r="P388" s="1"/>
      <c r="Q388" s="1"/>
      <c r="R388" s="1"/>
      <c r="S388" s="1"/>
      <c r="T388" s="2"/>
      <c r="U388" s="1"/>
      <c r="V388" s="1"/>
      <c r="W388" s="1"/>
      <c r="X388" s="1"/>
      <c r="Y388" s="1"/>
      <c r="Z388" s="1"/>
      <c r="AA388" s="1"/>
      <c r="AB388" s="1"/>
      <c r="AC388" s="2"/>
      <c r="AD388" s="1"/>
      <c r="AE388" s="1"/>
      <c r="AF388" s="1"/>
      <c r="AG388" s="1"/>
      <c r="AH388" s="1"/>
      <c r="AI388" s="1"/>
      <c r="AJ388" s="1"/>
      <c r="AK388" s="1"/>
      <c r="AL388" s="2"/>
      <c r="AM388" s="1"/>
      <c r="AN388" s="1"/>
      <c r="AO388" s="1"/>
      <c r="AP388" s="1"/>
      <c r="AQ388" s="1"/>
      <c r="AR388" s="1"/>
      <c r="AS388" s="1"/>
      <c r="AT388" s="1"/>
      <c r="AU388" s="2"/>
      <c r="AV388" s="1"/>
      <c r="AW388" s="1"/>
      <c r="AX388" s="1"/>
      <c r="AY388" s="1"/>
      <c r="AZ388" s="1"/>
      <c r="BA388" s="1"/>
      <c r="BB388" s="1"/>
      <c r="BC388" s="1"/>
      <c r="BD388" s="2"/>
      <c r="BE388" s="1"/>
      <c r="BF388" s="1"/>
      <c r="BG388" s="1"/>
      <c r="BH388" s="1"/>
      <c r="BI388" s="1"/>
      <c r="BJ388" s="1"/>
      <c r="BK388" s="1"/>
      <c r="BL388" s="1"/>
      <c r="BM388" s="2"/>
      <c r="BN388" s="1"/>
      <c r="BO388" s="1"/>
      <c r="BP388" s="1"/>
      <c r="BQ388" s="1"/>
      <c r="BR388" s="1"/>
      <c r="BS388" s="1"/>
      <c r="BT388" s="1"/>
      <c r="BU388" s="1"/>
      <c r="BV388" s="2"/>
      <c r="BW388" s="1"/>
      <c r="BX388" s="1"/>
      <c r="BY388" s="1"/>
      <c r="BZ388" s="1"/>
      <c r="CA388" s="1"/>
      <c r="CB388" s="1"/>
      <c r="CC388" s="1"/>
      <c r="CD388" s="1"/>
      <c r="CE388" s="2"/>
      <c r="CF388" s="1"/>
      <c r="CG388" s="1"/>
      <c r="CH388" s="1"/>
      <c r="CI388" s="1"/>
      <c r="CJ388" s="1"/>
      <c r="CK388" s="1"/>
      <c r="CL388" s="1"/>
    </row>
    <row r="389" spans="1:90" ht="14.65" x14ac:dyDescent="0.4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2"/>
      <c r="L389" s="1"/>
      <c r="M389" s="1"/>
      <c r="N389" s="1"/>
      <c r="O389" s="1"/>
      <c r="P389" s="1"/>
      <c r="Q389" s="1"/>
      <c r="R389" s="1"/>
      <c r="S389" s="1"/>
      <c r="T389" s="2"/>
      <c r="U389" s="1"/>
      <c r="V389" s="1"/>
      <c r="W389" s="1"/>
      <c r="X389" s="1"/>
      <c r="Y389" s="1"/>
      <c r="Z389" s="1"/>
      <c r="AA389" s="1"/>
      <c r="AB389" s="1"/>
      <c r="AC389" s="2"/>
      <c r="AD389" s="1"/>
      <c r="AE389" s="1"/>
      <c r="AF389" s="1"/>
      <c r="AG389" s="1"/>
      <c r="AH389" s="1"/>
      <c r="AI389" s="1"/>
      <c r="AJ389" s="1"/>
      <c r="AK389" s="1"/>
      <c r="AL389" s="2"/>
      <c r="AM389" s="1"/>
      <c r="AN389" s="1"/>
      <c r="AO389" s="1"/>
      <c r="AP389" s="1"/>
      <c r="AQ389" s="1"/>
      <c r="AR389" s="1"/>
      <c r="AS389" s="1"/>
      <c r="AT389" s="1"/>
      <c r="AU389" s="2"/>
      <c r="AV389" s="1"/>
      <c r="AW389" s="1"/>
      <c r="AX389" s="1"/>
      <c r="AY389" s="1"/>
      <c r="AZ389" s="1"/>
      <c r="BA389" s="1"/>
      <c r="BB389" s="1"/>
      <c r="BC389" s="1"/>
      <c r="BD389" s="2"/>
      <c r="BE389" s="1"/>
      <c r="BF389" s="1"/>
      <c r="BG389" s="1"/>
      <c r="BH389" s="1"/>
      <c r="BI389" s="1"/>
      <c r="BJ389" s="1"/>
      <c r="BK389" s="1"/>
      <c r="BL389" s="1"/>
      <c r="BM389" s="2"/>
      <c r="BN389" s="1"/>
      <c r="BO389" s="1"/>
      <c r="BP389" s="1"/>
      <c r="BQ389" s="1"/>
      <c r="BR389" s="1"/>
      <c r="BS389" s="1"/>
      <c r="BT389" s="1"/>
      <c r="BU389" s="1"/>
      <c r="BV389" s="2"/>
      <c r="BW389" s="1"/>
      <c r="BX389" s="1"/>
      <c r="BY389" s="1"/>
      <c r="BZ389" s="1"/>
      <c r="CA389" s="1"/>
      <c r="CB389" s="1"/>
      <c r="CC389" s="1"/>
      <c r="CD389" s="1"/>
      <c r="CE389" s="2"/>
      <c r="CF389" s="1"/>
      <c r="CG389" s="1"/>
      <c r="CH389" s="1"/>
      <c r="CI389" s="1"/>
      <c r="CJ389" s="1"/>
      <c r="CK389" s="1"/>
      <c r="CL389" s="1"/>
    </row>
    <row r="390" spans="1:90" ht="14.65" x14ac:dyDescent="0.4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2"/>
      <c r="L390" s="1"/>
      <c r="M390" s="1"/>
      <c r="N390" s="1"/>
      <c r="O390" s="1"/>
      <c r="P390" s="1"/>
      <c r="Q390" s="1"/>
      <c r="R390" s="1"/>
      <c r="S390" s="1"/>
      <c r="T390" s="2"/>
      <c r="U390" s="1"/>
      <c r="V390" s="1"/>
      <c r="W390" s="1"/>
      <c r="X390" s="1"/>
      <c r="Y390" s="1"/>
      <c r="Z390" s="1"/>
      <c r="AA390" s="1"/>
      <c r="AB390" s="1"/>
      <c r="AC390" s="2"/>
      <c r="AD390" s="1"/>
      <c r="AE390" s="1"/>
      <c r="AF390" s="1"/>
      <c r="AG390" s="1"/>
      <c r="AH390" s="1"/>
      <c r="AI390" s="1"/>
      <c r="AJ390" s="1"/>
      <c r="AK390" s="1"/>
      <c r="AL390" s="2"/>
      <c r="AM390" s="1"/>
      <c r="AN390" s="1"/>
      <c r="AO390" s="1"/>
      <c r="AP390" s="1"/>
      <c r="AQ390" s="1"/>
      <c r="AR390" s="1"/>
      <c r="AS390" s="1"/>
      <c r="AT390" s="1"/>
      <c r="AU390" s="2"/>
      <c r="AV390" s="1"/>
      <c r="AW390" s="1"/>
      <c r="AX390" s="1"/>
      <c r="AY390" s="1"/>
      <c r="AZ390" s="1"/>
      <c r="BA390" s="1"/>
      <c r="BB390" s="1"/>
      <c r="BC390" s="1"/>
      <c r="BD390" s="2"/>
      <c r="BE390" s="1"/>
      <c r="BF390" s="1"/>
      <c r="BG390" s="1"/>
      <c r="BH390" s="1"/>
      <c r="BI390" s="1"/>
      <c r="BJ390" s="1"/>
      <c r="BK390" s="1"/>
      <c r="BL390" s="1"/>
      <c r="BM390" s="2"/>
      <c r="BN390" s="1"/>
      <c r="BO390" s="1"/>
      <c r="BP390" s="1"/>
      <c r="BQ390" s="1"/>
      <c r="BR390" s="1"/>
      <c r="BS390" s="1"/>
      <c r="BT390" s="1"/>
      <c r="BU390" s="1"/>
      <c r="BV390" s="2"/>
      <c r="BW390" s="1"/>
      <c r="BX390" s="1"/>
      <c r="BY390" s="1"/>
      <c r="BZ390" s="1"/>
      <c r="CA390" s="1"/>
      <c r="CB390" s="1"/>
      <c r="CC390" s="1"/>
      <c r="CD390" s="1"/>
      <c r="CE390" s="2"/>
      <c r="CF390" s="1"/>
      <c r="CG390" s="1"/>
      <c r="CH390" s="1"/>
      <c r="CI390" s="1"/>
      <c r="CJ390" s="1"/>
      <c r="CK390" s="1"/>
      <c r="CL390" s="1"/>
    </row>
    <row r="391" spans="1:90" ht="14.65" x14ac:dyDescent="0.4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2"/>
      <c r="L391" s="1"/>
      <c r="M391" s="1"/>
      <c r="N391" s="1"/>
      <c r="O391" s="1"/>
      <c r="P391" s="1"/>
      <c r="Q391" s="1"/>
      <c r="R391" s="1"/>
      <c r="S391" s="1"/>
      <c r="T391" s="2"/>
      <c r="U391" s="1"/>
      <c r="V391" s="1"/>
      <c r="W391" s="1"/>
      <c r="X391" s="1"/>
      <c r="Y391" s="1"/>
      <c r="Z391" s="1"/>
      <c r="AA391" s="1"/>
      <c r="AB391" s="1"/>
      <c r="AC391" s="2"/>
      <c r="AD391" s="1"/>
      <c r="AE391" s="1"/>
      <c r="AF391" s="1"/>
      <c r="AG391" s="1"/>
      <c r="AH391" s="1"/>
      <c r="AI391" s="1"/>
      <c r="AJ391" s="1"/>
      <c r="AK391" s="1"/>
      <c r="AL391" s="2"/>
      <c r="AM391" s="1"/>
      <c r="AN391" s="1"/>
      <c r="AO391" s="1"/>
      <c r="AP391" s="1"/>
      <c r="AQ391" s="1"/>
      <c r="AR391" s="1"/>
      <c r="AS391" s="1"/>
      <c r="AT391" s="1"/>
      <c r="AU391" s="2"/>
      <c r="AV391" s="1"/>
      <c r="AW391" s="1"/>
      <c r="AX391" s="1"/>
      <c r="AY391" s="1"/>
      <c r="AZ391" s="1"/>
      <c r="BA391" s="1"/>
      <c r="BB391" s="1"/>
      <c r="BC391" s="1"/>
      <c r="BD391" s="2"/>
      <c r="BE391" s="1"/>
      <c r="BF391" s="1"/>
      <c r="BG391" s="1"/>
      <c r="BH391" s="1"/>
      <c r="BI391" s="1"/>
      <c r="BJ391" s="1"/>
      <c r="BK391" s="1"/>
      <c r="BL391" s="1"/>
      <c r="BM391" s="2"/>
      <c r="BN391" s="1"/>
      <c r="BO391" s="1"/>
      <c r="BP391" s="1"/>
      <c r="BQ391" s="1"/>
      <c r="BR391" s="1"/>
      <c r="BS391" s="1"/>
      <c r="BT391" s="1"/>
      <c r="BU391" s="1"/>
      <c r="BV391" s="2"/>
      <c r="BW391" s="1"/>
      <c r="BX391" s="1"/>
      <c r="BY391" s="1"/>
      <c r="BZ391" s="1"/>
      <c r="CA391" s="1"/>
      <c r="CB391" s="1"/>
      <c r="CC391" s="1"/>
      <c r="CD391" s="1"/>
      <c r="CE391" s="2"/>
      <c r="CF391" s="1"/>
      <c r="CG391" s="1"/>
      <c r="CH391" s="1"/>
      <c r="CI391" s="1"/>
      <c r="CJ391" s="1"/>
      <c r="CK391" s="1"/>
      <c r="CL391" s="1"/>
    </row>
    <row r="392" spans="1:90" ht="14.65" x14ac:dyDescent="0.4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2"/>
      <c r="L392" s="1"/>
      <c r="M392" s="1"/>
      <c r="N392" s="1"/>
      <c r="O392" s="1"/>
      <c r="P392" s="1"/>
      <c r="Q392" s="1"/>
      <c r="R392" s="1"/>
      <c r="S392" s="1"/>
      <c r="T392" s="2"/>
      <c r="U392" s="1"/>
      <c r="V392" s="1"/>
      <c r="W392" s="1"/>
      <c r="X392" s="1"/>
      <c r="Y392" s="1"/>
      <c r="Z392" s="1"/>
      <c r="AA392" s="1"/>
      <c r="AB392" s="1"/>
      <c r="AC392" s="2"/>
      <c r="AD392" s="1"/>
      <c r="AE392" s="1"/>
      <c r="AF392" s="1"/>
      <c r="AG392" s="1"/>
      <c r="AH392" s="1"/>
      <c r="AI392" s="1"/>
      <c r="AJ392" s="1"/>
      <c r="AK392" s="1"/>
      <c r="AL392" s="2"/>
      <c r="AM392" s="1"/>
      <c r="AN392" s="1"/>
      <c r="AO392" s="1"/>
      <c r="AP392" s="1"/>
      <c r="AQ392" s="1"/>
      <c r="AR392" s="1"/>
      <c r="AS392" s="1"/>
      <c r="AT392" s="1"/>
      <c r="AU392" s="2"/>
      <c r="AV392" s="1"/>
      <c r="AW392" s="1"/>
      <c r="AX392" s="1"/>
      <c r="AY392" s="1"/>
      <c r="AZ392" s="1"/>
      <c r="BA392" s="1"/>
      <c r="BB392" s="1"/>
      <c r="BC392" s="1"/>
      <c r="BD392" s="2"/>
      <c r="BE392" s="1"/>
      <c r="BF392" s="1"/>
      <c r="BG392" s="1"/>
      <c r="BH392" s="1"/>
      <c r="BI392" s="1"/>
      <c r="BJ392" s="1"/>
      <c r="BK392" s="1"/>
      <c r="BL392" s="1"/>
      <c r="BM392" s="2"/>
      <c r="BN392" s="1"/>
      <c r="BO392" s="1"/>
      <c r="BP392" s="1"/>
      <c r="BQ392" s="1"/>
      <c r="BR392" s="1"/>
      <c r="BS392" s="1"/>
      <c r="BT392" s="1"/>
      <c r="BU392" s="1"/>
      <c r="BV392" s="2"/>
      <c r="BW392" s="1"/>
      <c r="BX392" s="1"/>
      <c r="BY392" s="1"/>
      <c r="BZ392" s="1"/>
      <c r="CA392" s="1"/>
      <c r="CB392" s="1"/>
      <c r="CC392" s="1"/>
      <c r="CD392" s="1"/>
      <c r="CE392" s="2"/>
      <c r="CF392" s="1"/>
      <c r="CG392" s="1"/>
      <c r="CH392" s="1"/>
      <c r="CI392" s="1"/>
      <c r="CJ392" s="1"/>
      <c r="CK392" s="1"/>
      <c r="CL392" s="1"/>
    </row>
    <row r="393" spans="1:90" ht="14.65" x14ac:dyDescent="0.4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2"/>
      <c r="L393" s="1"/>
      <c r="M393" s="1"/>
      <c r="N393" s="1"/>
      <c r="O393" s="1"/>
      <c r="P393" s="1"/>
      <c r="Q393" s="1"/>
      <c r="R393" s="1"/>
      <c r="S393" s="1"/>
      <c r="T393" s="2"/>
      <c r="U393" s="1"/>
      <c r="V393" s="1"/>
      <c r="W393" s="1"/>
      <c r="X393" s="1"/>
      <c r="Y393" s="1"/>
      <c r="Z393" s="1"/>
      <c r="AA393" s="1"/>
      <c r="AB393" s="1"/>
      <c r="AC393" s="2"/>
      <c r="AD393" s="1"/>
      <c r="AE393" s="1"/>
      <c r="AF393" s="1"/>
      <c r="AG393" s="1"/>
      <c r="AH393" s="1"/>
      <c r="AI393" s="1"/>
      <c r="AJ393" s="1"/>
      <c r="AK393" s="1"/>
      <c r="AL393" s="2"/>
      <c r="AM393" s="1"/>
      <c r="AN393" s="1"/>
      <c r="AO393" s="1"/>
      <c r="AP393" s="1"/>
      <c r="AQ393" s="1"/>
      <c r="AR393" s="1"/>
      <c r="AS393" s="1"/>
      <c r="AT393" s="1"/>
      <c r="AU393" s="2"/>
      <c r="AV393" s="1"/>
      <c r="AW393" s="1"/>
      <c r="AX393" s="1"/>
      <c r="AY393" s="1"/>
      <c r="AZ393" s="1"/>
      <c r="BA393" s="1"/>
      <c r="BB393" s="1"/>
      <c r="BC393" s="1"/>
      <c r="BD393" s="2"/>
      <c r="BE393" s="1"/>
      <c r="BF393" s="1"/>
      <c r="BG393" s="1"/>
      <c r="BH393" s="1"/>
      <c r="BI393" s="1"/>
      <c r="BJ393" s="1"/>
      <c r="BK393" s="1"/>
      <c r="BL393" s="1"/>
      <c r="BM393" s="2"/>
      <c r="BN393" s="1"/>
      <c r="BO393" s="1"/>
      <c r="BP393" s="1"/>
      <c r="BQ393" s="1"/>
      <c r="BR393" s="1"/>
      <c r="BS393" s="1"/>
      <c r="BT393" s="1"/>
      <c r="BU393" s="1"/>
      <c r="BV393" s="2"/>
      <c r="BW393" s="1"/>
      <c r="BX393" s="1"/>
      <c r="BY393" s="1"/>
      <c r="BZ393" s="1"/>
      <c r="CA393" s="1"/>
      <c r="CB393" s="1"/>
      <c r="CC393" s="1"/>
      <c r="CD393" s="1"/>
      <c r="CE393" s="2"/>
      <c r="CF393" s="1"/>
      <c r="CG393" s="1"/>
      <c r="CH393" s="1"/>
      <c r="CI393" s="1"/>
      <c r="CJ393" s="1"/>
      <c r="CK393" s="1"/>
      <c r="CL393" s="1"/>
    </row>
    <row r="394" spans="1:90" ht="14.65" x14ac:dyDescent="0.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2"/>
      <c r="L394" s="1"/>
      <c r="M394" s="1"/>
      <c r="N394" s="1"/>
      <c r="O394" s="1"/>
      <c r="P394" s="1"/>
      <c r="Q394" s="1"/>
      <c r="R394" s="1"/>
      <c r="S394" s="1"/>
      <c r="T394" s="2"/>
      <c r="U394" s="1"/>
      <c r="V394" s="1"/>
      <c r="W394" s="1"/>
      <c r="X394" s="1"/>
      <c r="Y394" s="1"/>
      <c r="Z394" s="1"/>
      <c r="AA394" s="1"/>
      <c r="AB394" s="1"/>
      <c r="AC394" s="2"/>
      <c r="AD394" s="1"/>
      <c r="AE394" s="1"/>
      <c r="AF394" s="1"/>
      <c r="AG394" s="1"/>
      <c r="AH394" s="1"/>
      <c r="AI394" s="1"/>
      <c r="AJ394" s="1"/>
      <c r="AK394" s="1"/>
      <c r="AL394" s="2"/>
      <c r="AM394" s="1"/>
      <c r="AN394" s="1"/>
      <c r="AO394" s="1"/>
      <c r="AP394" s="1"/>
      <c r="AQ394" s="1"/>
      <c r="AR394" s="1"/>
      <c r="AS394" s="1"/>
      <c r="AT394" s="1"/>
      <c r="AU394" s="2"/>
      <c r="AV394" s="1"/>
      <c r="AW394" s="1"/>
      <c r="AX394" s="1"/>
      <c r="AY394" s="1"/>
      <c r="AZ394" s="1"/>
      <c r="BA394" s="1"/>
      <c r="BB394" s="1"/>
      <c r="BC394" s="1"/>
      <c r="BD394" s="2"/>
      <c r="BE394" s="1"/>
      <c r="BF394" s="1"/>
      <c r="BG394" s="1"/>
      <c r="BH394" s="1"/>
      <c r="BI394" s="1"/>
      <c r="BJ394" s="1"/>
      <c r="BK394" s="1"/>
      <c r="BL394" s="1"/>
      <c r="BM394" s="2"/>
      <c r="BN394" s="1"/>
      <c r="BO394" s="1"/>
      <c r="BP394" s="1"/>
      <c r="BQ394" s="1"/>
      <c r="BR394" s="1"/>
      <c r="BS394" s="1"/>
      <c r="BT394" s="1"/>
      <c r="BU394" s="1"/>
      <c r="BV394" s="2"/>
      <c r="BW394" s="1"/>
      <c r="BX394" s="1"/>
      <c r="BY394" s="1"/>
      <c r="BZ394" s="1"/>
      <c r="CA394" s="1"/>
      <c r="CB394" s="1"/>
      <c r="CC394" s="1"/>
      <c r="CD394" s="1"/>
      <c r="CE394" s="2"/>
      <c r="CF394" s="1"/>
      <c r="CG394" s="1"/>
      <c r="CH394" s="1"/>
      <c r="CI394" s="1"/>
      <c r="CJ394" s="1"/>
      <c r="CK394" s="1"/>
      <c r="CL394" s="1"/>
    </row>
    <row r="395" spans="1:90" ht="14.65" x14ac:dyDescent="0.4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2"/>
      <c r="L395" s="1"/>
      <c r="M395" s="1"/>
      <c r="N395" s="1"/>
      <c r="O395" s="1"/>
      <c r="P395" s="1"/>
      <c r="Q395" s="1"/>
      <c r="R395" s="1"/>
      <c r="S395" s="1"/>
      <c r="T395" s="2"/>
      <c r="U395" s="1"/>
      <c r="V395" s="1"/>
      <c r="W395" s="1"/>
      <c r="X395" s="1"/>
      <c r="Y395" s="1"/>
      <c r="Z395" s="1"/>
      <c r="AA395" s="1"/>
      <c r="AB395" s="1"/>
      <c r="AC395" s="2"/>
      <c r="AD395" s="1"/>
      <c r="AE395" s="1"/>
      <c r="AF395" s="1"/>
      <c r="AG395" s="1"/>
      <c r="AH395" s="1"/>
      <c r="AI395" s="1"/>
      <c r="AJ395" s="1"/>
      <c r="AK395" s="1"/>
      <c r="AL395" s="2"/>
      <c r="AM395" s="1"/>
      <c r="AN395" s="1"/>
      <c r="AO395" s="1"/>
      <c r="AP395" s="1"/>
      <c r="AQ395" s="1"/>
      <c r="AR395" s="1"/>
      <c r="AS395" s="1"/>
      <c r="AT395" s="1"/>
      <c r="AU395" s="2"/>
      <c r="AV395" s="1"/>
      <c r="AW395" s="1"/>
      <c r="AX395" s="1"/>
      <c r="AY395" s="1"/>
      <c r="AZ395" s="1"/>
      <c r="BA395" s="1"/>
      <c r="BB395" s="1"/>
      <c r="BC395" s="1"/>
      <c r="BD395" s="2"/>
      <c r="BE395" s="1"/>
      <c r="BF395" s="1"/>
      <c r="BG395" s="1"/>
      <c r="BH395" s="1"/>
      <c r="BI395" s="1"/>
      <c r="BJ395" s="1"/>
      <c r="BK395" s="1"/>
      <c r="BL395" s="1"/>
      <c r="BM395" s="2"/>
      <c r="BN395" s="1"/>
      <c r="BO395" s="1"/>
      <c r="BP395" s="1"/>
      <c r="BQ395" s="1"/>
      <c r="BR395" s="1"/>
      <c r="BS395" s="1"/>
      <c r="BT395" s="1"/>
      <c r="BU395" s="1"/>
      <c r="BV395" s="2"/>
      <c r="BW395" s="1"/>
      <c r="BX395" s="1"/>
      <c r="BY395" s="1"/>
      <c r="BZ395" s="1"/>
      <c r="CA395" s="1"/>
      <c r="CB395" s="1"/>
      <c r="CC395" s="1"/>
      <c r="CD395" s="1"/>
      <c r="CE395" s="2"/>
      <c r="CF395" s="1"/>
      <c r="CG395" s="1"/>
      <c r="CH395" s="1"/>
      <c r="CI395" s="1"/>
      <c r="CJ395" s="1"/>
      <c r="CK395" s="1"/>
      <c r="CL395" s="1"/>
    </row>
    <row r="396" spans="1:90" ht="14.65" x14ac:dyDescent="0.4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2"/>
      <c r="L396" s="1"/>
      <c r="M396" s="1"/>
      <c r="N396" s="1"/>
      <c r="O396" s="1"/>
      <c r="P396" s="1"/>
      <c r="Q396" s="1"/>
      <c r="R396" s="1"/>
      <c r="S396" s="1"/>
      <c r="T396" s="2"/>
      <c r="U396" s="1"/>
      <c r="V396" s="1"/>
      <c r="W396" s="1"/>
      <c r="X396" s="1"/>
      <c r="Y396" s="1"/>
      <c r="Z396" s="1"/>
      <c r="AA396" s="1"/>
      <c r="AB396" s="1"/>
      <c r="AC396" s="2"/>
      <c r="AD396" s="1"/>
      <c r="AE396" s="1"/>
      <c r="AF396" s="1"/>
      <c r="AG396" s="1"/>
      <c r="AH396" s="1"/>
      <c r="AI396" s="1"/>
      <c r="AJ396" s="1"/>
      <c r="AK396" s="1"/>
      <c r="AL396" s="2"/>
      <c r="AM396" s="1"/>
      <c r="AN396" s="1"/>
      <c r="AO396" s="1"/>
      <c r="AP396" s="1"/>
      <c r="AQ396" s="1"/>
      <c r="AR396" s="1"/>
      <c r="AS396" s="1"/>
      <c r="AT396" s="1"/>
      <c r="AU396" s="2"/>
      <c r="AV396" s="1"/>
      <c r="AW396" s="1"/>
      <c r="AX396" s="1"/>
      <c r="AY396" s="1"/>
      <c r="AZ396" s="1"/>
      <c r="BA396" s="1"/>
      <c r="BB396" s="1"/>
      <c r="BC396" s="1"/>
      <c r="BD396" s="2"/>
      <c r="BE396" s="1"/>
      <c r="BF396" s="1"/>
      <c r="BG396" s="1"/>
      <c r="BH396" s="1"/>
      <c r="BI396" s="1"/>
      <c r="BJ396" s="1"/>
      <c r="BK396" s="1"/>
      <c r="BL396" s="1"/>
      <c r="BM396" s="2"/>
      <c r="BN396" s="1"/>
      <c r="BO396" s="1"/>
      <c r="BP396" s="1"/>
      <c r="BQ396" s="1"/>
      <c r="BR396" s="1"/>
      <c r="BS396" s="1"/>
      <c r="BT396" s="1"/>
      <c r="BU396" s="1"/>
      <c r="BV396" s="2"/>
      <c r="BW396" s="1"/>
      <c r="BX396" s="1"/>
      <c r="BY396" s="1"/>
      <c r="BZ396" s="1"/>
      <c r="CA396" s="1"/>
      <c r="CB396" s="1"/>
      <c r="CC396" s="1"/>
      <c r="CD396" s="1"/>
      <c r="CE396" s="2"/>
      <c r="CF396" s="1"/>
      <c r="CG396" s="1"/>
      <c r="CH396" s="1"/>
      <c r="CI396" s="1"/>
      <c r="CJ396" s="1"/>
      <c r="CK396" s="1"/>
      <c r="CL396" s="1"/>
    </row>
    <row r="397" spans="1:90" ht="14.65" x14ac:dyDescent="0.4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2"/>
      <c r="L397" s="1"/>
      <c r="M397" s="1"/>
      <c r="N397" s="1"/>
      <c r="O397" s="1"/>
      <c r="P397" s="1"/>
      <c r="Q397" s="1"/>
      <c r="R397" s="1"/>
      <c r="S397" s="1"/>
      <c r="T397" s="2"/>
      <c r="U397" s="1"/>
      <c r="V397" s="1"/>
      <c r="W397" s="1"/>
      <c r="X397" s="1"/>
      <c r="Y397" s="1"/>
      <c r="Z397" s="1"/>
      <c r="AA397" s="1"/>
      <c r="AB397" s="1"/>
      <c r="AC397" s="2"/>
      <c r="AD397" s="1"/>
      <c r="AE397" s="1"/>
      <c r="AF397" s="1"/>
      <c r="AG397" s="1"/>
      <c r="AH397" s="1"/>
      <c r="AI397" s="1"/>
      <c r="AJ397" s="1"/>
      <c r="AK397" s="1"/>
      <c r="AL397" s="2"/>
      <c r="AM397" s="1"/>
      <c r="AN397" s="1"/>
      <c r="AO397" s="1"/>
      <c r="AP397" s="1"/>
      <c r="AQ397" s="1"/>
      <c r="AR397" s="1"/>
      <c r="AS397" s="1"/>
      <c r="AT397" s="1"/>
      <c r="AU397" s="2"/>
      <c r="AV397" s="1"/>
      <c r="AW397" s="1"/>
      <c r="AX397" s="1"/>
      <c r="AY397" s="1"/>
      <c r="AZ397" s="1"/>
      <c r="BA397" s="1"/>
      <c r="BB397" s="1"/>
      <c r="BC397" s="1"/>
      <c r="BD397" s="2"/>
      <c r="BE397" s="1"/>
      <c r="BF397" s="1"/>
      <c r="BG397" s="1"/>
      <c r="BH397" s="1"/>
      <c r="BI397" s="1"/>
      <c r="BJ397" s="1"/>
      <c r="BK397" s="1"/>
      <c r="BL397" s="1"/>
      <c r="BM397" s="2"/>
      <c r="BN397" s="1"/>
      <c r="BO397" s="1"/>
      <c r="BP397" s="1"/>
      <c r="BQ397" s="1"/>
      <c r="BR397" s="1"/>
      <c r="BS397" s="1"/>
      <c r="BT397" s="1"/>
      <c r="BU397" s="1"/>
      <c r="BV397" s="2"/>
      <c r="BW397" s="1"/>
      <c r="BX397" s="1"/>
      <c r="BY397" s="1"/>
      <c r="BZ397" s="1"/>
      <c r="CA397" s="1"/>
      <c r="CB397" s="1"/>
      <c r="CC397" s="1"/>
      <c r="CD397" s="1"/>
      <c r="CE397" s="2"/>
      <c r="CF397" s="1"/>
      <c r="CG397" s="1"/>
      <c r="CH397" s="1"/>
      <c r="CI397" s="1"/>
      <c r="CJ397" s="1"/>
      <c r="CK397" s="1"/>
      <c r="CL397" s="1"/>
    </row>
    <row r="398" spans="1:90" ht="14.65" x14ac:dyDescent="0.4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2"/>
      <c r="L398" s="1"/>
      <c r="M398" s="1"/>
      <c r="N398" s="1"/>
      <c r="O398" s="1"/>
      <c r="P398" s="1"/>
      <c r="Q398" s="1"/>
      <c r="R398" s="1"/>
      <c r="S398" s="1"/>
      <c r="T398" s="2"/>
      <c r="U398" s="1"/>
      <c r="V398" s="1"/>
      <c r="W398" s="1"/>
      <c r="X398" s="1"/>
      <c r="Y398" s="1"/>
      <c r="Z398" s="1"/>
      <c r="AA398" s="1"/>
      <c r="AB398" s="1"/>
      <c r="AC398" s="2"/>
      <c r="AD398" s="1"/>
      <c r="AE398" s="1"/>
      <c r="AF398" s="1"/>
      <c r="AG398" s="1"/>
      <c r="AH398" s="1"/>
      <c r="AI398" s="1"/>
      <c r="AJ398" s="1"/>
      <c r="AK398" s="1"/>
      <c r="AL398" s="2"/>
      <c r="AM398" s="1"/>
      <c r="AN398" s="1"/>
      <c r="AO398" s="1"/>
      <c r="AP398" s="1"/>
      <c r="AQ398" s="1"/>
      <c r="AR398" s="1"/>
      <c r="AS398" s="1"/>
      <c r="AT398" s="1"/>
      <c r="AU398" s="2"/>
      <c r="AV398" s="1"/>
      <c r="AW398" s="1"/>
      <c r="AX398" s="1"/>
      <c r="AY398" s="1"/>
      <c r="AZ398" s="1"/>
      <c r="BA398" s="1"/>
      <c r="BB398" s="1"/>
      <c r="BC398" s="1"/>
      <c r="BD398" s="2"/>
      <c r="BE398" s="1"/>
      <c r="BF398" s="1"/>
      <c r="BG398" s="1"/>
      <c r="BH398" s="1"/>
      <c r="BI398" s="1"/>
      <c r="BJ398" s="1"/>
      <c r="BK398" s="1"/>
      <c r="BL398" s="1"/>
      <c r="BM398" s="2"/>
      <c r="BN398" s="1"/>
      <c r="BO398" s="1"/>
      <c r="BP398" s="1"/>
      <c r="BQ398" s="1"/>
      <c r="BR398" s="1"/>
      <c r="BS398" s="1"/>
      <c r="BT398" s="1"/>
      <c r="BU398" s="1"/>
      <c r="BV398" s="2"/>
      <c r="BW398" s="1"/>
      <c r="BX398" s="1"/>
      <c r="BY398" s="1"/>
      <c r="BZ398" s="1"/>
      <c r="CA398" s="1"/>
      <c r="CB398" s="1"/>
      <c r="CC398" s="1"/>
      <c r="CD398" s="1"/>
      <c r="CE398" s="2"/>
      <c r="CF398" s="1"/>
      <c r="CG398" s="1"/>
      <c r="CH398" s="1"/>
      <c r="CI398" s="1"/>
      <c r="CJ398" s="1"/>
      <c r="CK398" s="1"/>
      <c r="CL398" s="1"/>
    </row>
    <row r="399" spans="1:90" ht="14.65" x14ac:dyDescent="0.4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2"/>
      <c r="L399" s="1"/>
      <c r="M399" s="1"/>
      <c r="N399" s="1"/>
      <c r="O399" s="1"/>
      <c r="P399" s="1"/>
      <c r="Q399" s="1"/>
      <c r="R399" s="1"/>
      <c r="S399" s="1"/>
      <c r="T399" s="2"/>
      <c r="U399" s="1"/>
      <c r="V399" s="1"/>
      <c r="W399" s="1"/>
      <c r="X399" s="1"/>
      <c r="Y399" s="1"/>
      <c r="Z399" s="1"/>
      <c r="AA399" s="1"/>
      <c r="AB399" s="1"/>
      <c r="AC399" s="2"/>
      <c r="AD399" s="1"/>
      <c r="AE399" s="1"/>
      <c r="AF399" s="1"/>
      <c r="AG399" s="1"/>
      <c r="AH399" s="1"/>
      <c r="AI399" s="1"/>
      <c r="AJ399" s="1"/>
      <c r="AK399" s="1"/>
      <c r="AL399" s="2"/>
      <c r="AM399" s="1"/>
      <c r="AN399" s="1"/>
      <c r="AO399" s="1"/>
      <c r="AP399" s="1"/>
      <c r="AQ399" s="1"/>
      <c r="AR399" s="1"/>
      <c r="AS399" s="1"/>
      <c r="AT399" s="1"/>
      <c r="AU399" s="2"/>
      <c r="AV399" s="1"/>
      <c r="AW399" s="1"/>
      <c r="AX399" s="1"/>
      <c r="AY399" s="1"/>
      <c r="AZ399" s="1"/>
      <c r="BA399" s="1"/>
      <c r="BB399" s="1"/>
      <c r="BC399" s="1"/>
      <c r="BD399" s="2"/>
      <c r="BE399" s="1"/>
      <c r="BF399" s="1"/>
      <c r="BG399" s="1"/>
      <c r="BH399" s="1"/>
      <c r="BI399" s="1"/>
      <c r="BJ399" s="1"/>
      <c r="BK399" s="1"/>
      <c r="BL399" s="1"/>
      <c r="BM399" s="2"/>
      <c r="BN399" s="1"/>
      <c r="BO399" s="1"/>
      <c r="BP399" s="1"/>
      <c r="BQ399" s="1"/>
      <c r="BR399" s="1"/>
      <c r="BS399" s="1"/>
      <c r="BT399" s="1"/>
      <c r="BU399" s="1"/>
      <c r="BV399" s="2"/>
      <c r="BW399" s="1"/>
      <c r="BX399" s="1"/>
      <c r="BY399" s="1"/>
      <c r="BZ399" s="1"/>
      <c r="CA399" s="1"/>
      <c r="CB399" s="1"/>
      <c r="CC399" s="1"/>
      <c r="CD399" s="1"/>
      <c r="CE399" s="2"/>
      <c r="CF399" s="1"/>
      <c r="CG399" s="1"/>
      <c r="CH399" s="1"/>
      <c r="CI399" s="1"/>
      <c r="CJ399" s="1"/>
      <c r="CK399" s="1"/>
      <c r="CL399" s="1"/>
    </row>
    <row r="400" spans="1:90" ht="14.65" x14ac:dyDescent="0.4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2"/>
      <c r="L400" s="1"/>
      <c r="M400" s="1"/>
      <c r="N400" s="1"/>
      <c r="O400" s="1"/>
      <c r="P400" s="1"/>
      <c r="Q400" s="1"/>
      <c r="R400" s="1"/>
      <c r="S400" s="1"/>
      <c r="T400" s="2"/>
      <c r="U400" s="1"/>
      <c r="V400" s="1"/>
      <c r="W400" s="1"/>
      <c r="X400" s="1"/>
      <c r="Y400" s="1"/>
      <c r="Z400" s="1"/>
      <c r="AA400" s="1"/>
      <c r="AB400" s="1"/>
      <c r="AC400" s="2"/>
      <c r="AD400" s="1"/>
      <c r="AE400" s="1"/>
      <c r="AF400" s="1"/>
      <c r="AG400" s="1"/>
      <c r="AH400" s="1"/>
      <c r="AI400" s="1"/>
      <c r="AJ400" s="1"/>
      <c r="AK400" s="1"/>
      <c r="AL400" s="2"/>
      <c r="AM400" s="1"/>
      <c r="AN400" s="1"/>
      <c r="AO400" s="1"/>
      <c r="AP400" s="1"/>
      <c r="AQ400" s="1"/>
      <c r="AR400" s="1"/>
      <c r="AS400" s="1"/>
      <c r="AT400" s="1"/>
      <c r="AU400" s="2"/>
      <c r="AV400" s="1"/>
      <c r="AW400" s="1"/>
      <c r="AX400" s="1"/>
      <c r="AY400" s="1"/>
      <c r="AZ400" s="1"/>
      <c r="BA400" s="1"/>
      <c r="BB400" s="1"/>
      <c r="BC400" s="1"/>
      <c r="BD400" s="2"/>
      <c r="BE400" s="1"/>
      <c r="BF400" s="1"/>
      <c r="BG400" s="1"/>
      <c r="BH400" s="1"/>
      <c r="BI400" s="1"/>
      <c r="BJ400" s="1"/>
      <c r="BK400" s="1"/>
      <c r="BL400" s="1"/>
      <c r="BM400" s="2"/>
      <c r="BN400" s="1"/>
      <c r="BO400" s="1"/>
      <c r="BP400" s="1"/>
      <c r="BQ400" s="1"/>
      <c r="BR400" s="1"/>
      <c r="BS400" s="1"/>
      <c r="BT400" s="1"/>
      <c r="BU400" s="1"/>
      <c r="BV400" s="2"/>
      <c r="BW400" s="1"/>
      <c r="BX400" s="1"/>
      <c r="BY400" s="1"/>
      <c r="BZ400" s="1"/>
      <c r="CA400" s="1"/>
      <c r="CB400" s="1"/>
      <c r="CC400" s="1"/>
      <c r="CD400" s="1"/>
      <c r="CE400" s="2"/>
      <c r="CF400" s="1"/>
      <c r="CG400" s="1"/>
      <c r="CH400" s="1"/>
      <c r="CI400" s="1"/>
      <c r="CJ400" s="1"/>
      <c r="CK400" s="1"/>
      <c r="CL400" s="1"/>
    </row>
    <row r="401" spans="1:90" ht="14.65" x14ac:dyDescent="0.4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2"/>
      <c r="L401" s="1"/>
      <c r="M401" s="1"/>
      <c r="N401" s="1"/>
      <c r="O401" s="1"/>
      <c r="P401" s="1"/>
      <c r="Q401" s="1"/>
      <c r="R401" s="1"/>
      <c r="S401" s="1"/>
      <c r="T401" s="2"/>
      <c r="U401" s="1"/>
      <c r="V401" s="1"/>
      <c r="W401" s="1"/>
      <c r="X401" s="1"/>
      <c r="Y401" s="1"/>
      <c r="Z401" s="1"/>
      <c r="AA401" s="1"/>
      <c r="AB401" s="1"/>
      <c r="AC401" s="2"/>
      <c r="AD401" s="1"/>
      <c r="AE401" s="1"/>
      <c r="AF401" s="1"/>
      <c r="AG401" s="1"/>
      <c r="AH401" s="1"/>
      <c r="AI401" s="1"/>
      <c r="AJ401" s="1"/>
      <c r="AK401" s="1"/>
      <c r="AL401" s="2"/>
      <c r="AM401" s="1"/>
      <c r="AN401" s="1"/>
      <c r="AO401" s="1"/>
      <c r="AP401" s="1"/>
      <c r="AQ401" s="1"/>
      <c r="AR401" s="1"/>
      <c r="AS401" s="1"/>
      <c r="AT401" s="1"/>
      <c r="AU401" s="2"/>
      <c r="AV401" s="1"/>
      <c r="AW401" s="1"/>
      <c r="AX401" s="1"/>
      <c r="AY401" s="1"/>
      <c r="AZ401" s="1"/>
      <c r="BA401" s="1"/>
      <c r="BB401" s="1"/>
      <c r="BC401" s="1"/>
      <c r="BD401" s="2"/>
      <c r="BE401" s="1"/>
      <c r="BF401" s="1"/>
      <c r="BG401" s="1"/>
      <c r="BH401" s="1"/>
      <c r="BI401" s="1"/>
      <c r="BJ401" s="1"/>
      <c r="BK401" s="1"/>
      <c r="BL401" s="1"/>
      <c r="BM401" s="2"/>
      <c r="BN401" s="1"/>
      <c r="BO401" s="1"/>
      <c r="BP401" s="1"/>
      <c r="BQ401" s="1"/>
      <c r="BR401" s="1"/>
      <c r="BS401" s="1"/>
      <c r="BT401" s="1"/>
      <c r="BU401" s="1"/>
      <c r="BV401" s="2"/>
      <c r="BW401" s="1"/>
      <c r="BX401" s="1"/>
      <c r="BY401" s="1"/>
      <c r="BZ401" s="1"/>
      <c r="CA401" s="1"/>
      <c r="CB401" s="1"/>
      <c r="CC401" s="1"/>
      <c r="CD401" s="1"/>
      <c r="CE401" s="2"/>
      <c r="CF401" s="1"/>
      <c r="CG401" s="1"/>
      <c r="CH401" s="1"/>
      <c r="CI401" s="1"/>
      <c r="CJ401" s="1"/>
      <c r="CK401" s="1"/>
      <c r="CL401" s="1"/>
    </row>
    <row r="402" spans="1:90" ht="14.65" x14ac:dyDescent="0.4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2"/>
      <c r="L402" s="1"/>
      <c r="M402" s="1"/>
      <c r="N402" s="1"/>
      <c r="O402" s="1"/>
      <c r="P402" s="1"/>
      <c r="Q402" s="1"/>
      <c r="R402" s="1"/>
      <c r="S402" s="1"/>
      <c r="T402" s="2"/>
      <c r="U402" s="1"/>
      <c r="V402" s="1"/>
      <c r="W402" s="1"/>
      <c r="X402" s="1"/>
      <c r="Y402" s="1"/>
      <c r="Z402" s="1"/>
      <c r="AA402" s="1"/>
      <c r="AB402" s="1"/>
      <c r="AC402" s="2"/>
      <c r="AD402" s="1"/>
      <c r="AE402" s="1"/>
      <c r="AF402" s="1"/>
      <c r="AG402" s="1"/>
      <c r="AH402" s="1"/>
      <c r="AI402" s="1"/>
      <c r="AJ402" s="1"/>
      <c r="AK402" s="1"/>
      <c r="AL402" s="2"/>
      <c r="AM402" s="1"/>
      <c r="AN402" s="1"/>
      <c r="AO402" s="1"/>
      <c r="AP402" s="1"/>
      <c r="AQ402" s="1"/>
      <c r="AR402" s="1"/>
      <c r="AS402" s="1"/>
      <c r="AT402" s="1"/>
      <c r="AU402" s="2"/>
      <c r="AV402" s="1"/>
      <c r="AW402" s="1"/>
      <c r="AX402" s="1"/>
      <c r="AY402" s="1"/>
      <c r="AZ402" s="1"/>
      <c r="BA402" s="1"/>
      <c r="BB402" s="1"/>
      <c r="BC402" s="1"/>
      <c r="BD402" s="2"/>
      <c r="BE402" s="1"/>
      <c r="BF402" s="1"/>
      <c r="BG402" s="1"/>
      <c r="BH402" s="1"/>
      <c r="BI402" s="1"/>
      <c r="BJ402" s="1"/>
      <c r="BK402" s="1"/>
      <c r="BL402" s="1"/>
      <c r="BM402" s="2"/>
      <c r="BN402" s="1"/>
      <c r="BO402" s="1"/>
      <c r="BP402" s="1"/>
      <c r="BQ402" s="1"/>
      <c r="BR402" s="1"/>
      <c r="BS402" s="1"/>
      <c r="BT402" s="1"/>
      <c r="BU402" s="1"/>
      <c r="BV402" s="2"/>
      <c r="BW402" s="1"/>
      <c r="BX402" s="1"/>
      <c r="BY402" s="1"/>
      <c r="BZ402" s="1"/>
      <c r="CA402" s="1"/>
      <c r="CB402" s="1"/>
      <c r="CC402" s="1"/>
      <c r="CD402" s="1"/>
      <c r="CE402" s="2"/>
      <c r="CF402" s="1"/>
      <c r="CG402" s="1"/>
      <c r="CH402" s="1"/>
      <c r="CI402" s="1"/>
      <c r="CJ402" s="1"/>
      <c r="CK402" s="1"/>
      <c r="CL402" s="1"/>
    </row>
    <row r="403" spans="1:90" ht="14.65" x14ac:dyDescent="0.4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2"/>
      <c r="L403" s="1"/>
      <c r="M403" s="1"/>
      <c r="N403" s="1"/>
      <c r="O403" s="1"/>
      <c r="P403" s="1"/>
      <c r="Q403" s="1"/>
      <c r="R403" s="1"/>
      <c r="S403" s="1"/>
      <c r="T403" s="2"/>
      <c r="U403" s="1"/>
      <c r="V403" s="1"/>
      <c r="W403" s="1"/>
      <c r="X403" s="1"/>
      <c r="Y403" s="1"/>
      <c r="Z403" s="1"/>
      <c r="AA403" s="1"/>
      <c r="AB403" s="1"/>
      <c r="AC403" s="2"/>
      <c r="AD403" s="1"/>
      <c r="AE403" s="1"/>
      <c r="AF403" s="1"/>
      <c r="AG403" s="1"/>
      <c r="AH403" s="1"/>
      <c r="AI403" s="1"/>
      <c r="AJ403" s="1"/>
      <c r="AK403" s="1"/>
      <c r="AL403" s="2"/>
      <c r="AM403" s="1"/>
      <c r="AN403" s="1"/>
      <c r="AO403" s="1"/>
      <c r="AP403" s="1"/>
      <c r="AQ403" s="1"/>
      <c r="AR403" s="1"/>
      <c r="AS403" s="1"/>
      <c r="AT403" s="1"/>
      <c r="AU403" s="2"/>
      <c r="AV403" s="1"/>
      <c r="AW403" s="1"/>
      <c r="AX403" s="1"/>
      <c r="AY403" s="1"/>
      <c r="AZ403" s="1"/>
      <c r="BA403" s="1"/>
      <c r="BB403" s="1"/>
      <c r="BC403" s="1"/>
      <c r="BD403" s="2"/>
      <c r="BE403" s="1"/>
      <c r="BF403" s="1"/>
      <c r="BG403" s="1"/>
      <c r="BH403" s="1"/>
      <c r="BI403" s="1"/>
      <c r="BJ403" s="1"/>
      <c r="BK403" s="1"/>
      <c r="BL403" s="1"/>
      <c r="BM403" s="2"/>
      <c r="BN403" s="1"/>
      <c r="BO403" s="1"/>
      <c r="BP403" s="1"/>
      <c r="BQ403" s="1"/>
      <c r="BR403" s="1"/>
      <c r="BS403" s="1"/>
      <c r="BT403" s="1"/>
      <c r="BU403" s="1"/>
      <c r="BV403" s="2"/>
      <c r="BW403" s="1"/>
      <c r="BX403" s="1"/>
      <c r="BY403" s="1"/>
      <c r="BZ403" s="1"/>
      <c r="CA403" s="1"/>
      <c r="CB403" s="1"/>
      <c r="CC403" s="1"/>
      <c r="CD403" s="1"/>
      <c r="CE403" s="2"/>
      <c r="CF403" s="1"/>
      <c r="CG403" s="1"/>
      <c r="CH403" s="1"/>
      <c r="CI403" s="1"/>
      <c r="CJ403" s="1"/>
      <c r="CK403" s="1"/>
      <c r="CL403" s="1"/>
    </row>
    <row r="404" spans="1:90" ht="14.65" x14ac:dyDescent="0.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2"/>
      <c r="L404" s="1"/>
      <c r="M404" s="1"/>
      <c r="N404" s="1"/>
      <c r="O404" s="1"/>
      <c r="P404" s="1"/>
      <c r="Q404" s="1"/>
      <c r="R404" s="1"/>
      <c r="S404" s="1"/>
      <c r="T404" s="2"/>
      <c r="U404" s="1"/>
      <c r="V404" s="1"/>
      <c r="W404" s="1"/>
      <c r="X404" s="1"/>
      <c r="Y404" s="1"/>
      <c r="Z404" s="1"/>
      <c r="AA404" s="1"/>
      <c r="AB404" s="1"/>
      <c r="AC404" s="2"/>
      <c r="AD404" s="1"/>
      <c r="AE404" s="1"/>
      <c r="AF404" s="1"/>
      <c r="AG404" s="1"/>
      <c r="AH404" s="1"/>
      <c r="AI404" s="1"/>
      <c r="AJ404" s="1"/>
      <c r="AK404" s="1"/>
      <c r="AL404" s="2"/>
      <c r="AM404" s="1"/>
      <c r="AN404" s="1"/>
      <c r="AO404" s="1"/>
      <c r="AP404" s="1"/>
      <c r="AQ404" s="1"/>
      <c r="AR404" s="1"/>
      <c r="AS404" s="1"/>
      <c r="AT404" s="1"/>
      <c r="AU404" s="2"/>
      <c r="AV404" s="1"/>
      <c r="AW404" s="1"/>
      <c r="AX404" s="1"/>
      <c r="AY404" s="1"/>
      <c r="AZ404" s="1"/>
      <c r="BA404" s="1"/>
      <c r="BB404" s="1"/>
      <c r="BC404" s="1"/>
      <c r="BD404" s="2"/>
      <c r="BE404" s="1"/>
      <c r="BF404" s="1"/>
      <c r="BG404" s="1"/>
      <c r="BH404" s="1"/>
      <c r="BI404" s="1"/>
      <c r="BJ404" s="1"/>
      <c r="BK404" s="1"/>
      <c r="BL404" s="1"/>
      <c r="BM404" s="2"/>
      <c r="BN404" s="1"/>
      <c r="BO404" s="1"/>
      <c r="BP404" s="1"/>
      <c r="BQ404" s="1"/>
      <c r="BR404" s="1"/>
      <c r="BS404" s="1"/>
      <c r="BT404" s="1"/>
      <c r="BU404" s="1"/>
      <c r="BV404" s="2"/>
      <c r="BW404" s="1"/>
      <c r="BX404" s="1"/>
      <c r="BY404" s="1"/>
      <c r="BZ404" s="1"/>
      <c r="CA404" s="1"/>
      <c r="CB404" s="1"/>
      <c r="CC404" s="1"/>
      <c r="CD404" s="1"/>
      <c r="CE404" s="2"/>
      <c r="CF404" s="1"/>
      <c r="CG404" s="1"/>
      <c r="CH404" s="1"/>
      <c r="CI404" s="1"/>
      <c r="CJ404" s="1"/>
      <c r="CK404" s="1"/>
      <c r="CL404" s="1"/>
    </row>
    <row r="405" spans="1:90" ht="14.65" x14ac:dyDescent="0.4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2"/>
      <c r="L405" s="1"/>
      <c r="M405" s="1"/>
      <c r="N405" s="1"/>
      <c r="O405" s="1"/>
      <c r="P405" s="1"/>
      <c r="Q405" s="1"/>
      <c r="R405" s="1"/>
      <c r="S405" s="1"/>
      <c r="T405" s="2"/>
      <c r="U405" s="1"/>
      <c r="V405" s="1"/>
      <c r="W405" s="1"/>
      <c r="X405" s="1"/>
      <c r="Y405" s="1"/>
      <c r="Z405" s="1"/>
      <c r="AA405" s="1"/>
      <c r="AB405" s="1"/>
      <c r="AC405" s="2"/>
      <c r="AD405" s="1"/>
      <c r="AE405" s="1"/>
      <c r="AF405" s="1"/>
      <c r="AG405" s="1"/>
      <c r="AH405" s="1"/>
      <c r="AI405" s="1"/>
      <c r="AJ405" s="1"/>
      <c r="AK405" s="1"/>
      <c r="AL405" s="2"/>
      <c r="AM405" s="1"/>
      <c r="AN405" s="1"/>
      <c r="AO405" s="1"/>
      <c r="AP405" s="1"/>
      <c r="AQ405" s="1"/>
      <c r="AR405" s="1"/>
      <c r="AS405" s="1"/>
      <c r="AT405" s="1"/>
      <c r="AU405" s="2"/>
      <c r="AV405" s="1"/>
      <c r="AW405" s="1"/>
      <c r="AX405" s="1"/>
      <c r="AY405" s="1"/>
      <c r="AZ405" s="1"/>
      <c r="BA405" s="1"/>
      <c r="BB405" s="1"/>
      <c r="BC405" s="1"/>
      <c r="BD405" s="2"/>
      <c r="BE405" s="1"/>
      <c r="BF405" s="1"/>
      <c r="BG405" s="1"/>
      <c r="BH405" s="1"/>
      <c r="BI405" s="1"/>
      <c r="BJ405" s="1"/>
      <c r="BK405" s="1"/>
      <c r="BL405" s="1"/>
      <c r="BM405" s="2"/>
      <c r="BN405" s="1"/>
      <c r="BO405" s="1"/>
      <c r="BP405" s="1"/>
      <c r="BQ405" s="1"/>
      <c r="BR405" s="1"/>
      <c r="BS405" s="1"/>
      <c r="BT405" s="1"/>
      <c r="BU405" s="1"/>
      <c r="BV405" s="2"/>
      <c r="BW405" s="1"/>
      <c r="BX405" s="1"/>
      <c r="BY405" s="1"/>
      <c r="BZ405" s="1"/>
      <c r="CA405" s="1"/>
      <c r="CB405" s="1"/>
      <c r="CC405" s="1"/>
      <c r="CD405" s="1"/>
      <c r="CE405" s="2"/>
      <c r="CF405" s="1"/>
      <c r="CG405" s="1"/>
      <c r="CH405" s="1"/>
      <c r="CI405" s="1"/>
      <c r="CJ405" s="1"/>
      <c r="CK405" s="1"/>
      <c r="CL405" s="1"/>
    </row>
    <row r="406" spans="1:90" ht="14.65" x14ac:dyDescent="0.4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2"/>
      <c r="L406" s="1"/>
      <c r="M406" s="1"/>
      <c r="N406" s="1"/>
      <c r="O406" s="1"/>
      <c r="P406" s="1"/>
      <c r="Q406" s="1"/>
      <c r="R406" s="1"/>
      <c r="S406" s="1"/>
      <c r="T406" s="2"/>
      <c r="U406" s="1"/>
      <c r="V406" s="1"/>
      <c r="W406" s="1"/>
      <c r="X406" s="1"/>
      <c r="Y406" s="1"/>
      <c r="Z406" s="1"/>
      <c r="AA406" s="1"/>
      <c r="AB406" s="1"/>
      <c r="AC406" s="2"/>
      <c r="AD406" s="1"/>
      <c r="AE406" s="1"/>
      <c r="AF406" s="1"/>
      <c r="AG406" s="1"/>
      <c r="AH406" s="1"/>
      <c r="AI406" s="1"/>
      <c r="AJ406" s="1"/>
      <c r="AK406" s="1"/>
      <c r="AL406" s="2"/>
      <c r="AM406" s="1"/>
      <c r="AN406" s="1"/>
      <c r="AO406" s="1"/>
      <c r="AP406" s="1"/>
      <c r="AQ406" s="1"/>
      <c r="AR406" s="1"/>
      <c r="AS406" s="1"/>
      <c r="AT406" s="1"/>
      <c r="AU406" s="2"/>
      <c r="AV406" s="1"/>
      <c r="AW406" s="1"/>
      <c r="AX406" s="1"/>
      <c r="AY406" s="1"/>
      <c r="AZ406" s="1"/>
      <c r="BA406" s="1"/>
      <c r="BB406" s="1"/>
      <c r="BC406" s="1"/>
      <c r="BD406" s="2"/>
      <c r="BE406" s="1"/>
      <c r="BF406" s="1"/>
      <c r="BG406" s="1"/>
      <c r="BH406" s="1"/>
      <c r="BI406" s="1"/>
      <c r="BJ406" s="1"/>
      <c r="BK406" s="1"/>
      <c r="BL406" s="1"/>
      <c r="BM406" s="2"/>
      <c r="BN406" s="1"/>
      <c r="BO406" s="1"/>
      <c r="BP406" s="1"/>
      <c r="BQ406" s="1"/>
      <c r="BR406" s="1"/>
      <c r="BS406" s="1"/>
      <c r="BT406" s="1"/>
      <c r="BU406" s="1"/>
      <c r="BV406" s="2"/>
      <c r="BW406" s="1"/>
      <c r="BX406" s="1"/>
      <c r="BY406" s="1"/>
      <c r="BZ406" s="1"/>
      <c r="CA406" s="1"/>
      <c r="CB406" s="1"/>
      <c r="CC406" s="1"/>
      <c r="CD406" s="1"/>
      <c r="CE406" s="2"/>
      <c r="CF406" s="1"/>
      <c r="CG406" s="1"/>
      <c r="CH406" s="1"/>
      <c r="CI406" s="1"/>
      <c r="CJ406" s="1"/>
      <c r="CK406" s="1"/>
      <c r="CL406" s="1"/>
    </row>
    <row r="407" spans="1:90" ht="14.65" x14ac:dyDescent="0.4">
      <c r="A407" s="1"/>
      <c r="B407" s="2"/>
      <c r="C407" s="1"/>
      <c r="D407" s="4"/>
      <c r="E407" s="1"/>
      <c r="F407" s="1"/>
      <c r="G407" s="1"/>
      <c r="H407" s="1"/>
      <c r="I407" s="1"/>
      <c r="J407" s="1"/>
      <c r="K407" s="2"/>
      <c r="L407" s="1"/>
      <c r="M407" s="1"/>
      <c r="N407" s="1"/>
      <c r="O407" s="1"/>
      <c r="P407" s="1"/>
      <c r="Q407" s="1"/>
      <c r="R407" s="1"/>
      <c r="S407" s="1"/>
      <c r="T407" s="2"/>
      <c r="U407" s="1"/>
      <c r="V407" s="1"/>
      <c r="W407" s="1"/>
      <c r="X407" s="1"/>
      <c r="Y407" s="1"/>
      <c r="Z407" s="1"/>
      <c r="AA407" s="1"/>
      <c r="AB407" s="1"/>
      <c r="AC407" s="2"/>
      <c r="AD407" s="1"/>
      <c r="AE407" s="1"/>
      <c r="AF407" s="1"/>
      <c r="AG407" s="1"/>
      <c r="AH407" s="1"/>
      <c r="AI407" s="1"/>
      <c r="AJ407" s="1"/>
      <c r="AK407" s="1"/>
      <c r="AL407" s="2"/>
      <c r="AM407" s="1"/>
      <c r="AN407" s="1"/>
      <c r="AO407" s="1"/>
      <c r="AP407" s="1"/>
      <c r="AQ407" s="1"/>
      <c r="AR407" s="1"/>
      <c r="AS407" s="1"/>
      <c r="AT407" s="1"/>
      <c r="AU407" s="2"/>
      <c r="AV407" s="1"/>
      <c r="AW407" s="1"/>
      <c r="AX407" s="1"/>
      <c r="AY407" s="1"/>
      <c r="AZ407" s="1"/>
      <c r="BA407" s="1"/>
      <c r="BB407" s="1"/>
      <c r="BC407" s="1"/>
      <c r="BD407" s="2"/>
      <c r="BE407" s="1"/>
      <c r="BF407" s="1"/>
      <c r="BG407" s="1"/>
      <c r="BH407" s="1"/>
      <c r="BI407" s="1"/>
      <c r="BJ407" s="1"/>
      <c r="BK407" s="1"/>
      <c r="BL407" s="1"/>
      <c r="BM407" s="2"/>
      <c r="BN407" s="1"/>
      <c r="BO407" s="1"/>
      <c r="BP407" s="1"/>
      <c r="BQ407" s="1"/>
      <c r="BR407" s="1"/>
      <c r="BS407" s="1"/>
      <c r="BT407" s="1"/>
      <c r="BU407" s="1"/>
      <c r="BV407" s="2"/>
      <c r="BW407" s="1"/>
      <c r="BX407" s="1"/>
      <c r="BY407" s="1"/>
      <c r="BZ407" s="1"/>
      <c r="CA407" s="1"/>
      <c r="CB407" s="1"/>
      <c r="CC407" s="1"/>
      <c r="CD407" s="1"/>
      <c r="CE407" s="2"/>
      <c r="CF407" s="1"/>
      <c r="CG407" s="1"/>
      <c r="CH407" s="1"/>
      <c r="CI407" s="1"/>
      <c r="CJ407" s="1"/>
      <c r="CK407" s="1"/>
      <c r="CL407" s="1"/>
    </row>
    <row r="408" spans="1:90" ht="14.65" x14ac:dyDescent="0.4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2"/>
      <c r="L408" s="1"/>
      <c r="M408" s="1"/>
      <c r="N408" s="1"/>
      <c r="O408" s="1"/>
      <c r="P408" s="1"/>
      <c r="Q408" s="1"/>
      <c r="R408" s="1"/>
      <c r="S408" s="1"/>
      <c r="T408" s="2"/>
      <c r="U408" s="1"/>
      <c r="V408" s="1"/>
      <c r="W408" s="1"/>
      <c r="X408" s="1"/>
      <c r="Y408" s="1"/>
      <c r="Z408" s="1"/>
      <c r="AA408" s="1"/>
      <c r="AB408" s="1"/>
      <c r="AC408" s="2"/>
      <c r="AD408" s="1"/>
      <c r="AE408" s="1"/>
      <c r="AF408" s="1"/>
      <c r="AG408" s="1"/>
      <c r="AH408" s="1"/>
      <c r="AI408" s="1"/>
      <c r="AJ408" s="1"/>
      <c r="AK408" s="1"/>
      <c r="AL408" s="2"/>
      <c r="AM408" s="1"/>
      <c r="AN408" s="1"/>
      <c r="AO408" s="1"/>
      <c r="AP408" s="1"/>
      <c r="AQ408" s="1"/>
      <c r="AR408" s="1"/>
      <c r="AS408" s="1"/>
      <c r="AT408" s="1"/>
      <c r="AU408" s="2"/>
      <c r="AV408" s="1"/>
      <c r="AW408" s="1"/>
      <c r="AX408" s="1"/>
      <c r="AY408" s="1"/>
      <c r="AZ408" s="1"/>
      <c r="BA408" s="1"/>
      <c r="BB408" s="1"/>
      <c r="BC408" s="1"/>
      <c r="BD408" s="2"/>
      <c r="BE408" s="1"/>
      <c r="BF408" s="1"/>
      <c r="BG408" s="1"/>
      <c r="BH408" s="1"/>
      <c r="BI408" s="1"/>
      <c r="BJ408" s="1"/>
      <c r="BK408" s="1"/>
      <c r="BL408" s="1"/>
      <c r="BM408" s="2"/>
      <c r="BN408" s="1"/>
      <c r="BO408" s="1"/>
      <c r="BP408" s="1"/>
      <c r="BQ408" s="1"/>
      <c r="BR408" s="1"/>
      <c r="BS408" s="1"/>
      <c r="BT408" s="1"/>
      <c r="BU408" s="1"/>
      <c r="BV408" s="2"/>
      <c r="BW408" s="1"/>
      <c r="BX408" s="1"/>
      <c r="BY408" s="1"/>
      <c r="BZ408" s="1"/>
      <c r="CA408" s="1"/>
      <c r="CB408" s="1"/>
      <c r="CC408" s="1"/>
      <c r="CD408" s="1"/>
      <c r="CE408" s="2"/>
      <c r="CF408" s="1"/>
      <c r="CG408" s="1"/>
      <c r="CH408" s="1"/>
      <c r="CI408" s="1"/>
      <c r="CJ408" s="1"/>
      <c r="CK408" s="1"/>
      <c r="CL408" s="1"/>
    </row>
    <row r="409" spans="1:90" ht="14.65" x14ac:dyDescent="0.4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2"/>
      <c r="L409" s="1"/>
      <c r="M409" s="1"/>
      <c r="N409" s="1"/>
      <c r="O409" s="1"/>
      <c r="P409" s="1"/>
      <c r="Q409" s="1"/>
      <c r="R409" s="1"/>
      <c r="S409" s="1"/>
      <c r="T409" s="2"/>
      <c r="U409" s="1"/>
      <c r="V409" s="1"/>
      <c r="W409" s="1"/>
      <c r="X409" s="1"/>
      <c r="Y409" s="1"/>
      <c r="Z409" s="1"/>
      <c r="AA409" s="1"/>
      <c r="AB409" s="1"/>
      <c r="AC409" s="2"/>
      <c r="AD409" s="1"/>
      <c r="AE409" s="1"/>
      <c r="AF409" s="1"/>
      <c r="AG409" s="1"/>
      <c r="AH409" s="1"/>
      <c r="AI409" s="1"/>
      <c r="AJ409" s="1"/>
      <c r="AK409" s="1"/>
      <c r="AL409" s="2"/>
      <c r="AM409" s="1"/>
      <c r="AN409" s="1"/>
      <c r="AO409" s="1"/>
      <c r="AP409" s="1"/>
      <c r="AQ409" s="1"/>
      <c r="AR409" s="1"/>
      <c r="AS409" s="1"/>
      <c r="AT409" s="1"/>
      <c r="AU409" s="2"/>
      <c r="AV409" s="1"/>
      <c r="AW409" s="1"/>
      <c r="AX409" s="1"/>
      <c r="AY409" s="1"/>
      <c r="AZ409" s="1"/>
      <c r="BA409" s="1"/>
      <c r="BB409" s="1"/>
      <c r="BC409" s="1"/>
      <c r="BD409" s="2"/>
      <c r="BE409" s="1"/>
      <c r="BF409" s="1"/>
      <c r="BG409" s="1"/>
      <c r="BH409" s="1"/>
      <c r="BI409" s="1"/>
      <c r="BJ409" s="1"/>
      <c r="BK409" s="1"/>
      <c r="BL409" s="1"/>
      <c r="BM409" s="2"/>
      <c r="BN409" s="1"/>
      <c r="BO409" s="1"/>
      <c r="BP409" s="1"/>
      <c r="BQ409" s="1"/>
      <c r="BR409" s="1"/>
      <c r="BS409" s="1"/>
      <c r="BT409" s="1"/>
      <c r="BU409" s="1"/>
      <c r="BV409" s="2"/>
      <c r="BW409" s="1"/>
      <c r="BX409" s="1"/>
      <c r="BY409" s="1"/>
      <c r="BZ409" s="1"/>
      <c r="CA409" s="1"/>
      <c r="CB409" s="1"/>
      <c r="CC409" s="1"/>
      <c r="CD409" s="1"/>
      <c r="CE409" s="2"/>
      <c r="CF409" s="1"/>
      <c r="CG409" s="1"/>
      <c r="CH409" s="1"/>
      <c r="CI409" s="1"/>
      <c r="CJ409" s="1"/>
      <c r="CK409" s="1"/>
      <c r="CL409" s="1"/>
    </row>
    <row r="410" spans="1:90" ht="14.65" x14ac:dyDescent="0.4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2"/>
      <c r="L410" s="1"/>
      <c r="M410" s="1"/>
      <c r="N410" s="1"/>
      <c r="O410" s="1"/>
      <c r="P410" s="1"/>
      <c r="Q410" s="1"/>
      <c r="R410" s="1"/>
      <c r="S410" s="1"/>
      <c r="T410" s="2"/>
      <c r="U410" s="1"/>
      <c r="V410" s="1"/>
      <c r="W410" s="1"/>
      <c r="X410" s="1"/>
      <c r="Y410" s="1"/>
      <c r="Z410" s="1"/>
      <c r="AA410" s="1"/>
      <c r="AB410" s="1"/>
      <c r="AC410" s="2"/>
      <c r="AD410" s="1"/>
      <c r="AE410" s="1"/>
      <c r="AF410" s="1"/>
      <c r="AG410" s="1"/>
      <c r="AH410" s="1"/>
      <c r="AI410" s="1"/>
      <c r="AJ410" s="1"/>
      <c r="AK410" s="1"/>
      <c r="AL410" s="2"/>
      <c r="AM410" s="1"/>
      <c r="AN410" s="1"/>
      <c r="AO410" s="1"/>
      <c r="AP410" s="1"/>
      <c r="AQ410" s="1"/>
      <c r="AR410" s="1"/>
      <c r="AS410" s="1"/>
      <c r="AT410" s="1"/>
      <c r="AU410" s="2"/>
      <c r="AV410" s="1"/>
      <c r="AW410" s="1"/>
      <c r="AX410" s="1"/>
      <c r="AY410" s="1"/>
      <c r="AZ410" s="1"/>
      <c r="BA410" s="1"/>
      <c r="BB410" s="1"/>
      <c r="BC410" s="1"/>
      <c r="BD410" s="2"/>
      <c r="BE410" s="1"/>
      <c r="BF410" s="1"/>
      <c r="BG410" s="1"/>
      <c r="BH410" s="1"/>
      <c r="BI410" s="1"/>
      <c r="BJ410" s="1"/>
      <c r="BK410" s="1"/>
      <c r="BL410" s="1"/>
      <c r="BM410" s="2"/>
      <c r="BN410" s="1"/>
      <c r="BO410" s="1"/>
      <c r="BP410" s="1"/>
      <c r="BQ410" s="1"/>
      <c r="BR410" s="1"/>
      <c r="BS410" s="1"/>
      <c r="BT410" s="1"/>
      <c r="BU410" s="1"/>
      <c r="BV410" s="2"/>
      <c r="BW410" s="1"/>
      <c r="BX410" s="1"/>
      <c r="BY410" s="1"/>
      <c r="BZ410" s="1"/>
      <c r="CA410" s="1"/>
      <c r="CB410" s="1"/>
      <c r="CC410" s="1"/>
      <c r="CD410" s="1"/>
      <c r="CE410" s="2"/>
      <c r="CF410" s="1"/>
      <c r="CG410" s="1"/>
      <c r="CH410" s="1"/>
      <c r="CI410" s="1"/>
      <c r="CJ410" s="1"/>
      <c r="CK410" s="1"/>
      <c r="CL410" s="1"/>
    </row>
    <row r="411" spans="1:90" ht="14.65" x14ac:dyDescent="0.4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2"/>
      <c r="L411" s="1"/>
      <c r="M411" s="1"/>
      <c r="N411" s="1"/>
      <c r="O411" s="1"/>
      <c r="P411" s="1"/>
      <c r="Q411" s="1"/>
      <c r="R411" s="1"/>
      <c r="S411" s="1"/>
      <c r="T411" s="2"/>
      <c r="U411" s="1"/>
      <c r="V411" s="1"/>
      <c r="W411" s="1"/>
      <c r="X411" s="1"/>
      <c r="Y411" s="1"/>
      <c r="Z411" s="1"/>
      <c r="AA411" s="1"/>
      <c r="AB411" s="1"/>
      <c r="AC411" s="2"/>
      <c r="AD411" s="1"/>
      <c r="AE411" s="1"/>
      <c r="AF411" s="1"/>
      <c r="AG411" s="1"/>
      <c r="AH411" s="1"/>
      <c r="AI411" s="1"/>
      <c r="AJ411" s="1"/>
      <c r="AK411" s="1"/>
      <c r="AL411" s="2"/>
      <c r="AM411" s="1"/>
      <c r="AN411" s="1"/>
      <c r="AO411" s="1"/>
      <c r="AP411" s="1"/>
      <c r="AQ411" s="1"/>
      <c r="AR411" s="1"/>
      <c r="AS411" s="1"/>
      <c r="AT411" s="1"/>
      <c r="AU411" s="2"/>
      <c r="AV411" s="1"/>
      <c r="AW411" s="1"/>
      <c r="AX411" s="1"/>
      <c r="AY411" s="1"/>
      <c r="AZ411" s="1"/>
      <c r="BA411" s="1"/>
      <c r="BB411" s="1"/>
      <c r="BC411" s="1"/>
      <c r="BD411" s="2"/>
      <c r="BE411" s="1"/>
      <c r="BF411" s="1"/>
      <c r="BG411" s="1"/>
      <c r="BH411" s="1"/>
      <c r="BI411" s="1"/>
      <c r="BJ411" s="1"/>
      <c r="BK411" s="1"/>
      <c r="BL411" s="1"/>
      <c r="BM411" s="2"/>
      <c r="BN411" s="1"/>
      <c r="BO411" s="1"/>
      <c r="BP411" s="1"/>
      <c r="BQ411" s="1"/>
      <c r="BR411" s="1"/>
      <c r="BS411" s="1"/>
      <c r="BT411" s="1"/>
      <c r="BU411" s="1"/>
      <c r="BV411" s="2"/>
      <c r="BW411" s="1"/>
      <c r="BX411" s="1"/>
      <c r="BY411" s="1"/>
      <c r="BZ411" s="1"/>
      <c r="CA411" s="1"/>
      <c r="CB411" s="1"/>
      <c r="CC411" s="1"/>
      <c r="CD411" s="1"/>
      <c r="CE411" s="2"/>
      <c r="CF411" s="1"/>
      <c r="CG411" s="1"/>
      <c r="CH411" s="1"/>
      <c r="CI411" s="1"/>
      <c r="CJ411" s="1"/>
      <c r="CK411" s="1"/>
      <c r="CL411" s="1"/>
    </row>
    <row r="412" spans="1:90" ht="14.65" x14ac:dyDescent="0.4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2"/>
      <c r="L412" s="1"/>
      <c r="M412" s="1"/>
      <c r="N412" s="1"/>
      <c r="O412" s="1"/>
      <c r="P412" s="1"/>
      <c r="Q412" s="1"/>
      <c r="R412" s="1"/>
      <c r="S412" s="1"/>
      <c r="T412" s="2"/>
      <c r="U412" s="1"/>
      <c r="V412" s="1"/>
      <c r="W412" s="1"/>
      <c r="X412" s="1"/>
      <c r="Y412" s="1"/>
      <c r="Z412" s="1"/>
      <c r="AA412" s="1"/>
      <c r="AB412" s="1"/>
      <c r="AC412" s="2"/>
      <c r="AD412" s="1"/>
      <c r="AE412" s="1"/>
      <c r="AF412" s="1"/>
      <c r="AG412" s="1"/>
      <c r="AH412" s="1"/>
      <c r="AI412" s="1"/>
      <c r="AJ412" s="1"/>
      <c r="AK412" s="1"/>
      <c r="AL412" s="2"/>
      <c r="AM412" s="1"/>
      <c r="AN412" s="1"/>
      <c r="AO412" s="1"/>
      <c r="AP412" s="1"/>
      <c r="AQ412" s="1"/>
      <c r="AR412" s="1"/>
      <c r="AS412" s="1"/>
      <c r="AT412" s="1"/>
      <c r="AU412" s="2"/>
      <c r="AV412" s="1"/>
      <c r="AW412" s="1"/>
      <c r="AX412" s="1"/>
      <c r="AY412" s="1"/>
      <c r="AZ412" s="1"/>
      <c r="BA412" s="1"/>
      <c r="BB412" s="1"/>
      <c r="BC412" s="1"/>
      <c r="BD412" s="2"/>
      <c r="BE412" s="1"/>
      <c r="BF412" s="1"/>
      <c r="BG412" s="1"/>
      <c r="BH412" s="1"/>
      <c r="BI412" s="1"/>
      <c r="BJ412" s="1"/>
      <c r="BK412" s="1"/>
      <c r="BL412" s="1"/>
      <c r="BM412" s="2"/>
      <c r="BN412" s="1"/>
      <c r="BO412" s="1"/>
      <c r="BP412" s="1"/>
      <c r="BQ412" s="1"/>
      <c r="BR412" s="1"/>
      <c r="BS412" s="1"/>
      <c r="BT412" s="1"/>
      <c r="BU412" s="1"/>
      <c r="BV412" s="2"/>
      <c r="BW412" s="1"/>
      <c r="BX412" s="1"/>
      <c r="BY412" s="1"/>
      <c r="BZ412" s="1"/>
      <c r="CA412" s="1"/>
      <c r="CB412" s="1"/>
      <c r="CC412" s="1"/>
      <c r="CD412" s="1"/>
      <c r="CE412" s="2"/>
      <c r="CF412" s="1"/>
      <c r="CG412" s="1"/>
      <c r="CH412" s="1"/>
      <c r="CI412" s="1"/>
      <c r="CJ412" s="1"/>
      <c r="CK412" s="1"/>
      <c r="CL412" s="1"/>
    </row>
    <row r="413" spans="1:90" ht="14.65" x14ac:dyDescent="0.4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2"/>
      <c r="L413" s="1"/>
      <c r="M413" s="1"/>
      <c r="N413" s="1"/>
      <c r="O413" s="1"/>
      <c r="P413" s="1"/>
      <c r="Q413" s="1"/>
      <c r="R413" s="1"/>
      <c r="S413" s="1"/>
      <c r="T413" s="2"/>
      <c r="U413" s="1"/>
      <c r="V413" s="1"/>
      <c r="W413" s="1"/>
      <c r="X413" s="1"/>
      <c r="Y413" s="1"/>
      <c r="Z413" s="1"/>
      <c r="AA413" s="1"/>
      <c r="AB413" s="1"/>
      <c r="AC413" s="2"/>
      <c r="AD413" s="1"/>
      <c r="AE413" s="1"/>
      <c r="AF413" s="1"/>
      <c r="AG413" s="1"/>
      <c r="AH413" s="1"/>
      <c r="AI413" s="1"/>
      <c r="AJ413" s="1"/>
      <c r="AK413" s="1"/>
      <c r="AL413" s="2"/>
      <c r="AM413" s="1"/>
      <c r="AN413" s="1"/>
      <c r="AO413" s="1"/>
      <c r="AP413" s="1"/>
      <c r="AQ413" s="1"/>
      <c r="AR413" s="1"/>
      <c r="AS413" s="1"/>
      <c r="AT413" s="1"/>
      <c r="AU413" s="2"/>
      <c r="AV413" s="1"/>
      <c r="AW413" s="1"/>
      <c r="AX413" s="1"/>
      <c r="AY413" s="1"/>
      <c r="AZ413" s="1"/>
      <c r="BA413" s="1"/>
      <c r="BB413" s="1"/>
      <c r="BC413" s="1"/>
      <c r="BD413" s="2"/>
      <c r="BE413" s="1"/>
      <c r="BF413" s="1"/>
      <c r="BG413" s="1"/>
      <c r="BH413" s="1"/>
      <c r="BI413" s="1"/>
      <c r="BJ413" s="1"/>
      <c r="BK413" s="1"/>
      <c r="BL413" s="1"/>
      <c r="BM413" s="2"/>
      <c r="BN413" s="1"/>
      <c r="BO413" s="1"/>
      <c r="BP413" s="1"/>
      <c r="BQ413" s="1"/>
      <c r="BR413" s="1"/>
      <c r="BS413" s="1"/>
      <c r="BT413" s="1"/>
      <c r="BU413" s="1"/>
      <c r="BV413" s="2"/>
      <c r="BW413" s="1"/>
      <c r="BX413" s="1"/>
      <c r="BY413" s="1"/>
      <c r="BZ413" s="1"/>
      <c r="CA413" s="1"/>
      <c r="CB413" s="1"/>
      <c r="CC413" s="1"/>
      <c r="CD413" s="1"/>
      <c r="CE413" s="2"/>
      <c r="CF413" s="1"/>
      <c r="CG413" s="1"/>
      <c r="CH413" s="1"/>
      <c r="CI413" s="1"/>
      <c r="CJ413" s="1"/>
      <c r="CK413" s="1"/>
      <c r="CL413" s="1"/>
    </row>
    <row r="414" spans="1:90" ht="14.65" x14ac:dyDescent="0.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2"/>
      <c r="L414" s="1"/>
      <c r="M414" s="1"/>
      <c r="N414" s="1"/>
      <c r="O414" s="1"/>
      <c r="P414" s="1"/>
      <c r="Q414" s="1"/>
      <c r="R414" s="1"/>
      <c r="S414" s="1"/>
      <c r="T414" s="2"/>
      <c r="U414" s="1"/>
      <c r="V414" s="1"/>
      <c r="W414" s="1"/>
      <c r="X414" s="1"/>
      <c r="Y414" s="1"/>
      <c r="Z414" s="1"/>
      <c r="AA414" s="1"/>
      <c r="AB414" s="1"/>
      <c r="AC414" s="2"/>
      <c r="AD414" s="1"/>
      <c r="AE414" s="1"/>
      <c r="AF414" s="1"/>
      <c r="AG414" s="1"/>
      <c r="AH414" s="1"/>
      <c r="AI414" s="1"/>
      <c r="AJ414" s="1"/>
      <c r="AK414" s="1"/>
      <c r="AL414" s="2"/>
      <c r="AM414" s="1"/>
      <c r="AN414" s="1"/>
      <c r="AO414" s="1"/>
      <c r="AP414" s="1"/>
      <c r="AQ414" s="1"/>
      <c r="AR414" s="1"/>
      <c r="AS414" s="1"/>
      <c r="AT414" s="1"/>
      <c r="AU414" s="2"/>
      <c r="AV414" s="1"/>
      <c r="AW414" s="1"/>
      <c r="AX414" s="1"/>
      <c r="AY414" s="1"/>
      <c r="AZ414" s="1"/>
      <c r="BA414" s="1"/>
      <c r="BB414" s="1"/>
      <c r="BC414" s="1"/>
      <c r="BD414" s="2"/>
      <c r="BE414" s="1"/>
      <c r="BF414" s="1"/>
      <c r="BG414" s="1"/>
      <c r="BH414" s="1"/>
      <c r="BI414" s="1"/>
      <c r="BJ414" s="1"/>
      <c r="BK414" s="1"/>
      <c r="BL414" s="1"/>
      <c r="BM414" s="2"/>
      <c r="BN414" s="1"/>
      <c r="BO414" s="1"/>
      <c r="BP414" s="1"/>
      <c r="BQ414" s="1"/>
      <c r="BR414" s="1"/>
      <c r="BS414" s="1"/>
      <c r="BT414" s="1"/>
      <c r="BU414" s="1"/>
      <c r="BV414" s="2"/>
      <c r="BW414" s="1"/>
      <c r="BX414" s="1"/>
      <c r="BY414" s="1"/>
      <c r="BZ414" s="1"/>
      <c r="CA414" s="1"/>
      <c r="CB414" s="1"/>
      <c r="CC414" s="1"/>
      <c r="CD414" s="1"/>
      <c r="CE414" s="2"/>
      <c r="CF414" s="1"/>
      <c r="CG414" s="1"/>
      <c r="CH414" s="1"/>
      <c r="CI414" s="1"/>
      <c r="CJ414" s="1"/>
      <c r="CK414" s="1"/>
      <c r="CL414" s="1"/>
    </row>
    <row r="415" spans="1:90" ht="14.65" x14ac:dyDescent="0.4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2"/>
      <c r="L415" s="1"/>
      <c r="M415" s="1"/>
      <c r="N415" s="1"/>
      <c r="O415" s="1"/>
      <c r="P415" s="1"/>
      <c r="Q415" s="1"/>
      <c r="R415" s="1"/>
      <c r="S415" s="1"/>
      <c r="T415" s="2"/>
      <c r="U415" s="1"/>
      <c r="V415" s="1"/>
      <c r="W415" s="1"/>
      <c r="X415" s="1"/>
      <c r="Y415" s="1"/>
      <c r="Z415" s="1"/>
      <c r="AA415" s="1"/>
      <c r="AB415" s="1"/>
      <c r="AC415" s="2"/>
      <c r="AD415" s="1"/>
      <c r="AE415" s="1"/>
      <c r="AF415" s="1"/>
      <c r="AG415" s="1"/>
      <c r="AH415" s="1"/>
      <c r="AI415" s="1"/>
      <c r="AJ415" s="1"/>
      <c r="AK415" s="1"/>
      <c r="AL415" s="2"/>
      <c r="AM415" s="1"/>
      <c r="AN415" s="1"/>
      <c r="AO415" s="1"/>
      <c r="AP415" s="1"/>
      <c r="AQ415" s="1"/>
      <c r="AR415" s="1"/>
      <c r="AS415" s="1"/>
      <c r="AT415" s="1"/>
      <c r="AU415" s="2"/>
      <c r="AV415" s="1"/>
      <c r="AW415" s="1"/>
      <c r="AX415" s="1"/>
      <c r="AY415" s="1"/>
      <c r="AZ415" s="1"/>
      <c r="BA415" s="1"/>
      <c r="BB415" s="1"/>
      <c r="BC415" s="1"/>
      <c r="BD415" s="2"/>
      <c r="BE415" s="1"/>
      <c r="BF415" s="1"/>
      <c r="BG415" s="1"/>
      <c r="BH415" s="1"/>
      <c r="BI415" s="1"/>
      <c r="BJ415" s="1"/>
      <c r="BK415" s="1"/>
      <c r="BL415" s="1"/>
      <c r="BM415" s="2"/>
      <c r="BN415" s="1"/>
      <c r="BO415" s="1"/>
      <c r="BP415" s="1"/>
      <c r="BQ415" s="1"/>
      <c r="BR415" s="1"/>
      <c r="BS415" s="1"/>
      <c r="BT415" s="1"/>
      <c r="BU415" s="1"/>
      <c r="BV415" s="2"/>
      <c r="BW415" s="1"/>
      <c r="BX415" s="1"/>
      <c r="BY415" s="1"/>
      <c r="BZ415" s="1"/>
      <c r="CA415" s="1"/>
      <c r="CB415" s="1"/>
      <c r="CC415" s="1"/>
      <c r="CD415" s="1"/>
      <c r="CE415" s="2"/>
      <c r="CF415" s="1"/>
      <c r="CG415" s="1"/>
      <c r="CH415" s="1"/>
      <c r="CI415" s="1"/>
      <c r="CJ415" s="1"/>
      <c r="CK415" s="1"/>
      <c r="CL415" s="1"/>
    </row>
    <row r="416" spans="1:90" ht="14.65" x14ac:dyDescent="0.4">
      <c r="A416" s="1"/>
      <c r="B416" s="2"/>
      <c r="C416" s="3"/>
      <c r="D416" s="3"/>
      <c r="E416" s="1"/>
      <c r="F416" s="1"/>
      <c r="G416" s="1"/>
      <c r="H416" s="1"/>
      <c r="I416" s="1"/>
      <c r="J416" s="1"/>
      <c r="K416" s="2"/>
      <c r="L416" s="1"/>
      <c r="M416" s="1"/>
      <c r="N416" s="1"/>
      <c r="O416" s="1"/>
      <c r="P416" s="1"/>
      <c r="Q416" s="1"/>
      <c r="R416" s="1"/>
      <c r="S416" s="1"/>
      <c r="T416" s="2"/>
      <c r="U416" s="2"/>
      <c r="V416" s="1"/>
      <c r="W416" s="1"/>
      <c r="X416" s="1"/>
      <c r="Y416" s="1"/>
      <c r="Z416" s="1"/>
      <c r="AA416" s="1"/>
      <c r="AB416" s="1"/>
      <c r="AC416" s="2"/>
      <c r="AD416" s="1"/>
      <c r="AE416" s="1"/>
      <c r="AF416" s="1"/>
      <c r="AG416" s="1"/>
      <c r="AH416" s="1"/>
      <c r="AI416" s="1"/>
      <c r="AJ416" s="1"/>
      <c r="AK416" s="1"/>
      <c r="AL416" s="2"/>
      <c r="AM416" s="1"/>
      <c r="AN416" s="1"/>
      <c r="AO416" s="1"/>
      <c r="AP416" s="1"/>
      <c r="AQ416" s="1"/>
      <c r="AR416" s="1"/>
      <c r="AS416" s="1"/>
      <c r="AT416" s="1"/>
      <c r="AU416" s="2"/>
      <c r="AV416" s="1"/>
      <c r="AW416" s="1"/>
      <c r="AX416" s="1"/>
      <c r="AY416" s="1"/>
      <c r="AZ416" s="1"/>
      <c r="BA416" s="1"/>
      <c r="BB416" s="1"/>
      <c r="BC416" s="1"/>
      <c r="BD416" s="2"/>
      <c r="BE416" s="1"/>
      <c r="BF416" s="1"/>
      <c r="BG416" s="1"/>
      <c r="BH416" s="1"/>
      <c r="BI416" s="1"/>
      <c r="BJ416" s="1"/>
      <c r="BK416" s="1"/>
      <c r="BL416" s="1"/>
      <c r="BM416" s="2"/>
      <c r="BN416" s="1"/>
      <c r="BO416" s="1"/>
      <c r="BP416" s="1"/>
      <c r="BQ416" s="1"/>
      <c r="BR416" s="1"/>
      <c r="BS416" s="1"/>
      <c r="BT416" s="1"/>
      <c r="BU416" s="1"/>
      <c r="BV416" s="2"/>
      <c r="BW416" s="1"/>
      <c r="BX416" s="1"/>
      <c r="BY416" s="1"/>
      <c r="BZ416" s="1"/>
      <c r="CA416" s="1"/>
      <c r="CB416" s="1"/>
      <c r="CC416" s="1"/>
      <c r="CD416" s="1"/>
      <c r="CE416" s="2"/>
      <c r="CF416" s="1"/>
      <c r="CG416" s="1"/>
      <c r="CH416" s="1"/>
      <c r="CI416" s="1"/>
      <c r="CJ416" s="1"/>
      <c r="CK416" s="1"/>
      <c r="CL416" s="1"/>
    </row>
    <row r="417" spans="1:90" ht="14.65" x14ac:dyDescent="0.4">
      <c r="A417" s="1"/>
      <c r="B417" s="2"/>
      <c r="C417" s="3"/>
      <c r="D417" s="3"/>
      <c r="E417" s="1"/>
      <c r="F417" s="1"/>
      <c r="G417" s="1"/>
      <c r="H417" s="1"/>
      <c r="I417" s="1"/>
      <c r="J417" s="1"/>
      <c r="K417" s="2"/>
      <c r="L417" s="1"/>
      <c r="M417" s="1"/>
      <c r="N417" s="1"/>
      <c r="O417" s="1"/>
      <c r="P417" s="1"/>
      <c r="Q417" s="1"/>
      <c r="R417" s="1"/>
      <c r="S417" s="1"/>
      <c r="T417" s="2"/>
      <c r="U417" s="2"/>
      <c r="V417" s="1"/>
      <c r="W417" s="1"/>
      <c r="X417" s="1"/>
      <c r="Y417" s="1"/>
      <c r="Z417" s="1"/>
      <c r="AA417" s="1"/>
      <c r="AB417" s="1"/>
      <c r="AC417" s="2"/>
      <c r="AD417" s="1"/>
      <c r="AE417" s="1"/>
      <c r="AF417" s="1"/>
      <c r="AG417" s="1"/>
      <c r="AH417" s="1"/>
      <c r="AI417" s="1"/>
      <c r="AJ417" s="1"/>
      <c r="AK417" s="1"/>
      <c r="AL417" s="2"/>
      <c r="AM417" s="1"/>
      <c r="AN417" s="1"/>
      <c r="AO417" s="1"/>
      <c r="AP417" s="1"/>
      <c r="AQ417" s="1"/>
      <c r="AR417" s="1"/>
      <c r="AS417" s="1"/>
      <c r="AT417" s="1"/>
      <c r="AU417" s="2"/>
      <c r="AV417" s="1"/>
      <c r="AW417" s="1"/>
      <c r="AX417" s="1"/>
      <c r="AY417" s="1"/>
      <c r="AZ417" s="1"/>
      <c r="BA417" s="1"/>
      <c r="BB417" s="1"/>
      <c r="BC417" s="1"/>
      <c r="BD417" s="2"/>
      <c r="BE417" s="1"/>
      <c r="BF417" s="1"/>
      <c r="BG417" s="1"/>
      <c r="BH417" s="1"/>
      <c r="BI417" s="1"/>
      <c r="BJ417" s="1"/>
      <c r="BK417" s="1"/>
      <c r="BL417" s="1"/>
      <c r="BM417" s="2"/>
      <c r="BN417" s="1"/>
      <c r="BO417" s="1"/>
      <c r="BP417" s="1"/>
      <c r="BQ417" s="1"/>
      <c r="BR417" s="1"/>
      <c r="BS417" s="1"/>
      <c r="BT417" s="1"/>
      <c r="BU417" s="1"/>
      <c r="BV417" s="2"/>
      <c r="BW417" s="1"/>
      <c r="BX417" s="1"/>
      <c r="BY417" s="1"/>
      <c r="BZ417" s="1"/>
      <c r="CA417" s="1"/>
      <c r="CB417" s="1"/>
      <c r="CC417" s="1"/>
      <c r="CD417" s="1"/>
      <c r="CE417" s="2"/>
      <c r="CF417" s="1"/>
      <c r="CG417" s="1"/>
      <c r="CH417" s="1"/>
      <c r="CI417" s="1"/>
      <c r="CJ417" s="1"/>
      <c r="CK417" s="1"/>
      <c r="CL417" s="1"/>
    </row>
    <row r="418" spans="1:90" ht="14.65" x14ac:dyDescent="0.4">
      <c r="A418" s="1"/>
      <c r="B418" s="2"/>
      <c r="C418" s="3"/>
      <c r="D418" s="3"/>
      <c r="E418" s="1"/>
      <c r="F418" s="1"/>
      <c r="G418" s="1"/>
      <c r="H418" s="1"/>
      <c r="I418" s="1"/>
      <c r="J418" s="1"/>
      <c r="K418" s="2"/>
      <c r="L418" s="1"/>
      <c r="M418" s="1"/>
      <c r="N418" s="1"/>
      <c r="O418" s="1"/>
      <c r="P418" s="1"/>
      <c r="Q418" s="1"/>
      <c r="R418" s="1"/>
      <c r="S418" s="1"/>
      <c r="T418" s="2"/>
      <c r="U418" s="1"/>
      <c r="V418" s="1"/>
      <c r="W418" s="1"/>
      <c r="X418" s="1"/>
      <c r="Y418" s="1"/>
      <c r="Z418" s="1"/>
      <c r="AA418" s="1"/>
      <c r="AB418" s="1"/>
      <c r="AC418" s="2"/>
      <c r="AD418" s="1"/>
      <c r="AE418" s="1"/>
      <c r="AF418" s="1"/>
      <c r="AG418" s="1"/>
      <c r="AH418" s="1"/>
      <c r="AI418" s="1"/>
      <c r="AJ418" s="1"/>
      <c r="AK418" s="1"/>
      <c r="AL418" s="2"/>
      <c r="AM418" s="1"/>
      <c r="AN418" s="1"/>
      <c r="AO418" s="1"/>
      <c r="AP418" s="1"/>
      <c r="AQ418" s="1"/>
      <c r="AR418" s="1"/>
      <c r="AS418" s="1"/>
      <c r="AT418" s="1"/>
      <c r="AU418" s="2"/>
      <c r="AV418" s="1"/>
      <c r="AW418" s="1"/>
      <c r="AX418" s="1"/>
      <c r="AY418" s="1"/>
      <c r="AZ418" s="1"/>
      <c r="BA418" s="1"/>
      <c r="BB418" s="1"/>
      <c r="BC418" s="1"/>
      <c r="BD418" s="2"/>
      <c r="BE418" s="1"/>
      <c r="BF418" s="1"/>
      <c r="BG418" s="1"/>
      <c r="BH418" s="1"/>
      <c r="BI418" s="1"/>
      <c r="BJ418" s="1"/>
      <c r="BK418" s="1"/>
      <c r="BL418" s="1"/>
      <c r="BM418" s="2"/>
      <c r="BN418" s="1"/>
      <c r="BO418" s="1"/>
      <c r="BP418" s="1"/>
      <c r="BQ418" s="1"/>
      <c r="BR418" s="1"/>
      <c r="BS418" s="1"/>
      <c r="BT418" s="1"/>
      <c r="BU418" s="1"/>
      <c r="BV418" s="2"/>
      <c r="BW418" s="1"/>
      <c r="BX418" s="1"/>
      <c r="BY418" s="1"/>
      <c r="BZ418" s="1"/>
      <c r="CA418" s="1"/>
      <c r="CB418" s="1"/>
      <c r="CC418" s="1"/>
      <c r="CD418" s="1"/>
      <c r="CE418" s="2"/>
      <c r="CF418" s="1"/>
      <c r="CG418" s="1"/>
      <c r="CH418" s="1"/>
      <c r="CI418" s="1"/>
      <c r="CJ418" s="1"/>
      <c r="CK418" s="1"/>
      <c r="CL418" s="1"/>
    </row>
    <row r="419" spans="1:90" ht="14.65" x14ac:dyDescent="0.4">
      <c r="A419" s="1"/>
      <c r="B419" s="2"/>
      <c r="C419" s="3"/>
      <c r="D419" s="3"/>
      <c r="E419" s="1"/>
      <c r="F419" s="1"/>
      <c r="G419" s="1"/>
      <c r="H419" s="1"/>
      <c r="I419" s="1"/>
      <c r="J419" s="1"/>
      <c r="K419" s="2"/>
      <c r="L419" s="1"/>
      <c r="M419" s="1"/>
      <c r="N419" s="1"/>
      <c r="O419" s="1"/>
      <c r="P419" s="1"/>
      <c r="Q419" s="1"/>
      <c r="R419" s="1"/>
      <c r="S419" s="1"/>
      <c r="T419" s="2"/>
      <c r="U419" s="1"/>
      <c r="V419" s="1"/>
      <c r="W419" s="1"/>
      <c r="X419" s="1"/>
      <c r="Y419" s="1"/>
      <c r="Z419" s="1"/>
      <c r="AA419" s="1"/>
      <c r="AB419" s="1"/>
      <c r="AC419" s="2"/>
      <c r="AD419" s="1"/>
      <c r="AE419" s="1"/>
      <c r="AF419" s="1"/>
      <c r="AG419" s="1"/>
      <c r="AH419" s="1"/>
      <c r="AI419" s="1"/>
      <c r="AJ419" s="1"/>
      <c r="AK419" s="1"/>
      <c r="AL419" s="2"/>
      <c r="AM419" s="1"/>
      <c r="AN419" s="1"/>
      <c r="AO419" s="1"/>
      <c r="AP419" s="1"/>
      <c r="AQ419" s="1"/>
      <c r="AR419" s="1"/>
      <c r="AS419" s="1"/>
      <c r="AT419" s="1"/>
      <c r="AU419" s="2"/>
      <c r="AV419" s="1"/>
      <c r="AW419" s="1"/>
      <c r="AX419" s="1"/>
      <c r="AY419" s="1"/>
      <c r="AZ419" s="1"/>
      <c r="BA419" s="1"/>
      <c r="BB419" s="1"/>
      <c r="BC419" s="1"/>
      <c r="BD419" s="2"/>
      <c r="BE419" s="1"/>
      <c r="BF419" s="1"/>
      <c r="BG419" s="1"/>
      <c r="BH419" s="1"/>
      <c r="BI419" s="1"/>
      <c r="BJ419" s="1"/>
      <c r="BK419" s="1"/>
      <c r="BL419" s="1"/>
      <c r="BM419" s="2"/>
      <c r="BN419" s="1"/>
      <c r="BO419" s="1"/>
      <c r="BP419" s="1"/>
      <c r="BQ419" s="1"/>
      <c r="BR419" s="1"/>
      <c r="BS419" s="1"/>
      <c r="BT419" s="1"/>
      <c r="BU419" s="1"/>
      <c r="BV419" s="2"/>
      <c r="BW419" s="1"/>
      <c r="BX419" s="1"/>
      <c r="BY419" s="1"/>
      <c r="BZ419" s="1"/>
      <c r="CA419" s="1"/>
      <c r="CB419" s="1"/>
      <c r="CC419" s="1"/>
      <c r="CD419" s="1"/>
      <c r="CE419" s="2"/>
      <c r="CF419" s="1"/>
      <c r="CG419" s="1"/>
      <c r="CH419" s="1"/>
      <c r="CI419" s="1"/>
      <c r="CJ419" s="1"/>
      <c r="CK419" s="1"/>
      <c r="CL419" s="1"/>
    </row>
    <row r="420" spans="1:90" ht="14.65" x14ac:dyDescent="0.4">
      <c r="A420" s="1"/>
      <c r="B420" s="2"/>
      <c r="C420" s="3"/>
      <c r="D420" s="3"/>
      <c r="E420" s="1"/>
      <c r="F420" s="1"/>
      <c r="G420" s="1"/>
      <c r="H420" s="1"/>
      <c r="I420" s="1"/>
      <c r="J420" s="1"/>
      <c r="K420" s="2"/>
      <c r="L420" s="1"/>
      <c r="M420" s="1"/>
      <c r="N420" s="1"/>
      <c r="O420" s="1"/>
      <c r="P420" s="1"/>
      <c r="Q420" s="1"/>
      <c r="R420" s="1"/>
      <c r="S420" s="1"/>
      <c r="T420" s="2"/>
      <c r="U420" s="1"/>
      <c r="V420" s="1"/>
      <c r="W420" s="1"/>
      <c r="X420" s="1"/>
      <c r="Y420" s="1"/>
      <c r="Z420" s="1"/>
      <c r="AA420" s="1"/>
      <c r="AB420" s="1"/>
      <c r="AC420" s="2"/>
      <c r="AD420" s="1"/>
      <c r="AE420" s="1"/>
      <c r="AF420" s="1"/>
      <c r="AG420" s="1"/>
      <c r="AH420" s="1"/>
      <c r="AI420" s="1"/>
      <c r="AJ420" s="1"/>
      <c r="AK420" s="1"/>
      <c r="AL420" s="2"/>
      <c r="AM420" s="1"/>
      <c r="AN420" s="1"/>
      <c r="AO420" s="1"/>
      <c r="AP420" s="1"/>
      <c r="AQ420" s="1"/>
      <c r="AR420" s="1"/>
      <c r="AS420" s="1"/>
      <c r="AT420" s="1"/>
      <c r="AU420" s="2"/>
      <c r="AV420" s="1"/>
      <c r="AW420" s="1"/>
      <c r="AX420" s="1"/>
      <c r="AY420" s="1"/>
      <c r="AZ420" s="1"/>
      <c r="BA420" s="1"/>
      <c r="BB420" s="1"/>
      <c r="BC420" s="1"/>
      <c r="BD420" s="2"/>
      <c r="BE420" s="1"/>
      <c r="BF420" s="1"/>
      <c r="BG420" s="1"/>
      <c r="BH420" s="1"/>
      <c r="BI420" s="1"/>
      <c r="BJ420" s="1"/>
      <c r="BK420" s="1"/>
      <c r="BL420" s="1"/>
      <c r="BM420" s="2"/>
      <c r="BN420" s="1"/>
      <c r="BO420" s="1"/>
      <c r="BP420" s="1"/>
      <c r="BQ420" s="1"/>
      <c r="BR420" s="1"/>
      <c r="BS420" s="1"/>
      <c r="BT420" s="1"/>
      <c r="BU420" s="1"/>
      <c r="BV420" s="2"/>
      <c r="BW420" s="1"/>
      <c r="BX420" s="1"/>
      <c r="BY420" s="1"/>
      <c r="BZ420" s="1"/>
      <c r="CA420" s="1"/>
      <c r="CB420" s="1"/>
      <c r="CC420" s="1"/>
      <c r="CD420" s="1"/>
      <c r="CE420" s="2"/>
      <c r="CF420" s="1"/>
      <c r="CG420" s="1"/>
      <c r="CH420" s="1"/>
      <c r="CI420" s="1"/>
      <c r="CJ420" s="1"/>
      <c r="CK420" s="1"/>
      <c r="CL420" s="1"/>
    </row>
    <row r="421" spans="1:90" ht="14.65" x14ac:dyDescent="0.4">
      <c r="A421" s="1"/>
      <c r="B421" s="2"/>
      <c r="C421" s="3"/>
      <c r="D421" s="3"/>
      <c r="E421" s="1"/>
      <c r="F421" s="1"/>
      <c r="G421" s="1"/>
      <c r="H421" s="1"/>
      <c r="I421" s="1"/>
      <c r="J421" s="1"/>
      <c r="K421" s="2"/>
      <c r="L421" s="1"/>
      <c r="M421" s="1"/>
      <c r="N421" s="1"/>
      <c r="O421" s="1"/>
      <c r="P421" s="1"/>
      <c r="Q421" s="1"/>
      <c r="R421" s="1"/>
      <c r="S421" s="1"/>
      <c r="T421" s="2"/>
      <c r="U421" s="1"/>
      <c r="V421" s="1"/>
      <c r="W421" s="1"/>
      <c r="X421" s="1"/>
      <c r="Y421" s="1"/>
      <c r="Z421" s="1"/>
      <c r="AA421" s="1"/>
      <c r="AB421" s="1"/>
      <c r="AC421" s="2"/>
      <c r="AD421" s="1"/>
      <c r="AE421" s="1"/>
      <c r="AF421" s="1"/>
      <c r="AG421" s="1"/>
      <c r="AH421" s="1"/>
      <c r="AI421" s="1"/>
      <c r="AJ421" s="1"/>
      <c r="AK421" s="1"/>
      <c r="AL421" s="2"/>
      <c r="AM421" s="1"/>
      <c r="AN421" s="1"/>
      <c r="AO421" s="1"/>
      <c r="AP421" s="1"/>
      <c r="AQ421" s="1"/>
      <c r="AR421" s="1"/>
      <c r="AS421" s="1"/>
      <c r="AT421" s="1"/>
      <c r="AU421" s="2"/>
      <c r="AV421" s="1"/>
      <c r="AW421" s="1"/>
      <c r="AX421" s="1"/>
      <c r="AY421" s="1"/>
      <c r="AZ421" s="1"/>
      <c r="BA421" s="1"/>
      <c r="BB421" s="1"/>
      <c r="BC421" s="1"/>
      <c r="BD421" s="2"/>
      <c r="BE421" s="1"/>
      <c r="BF421" s="1"/>
      <c r="BG421" s="1"/>
      <c r="BH421" s="1"/>
      <c r="BI421" s="1"/>
      <c r="BJ421" s="1"/>
      <c r="BK421" s="1"/>
      <c r="BL421" s="1"/>
      <c r="BM421" s="2"/>
      <c r="BN421" s="1"/>
      <c r="BO421" s="1"/>
      <c r="BP421" s="1"/>
      <c r="BQ421" s="1"/>
      <c r="BR421" s="1"/>
      <c r="BS421" s="1"/>
      <c r="BT421" s="1"/>
      <c r="BU421" s="1"/>
      <c r="BV421" s="2"/>
      <c r="BW421" s="1"/>
      <c r="BX421" s="1"/>
      <c r="BY421" s="1"/>
      <c r="BZ421" s="1"/>
      <c r="CA421" s="1"/>
      <c r="CB421" s="1"/>
      <c r="CC421" s="1"/>
      <c r="CD421" s="1"/>
      <c r="CE421" s="2"/>
      <c r="CF421" s="1"/>
      <c r="CG421" s="1"/>
      <c r="CH421" s="1"/>
      <c r="CI421" s="1"/>
      <c r="CJ421" s="1"/>
      <c r="CK421" s="1"/>
      <c r="CL421" s="1"/>
    </row>
    <row r="422" spans="1:90" ht="14.65" x14ac:dyDescent="0.4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2"/>
      <c r="L422" s="1"/>
      <c r="M422" s="1"/>
      <c r="N422" s="1"/>
      <c r="O422" s="1"/>
      <c r="P422" s="1"/>
      <c r="Q422" s="1"/>
      <c r="R422" s="1"/>
      <c r="S422" s="1"/>
      <c r="T422" s="2"/>
      <c r="U422" s="1"/>
      <c r="V422" s="1"/>
      <c r="W422" s="1"/>
      <c r="X422" s="1"/>
      <c r="Y422" s="1"/>
      <c r="Z422" s="1"/>
      <c r="AA422" s="1"/>
      <c r="AB422" s="1"/>
      <c r="AC422" s="2"/>
      <c r="AD422" s="1"/>
      <c r="AE422" s="1"/>
      <c r="AF422" s="1"/>
      <c r="AG422" s="1"/>
      <c r="AH422" s="1"/>
      <c r="AI422" s="1"/>
      <c r="AJ422" s="1"/>
      <c r="AK422" s="1"/>
      <c r="AL422" s="2"/>
      <c r="AM422" s="1"/>
      <c r="AN422" s="1"/>
      <c r="AO422" s="1"/>
      <c r="AP422" s="1"/>
      <c r="AQ422" s="1"/>
      <c r="AR422" s="1"/>
      <c r="AS422" s="1"/>
      <c r="AT422" s="1"/>
      <c r="AU422" s="2"/>
      <c r="AV422" s="1"/>
      <c r="AW422" s="1"/>
      <c r="AX422" s="1"/>
      <c r="AY422" s="1"/>
      <c r="AZ422" s="1"/>
      <c r="BA422" s="1"/>
      <c r="BB422" s="1"/>
      <c r="BC422" s="1"/>
      <c r="BD422" s="2"/>
      <c r="BE422" s="1"/>
      <c r="BF422" s="1"/>
      <c r="BG422" s="1"/>
      <c r="BH422" s="1"/>
      <c r="BI422" s="1"/>
      <c r="BJ422" s="1"/>
      <c r="BK422" s="1"/>
      <c r="BL422" s="1"/>
      <c r="BM422" s="2"/>
      <c r="BN422" s="1"/>
      <c r="BO422" s="1"/>
      <c r="BP422" s="1"/>
      <c r="BQ422" s="1"/>
      <c r="BR422" s="1"/>
      <c r="BS422" s="1"/>
      <c r="BT422" s="1"/>
      <c r="BU422" s="1"/>
      <c r="BV422" s="2"/>
      <c r="BW422" s="1"/>
      <c r="BX422" s="1"/>
      <c r="BY422" s="1"/>
      <c r="BZ422" s="1"/>
      <c r="CA422" s="1"/>
      <c r="CB422" s="1"/>
      <c r="CC422" s="1"/>
      <c r="CD422" s="1"/>
      <c r="CE422" s="2"/>
      <c r="CF422" s="1"/>
      <c r="CG422" s="1"/>
      <c r="CH422" s="1"/>
      <c r="CI422" s="1"/>
      <c r="CJ422" s="1"/>
      <c r="CK422" s="1"/>
      <c r="CL422" s="1"/>
    </row>
    <row r="423" spans="1:90" ht="14.65" x14ac:dyDescent="0.4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2"/>
      <c r="L423" s="1"/>
      <c r="M423" s="1"/>
      <c r="N423" s="1"/>
      <c r="O423" s="1"/>
      <c r="P423" s="1"/>
      <c r="Q423" s="1"/>
      <c r="R423" s="1"/>
      <c r="S423" s="1"/>
      <c r="T423" s="2"/>
      <c r="U423" s="1"/>
      <c r="V423" s="1"/>
      <c r="W423" s="1"/>
      <c r="X423" s="1"/>
      <c r="Y423" s="1"/>
      <c r="Z423" s="1"/>
      <c r="AA423" s="1"/>
      <c r="AB423" s="1"/>
      <c r="AC423" s="2"/>
      <c r="AD423" s="1"/>
      <c r="AE423" s="1"/>
      <c r="AF423" s="1"/>
      <c r="AG423" s="1"/>
      <c r="AH423" s="1"/>
      <c r="AI423" s="1"/>
      <c r="AJ423" s="1"/>
      <c r="AK423" s="1"/>
      <c r="AL423" s="2"/>
      <c r="AM423" s="1"/>
      <c r="AN423" s="1"/>
      <c r="AO423" s="1"/>
      <c r="AP423" s="1"/>
      <c r="AQ423" s="1"/>
      <c r="AR423" s="1"/>
      <c r="AS423" s="1"/>
      <c r="AT423" s="1"/>
      <c r="AU423" s="2"/>
      <c r="AV423" s="1"/>
      <c r="AW423" s="1"/>
      <c r="AX423" s="1"/>
      <c r="AY423" s="1"/>
      <c r="AZ423" s="1"/>
      <c r="BA423" s="1"/>
      <c r="BB423" s="1"/>
      <c r="BC423" s="1"/>
      <c r="BD423" s="2"/>
      <c r="BE423" s="1"/>
      <c r="BF423" s="1"/>
      <c r="BG423" s="1"/>
      <c r="BH423" s="1"/>
      <c r="BI423" s="1"/>
      <c r="BJ423" s="1"/>
      <c r="BK423" s="1"/>
      <c r="BL423" s="1"/>
      <c r="BM423" s="2"/>
      <c r="BN423" s="1"/>
      <c r="BO423" s="1"/>
      <c r="BP423" s="1"/>
      <c r="BQ423" s="1"/>
      <c r="BR423" s="1"/>
      <c r="BS423" s="1"/>
      <c r="BT423" s="1"/>
      <c r="BU423" s="1"/>
      <c r="BV423" s="2"/>
      <c r="BW423" s="1"/>
      <c r="BX423" s="1"/>
      <c r="BY423" s="1"/>
      <c r="BZ423" s="1"/>
      <c r="CA423" s="1"/>
      <c r="CB423" s="1"/>
      <c r="CC423" s="1"/>
      <c r="CD423" s="1"/>
      <c r="CE423" s="2"/>
      <c r="CF423" s="1"/>
      <c r="CG423" s="1"/>
      <c r="CH423" s="1"/>
      <c r="CI423" s="1"/>
      <c r="CJ423" s="1"/>
      <c r="CK423" s="1"/>
      <c r="CL423" s="1"/>
    </row>
    <row r="424" spans="1:90" ht="14.65" x14ac:dyDescent="0.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2"/>
      <c r="L424" s="1"/>
      <c r="M424" s="1"/>
      <c r="N424" s="1"/>
      <c r="O424" s="1"/>
      <c r="P424" s="1"/>
      <c r="Q424" s="1"/>
      <c r="R424" s="1"/>
      <c r="S424" s="1"/>
      <c r="T424" s="2"/>
      <c r="U424" s="1"/>
      <c r="V424" s="1"/>
      <c r="W424" s="1"/>
      <c r="X424" s="1"/>
      <c r="Y424" s="1"/>
      <c r="Z424" s="1"/>
      <c r="AA424" s="1"/>
      <c r="AB424" s="1"/>
      <c r="AC424" s="2"/>
      <c r="AD424" s="1"/>
      <c r="AE424" s="1"/>
      <c r="AF424" s="1"/>
      <c r="AG424" s="1"/>
      <c r="AH424" s="1"/>
      <c r="AI424" s="1"/>
      <c r="AJ424" s="1"/>
      <c r="AK424" s="1"/>
      <c r="AL424" s="2"/>
      <c r="AM424" s="1"/>
      <c r="AN424" s="1"/>
      <c r="AO424" s="1"/>
      <c r="AP424" s="1"/>
      <c r="AQ424" s="1"/>
      <c r="AR424" s="1"/>
      <c r="AS424" s="1"/>
      <c r="AT424" s="1"/>
      <c r="AU424" s="2"/>
      <c r="AV424" s="1"/>
      <c r="AW424" s="1"/>
      <c r="AX424" s="1"/>
      <c r="AY424" s="1"/>
      <c r="AZ424" s="1"/>
      <c r="BA424" s="1"/>
      <c r="BB424" s="1"/>
      <c r="BC424" s="1"/>
      <c r="BD424" s="2"/>
      <c r="BE424" s="1"/>
      <c r="BF424" s="1"/>
      <c r="BG424" s="1"/>
      <c r="BH424" s="1"/>
      <c r="BI424" s="1"/>
      <c r="BJ424" s="1"/>
      <c r="BK424" s="1"/>
      <c r="BL424" s="1"/>
      <c r="BM424" s="2"/>
      <c r="BN424" s="1"/>
      <c r="BO424" s="1"/>
      <c r="BP424" s="1"/>
      <c r="BQ424" s="1"/>
      <c r="BR424" s="1"/>
      <c r="BS424" s="1"/>
      <c r="BT424" s="1"/>
      <c r="BU424" s="1"/>
      <c r="BV424" s="2"/>
      <c r="BW424" s="1"/>
      <c r="BX424" s="1"/>
      <c r="BY424" s="1"/>
      <c r="BZ424" s="1"/>
      <c r="CA424" s="1"/>
      <c r="CB424" s="1"/>
      <c r="CC424" s="1"/>
      <c r="CD424" s="1"/>
      <c r="CE424" s="2"/>
      <c r="CF424" s="1"/>
      <c r="CG424" s="1"/>
      <c r="CH424" s="1"/>
      <c r="CI424" s="1"/>
      <c r="CJ424" s="1"/>
      <c r="CK424" s="1"/>
      <c r="CL424" s="1"/>
    </row>
    <row r="425" spans="1:90" ht="14.65" x14ac:dyDescent="0.4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2"/>
      <c r="L425" s="1"/>
      <c r="M425" s="1"/>
      <c r="N425" s="1"/>
      <c r="O425" s="1"/>
      <c r="P425" s="1"/>
      <c r="Q425" s="1"/>
      <c r="R425" s="1"/>
      <c r="S425" s="1"/>
      <c r="T425" s="2"/>
      <c r="U425" s="1"/>
      <c r="V425" s="1"/>
      <c r="W425" s="1"/>
      <c r="X425" s="1"/>
      <c r="Y425" s="1"/>
      <c r="Z425" s="1"/>
      <c r="AA425" s="1"/>
      <c r="AB425" s="1"/>
      <c r="AC425" s="2"/>
      <c r="AD425" s="1"/>
      <c r="AE425" s="1"/>
      <c r="AF425" s="1"/>
      <c r="AG425" s="1"/>
      <c r="AH425" s="1"/>
      <c r="AI425" s="1"/>
      <c r="AJ425" s="1"/>
      <c r="AK425" s="1"/>
      <c r="AL425" s="2"/>
      <c r="AM425" s="1"/>
      <c r="AN425" s="1"/>
      <c r="AO425" s="1"/>
      <c r="AP425" s="1"/>
      <c r="AQ425" s="1"/>
      <c r="AR425" s="1"/>
      <c r="AS425" s="1"/>
      <c r="AT425" s="1"/>
      <c r="AU425" s="2"/>
      <c r="AV425" s="1"/>
      <c r="AW425" s="1"/>
      <c r="AX425" s="1"/>
      <c r="AY425" s="1"/>
      <c r="AZ425" s="1"/>
      <c r="BA425" s="1"/>
      <c r="BB425" s="1"/>
      <c r="BC425" s="1"/>
      <c r="BD425" s="2"/>
      <c r="BE425" s="1"/>
      <c r="BF425" s="1"/>
      <c r="BG425" s="1"/>
      <c r="BH425" s="1"/>
      <c r="BI425" s="1"/>
      <c r="BJ425" s="1"/>
      <c r="BK425" s="1"/>
      <c r="BL425" s="1"/>
      <c r="BM425" s="2"/>
      <c r="BN425" s="1"/>
      <c r="BO425" s="1"/>
      <c r="BP425" s="1"/>
      <c r="BQ425" s="1"/>
      <c r="BR425" s="1"/>
      <c r="BS425" s="1"/>
      <c r="BT425" s="1"/>
      <c r="BU425" s="1"/>
      <c r="BV425" s="2"/>
      <c r="BW425" s="1"/>
      <c r="BX425" s="1"/>
      <c r="BY425" s="1"/>
      <c r="BZ425" s="1"/>
      <c r="CA425" s="1"/>
      <c r="CB425" s="1"/>
      <c r="CC425" s="1"/>
      <c r="CD425" s="1"/>
      <c r="CE425" s="2"/>
      <c r="CF425" s="1"/>
      <c r="CG425" s="1"/>
      <c r="CH425" s="1"/>
      <c r="CI425" s="1"/>
      <c r="CJ425" s="1"/>
      <c r="CK425" s="1"/>
      <c r="CL425" s="1"/>
    </row>
    <row r="426" spans="1:90" ht="14.65" x14ac:dyDescent="0.4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2"/>
      <c r="L426" s="1"/>
      <c r="M426" s="1"/>
      <c r="N426" s="1"/>
      <c r="O426" s="1"/>
      <c r="P426" s="1"/>
      <c r="Q426" s="1"/>
      <c r="R426" s="1"/>
      <c r="S426" s="1"/>
      <c r="T426" s="2"/>
      <c r="U426" s="1"/>
      <c r="V426" s="1"/>
      <c r="W426" s="1"/>
      <c r="X426" s="1"/>
      <c r="Y426" s="1"/>
      <c r="Z426" s="1"/>
      <c r="AA426" s="1"/>
      <c r="AB426" s="1"/>
      <c r="AC426" s="2"/>
      <c r="AD426" s="1"/>
      <c r="AE426" s="1"/>
      <c r="AF426" s="1"/>
      <c r="AG426" s="1"/>
      <c r="AH426" s="1"/>
      <c r="AI426" s="1"/>
      <c r="AJ426" s="1"/>
      <c r="AK426" s="1"/>
      <c r="AL426" s="2"/>
      <c r="AM426" s="1"/>
      <c r="AN426" s="1"/>
      <c r="AO426" s="1"/>
      <c r="AP426" s="1"/>
      <c r="AQ426" s="1"/>
      <c r="AR426" s="1"/>
      <c r="AS426" s="1"/>
      <c r="AT426" s="1"/>
      <c r="AU426" s="2"/>
      <c r="AV426" s="1"/>
      <c r="AW426" s="1"/>
      <c r="AX426" s="1"/>
      <c r="AY426" s="1"/>
      <c r="AZ426" s="1"/>
      <c r="BA426" s="1"/>
      <c r="BB426" s="1"/>
      <c r="BC426" s="1"/>
      <c r="BD426" s="2"/>
      <c r="BE426" s="1"/>
      <c r="BF426" s="1"/>
      <c r="BG426" s="1"/>
      <c r="BH426" s="1"/>
      <c r="BI426" s="1"/>
      <c r="BJ426" s="1"/>
      <c r="BK426" s="1"/>
      <c r="BL426" s="1"/>
      <c r="BM426" s="2"/>
      <c r="BN426" s="1"/>
      <c r="BO426" s="1"/>
      <c r="BP426" s="1"/>
      <c r="BQ426" s="1"/>
      <c r="BR426" s="1"/>
      <c r="BS426" s="1"/>
      <c r="BT426" s="1"/>
      <c r="BU426" s="1"/>
      <c r="BV426" s="2"/>
      <c r="BW426" s="1"/>
      <c r="BX426" s="1"/>
      <c r="BY426" s="1"/>
      <c r="BZ426" s="1"/>
      <c r="CA426" s="1"/>
      <c r="CB426" s="1"/>
      <c r="CC426" s="1"/>
      <c r="CD426" s="1"/>
      <c r="CE426" s="2"/>
      <c r="CF426" s="1"/>
      <c r="CG426" s="1"/>
      <c r="CH426" s="1"/>
      <c r="CI426" s="1"/>
      <c r="CJ426" s="1"/>
      <c r="CK426" s="1"/>
      <c r="CL426" s="1"/>
    </row>
    <row r="427" spans="1:90" ht="14.65" x14ac:dyDescent="0.4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2"/>
      <c r="L427" s="1"/>
      <c r="M427" s="1"/>
      <c r="N427" s="1"/>
      <c r="O427" s="1"/>
      <c r="P427" s="1"/>
      <c r="Q427" s="1"/>
      <c r="R427" s="1"/>
      <c r="S427" s="1"/>
      <c r="T427" s="2"/>
      <c r="U427" s="1"/>
      <c r="V427" s="1"/>
      <c r="W427" s="1"/>
      <c r="X427" s="1"/>
      <c r="Y427" s="1"/>
      <c r="Z427" s="1"/>
      <c r="AA427" s="1"/>
      <c r="AB427" s="1"/>
      <c r="AC427" s="2"/>
      <c r="AD427" s="1"/>
      <c r="AE427" s="1"/>
      <c r="AF427" s="1"/>
      <c r="AG427" s="1"/>
      <c r="AH427" s="1"/>
      <c r="AI427" s="1"/>
      <c r="AJ427" s="1"/>
      <c r="AK427" s="1"/>
      <c r="AL427" s="2"/>
      <c r="AM427" s="1"/>
      <c r="AN427" s="1"/>
      <c r="AO427" s="1"/>
      <c r="AP427" s="1"/>
      <c r="AQ427" s="1"/>
      <c r="AR427" s="1"/>
      <c r="AS427" s="1"/>
      <c r="AT427" s="1"/>
      <c r="AU427" s="2"/>
      <c r="AV427" s="1"/>
      <c r="AW427" s="1"/>
      <c r="AX427" s="1"/>
      <c r="AY427" s="1"/>
      <c r="AZ427" s="1"/>
      <c r="BA427" s="1"/>
      <c r="BB427" s="1"/>
      <c r="BC427" s="1"/>
      <c r="BD427" s="2"/>
      <c r="BE427" s="1"/>
      <c r="BF427" s="1"/>
      <c r="BG427" s="1"/>
      <c r="BH427" s="1"/>
      <c r="BI427" s="1"/>
      <c r="BJ427" s="1"/>
      <c r="BK427" s="1"/>
      <c r="BL427" s="1"/>
      <c r="BM427" s="2"/>
      <c r="BN427" s="1"/>
      <c r="BO427" s="1"/>
      <c r="BP427" s="1"/>
      <c r="BQ427" s="1"/>
      <c r="BR427" s="1"/>
      <c r="BS427" s="1"/>
      <c r="BT427" s="1"/>
      <c r="BU427" s="1"/>
      <c r="BV427" s="2"/>
      <c r="BW427" s="1"/>
      <c r="BX427" s="1"/>
      <c r="BY427" s="1"/>
      <c r="BZ427" s="1"/>
      <c r="CA427" s="1"/>
      <c r="CB427" s="1"/>
      <c r="CC427" s="1"/>
      <c r="CD427" s="1"/>
      <c r="CE427" s="2"/>
      <c r="CF427" s="1"/>
      <c r="CG427" s="1"/>
      <c r="CH427" s="1"/>
      <c r="CI427" s="1"/>
      <c r="CJ427" s="1"/>
      <c r="CK427" s="1"/>
      <c r="CL427" s="1"/>
    </row>
    <row r="428" spans="1:90" ht="14.65" x14ac:dyDescent="0.4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2"/>
      <c r="L428" s="1"/>
      <c r="M428" s="1"/>
      <c r="N428" s="1"/>
      <c r="O428" s="1"/>
      <c r="P428" s="1"/>
      <c r="Q428" s="1"/>
      <c r="R428" s="1"/>
      <c r="S428" s="1"/>
      <c r="T428" s="2"/>
      <c r="U428" s="1"/>
      <c r="V428" s="1"/>
      <c r="W428" s="1"/>
      <c r="X428" s="1"/>
      <c r="Y428" s="1"/>
      <c r="Z428" s="1"/>
      <c r="AA428" s="1"/>
      <c r="AB428" s="1"/>
      <c r="AC428" s="2"/>
      <c r="AD428" s="1"/>
      <c r="AE428" s="1"/>
      <c r="AF428" s="1"/>
      <c r="AG428" s="1"/>
      <c r="AH428" s="1"/>
      <c r="AI428" s="1"/>
      <c r="AJ428" s="1"/>
      <c r="AK428" s="1"/>
      <c r="AL428" s="2"/>
      <c r="AM428" s="1"/>
      <c r="AN428" s="1"/>
      <c r="AO428" s="1"/>
      <c r="AP428" s="1"/>
      <c r="AQ428" s="1"/>
      <c r="AR428" s="1"/>
      <c r="AS428" s="1"/>
      <c r="AT428" s="1"/>
      <c r="AU428" s="2"/>
      <c r="AV428" s="1"/>
      <c r="AW428" s="1"/>
      <c r="AX428" s="1"/>
      <c r="AY428" s="1"/>
      <c r="AZ428" s="1"/>
      <c r="BA428" s="1"/>
      <c r="BB428" s="1"/>
      <c r="BC428" s="1"/>
      <c r="BD428" s="2"/>
      <c r="BE428" s="1"/>
      <c r="BF428" s="1"/>
      <c r="BG428" s="1"/>
      <c r="BH428" s="1"/>
      <c r="BI428" s="1"/>
      <c r="BJ428" s="1"/>
      <c r="BK428" s="1"/>
      <c r="BL428" s="1"/>
      <c r="BM428" s="2"/>
      <c r="BN428" s="1"/>
      <c r="BO428" s="1"/>
      <c r="BP428" s="1"/>
      <c r="BQ428" s="1"/>
      <c r="BR428" s="1"/>
      <c r="BS428" s="1"/>
      <c r="BT428" s="1"/>
      <c r="BU428" s="1"/>
      <c r="BV428" s="2"/>
      <c r="BW428" s="1"/>
      <c r="BX428" s="1"/>
      <c r="BY428" s="1"/>
      <c r="BZ428" s="1"/>
      <c r="CA428" s="1"/>
      <c r="CB428" s="1"/>
      <c r="CC428" s="1"/>
      <c r="CD428" s="1"/>
      <c r="CE428" s="2"/>
      <c r="CF428" s="1"/>
      <c r="CG428" s="1"/>
      <c r="CH428" s="1"/>
      <c r="CI428" s="1"/>
      <c r="CJ428" s="1"/>
      <c r="CK428" s="1"/>
      <c r="CL428" s="1"/>
    </row>
    <row r="429" spans="1:90" ht="14.65" x14ac:dyDescent="0.4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2"/>
      <c r="L429" s="1"/>
      <c r="M429" s="1"/>
      <c r="N429" s="1"/>
      <c r="O429" s="1"/>
      <c r="P429" s="1"/>
      <c r="Q429" s="1"/>
      <c r="R429" s="1"/>
      <c r="S429" s="1"/>
      <c r="T429" s="2"/>
      <c r="U429" s="1"/>
      <c r="V429" s="1"/>
      <c r="W429" s="1"/>
      <c r="X429" s="1"/>
      <c r="Y429" s="1"/>
      <c r="Z429" s="1"/>
      <c r="AA429" s="1"/>
      <c r="AB429" s="1"/>
      <c r="AC429" s="2"/>
      <c r="AD429" s="1"/>
      <c r="AE429" s="1"/>
      <c r="AF429" s="1"/>
      <c r="AG429" s="1"/>
      <c r="AH429" s="1"/>
      <c r="AI429" s="1"/>
      <c r="AJ429" s="1"/>
      <c r="AK429" s="1"/>
      <c r="AL429" s="2"/>
      <c r="AM429" s="1"/>
      <c r="AN429" s="1"/>
      <c r="AO429" s="1"/>
      <c r="AP429" s="1"/>
      <c r="AQ429" s="1"/>
      <c r="AR429" s="1"/>
      <c r="AS429" s="1"/>
      <c r="AT429" s="1"/>
      <c r="AU429" s="2"/>
      <c r="AV429" s="1"/>
      <c r="AW429" s="1"/>
      <c r="AX429" s="1"/>
      <c r="AY429" s="1"/>
      <c r="AZ429" s="1"/>
      <c r="BA429" s="1"/>
      <c r="BB429" s="1"/>
      <c r="BC429" s="1"/>
      <c r="BD429" s="2"/>
      <c r="BE429" s="1"/>
      <c r="BF429" s="1"/>
      <c r="BG429" s="1"/>
      <c r="BH429" s="1"/>
      <c r="BI429" s="1"/>
      <c r="BJ429" s="1"/>
      <c r="BK429" s="1"/>
      <c r="BL429" s="1"/>
      <c r="BM429" s="2"/>
      <c r="BN429" s="1"/>
      <c r="BO429" s="1"/>
      <c r="BP429" s="1"/>
      <c r="BQ429" s="1"/>
      <c r="BR429" s="1"/>
      <c r="BS429" s="1"/>
      <c r="BT429" s="1"/>
      <c r="BU429" s="1"/>
      <c r="BV429" s="2"/>
      <c r="BW429" s="1"/>
      <c r="BX429" s="1"/>
      <c r="BY429" s="1"/>
      <c r="BZ429" s="1"/>
      <c r="CA429" s="1"/>
      <c r="CB429" s="1"/>
      <c r="CC429" s="1"/>
      <c r="CD429" s="1"/>
      <c r="CE429" s="2"/>
      <c r="CF429" s="1"/>
      <c r="CG429" s="1"/>
      <c r="CH429" s="1"/>
      <c r="CI429" s="1"/>
      <c r="CJ429" s="1"/>
      <c r="CK429" s="1"/>
      <c r="CL429" s="1"/>
    </row>
    <row r="430" spans="1:90" ht="14.65" x14ac:dyDescent="0.4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2"/>
      <c r="L430" s="1"/>
      <c r="M430" s="1"/>
      <c r="N430" s="1"/>
      <c r="O430" s="1"/>
      <c r="P430" s="1"/>
      <c r="Q430" s="1"/>
      <c r="R430" s="1"/>
      <c r="S430" s="1"/>
      <c r="T430" s="2"/>
      <c r="U430" s="1"/>
      <c r="V430" s="1"/>
      <c r="W430" s="1"/>
      <c r="X430" s="1"/>
      <c r="Y430" s="1"/>
      <c r="Z430" s="1"/>
      <c r="AA430" s="1"/>
      <c r="AB430" s="1"/>
      <c r="AC430" s="2"/>
      <c r="AD430" s="1"/>
      <c r="AE430" s="1"/>
      <c r="AF430" s="1"/>
      <c r="AG430" s="1"/>
      <c r="AH430" s="1"/>
      <c r="AI430" s="1"/>
      <c r="AJ430" s="1"/>
      <c r="AK430" s="1"/>
      <c r="AL430" s="2"/>
      <c r="AM430" s="1"/>
      <c r="AN430" s="1"/>
      <c r="AO430" s="1"/>
      <c r="AP430" s="1"/>
      <c r="AQ430" s="1"/>
      <c r="AR430" s="1"/>
      <c r="AS430" s="1"/>
      <c r="AT430" s="1"/>
      <c r="AU430" s="2"/>
      <c r="AV430" s="1"/>
      <c r="AW430" s="1"/>
      <c r="AX430" s="1"/>
      <c r="AY430" s="1"/>
      <c r="AZ430" s="1"/>
      <c r="BA430" s="1"/>
      <c r="BB430" s="1"/>
      <c r="BC430" s="1"/>
      <c r="BD430" s="2"/>
      <c r="BE430" s="1"/>
      <c r="BF430" s="1"/>
      <c r="BG430" s="1"/>
      <c r="BH430" s="1"/>
      <c r="BI430" s="1"/>
      <c r="BJ430" s="1"/>
      <c r="BK430" s="1"/>
      <c r="BL430" s="1"/>
      <c r="BM430" s="2"/>
      <c r="BN430" s="1"/>
      <c r="BO430" s="1"/>
      <c r="BP430" s="1"/>
      <c r="BQ430" s="1"/>
      <c r="BR430" s="1"/>
      <c r="BS430" s="1"/>
      <c r="BT430" s="1"/>
      <c r="BU430" s="1"/>
      <c r="BV430" s="2"/>
      <c r="BW430" s="1"/>
      <c r="BX430" s="1"/>
      <c r="BY430" s="1"/>
      <c r="BZ430" s="1"/>
      <c r="CA430" s="1"/>
      <c r="CB430" s="1"/>
      <c r="CC430" s="1"/>
      <c r="CD430" s="1"/>
      <c r="CE430" s="2"/>
      <c r="CF430" s="1"/>
      <c r="CG430" s="1"/>
      <c r="CH430" s="1"/>
      <c r="CI430" s="1"/>
      <c r="CJ430" s="1"/>
      <c r="CK430" s="1"/>
      <c r="CL430" s="1"/>
    </row>
    <row r="431" spans="1:90" ht="14.65" x14ac:dyDescent="0.4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2"/>
      <c r="L431" s="1"/>
      <c r="M431" s="1"/>
      <c r="N431" s="1"/>
      <c r="O431" s="1"/>
      <c r="P431" s="1"/>
      <c r="Q431" s="1"/>
      <c r="R431" s="1"/>
      <c r="S431" s="1"/>
      <c r="T431" s="2"/>
      <c r="U431" s="1"/>
      <c r="V431" s="1"/>
      <c r="W431" s="1"/>
      <c r="X431" s="1"/>
      <c r="Y431" s="1"/>
      <c r="Z431" s="1"/>
      <c r="AA431" s="1"/>
      <c r="AB431" s="1"/>
      <c r="AC431" s="2"/>
      <c r="AD431" s="1"/>
      <c r="AE431" s="1"/>
      <c r="AF431" s="1"/>
      <c r="AG431" s="1"/>
      <c r="AH431" s="1"/>
      <c r="AI431" s="1"/>
      <c r="AJ431" s="1"/>
      <c r="AK431" s="1"/>
      <c r="AL431" s="2"/>
      <c r="AM431" s="1"/>
      <c r="AN431" s="1"/>
      <c r="AO431" s="1"/>
      <c r="AP431" s="1"/>
      <c r="AQ431" s="1"/>
      <c r="AR431" s="1"/>
      <c r="AS431" s="1"/>
      <c r="AT431" s="1"/>
      <c r="AU431" s="2"/>
      <c r="AV431" s="1"/>
      <c r="AW431" s="1"/>
      <c r="AX431" s="1"/>
      <c r="AY431" s="1"/>
      <c r="AZ431" s="1"/>
      <c r="BA431" s="1"/>
      <c r="BB431" s="1"/>
      <c r="BC431" s="1"/>
      <c r="BD431" s="2"/>
      <c r="BE431" s="1"/>
      <c r="BF431" s="1"/>
      <c r="BG431" s="1"/>
      <c r="BH431" s="1"/>
      <c r="BI431" s="1"/>
      <c r="BJ431" s="1"/>
      <c r="BK431" s="1"/>
      <c r="BL431" s="1"/>
      <c r="BM431" s="2"/>
      <c r="BN431" s="1"/>
      <c r="BO431" s="1"/>
      <c r="BP431" s="1"/>
      <c r="BQ431" s="1"/>
      <c r="BR431" s="1"/>
      <c r="BS431" s="1"/>
      <c r="BT431" s="1"/>
      <c r="BU431" s="1"/>
      <c r="BV431" s="2"/>
      <c r="BW431" s="1"/>
      <c r="BX431" s="1"/>
      <c r="BY431" s="1"/>
      <c r="BZ431" s="1"/>
      <c r="CA431" s="1"/>
      <c r="CB431" s="1"/>
      <c r="CC431" s="1"/>
      <c r="CD431" s="1"/>
      <c r="CE431" s="2"/>
      <c r="CF431" s="1"/>
      <c r="CG431" s="1"/>
      <c r="CH431" s="1"/>
      <c r="CI431" s="1"/>
      <c r="CJ431" s="1"/>
      <c r="CK431" s="1"/>
      <c r="CL431" s="1"/>
    </row>
    <row r="432" spans="1:90" ht="14.65" x14ac:dyDescent="0.4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2"/>
      <c r="L432" s="1"/>
      <c r="M432" s="1"/>
      <c r="N432" s="1"/>
      <c r="O432" s="1"/>
      <c r="P432" s="1"/>
      <c r="Q432" s="1"/>
      <c r="R432" s="1"/>
      <c r="S432" s="1"/>
      <c r="T432" s="2"/>
      <c r="U432" s="1"/>
      <c r="V432" s="1"/>
      <c r="W432" s="1"/>
      <c r="X432" s="1"/>
      <c r="Y432" s="1"/>
      <c r="Z432" s="1"/>
      <c r="AA432" s="1"/>
      <c r="AB432" s="1"/>
      <c r="AC432" s="2"/>
      <c r="AD432" s="1"/>
      <c r="AE432" s="1"/>
      <c r="AF432" s="1"/>
      <c r="AG432" s="1"/>
      <c r="AH432" s="1"/>
      <c r="AI432" s="1"/>
      <c r="AJ432" s="1"/>
      <c r="AK432" s="1"/>
      <c r="AL432" s="2"/>
      <c r="AM432" s="1"/>
      <c r="AN432" s="1"/>
      <c r="AO432" s="1"/>
      <c r="AP432" s="1"/>
      <c r="AQ432" s="1"/>
      <c r="AR432" s="1"/>
      <c r="AS432" s="1"/>
      <c r="AT432" s="1"/>
      <c r="AU432" s="2"/>
      <c r="AV432" s="1"/>
      <c r="AW432" s="1"/>
      <c r="AX432" s="1"/>
      <c r="AY432" s="1"/>
      <c r="AZ432" s="1"/>
      <c r="BA432" s="1"/>
      <c r="BB432" s="1"/>
      <c r="BC432" s="1"/>
      <c r="BD432" s="2"/>
      <c r="BE432" s="1"/>
      <c r="BF432" s="1"/>
      <c r="BG432" s="1"/>
      <c r="BH432" s="1"/>
      <c r="BI432" s="1"/>
      <c r="BJ432" s="1"/>
      <c r="BK432" s="1"/>
      <c r="BL432" s="1"/>
      <c r="BM432" s="2"/>
      <c r="BN432" s="1"/>
      <c r="BO432" s="1"/>
      <c r="BP432" s="1"/>
      <c r="BQ432" s="1"/>
      <c r="BR432" s="1"/>
      <c r="BS432" s="1"/>
      <c r="BT432" s="1"/>
      <c r="BU432" s="1"/>
      <c r="BV432" s="2"/>
      <c r="BW432" s="1"/>
      <c r="BX432" s="1"/>
      <c r="BY432" s="1"/>
      <c r="BZ432" s="1"/>
      <c r="CA432" s="1"/>
      <c r="CB432" s="1"/>
      <c r="CC432" s="1"/>
      <c r="CD432" s="1"/>
      <c r="CE432" s="2"/>
      <c r="CF432" s="1"/>
      <c r="CG432" s="1"/>
      <c r="CH432" s="1"/>
      <c r="CI432" s="1"/>
      <c r="CJ432" s="1"/>
      <c r="CK432" s="1"/>
      <c r="CL432" s="1"/>
    </row>
    <row r="433" spans="1:90" ht="14.65" x14ac:dyDescent="0.4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2"/>
      <c r="L433" s="1"/>
      <c r="M433" s="1"/>
      <c r="N433" s="1"/>
      <c r="O433" s="1"/>
      <c r="P433" s="1"/>
      <c r="Q433" s="1"/>
      <c r="R433" s="1"/>
      <c r="S433" s="1"/>
      <c r="T433" s="2"/>
      <c r="U433" s="1"/>
      <c r="V433" s="1"/>
      <c r="W433" s="1"/>
      <c r="X433" s="1"/>
      <c r="Y433" s="1"/>
      <c r="Z433" s="1"/>
      <c r="AA433" s="1"/>
      <c r="AB433" s="1"/>
      <c r="AC433" s="2"/>
      <c r="AD433" s="1"/>
      <c r="AE433" s="1"/>
      <c r="AF433" s="1"/>
      <c r="AG433" s="1"/>
      <c r="AH433" s="1"/>
      <c r="AI433" s="1"/>
      <c r="AJ433" s="1"/>
      <c r="AK433" s="1"/>
      <c r="AL433" s="2"/>
      <c r="AM433" s="1"/>
      <c r="AN433" s="1"/>
      <c r="AO433" s="1"/>
      <c r="AP433" s="1"/>
      <c r="AQ433" s="1"/>
      <c r="AR433" s="1"/>
      <c r="AS433" s="1"/>
      <c r="AT433" s="1"/>
      <c r="AU433" s="2"/>
      <c r="AV433" s="1"/>
      <c r="AW433" s="1"/>
      <c r="AX433" s="1"/>
      <c r="AY433" s="1"/>
      <c r="AZ433" s="1"/>
      <c r="BA433" s="1"/>
      <c r="BB433" s="1"/>
      <c r="BC433" s="1"/>
      <c r="BD433" s="2"/>
      <c r="BE433" s="1"/>
      <c r="BF433" s="1"/>
      <c r="BG433" s="1"/>
      <c r="BH433" s="1"/>
      <c r="BI433" s="1"/>
      <c r="BJ433" s="1"/>
      <c r="BK433" s="1"/>
      <c r="BL433" s="1"/>
      <c r="BM433" s="2"/>
      <c r="BN433" s="1"/>
      <c r="BO433" s="1"/>
      <c r="BP433" s="1"/>
      <c r="BQ433" s="1"/>
      <c r="BR433" s="1"/>
      <c r="BS433" s="1"/>
      <c r="BT433" s="1"/>
      <c r="BU433" s="1"/>
      <c r="BV433" s="2"/>
      <c r="BW433" s="1"/>
      <c r="BX433" s="1"/>
      <c r="BY433" s="1"/>
      <c r="BZ433" s="1"/>
      <c r="CA433" s="1"/>
      <c r="CB433" s="1"/>
      <c r="CC433" s="1"/>
      <c r="CD433" s="1"/>
      <c r="CE433" s="2"/>
      <c r="CF433" s="1"/>
      <c r="CG433" s="1"/>
      <c r="CH433" s="1"/>
      <c r="CI433" s="1"/>
      <c r="CJ433" s="1"/>
      <c r="CK433" s="1"/>
      <c r="CL433" s="1"/>
    </row>
    <row r="434" spans="1:90" ht="14.65" x14ac:dyDescent="0.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2"/>
      <c r="L434" s="1"/>
      <c r="M434" s="1"/>
      <c r="N434" s="1"/>
      <c r="O434" s="1"/>
      <c r="P434" s="1"/>
      <c r="Q434" s="1"/>
      <c r="R434" s="1"/>
      <c r="S434" s="1"/>
      <c r="T434" s="2"/>
      <c r="U434" s="1"/>
      <c r="V434" s="1"/>
      <c r="W434" s="1"/>
      <c r="X434" s="1"/>
      <c r="Y434" s="1"/>
      <c r="Z434" s="1"/>
      <c r="AA434" s="1"/>
      <c r="AB434" s="1"/>
      <c r="AC434" s="2"/>
      <c r="AD434" s="1"/>
      <c r="AE434" s="1"/>
      <c r="AF434" s="1"/>
      <c r="AG434" s="1"/>
      <c r="AH434" s="1"/>
      <c r="AI434" s="1"/>
      <c r="AJ434" s="1"/>
      <c r="AK434" s="1"/>
      <c r="AL434" s="2"/>
      <c r="AM434" s="1"/>
      <c r="AN434" s="1"/>
      <c r="AO434" s="1"/>
      <c r="AP434" s="1"/>
      <c r="AQ434" s="1"/>
      <c r="AR434" s="1"/>
      <c r="AS434" s="1"/>
      <c r="AT434" s="1"/>
      <c r="AU434" s="2"/>
      <c r="AV434" s="1"/>
      <c r="AW434" s="1"/>
      <c r="AX434" s="1"/>
      <c r="AY434" s="1"/>
      <c r="AZ434" s="1"/>
      <c r="BA434" s="1"/>
      <c r="BB434" s="1"/>
      <c r="BC434" s="1"/>
      <c r="BD434" s="2"/>
      <c r="BE434" s="1"/>
      <c r="BF434" s="1"/>
      <c r="BG434" s="1"/>
      <c r="BH434" s="1"/>
      <c r="BI434" s="1"/>
      <c r="BJ434" s="1"/>
      <c r="BK434" s="1"/>
      <c r="BL434" s="1"/>
      <c r="BM434" s="2"/>
      <c r="BN434" s="1"/>
      <c r="BO434" s="1"/>
      <c r="BP434" s="1"/>
      <c r="BQ434" s="1"/>
      <c r="BR434" s="1"/>
      <c r="BS434" s="1"/>
      <c r="BT434" s="1"/>
      <c r="BU434" s="1"/>
      <c r="BV434" s="2"/>
      <c r="BW434" s="1"/>
      <c r="BX434" s="1"/>
      <c r="BY434" s="1"/>
      <c r="BZ434" s="1"/>
      <c r="CA434" s="1"/>
      <c r="CB434" s="1"/>
      <c r="CC434" s="1"/>
      <c r="CD434" s="1"/>
      <c r="CE434" s="2"/>
      <c r="CF434" s="1"/>
      <c r="CG434" s="1"/>
      <c r="CH434" s="1"/>
      <c r="CI434" s="1"/>
      <c r="CJ434" s="1"/>
      <c r="CK434" s="1"/>
      <c r="CL434" s="1"/>
    </row>
    <row r="435" spans="1:90" ht="14.65" x14ac:dyDescent="0.4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2"/>
      <c r="L435" s="1"/>
      <c r="M435" s="1"/>
      <c r="N435" s="1"/>
      <c r="O435" s="1"/>
      <c r="P435" s="1"/>
      <c r="Q435" s="1"/>
      <c r="R435" s="1"/>
      <c r="S435" s="1"/>
      <c r="T435" s="2"/>
      <c r="U435" s="1"/>
      <c r="V435" s="1"/>
      <c r="W435" s="1"/>
      <c r="X435" s="1"/>
      <c r="Y435" s="1"/>
      <c r="Z435" s="1"/>
      <c r="AA435" s="1"/>
      <c r="AB435" s="1"/>
      <c r="AC435" s="2"/>
      <c r="AD435" s="1"/>
      <c r="AE435" s="1"/>
      <c r="AF435" s="1"/>
      <c r="AG435" s="1"/>
      <c r="AH435" s="1"/>
      <c r="AI435" s="1"/>
      <c r="AJ435" s="1"/>
      <c r="AK435" s="1"/>
      <c r="AL435" s="2"/>
      <c r="AM435" s="1"/>
      <c r="AN435" s="1"/>
      <c r="AO435" s="1"/>
      <c r="AP435" s="1"/>
      <c r="AQ435" s="1"/>
      <c r="AR435" s="1"/>
      <c r="AS435" s="1"/>
      <c r="AT435" s="1"/>
      <c r="AU435" s="2"/>
      <c r="AV435" s="1"/>
      <c r="AW435" s="1"/>
      <c r="AX435" s="1"/>
      <c r="AY435" s="1"/>
      <c r="AZ435" s="1"/>
      <c r="BA435" s="1"/>
      <c r="BB435" s="1"/>
      <c r="BC435" s="1"/>
      <c r="BD435" s="2"/>
      <c r="BE435" s="1"/>
      <c r="BF435" s="1"/>
      <c r="BG435" s="1"/>
      <c r="BH435" s="1"/>
      <c r="BI435" s="1"/>
      <c r="BJ435" s="1"/>
      <c r="BK435" s="1"/>
      <c r="BL435" s="1"/>
      <c r="BM435" s="2"/>
      <c r="BN435" s="1"/>
      <c r="BO435" s="1"/>
      <c r="BP435" s="1"/>
      <c r="BQ435" s="1"/>
      <c r="BR435" s="1"/>
      <c r="BS435" s="1"/>
      <c r="BT435" s="1"/>
      <c r="BU435" s="1"/>
      <c r="BV435" s="2"/>
      <c r="BW435" s="1"/>
      <c r="BX435" s="1"/>
      <c r="BY435" s="1"/>
      <c r="BZ435" s="1"/>
      <c r="CA435" s="1"/>
      <c r="CB435" s="1"/>
      <c r="CC435" s="1"/>
      <c r="CD435" s="1"/>
      <c r="CE435" s="2"/>
      <c r="CF435" s="1"/>
      <c r="CG435" s="1"/>
      <c r="CH435" s="1"/>
      <c r="CI435" s="1"/>
      <c r="CJ435" s="1"/>
      <c r="CK435" s="1"/>
      <c r="CL435" s="1"/>
    </row>
    <row r="436" spans="1:90" ht="14.65" x14ac:dyDescent="0.4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2"/>
      <c r="L436" s="1"/>
      <c r="M436" s="1"/>
      <c r="N436" s="1"/>
      <c r="O436" s="1"/>
      <c r="P436" s="1"/>
      <c r="Q436" s="1"/>
      <c r="R436" s="1"/>
      <c r="S436" s="1"/>
      <c r="T436" s="2"/>
      <c r="U436" s="1"/>
      <c r="V436" s="1"/>
      <c r="W436" s="1"/>
      <c r="X436" s="1"/>
      <c r="Y436" s="1"/>
      <c r="Z436" s="1"/>
      <c r="AA436" s="1"/>
      <c r="AB436" s="1"/>
      <c r="AC436" s="2"/>
      <c r="AD436" s="1"/>
      <c r="AE436" s="1"/>
      <c r="AF436" s="1"/>
      <c r="AG436" s="1"/>
      <c r="AH436" s="1"/>
      <c r="AI436" s="1"/>
      <c r="AJ436" s="1"/>
      <c r="AK436" s="1"/>
      <c r="AL436" s="2"/>
      <c r="AM436" s="1"/>
      <c r="AN436" s="1"/>
      <c r="AO436" s="1"/>
      <c r="AP436" s="1"/>
      <c r="AQ436" s="1"/>
      <c r="AR436" s="1"/>
      <c r="AS436" s="1"/>
      <c r="AT436" s="1"/>
      <c r="AU436" s="2"/>
      <c r="AV436" s="1"/>
      <c r="AW436" s="1"/>
      <c r="AX436" s="1"/>
      <c r="AY436" s="1"/>
      <c r="AZ436" s="1"/>
      <c r="BA436" s="1"/>
      <c r="BB436" s="1"/>
      <c r="BC436" s="1"/>
      <c r="BD436" s="2"/>
      <c r="BE436" s="1"/>
      <c r="BF436" s="1"/>
      <c r="BG436" s="1"/>
      <c r="BH436" s="1"/>
      <c r="BI436" s="1"/>
      <c r="BJ436" s="1"/>
      <c r="BK436" s="1"/>
      <c r="BL436" s="1"/>
      <c r="BM436" s="2"/>
      <c r="BN436" s="1"/>
      <c r="BO436" s="1"/>
      <c r="BP436" s="1"/>
      <c r="BQ436" s="1"/>
      <c r="BR436" s="1"/>
      <c r="BS436" s="1"/>
      <c r="BT436" s="1"/>
      <c r="BU436" s="1"/>
      <c r="BV436" s="2"/>
      <c r="BW436" s="1"/>
      <c r="BX436" s="1"/>
      <c r="BY436" s="1"/>
      <c r="BZ436" s="1"/>
      <c r="CA436" s="1"/>
      <c r="CB436" s="1"/>
      <c r="CC436" s="1"/>
      <c r="CD436" s="1"/>
      <c r="CE436" s="2"/>
      <c r="CF436" s="1"/>
      <c r="CG436" s="1"/>
      <c r="CH436" s="1"/>
      <c r="CI436" s="1"/>
      <c r="CJ436" s="1"/>
      <c r="CK436" s="1"/>
      <c r="CL436" s="1"/>
    </row>
    <row r="437" spans="1:90" ht="14.65" x14ac:dyDescent="0.4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2"/>
      <c r="L437" s="1"/>
      <c r="M437" s="1"/>
      <c r="N437" s="1"/>
      <c r="O437" s="1"/>
      <c r="P437" s="1"/>
      <c r="Q437" s="1"/>
      <c r="R437" s="1"/>
      <c r="S437" s="1"/>
      <c r="T437" s="2"/>
      <c r="U437" s="1"/>
      <c r="V437" s="1"/>
      <c r="W437" s="1"/>
      <c r="X437" s="1"/>
      <c r="Y437" s="1"/>
      <c r="Z437" s="1"/>
      <c r="AA437" s="1"/>
      <c r="AB437" s="1"/>
      <c r="AC437" s="2"/>
      <c r="AD437" s="1"/>
      <c r="AE437" s="1"/>
      <c r="AF437" s="1"/>
      <c r="AG437" s="1"/>
      <c r="AH437" s="1"/>
      <c r="AI437" s="1"/>
      <c r="AJ437" s="1"/>
      <c r="AK437" s="1"/>
      <c r="AL437" s="2"/>
      <c r="AM437" s="1"/>
      <c r="AN437" s="1"/>
      <c r="AO437" s="1"/>
      <c r="AP437" s="1"/>
      <c r="AQ437" s="1"/>
      <c r="AR437" s="1"/>
      <c r="AS437" s="1"/>
      <c r="AT437" s="1"/>
      <c r="AU437" s="2"/>
      <c r="AV437" s="1"/>
      <c r="AW437" s="1"/>
      <c r="AX437" s="1"/>
      <c r="AY437" s="1"/>
      <c r="AZ437" s="1"/>
      <c r="BA437" s="1"/>
      <c r="BB437" s="1"/>
      <c r="BC437" s="1"/>
      <c r="BD437" s="2"/>
      <c r="BE437" s="1"/>
      <c r="BF437" s="1"/>
      <c r="BG437" s="1"/>
      <c r="BH437" s="1"/>
      <c r="BI437" s="1"/>
      <c r="BJ437" s="1"/>
      <c r="BK437" s="1"/>
      <c r="BL437" s="1"/>
      <c r="BM437" s="2"/>
      <c r="BN437" s="1"/>
      <c r="BO437" s="1"/>
      <c r="BP437" s="1"/>
      <c r="BQ437" s="1"/>
      <c r="BR437" s="1"/>
      <c r="BS437" s="1"/>
      <c r="BT437" s="1"/>
      <c r="BU437" s="1"/>
      <c r="BV437" s="2"/>
      <c r="BW437" s="1"/>
      <c r="BX437" s="1"/>
      <c r="BY437" s="1"/>
      <c r="BZ437" s="1"/>
      <c r="CA437" s="1"/>
      <c r="CB437" s="1"/>
      <c r="CC437" s="1"/>
      <c r="CD437" s="1"/>
      <c r="CE437" s="2"/>
      <c r="CF437" s="1"/>
      <c r="CG437" s="1"/>
      <c r="CH437" s="1"/>
      <c r="CI437" s="1"/>
      <c r="CJ437" s="1"/>
      <c r="CK437" s="1"/>
      <c r="CL437" s="1"/>
    </row>
    <row r="438" spans="1:90" ht="14.65" x14ac:dyDescent="0.4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2"/>
      <c r="L438" s="1"/>
      <c r="M438" s="1"/>
      <c r="N438" s="1"/>
      <c r="O438" s="1"/>
      <c r="P438" s="1"/>
      <c r="Q438" s="1"/>
      <c r="R438" s="1"/>
      <c r="S438" s="1"/>
      <c r="T438" s="2"/>
      <c r="U438" s="1"/>
      <c r="V438" s="1"/>
      <c r="W438" s="1"/>
      <c r="X438" s="1"/>
      <c r="Y438" s="1"/>
      <c r="Z438" s="1"/>
      <c r="AA438" s="1"/>
      <c r="AB438" s="1"/>
      <c r="AC438" s="2"/>
      <c r="AD438" s="1"/>
      <c r="AE438" s="1"/>
      <c r="AF438" s="1"/>
      <c r="AG438" s="1"/>
      <c r="AH438" s="1"/>
      <c r="AI438" s="1"/>
      <c r="AJ438" s="1"/>
      <c r="AK438" s="1"/>
      <c r="AL438" s="2"/>
      <c r="AM438" s="1"/>
      <c r="AN438" s="1"/>
      <c r="AO438" s="1"/>
      <c r="AP438" s="1"/>
      <c r="AQ438" s="1"/>
      <c r="AR438" s="1"/>
      <c r="AS438" s="1"/>
      <c r="AT438" s="1"/>
      <c r="AU438" s="2"/>
      <c r="AV438" s="1"/>
      <c r="AW438" s="1"/>
      <c r="AX438" s="1"/>
      <c r="AY438" s="1"/>
      <c r="AZ438" s="1"/>
      <c r="BA438" s="1"/>
      <c r="BB438" s="1"/>
      <c r="BC438" s="1"/>
      <c r="BD438" s="2"/>
      <c r="BE438" s="1"/>
      <c r="BF438" s="1"/>
      <c r="BG438" s="1"/>
      <c r="BH438" s="1"/>
      <c r="BI438" s="1"/>
      <c r="BJ438" s="1"/>
      <c r="BK438" s="1"/>
      <c r="BL438" s="1"/>
      <c r="BM438" s="2"/>
      <c r="BN438" s="1"/>
      <c r="BO438" s="1"/>
      <c r="BP438" s="1"/>
      <c r="BQ438" s="1"/>
      <c r="BR438" s="1"/>
      <c r="BS438" s="1"/>
      <c r="BT438" s="1"/>
      <c r="BU438" s="1"/>
      <c r="BV438" s="2"/>
      <c r="BW438" s="1"/>
      <c r="BX438" s="1"/>
      <c r="BY438" s="1"/>
      <c r="BZ438" s="1"/>
      <c r="CA438" s="1"/>
      <c r="CB438" s="1"/>
      <c r="CC438" s="1"/>
      <c r="CD438" s="1"/>
      <c r="CE438" s="2"/>
      <c r="CF438" s="1"/>
      <c r="CG438" s="1"/>
      <c r="CH438" s="1"/>
      <c r="CI438" s="1"/>
      <c r="CJ438" s="1"/>
      <c r="CK438" s="1"/>
      <c r="CL438" s="1"/>
    </row>
    <row r="439" spans="1:90" ht="14.65" x14ac:dyDescent="0.4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2"/>
      <c r="L439" s="1"/>
      <c r="M439" s="1"/>
      <c r="N439" s="1"/>
      <c r="O439" s="1"/>
      <c r="P439" s="1"/>
      <c r="Q439" s="1"/>
      <c r="R439" s="1"/>
      <c r="S439" s="1"/>
      <c r="T439" s="2"/>
      <c r="U439" s="1"/>
      <c r="V439" s="1"/>
      <c r="W439" s="1"/>
      <c r="X439" s="1"/>
      <c r="Y439" s="1"/>
      <c r="Z439" s="1"/>
      <c r="AA439" s="1"/>
      <c r="AB439" s="1"/>
      <c r="AC439" s="2"/>
      <c r="AD439" s="1"/>
      <c r="AE439" s="1"/>
      <c r="AF439" s="1"/>
      <c r="AG439" s="1"/>
      <c r="AH439" s="1"/>
      <c r="AI439" s="1"/>
      <c r="AJ439" s="1"/>
      <c r="AK439" s="1"/>
      <c r="AL439" s="2"/>
      <c r="AM439" s="1"/>
      <c r="AN439" s="1"/>
      <c r="AO439" s="1"/>
      <c r="AP439" s="1"/>
      <c r="AQ439" s="1"/>
      <c r="AR439" s="1"/>
      <c r="AS439" s="1"/>
      <c r="AT439" s="1"/>
      <c r="AU439" s="2"/>
      <c r="AV439" s="1"/>
      <c r="AW439" s="1"/>
      <c r="AX439" s="1"/>
      <c r="AY439" s="1"/>
      <c r="AZ439" s="1"/>
      <c r="BA439" s="1"/>
      <c r="BB439" s="1"/>
      <c r="BC439" s="1"/>
      <c r="BD439" s="2"/>
      <c r="BE439" s="1"/>
      <c r="BF439" s="1"/>
      <c r="BG439" s="1"/>
      <c r="BH439" s="1"/>
      <c r="BI439" s="1"/>
      <c r="BJ439" s="1"/>
      <c r="BK439" s="1"/>
      <c r="BL439" s="1"/>
      <c r="BM439" s="2"/>
      <c r="BN439" s="1"/>
      <c r="BO439" s="1"/>
      <c r="BP439" s="1"/>
      <c r="BQ439" s="1"/>
      <c r="BR439" s="1"/>
      <c r="BS439" s="1"/>
      <c r="BT439" s="1"/>
      <c r="BU439" s="1"/>
      <c r="BV439" s="2"/>
      <c r="BW439" s="1"/>
      <c r="BX439" s="1"/>
      <c r="BY439" s="1"/>
      <c r="BZ439" s="1"/>
      <c r="CA439" s="1"/>
      <c r="CB439" s="1"/>
      <c r="CC439" s="1"/>
      <c r="CD439" s="1"/>
      <c r="CE439" s="2"/>
      <c r="CF439" s="1"/>
      <c r="CG439" s="1"/>
      <c r="CH439" s="1"/>
      <c r="CI439" s="1"/>
      <c r="CJ439" s="1"/>
      <c r="CK439" s="1"/>
      <c r="CL439" s="1"/>
    </row>
    <row r="440" spans="1:90" ht="14.65" x14ac:dyDescent="0.4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2"/>
      <c r="L440" s="1"/>
      <c r="M440" s="1"/>
      <c r="N440" s="1"/>
      <c r="O440" s="1"/>
      <c r="P440" s="1"/>
      <c r="Q440" s="1"/>
      <c r="R440" s="1"/>
      <c r="S440" s="1"/>
      <c r="T440" s="2"/>
      <c r="U440" s="1"/>
      <c r="V440" s="1"/>
      <c r="W440" s="1"/>
      <c r="X440" s="1"/>
      <c r="Y440" s="1"/>
      <c r="Z440" s="1"/>
      <c r="AA440" s="1"/>
      <c r="AB440" s="1"/>
      <c r="AC440" s="2"/>
      <c r="AD440" s="1"/>
      <c r="AE440" s="1"/>
      <c r="AF440" s="1"/>
      <c r="AG440" s="1"/>
      <c r="AH440" s="1"/>
      <c r="AI440" s="1"/>
      <c r="AJ440" s="1"/>
      <c r="AK440" s="1"/>
      <c r="AL440" s="2"/>
      <c r="AM440" s="1"/>
      <c r="AN440" s="1"/>
      <c r="AO440" s="1"/>
      <c r="AP440" s="1"/>
      <c r="AQ440" s="1"/>
      <c r="AR440" s="1"/>
      <c r="AS440" s="1"/>
      <c r="AT440" s="1"/>
      <c r="AU440" s="2"/>
      <c r="AV440" s="1"/>
      <c r="AW440" s="1"/>
      <c r="AX440" s="1"/>
      <c r="AY440" s="1"/>
      <c r="AZ440" s="1"/>
      <c r="BA440" s="1"/>
      <c r="BB440" s="1"/>
      <c r="BC440" s="1"/>
      <c r="BD440" s="2"/>
      <c r="BE440" s="1"/>
      <c r="BF440" s="1"/>
      <c r="BG440" s="1"/>
      <c r="BH440" s="1"/>
      <c r="BI440" s="1"/>
      <c r="BJ440" s="1"/>
      <c r="BK440" s="1"/>
      <c r="BL440" s="1"/>
      <c r="BM440" s="2"/>
      <c r="BN440" s="1"/>
      <c r="BO440" s="1"/>
      <c r="BP440" s="1"/>
      <c r="BQ440" s="1"/>
      <c r="BR440" s="1"/>
      <c r="BS440" s="1"/>
      <c r="BT440" s="1"/>
      <c r="BU440" s="1"/>
      <c r="BV440" s="2"/>
      <c r="BW440" s="1"/>
      <c r="BX440" s="1"/>
      <c r="BY440" s="1"/>
      <c r="BZ440" s="1"/>
      <c r="CA440" s="1"/>
      <c r="CB440" s="1"/>
      <c r="CC440" s="1"/>
      <c r="CD440" s="1"/>
      <c r="CE440" s="2"/>
      <c r="CF440" s="1"/>
      <c r="CG440" s="1"/>
      <c r="CH440" s="1"/>
      <c r="CI440" s="1"/>
      <c r="CJ440" s="1"/>
      <c r="CK440" s="1"/>
      <c r="CL440" s="1"/>
    </row>
    <row r="441" spans="1:90" ht="14.65" x14ac:dyDescent="0.4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2"/>
      <c r="L441" s="1"/>
      <c r="M441" s="1"/>
      <c r="N441" s="1"/>
      <c r="O441" s="1"/>
      <c r="P441" s="1"/>
      <c r="Q441" s="1"/>
      <c r="R441" s="1"/>
      <c r="S441" s="1"/>
      <c r="T441" s="2"/>
      <c r="U441" s="1"/>
      <c r="V441" s="1"/>
      <c r="W441" s="1"/>
      <c r="X441" s="1"/>
      <c r="Y441" s="1"/>
      <c r="Z441" s="1"/>
      <c r="AA441" s="1"/>
      <c r="AB441" s="1"/>
      <c r="AC441" s="2"/>
      <c r="AD441" s="1"/>
      <c r="AE441" s="1"/>
      <c r="AF441" s="1"/>
      <c r="AG441" s="1"/>
      <c r="AH441" s="1"/>
      <c r="AI441" s="1"/>
      <c r="AJ441" s="1"/>
      <c r="AK441" s="1"/>
      <c r="AL441" s="2"/>
      <c r="AM441" s="1"/>
      <c r="AN441" s="1"/>
      <c r="AO441" s="1"/>
      <c r="AP441" s="1"/>
      <c r="AQ441" s="1"/>
      <c r="AR441" s="1"/>
      <c r="AS441" s="1"/>
      <c r="AT441" s="1"/>
      <c r="AU441" s="2"/>
      <c r="AV441" s="1"/>
      <c r="AW441" s="1"/>
      <c r="AX441" s="1"/>
      <c r="AY441" s="1"/>
      <c r="AZ441" s="1"/>
      <c r="BA441" s="1"/>
      <c r="BB441" s="1"/>
      <c r="BC441" s="1"/>
      <c r="BD441" s="2"/>
      <c r="BE441" s="1"/>
      <c r="BF441" s="1"/>
      <c r="BG441" s="1"/>
      <c r="BH441" s="1"/>
      <c r="BI441" s="1"/>
      <c r="BJ441" s="1"/>
      <c r="BK441" s="1"/>
      <c r="BL441" s="1"/>
      <c r="BM441" s="2"/>
      <c r="BN441" s="1"/>
      <c r="BO441" s="1"/>
      <c r="BP441" s="1"/>
      <c r="BQ441" s="1"/>
      <c r="BR441" s="1"/>
      <c r="BS441" s="1"/>
      <c r="BT441" s="1"/>
      <c r="BU441" s="1"/>
      <c r="BV441" s="2"/>
      <c r="BW441" s="1"/>
      <c r="BX441" s="1"/>
      <c r="BY441" s="1"/>
      <c r="BZ441" s="1"/>
      <c r="CA441" s="1"/>
      <c r="CB441" s="1"/>
      <c r="CC441" s="1"/>
      <c r="CD441" s="1"/>
      <c r="CE441" s="2"/>
      <c r="CF441" s="1"/>
      <c r="CG441" s="1"/>
      <c r="CH441" s="1"/>
      <c r="CI441" s="1"/>
      <c r="CJ441" s="1"/>
      <c r="CK441" s="1"/>
      <c r="CL441" s="1"/>
    </row>
    <row r="442" spans="1:90" ht="14.65" x14ac:dyDescent="0.4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2"/>
      <c r="L442" s="1"/>
      <c r="M442" s="1"/>
      <c r="N442" s="1"/>
      <c r="O442" s="1"/>
      <c r="P442" s="1"/>
      <c r="Q442" s="1"/>
      <c r="R442" s="1"/>
      <c r="S442" s="1"/>
      <c r="T442" s="2"/>
      <c r="U442" s="1"/>
      <c r="V442" s="1"/>
      <c r="W442" s="1"/>
      <c r="X442" s="1"/>
      <c r="Y442" s="1"/>
      <c r="Z442" s="1"/>
      <c r="AA442" s="1"/>
      <c r="AB442" s="1"/>
      <c r="AC442" s="2"/>
      <c r="AD442" s="1"/>
      <c r="AE442" s="1"/>
      <c r="AF442" s="1"/>
      <c r="AG442" s="1"/>
      <c r="AH442" s="1"/>
      <c r="AI442" s="1"/>
      <c r="AJ442" s="1"/>
      <c r="AK442" s="1"/>
      <c r="AL442" s="2"/>
      <c r="AM442" s="1"/>
      <c r="AN442" s="1"/>
      <c r="AO442" s="1"/>
      <c r="AP442" s="1"/>
      <c r="AQ442" s="1"/>
      <c r="AR442" s="1"/>
      <c r="AS442" s="1"/>
      <c r="AT442" s="1"/>
      <c r="AU442" s="2"/>
      <c r="AV442" s="1"/>
      <c r="AW442" s="1"/>
      <c r="AX442" s="1"/>
      <c r="AY442" s="1"/>
      <c r="AZ442" s="1"/>
      <c r="BA442" s="1"/>
      <c r="BB442" s="1"/>
      <c r="BC442" s="1"/>
      <c r="BD442" s="2"/>
      <c r="BE442" s="1"/>
      <c r="BF442" s="1"/>
      <c r="BG442" s="1"/>
      <c r="BH442" s="1"/>
      <c r="BI442" s="1"/>
      <c r="BJ442" s="1"/>
      <c r="BK442" s="1"/>
      <c r="BL442" s="1"/>
      <c r="BM442" s="2"/>
      <c r="BN442" s="1"/>
      <c r="BO442" s="1"/>
      <c r="BP442" s="1"/>
      <c r="BQ442" s="1"/>
      <c r="BR442" s="1"/>
      <c r="BS442" s="1"/>
      <c r="BT442" s="1"/>
      <c r="BU442" s="1"/>
      <c r="BV442" s="2"/>
      <c r="BW442" s="1"/>
      <c r="BX442" s="1"/>
      <c r="BY442" s="1"/>
      <c r="BZ442" s="1"/>
      <c r="CA442" s="1"/>
      <c r="CB442" s="1"/>
      <c r="CC442" s="1"/>
      <c r="CD442" s="1"/>
      <c r="CE442" s="2"/>
      <c r="CF442" s="1"/>
      <c r="CG442" s="1"/>
      <c r="CH442" s="1"/>
      <c r="CI442" s="1"/>
      <c r="CJ442" s="1"/>
      <c r="CK442" s="1"/>
      <c r="CL442" s="1"/>
    </row>
    <row r="443" spans="1:90" ht="14.65" x14ac:dyDescent="0.4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2"/>
      <c r="L443" s="1"/>
      <c r="M443" s="1"/>
      <c r="N443" s="1"/>
      <c r="O443" s="1"/>
      <c r="P443" s="1"/>
      <c r="Q443" s="1"/>
      <c r="R443" s="1"/>
      <c r="S443" s="1"/>
      <c r="T443" s="2"/>
      <c r="U443" s="1"/>
      <c r="V443" s="1"/>
      <c r="W443" s="1"/>
      <c r="X443" s="1"/>
      <c r="Y443" s="1"/>
      <c r="Z443" s="1"/>
      <c r="AA443" s="1"/>
      <c r="AB443" s="1"/>
      <c r="AC443" s="2"/>
      <c r="AD443" s="1"/>
      <c r="AE443" s="1"/>
      <c r="AF443" s="1"/>
      <c r="AG443" s="1"/>
      <c r="AH443" s="1"/>
      <c r="AI443" s="1"/>
      <c r="AJ443" s="1"/>
      <c r="AK443" s="1"/>
      <c r="AL443" s="2"/>
      <c r="AM443" s="1"/>
      <c r="AN443" s="1"/>
      <c r="AO443" s="1"/>
      <c r="AP443" s="1"/>
      <c r="AQ443" s="1"/>
      <c r="AR443" s="1"/>
      <c r="AS443" s="1"/>
      <c r="AT443" s="1"/>
      <c r="AU443" s="2"/>
      <c r="AV443" s="1"/>
      <c r="AW443" s="1"/>
      <c r="AX443" s="1"/>
      <c r="AY443" s="1"/>
      <c r="AZ443" s="1"/>
      <c r="BA443" s="1"/>
      <c r="BB443" s="1"/>
      <c r="BC443" s="1"/>
      <c r="BD443" s="2"/>
      <c r="BE443" s="1"/>
      <c r="BF443" s="1"/>
      <c r="BG443" s="1"/>
      <c r="BH443" s="1"/>
      <c r="BI443" s="1"/>
      <c r="BJ443" s="1"/>
      <c r="BK443" s="1"/>
      <c r="BL443" s="1"/>
      <c r="BM443" s="2"/>
      <c r="BN443" s="1"/>
      <c r="BO443" s="1"/>
      <c r="BP443" s="1"/>
      <c r="BQ443" s="1"/>
      <c r="BR443" s="1"/>
      <c r="BS443" s="1"/>
      <c r="BT443" s="1"/>
      <c r="BU443" s="1"/>
      <c r="BV443" s="2"/>
      <c r="BW443" s="1"/>
      <c r="BX443" s="1"/>
      <c r="BY443" s="1"/>
      <c r="BZ443" s="1"/>
      <c r="CA443" s="1"/>
      <c r="CB443" s="1"/>
      <c r="CC443" s="1"/>
      <c r="CD443" s="1"/>
      <c r="CE443" s="2"/>
      <c r="CF443" s="1"/>
      <c r="CG443" s="1"/>
      <c r="CH443" s="1"/>
      <c r="CI443" s="1"/>
      <c r="CJ443" s="1"/>
      <c r="CK443" s="1"/>
      <c r="CL443" s="1"/>
    </row>
    <row r="444" spans="1:90" ht="14.65" x14ac:dyDescent="0.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2"/>
      <c r="L444" s="1"/>
      <c r="M444" s="1"/>
      <c r="N444" s="1"/>
      <c r="O444" s="1"/>
      <c r="P444" s="1"/>
      <c r="Q444" s="1"/>
      <c r="R444" s="1"/>
      <c r="S444" s="1"/>
      <c r="T444" s="2"/>
      <c r="U444" s="1"/>
      <c r="V444" s="1"/>
      <c r="W444" s="1"/>
      <c r="X444" s="1"/>
      <c r="Y444" s="1"/>
      <c r="Z444" s="1"/>
      <c r="AA444" s="1"/>
      <c r="AB444" s="1"/>
      <c r="AC444" s="2"/>
      <c r="AD444" s="1"/>
      <c r="AE444" s="1"/>
      <c r="AF444" s="1"/>
      <c r="AG444" s="1"/>
      <c r="AH444" s="1"/>
      <c r="AI444" s="1"/>
      <c r="AJ444" s="1"/>
      <c r="AK444" s="1"/>
      <c r="AL444" s="2"/>
      <c r="AM444" s="1"/>
      <c r="AN444" s="1"/>
      <c r="AO444" s="1"/>
      <c r="AP444" s="1"/>
      <c r="AQ444" s="1"/>
      <c r="AR444" s="1"/>
      <c r="AS444" s="1"/>
      <c r="AT444" s="1"/>
      <c r="AU444" s="2"/>
      <c r="AV444" s="1"/>
      <c r="AW444" s="1"/>
      <c r="AX444" s="1"/>
      <c r="AY444" s="1"/>
      <c r="AZ444" s="1"/>
      <c r="BA444" s="1"/>
      <c r="BB444" s="1"/>
      <c r="BC444" s="1"/>
      <c r="BD444" s="2"/>
      <c r="BE444" s="1"/>
      <c r="BF444" s="1"/>
      <c r="BG444" s="1"/>
      <c r="BH444" s="1"/>
      <c r="BI444" s="1"/>
      <c r="BJ444" s="1"/>
      <c r="BK444" s="1"/>
      <c r="BL444" s="1"/>
      <c r="BM444" s="2"/>
      <c r="BN444" s="1"/>
      <c r="BO444" s="1"/>
      <c r="BP444" s="1"/>
      <c r="BQ444" s="1"/>
      <c r="BR444" s="1"/>
      <c r="BS444" s="1"/>
      <c r="BT444" s="1"/>
      <c r="BU444" s="1"/>
      <c r="BV444" s="2"/>
      <c r="BW444" s="1"/>
      <c r="BX444" s="1"/>
      <c r="BY444" s="1"/>
      <c r="BZ444" s="1"/>
      <c r="CA444" s="1"/>
      <c r="CB444" s="1"/>
      <c r="CC444" s="1"/>
      <c r="CD444" s="1"/>
      <c r="CE444" s="2"/>
      <c r="CF444" s="1"/>
      <c r="CG444" s="1"/>
      <c r="CH444" s="1"/>
      <c r="CI444" s="1"/>
      <c r="CJ444" s="1"/>
      <c r="CK444" s="1"/>
      <c r="CL444" s="1"/>
    </row>
    <row r="445" spans="1:90" ht="14.65" x14ac:dyDescent="0.4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2"/>
      <c r="L445" s="1"/>
      <c r="M445" s="1"/>
      <c r="N445" s="1"/>
      <c r="O445" s="1"/>
      <c r="P445" s="1"/>
      <c r="Q445" s="1"/>
      <c r="R445" s="1"/>
      <c r="S445" s="1"/>
      <c r="T445" s="2"/>
      <c r="U445" s="1"/>
      <c r="V445" s="1"/>
      <c r="W445" s="1"/>
      <c r="X445" s="1"/>
      <c r="Y445" s="1"/>
      <c r="Z445" s="1"/>
      <c r="AA445" s="1"/>
      <c r="AB445" s="1"/>
      <c r="AC445" s="2"/>
      <c r="AD445" s="1"/>
      <c r="AE445" s="1"/>
      <c r="AF445" s="1"/>
      <c r="AG445" s="1"/>
      <c r="AH445" s="1"/>
      <c r="AI445" s="1"/>
      <c r="AJ445" s="1"/>
      <c r="AK445" s="1"/>
      <c r="AL445" s="2"/>
      <c r="AM445" s="1"/>
      <c r="AN445" s="1"/>
      <c r="AO445" s="1"/>
      <c r="AP445" s="1"/>
      <c r="AQ445" s="1"/>
      <c r="AR445" s="1"/>
      <c r="AS445" s="1"/>
      <c r="AT445" s="1"/>
      <c r="AU445" s="2"/>
      <c r="AV445" s="1"/>
      <c r="AW445" s="1"/>
      <c r="AX445" s="1"/>
      <c r="AY445" s="1"/>
      <c r="AZ445" s="1"/>
      <c r="BA445" s="1"/>
      <c r="BB445" s="1"/>
      <c r="BC445" s="1"/>
      <c r="BD445" s="2"/>
      <c r="BE445" s="1"/>
      <c r="BF445" s="1"/>
      <c r="BG445" s="1"/>
      <c r="BH445" s="1"/>
      <c r="BI445" s="1"/>
      <c r="BJ445" s="1"/>
      <c r="BK445" s="1"/>
      <c r="BL445" s="1"/>
      <c r="BM445" s="2"/>
      <c r="BN445" s="1"/>
      <c r="BO445" s="1"/>
      <c r="BP445" s="1"/>
      <c r="BQ445" s="1"/>
      <c r="BR445" s="1"/>
      <c r="BS445" s="1"/>
      <c r="BT445" s="1"/>
      <c r="BU445" s="1"/>
      <c r="BV445" s="2"/>
      <c r="BW445" s="1"/>
      <c r="BX445" s="1"/>
      <c r="BY445" s="1"/>
      <c r="BZ445" s="1"/>
      <c r="CA445" s="1"/>
      <c r="CB445" s="1"/>
      <c r="CC445" s="1"/>
      <c r="CD445" s="1"/>
      <c r="CE445" s="2"/>
      <c r="CF445" s="1"/>
      <c r="CG445" s="1"/>
      <c r="CH445" s="1"/>
      <c r="CI445" s="1"/>
      <c r="CJ445" s="1"/>
      <c r="CK445" s="1"/>
      <c r="CL445" s="1"/>
    </row>
    <row r="446" spans="1:90" ht="14.65" x14ac:dyDescent="0.4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2"/>
      <c r="L446" s="1"/>
      <c r="M446" s="1"/>
      <c r="N446" s="1"/>
      <c r="O446" s="1"/>
      <c r="P446" s="1"/>
      <c r="Q446" s="1"/>
      <c r="R446" s="1"/>
      <c r="S446" s="1"/>
      <c r="T446" s="2"/>
      <c r="U446" s="1"/>
      <c r="V446" s="1"/>
      <c r="W446" s="1"/>
      <c r="X446" s="1"/>
      <c r="Y446" s="1"/>
      <c r="Z446" s="1"/>
      <c r="AA446" s="1"/>
      <c r="AB446" s="1"/>
      <c r="AC446" s="2"/>
      <c r="AD446" s="1"/>
      <c r="AE446" s="1"/>
      <c r="AF446" s="1"/>
      <c r="AG446" s="1"/>
      <c r="AH446" s="1"/>
      <c r="AI446" s="1"/>
      <c r="AJ446" s="1"/>
      <c r="AK446" s="1"/>
      <c r="AL446" s="2"/>
      <c r="AM446" s="1"/>
      <c r="AN446" s="1"/>
      <c r="AO446" s="1"/>
      <c r="AP446" s="1"/>
      <c r="AQ446" s="1"/>
      <c r="AR446" s="1"/>
      <c r="AS446" s="1"/>
      <c r="AT446" s="1"/>
      <c r="AU446" s="2"/>
      <c r="AV446" s="1"/>
      <c r="AW446" s="1"/>
      <c r="AX446" s="1"/>
      <c r="AY446" s="1"/>
      <c r="AZ446" s="1"/>
      <c r="BA446" s="1"/>
      <c r="BB446" s="1"/>
      <c r="BC446" s="1"/>
      <c r="BD446" s="2"/>
      <c r="BE446" s="1"/>
      <c r="BF446" s="1"/>
      <c r="BG446" s="1"/>
      <c r="BH446" s="1"/>
      <c r="BI446" s="1"/>
      <c r="BJ446" s="1"/>
      <c r="BK446" s="1"/>
      <c r="BL446" s="1"/>
      <c r="BM446" s="2"/>
      <c r="BN446" s="1"/>
      <c r="BO446" s="1"/>
      <c r="BP446" s="1"/>
      <c r="BQ446" s="1"/>
      <c r="BR446" s="1"/>
      <c r="BS446" s="1"/>
      <c r="BT446" s="1"/>
      <c r="BU446" s="1"/>
      <c r="BV446" s="2"/>
      <c r="BW446" s="1"/>
      <c r="BX446" s="1"/>
      <c r="BY446" s="1"/>
      <c r="BZ446" s="1"/>
      <c r="CA446" s="1"/>
      <c r="CB446" s="1"/>
      <c r="CC446" s="1"/>
      <c r="CD446" s="1"/>
      <c r="CE446" s="2"/>
      <c r="CF446" s="1"/>
      <c r="CG446" s="1"/>
      <c r="CH446" s="1"/>
      <c r="CI446" s="1"/>
      <c r="CJ446" s="1"/>
      <c r="CK446" s="1"/>
      <c r="CL446" s="1"/>
    </row>
    <row r="447" spans="1:90" ht="14.65" x14ac:dyDescent="0.4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2"/>
      <c r="L447" s="1"/>
      <c r="M447" s="1"/>
      <c r="N447" s="1"/>
      <c r="O447" s="1"/>
      <c r="P447" s="1"/>
      <c r="Q447" s="1"/>
      <c r="R447" s="1"/>
      <c r="S447" s="1"/>
      <c r="T447" s="2"/>
      <c r="U447" s="1"/>
      <c r="V447" s="1"/>
      <c r="W447" s="1"/>
      <c r="X447" s="1"/>
      <c r="Y447" s="1"/>
      <c r="Z447" s="1"/>
      <c r="AA447" s="1"/>
      <c r="AB447" s="1"/>
      <c r="AC447" s="2"/>
      <c r="AD447" s="1"/>
      <c r="AE447" s="1"/>
      <c r="AF447" s="1"/>
      <c r="AG447" s="1"/>
      <c r="AH447" s="1"/>
      <c r="AI447" s="1"/>
      <c r="AJ447" s="1"/>
      <c r="AK447" s="1"/>
      <c r="AL447" s="2"/>
      <c r="AM447" s="1"/>
      <c r="AN447" s="1"/>
      <c r="AO447" s="1"/>
      <c r="AP447" s="1"/>
      <c r="AQ447" s="1"/>
      <c r="AR447" s="1"/>
      <c r="AS447" s="1"/>
      <c r="AT447" s="1"/>
      <c r="AU447" s="2"/>
      <c r="AV447" s="1"/>
      <c r="AW447" s="1"/>
      <c r="AX447" s="1"/>
      <c r="AY447" s="1"/>
      <c r="AZ447" s="1"/>
      <c r="BA447" s="1"/>
      <c r="BB447" s="1"/>
      <c r="BC447" s="1"/>
      <c r="BD447" s="2"/>
      <c r="BE447" s="1"/>
      <c r="BF447" s="1"/>
      <c r="BG447" s="1"/>
      <c r="BH447" s="1"/>
      <c r="BI447" s="1"/>
      <c r="BJ447" s="1"/>
      <c r="BK447" s="1"/>
      <c r="BL447" s="1"/>
      <c r="BM447" s="2"/>
      <c r="BN447" s="1"/>
      <c r="BO447" s="1"/>
      <c r="BP447" s="1"/>
      <c r="BQ447" s="1"/>
      <c r="BR447" s="1"/>
      <c r="BS447" s="1"/>
      <c r="BT447" s="1"/>
      <c r="BU447" s="1"/>
      <c r="BV447" s="2"/>
      <c r="BW447" s="1"/>
      <c r="BX447" s="1"/>
      <c r="BY447" s="1"/>
      <c r="BZ447" s="1"/>
      <c r="CA447" s="1"/>
      <c r="CB447" s="1"/>
      <c r="CC447" s="1"/>
      <c r="CD447" s="1"/>
      <c r="CE447" s="2"/>
      <c r="CF447" s="1"/>
      <c r="CG447" s="1"/>
      <c r="CH447" s="1"/>
      <c r="CI447" s="1"/>
      <c r="CJ447" s="1"/>
      <c r="CK447" s="1"/>
      <c r="CL447" s="1"/>
    </row>
    <row r="448" spans="1:90" ht="14.65" x14ac:dyDescent="0.4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2"/>
      <c r="L448" s="1"/>
      <c r="M448" s="1"/>
      <c r="N448" s="1"/>
      <c r="O448" s="1"/>
      <c r="P448" s="1"/>
      <c r="Q448" s="1"/>
      <c r="R448" s="1"/>
      <c r="S448" s="1"/>
      <c r="T448" s="2"/>
      <c r="U448" s="1"/>
      <c r="V448" s="1"/>
      <c r="W448" s="1"/>
      <c r="X448" s="1"/>
      <c r="Y448" s="1"/>
      <c r="Z448" s="1"/>
      <c r="AA448" s="1"/>
      <c r="AB448" s="1"/>
      <c r="AC448" s="2"/>
      <c r="AD448" s="1"/>
      <c r="AE448" s="1"/>
      <c r="AF448" s="1"/>
      <c r="AG448" s="1"/>
      <c r="AH448" s="1"/>
      <c r="AI448" s="1"/>
      <c r="AJ448" s="1"/>
      <c r="AK448" s="1"/>
      <c r="AL448" s="2"/>
      <c r="AM448" s="1"/>
      <c r="AN448" s="1"/>
      <c r="AO448" s="1"/>
      <c r="AP448" s="1"/>
      <c r="AQ448" s="1"/>
      <c r="AR448" s="1"/>
      <c r="AS448" s="1"/>
      <c r="AT448" s="1"/>
      <c r="AU448" s="2"/>
      <c r="AV448" s="1"/>
      <c r="AW448" s="1"/>
      <c r="AX448" s="1"/>
      <c r="AY448" s="1"/>
      <c r="AZ448" s="1"/>
      <c r="BA448" s="1"/>
      <c r="BB448" s="1"/>
      <c r="BC448" s="1"/>
      <c r="BD448" s="2"/>
      <c r="BE448" s="1"/>
      <c r="BF448" s="1"/>
      <c r="BG448" s="1"/>
      <c r="BH448" s="1"/>
      <c r="BI448" s="1"/>
      <c r="BJ448" s="1"/>
      <c r="BK448" s="1"/>
      <c r="BL448" s="1"/>
      <c r="BM448" s="2"/>
      <c r="BN448" s="1"/>
      <c r="BO448" s="1"/>
      <c r="BP448" s="1"/>
      <c r="BQ448" s="1"/>
      <c r="BR448" s="1"/>
      <c r="BS448" s="1"/>
      <c r="BT448" s="1"/>
      <c r="BU448" s="1"/>
      <c r="BV448" s="2"/>
      <c r="BW448" s="1"/>
      <c r="BX448" s="1"/>
      <c r="BY448" s="1"/>
      <c r="BZ448" s="1"/>
      <c r="CA448" s="1"/>
      <c r="CB448" s="1"/>
      <c r="CC448" s="1"/>
      <c r="CD448" s="1"/>
      <c r="CE448" s="2"/>
      <c r="CF448" s="1"/>
      <c r="CG448" s="1"/>
      <c r="CH448" s="1"/>
      <c r="CI448" s="1"/>
      <c r="CJ448" s="1"/>
      <c r="CK448" s="1"/>
      <c r="CL448" s="1"/>
    </row>
    <row r="449" spans="1:90" ht="14.65" x14ac:dyDescent="0.4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2"/>
      <c r="L449" s="1"/>
      <c r="M449" s="1"/>
      <c r="N449" s="1"/>
      <c r="O449" s="1"/>
      <c r="P449" s="1"/>
      <c r="Q449" s="1"/>
      <c r="R449" s="1"/>
      <c r="S449" s="1"/>
      <c r="T449" s="2"/>
      <c r="U449" s="1"/>
      <c r="V449" s="1"/>
      <c r="W449" s="1"/>
      <c r="X449" s="1"/>
      <c r="Y449" s="1"/>
      <c r="Z449" s="1"/>
      <c r="AA449" s="1"/>
      <c r="AB449" s="1"/>
      <c r="AC449" s="2"/>
      <c r="AD449" s="1"/>
      <c r="AE449" s="1"/>
      <c r="AF449" s="1"/>
      <c r="AG449" s="1"/>
      <c r="AH449" s="1"/>
      <c r="AI449" s="1"/>
      <c r="AJ449" s="1"/>
      <c r="AK449" s="1"/>
      <c r="AL449" s="2"/>
      <c r="AM449" s="1"/>
      <c r="AN449" s="1"/>
      <c r="AO449" s="1"/>
      <c r="AP449" s="1"/>
      <c r="AQ449" s="1"/>
      <c r="AR449" s="1"/>
      <c r="AS449" s="1"/>
      <c r="AT449" s="1"/>
      <c r="AU449" s="2"/>
      <c r="AV449" s="1"/>
      <c r="AW449" s="1"/>
      <c r="AX449" s="1"/>
      <c r="AY449" s="1"/>
      <c r="AZ449" s="1"/>
      <c r="BA449" s="1"/>
      <c r="BB449" s="1"/>
      <c r="BC449" s="1"/>
      <c r="BD449" s="2"/>
      <c r="BE449" s="1"/>
      <c r="BF449" s="1"/>
      <c r="BG449" s="1"/>
      <c r="BH449" s="1"/>
      <c r="BI449" s="1"/>
      <c r="BJ449" s="1"/>
      <c r="BK449" s="1"/>
      <c r="BL449" s="1"/>
      <c r="BM449" s="2"/>
      <c r="BN449" s="1"/>
      <c r="BO449" s="1"/>
      <c r="BP449" s="1"/>
      <c r="BQ449" s="1"/>
      <c r="BR449" s="1"/>
      <c r="BS449" s="1"/>
      <c r="BT449" s="1"/>
      <c r="BU449" s="1"/>
      <c r="BV449" s="2"/>
      <c r="BW449" s="1"/>
      <c r="BX449" s="1"/>
      <c r="BY449" s="1"/>
      <c r="BZ449" s="1"/>
      <c r="CA449" s="1"/>
      <c r="CB449" s="1"/>
      <c r="CC449" s="1"/>
      <c r="CD449" s="1"/>
      <c r="CE449" s="2"/>
      <c r="CF449" s="1"/>
      <c r="CG449" s="1"/>
      <c r="CH449" s="1"/>
      <c r="CI449" s="1"/>
      <c r="CJ449" s="1"/>
      <c r="CK449" s="1"/>
      <c r="CL449" s="1"/>
    </row>
    <row r="450" spans="1:90" ht="14.65" x14ac:dyDescent="0.4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2"/>
      <c r="L450" s="1"/>
      <c r="M450" s="1"/>
      <c r="N450" s="1"/>
      <c r="O450" s="1"/>
      <c r="P450" s="1"/>
      <c r="Q450" s="1"/>
      <c r="R450" s="1"/>
      <c r="S450" s="1"/>
      <c r="T450" s="2"/>
      <c r="U450" s="1"/>
      <c r="V450" s="1"/>
      <c r="W450" s="1"/>
      <c r="X450" s="1"/>
      <c r="Y450" s="1"/>
      <c r="Z450" s="1"/>
      <c r="AA450" s="1"/>
      <c r="AB450" s="1"/>
      <c r="AC450" s="2"/>
      <c r="AD450" s="1"/>
      <c r="AE450" s="1"/>
      <c r="AF450" s="1"/>
      <c r="AG450" s="1"/>
      <c r="AH450" s="1"/>
      <c r="AI450" s="1"/>
      <c r="AJ450" s="1"/>
      <c r="AK450" s="1"/>
      <c r="AL450" s="2"/>
      <c r="AM450" s="1"/>
      <c r="AN450" s="1"/>
      <c r="AO450" s="1"/>
      <c r="AP450" s="1"/>
      <c r="AQ450" s="1"/>
      <c r="AR450" s="1"/>
      <c r="AS450" s="1"/>
      <c r="AT450" s="1"/>
      <c r="AU450" s="2"/>
      <c r="AV450" s="1"/>
      <c r="AW450" s="1"/>
      <c r="AX450" s="1"/>
      <c r="AY450" s="1"/>
      <c r="AZ450" s="1"/>
      <c r="BA450" s="1"/>
      <c r="BB450" s="1"/>
      <c r="BC450" s="1"/>
      <c r="BD450" s="2"/>
      <c r="BE450" s="1"/>
      <c r="BF450" s="1"/>
      <c r="BG450" s="1"/>
      <c r="BH450" s="1"/>
      <c r="BI450" s="1"/>
      <c r="BJ450" s="1"/>
      <c r="BK450" s="1"/>
      <c r="BL450" s="1"/>
      <c r="BM450" s="2"/>
      <c r="BN450" s="1"/>
      <c r="BO450" s="1"/>
      <c r="BP450" s="1"/>
      <c r="BQ450" s="1"/>
      <c r="BR450" s="1"/>
      <c r="BS450" s="1"/>
      <c r="BT450" s="1"/>
      <c r="BU450" s="1"/>
      <c r="BV450" s="2"/>
      <c r="BW450" s="1"/>
      <c r="BX450" s="1"/>
      <c r="BY450" s="1"/>
      <c r="BZ450" s="1"/>
      <c r="CA450" s="1"/>
      <c r="CB450" s="1"/>
      <c r="CC450" s="1"/>
      <c r="CD450" s="1"/>
      <c r="CE450" s="2"/>
      <c r="CF450" s="1"/>
      <c r="CG450" s="1"/>
      <c r="CH450" s="1"/>
      <c r="CI450" s="1"/>
      <c r="CJ450" s="1"/>
      <c r="CK450" s="1"/>
      <c r="CL450" s="1"/>
    </row>
    <row r="451" spans="1:90" ht="14.65" x14ac:dyDescent="0.4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2"/>
      <c r="L451" s="1"/>
      <c r="M451" s="1"/>
      <c r="N451" s="1"/>
      <c r="O451" s="1"/>
      <c r="P451" s="1"/>
      <c r="Q451" s="1"/>
      <c r="R451" s="1"/>
      <c r="S451" s="1"/>
      <c r="T451" s="2"/>
      <c r="U451" s="1"/>
      <c r="V451" s="1"/>
      <c r="W451" s="1"/>
      <c r="X451" s="1"/>
      <c r="Y451" s="1"/>
      <c r="Z451" s="1"/>
      <c r="AA451" s="1"/>
      <c r="AB451" s="1"/>
      <c r="AC451" s="2"/>
      <c r="AD451" s="1"/>
      <c r="AE451" s="1"/>
      <c r="AF451" s="1"/>
      <c r="AG451" s="1"/>
      <c r="AH451" s="1"/>
      <c r="AI451" s="1"/>
      <c r="AJ451" s="1"/>
      <c r="AK451" s="1"/>
      <c r="AL451" s="2"/>
      <c r="AM451" s="1"/>
      <c r="AN451" s="1"/>
      <c r="AO451" s="1"/>
      <c r="AP451" s="1"/>
      <c r="AQ451" s="1"/>
      <c r="AR451" s="1"/>
      <c r="AS451" s="1"/>
      <c r="AT451" s="1"/>
      <c r="AU451" s="2"/>
      <c r="AV451" s="1"/>
      <c r="AW451" s="1"/>
      <c r="AX451" s="1"/>
      <c r="AY451" s="1"/>
      <c r="AZ451" s="1"/>
      <c r="BA451" s="1"/>
      <c r="BB451" s="1"/>
      <c r="BC451" s="1"/>
      <c r="BD451" s="2"/>
      <c r="BE451" s="1"/>
      <c r="BF451" s="1"/>
      <c r="BG451" s="1"/>
      <c r="BH451" s="1"/>
      <c r="BI451" s="1"/>
      <c r="BJ451" s="1"/>
      <c r="BK451" s="1"/>
      <c r="BL451" s="1"/>
      <c r="BM451" s="2"/>
      <c r="BN451" s="1"/>
      <c r="BO451" s="1"/>
      <c r="BP451" s="1"/>
      <c r="BQ451" s="1"/>
      <c r="BR451" s="1"/>
      <c r="BS451" s="1"/>
      <c r="BT451" s="1"/>
      <c r="BU451" s="1"/>
      <c r="BV451" s="2"/>
      <c r="BW451" s="1"/>
      <c r="BX451" s="1"/>
      <c r="BY451" s="1"/>
      <c r="BZ451" s="1"/>
      <c r="CA451" s="1"/>
      <c r="CB451" s="1"/>
      <c r="CC451" s="1"/>
      <c r="CD451" s="1"/>
      <c r="CE451" s="2"/>
      <c r="CF451" s="1"/>
      <c r="CG451" s="1"/>
      <c r="CH451" s="1"/>
      <c r="CI451" s="1"/>
      <c r="CJ451" s="1"/>
      <c r="CK451" s="1"/>
      <c r="CL451" s="1"/>
    </row>
    <row r="452" spans="1:90" ht="14.65" x14ac:dyDescent="0.4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2"/>
      <c r="L452" s="1"/>
      <c r="M452" s="1"/>
      <c r="N452" s="1"/>
      <c r="O452" s="1"/>
      <c r="P452" s="1"/>
      <c r="Q452" s="1"/>
      <c r="R452" s="1"/>
      <c r="S452" s="1"/>
      <c r="T452" s="2"/>
      <c r="U452" s="1"/>
      <c r="V452" s="1"/>
      <c r="W452" s="1"/>
      <c r="X452" s="1"/>
      <c r="Y452" s="1"/>
      <c r="Z452" s="1"/>
      <c r="AA452" s="1"/>
      <c r="AB452" s="1"/>
      <c r="AC452" s="2"/>
      <c r="AD452" s="1"/>
      <c r="AE452" s="1"/>
      <c r="AF452" s="1"/>
      <c r="AG452" s="1"/>
      <c r="AH452" s="1"/>
      <c r="AI452" s="1"/>
      <c r="AJ452" s="1"/>
      <c r="AK452" s="1"/>
      <c r="AL452" s="2"/>
      <c r="AM452" s="1"/>
      <c r="AN452" s="1"/>
      <c r="AO452" s="1"/>
      <c r="AP452" s="1"/>
      <c r="AQ452" s="1"/>
      <c r="AR452" s="1"/>
      <c r="AS452" s="1"/>
      <c r="AT452" s="1"/>
      <c r="AU452" s="2"/>
      <c r="AV452" s="1"/>
      <c r="AW452" s="1"/>
      <c r="AX452" s="1"/>
      <c r="AY452" s="1"/>
      <c r="AZ452" s="1"/>
      <c r="BA452" s="1"/>
      <c r="BB452" s="1"/>
      <c r="BC452" s="1"/>
      <c r="BD452" s="2"/>
      <c r="BE452" s="1"/>
      <c r="BF452" s="1"/>
      <c r="BG452" s="1"/>
      <c r="BH452" s="1"/>
      <c r="BI452" s="1"/>
      <c r="BJ452" s="1"/>
      <c r="BK452" s="1"/>
      <c r="BL452" s="1"/>
      <c r="BM452" s="2"/>
      <c r="BN452" s="1"/>
      <c r="BO452" s="1"/>
      <c r="BP452" s="1"/>
      <c r="BQ452" s="1"/>
      <c r="BR452" s="1"/>
      <c r="BS452" s="1"/>
      <c r="BT452" s="1"/>
      <c r="BU452" s="1"/>
      <c r="BV452" s="2"/>
      <c r="BW452" s="1"/>
      <c r="BX452" s="1"/>
      <c r="BY452" s="1"/>
      <c r="BZ452" s="1"/>
      <c r="CA452" s="1"/>
      <c r="CB452" s="1"/>
      <c r="CC452" s="1"/>
      <c r="CD452" s="1"/>
      <c r="CE452" s="2"/>
      <c r="CF452" s="1"/>
      <c r="CG452" s="1"/>
      <c r="CH452" s="1"/>
      <c r="CI452" s="1"/>
      <c r="CJ452" s="1"/>
      <c r="CK452" s="1"/>
      <c r="CL452" s="1"/>
    </row>
    <row r="453" spans="1:90" ht="14.65" x14ac:dyDescent="0.4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2"/>
      <c r="L453" s="1"/>
      <c r="M453" s="1"/>
      <c r="N453" s="1"/>
      <c r="O453" s="1"/>
      <c r="P453" s="1"/>
      <c r="Q453" s="1"/>
      <c r="R453" s="1"/>
      <c r="S453" s="1"/>
      <c r="T453" s="2"/>
      <c r="U453" s="1"/>
      <c r="V453" s="1"/>
      <c r="W453" s="1"/>
      <c r="X453" s="1"/>
      <c r="Y453" s="1"/>
      <c r="Z453" s="1"/>
      <c r="AA453" s="1"/>
      <c r="AB453" s="1"/>
      <c r="AC453" s="2"/>
      <c r="AD453" s="1"/>
      <c r="AE453" s="1"/>
      <c r="AF453" s="1"/>
      <c r="AG453" s="1"/>
      <c r="AH453" s="1"/>
      <c r="AI453" s="1"/>
      <c r="AJ453" s="1"/>
      <c r="AK453" s="1"/>
      <c r="AL453" s="2"/>
      <c r="AM453" s="1"/>
      <c r="AN453" s="1"/>
      <c r="AO453" s="1"/>
      <c r="AP453" s="1"/>
      <c r="AQ453" s="1"/>
      <c r="AR453" s="1"/>
      <c r="AS453" s="1"/>
      <c r="AT453" s="1"/>
      <c r="AU453" s="2"/>
      <c r="AV453" s="1"/>
      <c r="AW453" s="1"/>
      <c r="AX453" s="1"/>
      <c r="AY453" s="1"/>
      <c r="AZ453" s="1"/>
      <c r="BA453" s="1"/>
      <c r="BB453" s="1"/>
      <c r="BC453" s="1"/>
      <c r="BD453" s="2"/>
      <c r="BE453" s="1"/>
      <c r="BF453" s="1"/>
      <c r="BG453" s="1"/>
      <c r="BH453" s="1"/>
      <c r="BI453" s="1"/>
      <c r="BJ453" s="1"/>
      <c r="BK453" s="1"/>
      <c r="BL453" s="1"/>
      <c r="BM453" s="2"/>
      <c r="BN453" s="1"/>
      <c r="BO453" s="1"/>
      <c r="BP453" s="1"/>
      <c r="BQ453" s="1"/>
      <c r="BR453" s="1"/>
      <c r="BS453" s="1"/>
      <c r="BT453" s="1"/>
      <c r="BU453" s="1"/>
      <c r="BV453" s="2"/>
      <c r="BW453" s="1"/>
      <c r="BX453" s="1"/>
      <c r="BY453" s="1"/>
      <c r="BZ453" s="1"/>
      <c r="CA453" s="1"/>
      <c r="CB453" s="1"/>
      <c r="CC453" s="1"/>
      <c r="CD453" s="1"/>
      <c r="CE453" s="2"/>
      <c r="CF453" s="1"/>
      <c r="CG453" s="1"/>
      <c r="CH453" s="1"/>
      <c r="CI453" s="1"/>
      <c r="CJ453" s="1"/>
      <c r="CK453" s="1"/>
      <c r="CL453" s="1"/>
    </row>
    <row r="454" spans="1:90" ht="14.65" x14ac:dyDescent="0.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2"/>
      <c r="L454" s="1"/>
      <c r="M454" s="1"/>
      <c r="N454" s="1"/>
      <c r="O454" s="1"/>
      <c r="P454" s="1"/>
      <c r="Q454" s="1"/>
      <c r="R454" s="1"/>
      <c r="S454" s="1"/>
      <c r="T454" s="2"/>
      <c r="U454" s="1"/>
      <c r="V454" s="1"/>
      <c r="W454" s="1"/>
      <c r="X454" s="1"/>
      <c r="Y454" s="1"/>
      <c r="Z454" s="1"/>
      <c r="AA454" s="1"/>
      <c r="AB454" s="1"/>
      <c r="AC454" s="2"/>
      <c r="AD454" s="1"/>
      <c r="AE454" s="1"/>
      <c r="AF454" s="1"/>
      <c r="AG454" s="1"/>
      <c r="AH454" s="1"/>
      <c r="AI454" s="1"/>
      <c r="AJ454" s="1"/>
      <c r="AK454" s="1"/>
      <c r="AL454" s="2"/>
      <c r="AM454" s="1"/>
      <c r="AN454" s="1"/>
      <c r="AO454" s="1"/>
      <c r="AP454" s="1"/>
      <c r="AQ454" s="1"/>
      <c r="AR454" s="1"/>
      <c r="AS454" s="1"/>
      <c r="AT454" s="1"/>
      <c r="AU454" s="2"/>
      <c r="AV454" s="1"/>
      <c r="AW454" s="1"/>
      <c r="AX454" s="1"/>
      <c r="AY454" s="1"/>
      <c r="AZ454" s="1"/>
      <c r="BA454" s="1"/>
      <c r="BB454" s="1"/>
      <c r="BC454" s="1"/>
      <c r="BD454" s="2"/>
      <c r="BE454" s="1"/>
      <c r="BF454" s="1"/>
      <c r="BG454" s="1"/>
      <c r="BH454" s="1"/>
      <c r="BI454" s="1"/>
      <c r="BJ454" s="1"/>
      <c r="BK454" s="1"/>
      <c r="BL454" s="1"/>
      <c r="BM454" s="2"/>
      <c r="BN454" s="1"/>
      <c r="BO454" s="1"/>
      <c r="BP454" s="1"/>
      <c r="BQ454" s="1"/>
      <c r="BR454" s="1"/>
      <c r="BS454" s="1"/>
      <c r="BT454" s="1"/>
      <c r="BU454" s="1"/>
      <c r="BV454" s="2"/>
      <c r="BW454" s="1"/>
      <c r="BX454" s="1"/>
      <c r="BY454" s="1"/>
      <c r="BZ454" s="1"/>
      <c r="CA454" s="1"/>
      <c r="CB454" s="1"/>
      <c r="CC454" s="1"/>
      <c r="CD454" s="1"/>
      <c r="CE454" s="2"/>
      <c r="CF454" s="1"/>
      <c r="CG454" s="1"/>
      <c r="CH454" s="1"/>
      <c r="CI454" s="1"/>
      <c r="CJ454" s="1"/>
      <c r="CK454" s="1"/>
      <c r="CL454" s="1"/>
    </row>
    <row r="455" spans="1:90" ht="14.65" x14ac:dyDescent="0.4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2"/>
      <c r="L455" s="1"/>
      <c r="M455" s="1"/>
      <c r="N455" s="1"/>
      <c r="O455" s="1"/>
      <c r="P455" s="1"/>
      <c r="Q455" s="1"/>
      <c r="R455" s="1"/>
      <c r="S455" s="1"/>
      <c r="T455" s="2"/>
      <c r="U455" s="1"/>
      <c r="V455" s="1"/>
      <c r="W455" s="1"/>
      <c r="X455" s="1"/>
      <c r="Y455" s="1"/>
      <c r="Z455" s="1"/>
      <c r="AA455" s="1"/>
      <c r="AB455" s="1"/>
      <c r="AC455" s="2"/>
      <c r="AD455" s="1"/>
      <c r="AE455" s="1"/>
      <c r="AF455" s="1"/>
      <c r="AG455" s="1"/>
      <c r="AH455" s="1"/>
      <c r="AI455" s="1"/>
      <c r="AJ455" s="1"/>
      <c r="AK455" s="1"/>
      <c r="AL455" s="2"/>
      <c r="AM455" s="1"/>
      <c r="AN455" s="1"/>
      <c r="AO455" s="1"/>
      <c r="AP455" s="1"/>
      <c r="AQ455" s="1"/>
      <c r="AR455" s="1"/>
      <c r="AS455" s="1"/>
      <c r="AT455" s="1"/>
      <c r="AU455" s="2"/>
      <c r="AV455" s="1"/>
      <c r="AW455" s="1"/>
      <c r="AX455" s="1"/>
      <c r="AY455" s="1"/>
      <c r="AZ455" s="1"/>
      <c r="BA455" s="1"/>
      <c r="BB455" s="1"/>
      <c r="BC455" s="1"/>
      <c r="BD455" s="2"/>
      <c r="BE455" s="1"/>
      <c r="BF455" s="1"/>
      <c r="BG455" s="1"/>
      <c r="BH455" s="1"/>
      <c r="BI455" s="1"/>
      <c r="BJ455" s="1"/>
      <c r="BK455" s="1"/>
      <c r="BL455" s="1"/>
      <c r="BM455" s="2"/>
      <c r="BN455" s="1"/>
      <c r="BO455" s="1"/>
      <c r="BP455" s="1"/>
      <c r="BQ455" s="1"/>
      <c r="BR455" s="1"/>
      <c r="BS455" s="1"/>
      <c r="BT455" s="1"/>
      <c r="BU455" s="1"/>
      <c r="BV455" s="2"/>
      <c r="BW455" s="1"/>
      <c r="BX455" s="1"/>
      <c r="BY455" s="1"/>
      <c r="BZ455" s="1"/>
      <c r="CA455" s="1"/>
      <c r="CB455" s="1"/>
      <c r="CC455" s="1"/>
      <c r="CD455" s="1"/>
      <c r="CE455" s="2"/>
      <c r="CF455" s="1"/>
      <c r="CG455" s="1"/>
      <c r="CH455" s="1"/>
      <c r="CI455" s="1"/>
      <c r="CJ455" s="1"/>
      <c r="CK455" s="1"/>
      <c r="CL455" s="1"/>
    </row>
    <row r="456" spans="1:90" ht="14.65" x14ac:dyDescent="0.4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2"/>
      <c r="L456" s="1"/>
      <c r="M456" s="1"/>
      <c r="N456" s="1"/>
      <c r="O456" s="1"/>
      <c r="P456" s="1"/>
      <c r="Q456" s="1"/>
      <c r="R456" s="1"/>
      <c r="S456" s="1"/>
      <c r="T456" s="2"/>
      <c r="U456" s="2"/>
      <c r="V456" s="1"/>
      <c r="W456" s="1"/>
      <c r="X456" s="1"/>
      <c r="Y456" s="1"/>
      <c r="Z456" s="1"/>
      <c r="AA456" s="1"/>
      <c r="AB456" s="1"/>
      <c r="AC456" s="2"/>
      <c r="AD456" s="1"/>
      <c r="AE456" s="1"/>
      <c r="AF456" s="1"/>
      <c r="AG456" s="1"/>
      <c r="AH456" s="1"/>
      <c r="AI456" s="1"/>
      <c r="AJ456" s="1"/>
      <c r="AK456" s="1"/>
      <c r="AL456" s="2"/>
      <c r="AM456" s="1"/>
      <c r="AN456" s="1"/>
      <c r="AO456" s="1"/>
      <c r="AP456" s="1"/>
      <c r="AQ456" s="1"/>
      <c r="AR456" s="1"/>
      <c r="AS456" s="1"/>
      <c r="AT456" s="1"/>
      <c r="AU456" s="2"/>
      <c r="AV456" s="1"/>
      <c r="AW456" s="1"/>
      <c r="AX456" s="1"/>
      <c r="AY456" s="1"/>
      <c r="AZ456" s="1"/>
      <c r="BA456" s="1"/>
      <c r="BB456" s="1"/>
      <c r="BC456" s="1"/>
      <c r="BD456" s="2"/>
      <c r="BE456" s="1"/>
      <c r="BF456" s="1"/>
      <c r="BG456" s="1"/>
      <c r="BH456" s="1"/>
      <c r="BI456" s="1"/>
      <c r="BJ456" s="1"/>
      <c r="BK456" s="1"/>
      <c r="BL456" s="1"/>
      <c r="BM456" s="2"/>
      <c r="BN456" s="1"/>
      <c r="BO456" s="1"/>
      <c r="BP456" s="1"/>
      <c r="BQ456" s="1"/>
      <c r="BR456" s="1"/>
      <c r="BS456" s="1"/>
      <c r="BT456" s="1"/>
      <c r="BU456" s="1"/>
      <c r="BV456" s="2"/>
      <c r="BW456" s="1"/>
      <c r="BX456" s="1"/>
      <c r="BY456" s="1"/>
      <c r="BZ456" s="1"/>
      <c r="CA456" s="1"/>
      <c r="CB456" s="1"/>
      <c r="CC456" s="1"/>
      <c r="CD456" s="1"/>
      <c r="CE456" s="2"/>
      <c r="CF456" s="1"/>
      <c r="CG456" s="1"/>
      <c r="CH456" s="1"/>
      <c r="CI456" s="1"/>
      <c r="CJ456" s="1"/>
      <c r="CK456" s="1"/>
      <c r="CL456" s="1"/>
    </row>
    <row r="457" spans="1:90" ht="14.65" x14ac:dyDescent="0.4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2"/>
      <c r="L457" s="1"/>
      <c r="M457" s="1"/>
      <c r="N457" s="1"/>
      <c r="O457" s="1"/>
      <c r="P457" s="1"/>
      <c r="Q457" s="1"/>
      <c r="R457" s="1"/>
      <c r="S457" s="1"/>
      <c r="T457" s="2"/>
      <c r="U457" s="2"/>
      <c r="V457" s="1"/>
      <c r="W457" s="1"/>
      <c r="X457" s="1"/>
      <c r="Y457" s="1"/>
      <c r="Z457" s="1"/>
      <c r="AA457" s="1"/>
      <c r="AB457" s="1"/>
      <c r="AC457" s="2"/>
      <c r="AD457" s="1"/>
      <c r="AE457" s="1"/>
      <c r="AF457" s="1"/>
      <c r="AG457" s="1"/>
      <c r="AH457" s="1"/>
      <c r="AI457" s="1"/>
      <c r="AJ457" s="1"/>
      <c r="AK457" s="1"/>
      <c r="AL457" s="2"/>
      <c r="AM457" s="1"/>
      <c r="AN457" s="1"/>
      <c r="AO457" s="1"/>
      <c r="AP457" s="1"/>
      <c r="AQ457" s="1"/>
      <c r="AR457" s="1"/>
      <c r="AS457" s="1"/>
      <c r="AT457" s="1"/>
      <c r="AU457" s="2"/>
      <c r="AV457" s="1"/>
      <c r="AW457" s="1"/>
      <c r="AX457" s="1"/>
      <c r="AY457" s="1"/>
      <c r="AZ457" s="1"/>
      <c r="BA457" s="1"/>
      <c r="BB457" s="1"/>
      <c r="BC457" s="1"/>
      <c r="BD457" s="2"/>
      <c r="BE457" s="1"/>
      <c r="BF457" s="1"/>
      <c r="BG457" s="1"/>
      <c r="BH457" s="1"/>
      <c r="BI457" s="1"/>
      <c r="BJ457" s="1"/>
      <c r="BK457" s="1"/>
      <c r="BL457" s="1"/>
      <c r="BM457" s="2"/>
      <c r="BN457" s="1"/>
      <c r="BO457" s="1"/>
      <c r="BP457" s="1"/>
      <c r="BQ457" s="1"/>
      <c r="BR457" s="1"/>
      <c r="BS457" s="1"/>
      <c r="BT457" s="1"/>
      <c r="BU457" s="1"/>
      <c r="BV457" s="2"/>
      <c r="BW457" s="1"/>
      <c r="BX457" s="1"/>
      <c r="BY457" s="1"/>
      <c r="BZ457" s="1"/>
      <c r="CA457" s="1"/>
      <c r="CB457" s="1"/>
      <c r="CC457" s="1"/>
      <c r="CD457" s="1"/>
      <c r="CE457" s="2"/>
      <c r="CF457" s="1"/>
      <c r="CG457" s="1"/>
      <c r="CH457" s="1"/>
      <c r="CI457" s="1"/>
      <c r="CJ457" s="1"/>
      <c r="CK457" s="1"/>
      <c r="CL457" s="1"/>
    </row>
    <row r="458" spans="1:90" ht="14.65" x14ac:dyDescent="0.4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2"/>
      <c r="L458" s="1"/>
      <c r="M458" s="1"/>
      <c r="N458" s="1"/>
      <c r="O458" s="1"/>
      <c r="P458" s="1"/>
      <c r="Q458" s="1"/>
      <c r="R458" s="1"/>
      <c r="S458" s="1"/>
      <c r="T458" s="2"/>
      <c r="U458" s="1"/>
      <c r="V458" s="1"/>
      <c r="W458" s="1"/>
      <c r="X458" s="1"/>
      <c r="Y458" s="1"/>
      <c r="Z458" s="1"/>
      <c r="AA458" s="1"/>
      <c r="AB458" s="1"/>
      <c r="AC458" s="2"/>
      <c r="AD458" s="1"/>
      <c r="AE458" s="1"/>
      <c r="AF458" s="1"/>
      <c r="AG458" s="1"/>
      <c r="AH458" s="1"/>
      <c r="AI458" s="1"/>
      <c r="AJ458" s="1"/>
      <c r="AK458" s="1"/>
      <c r="AL458" s="2"/>
      <c r="AM458" s="1"/>
      <c r="AN458" s="1"/>
      <c r="AO458" s="1"/>
      <c r="AP458" s="1"/>
      <c r="AQ458" s="1"/>
      <c r="AR458" s="1"/>
      <c r="AS458" s="1"/>
      <c r="AT458" s="1"/>
      <c r="AU458" s="2"/>
      <c r="AV458" s="1"/>
      <c r="AW458" s="1"/>
      <c r="AX458" s="1"/>
      <c r="AY458" s="1"/>
      <c r="AZ458" s="1"/>
      <c r="BA458" s="1"/>
      <c r="BB458" s="1"/>
      <c r="BC458" s="1"/>
      <c r="BD458" s="2"/>
      <c r="BE458" s="1"/>
      <c r="BF458" s="1"/>
      <c r="BG458" s="1"/>
      <c r="BH458" s="1"/>
      <c r="BI458" s="1"/>
      <c r="BJ458" s="1"/>
      <c r="BK458" s="1"/>
      <c r="BL458" s="1"/>
      <c r="BM458" s="2"/>
      <c r="BN458" s="1"/>
      <c r="BO458" s="1"/>
      <c r="BP458" s="1"/>
      <c r="BQ458" s="1"/>
      <c r="BR458" s="1"/>
      <c r="BS458" s="1"/>
      <c r="BT458" s="1"/>
      <c r="BU458" s="1"/>
      <c r="BV458" s="2"/>
      <c r="BW458" s="1"/>
      <c r="BX458" s="1"/>
      <c r="BY458" s="1"/>
      <c r="BZ458" s="1"/>
      <c r="CA458" s="1"/>
      <c r="CB458" s="1"/>
      <c r="CC458" s="1"/>
      <c r="CD458" s="1"/>
      <c r="CE458" s="2"/>
      <c r="CF458" s="1"/>
      <c r="CG458" s="1"/>
      <c r="CH458" s="1"/>
      <c r="CI458" s="1"/>
      <c r="CJ458" s="1"/>
      <c r="CK458" s="1"/>
      <c r="CL458" s="1"/>
    </row>
    <row r="459" spans="1:90" ht="14.65" x14ac:dyDescent="0.4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2"/>
      <c r="L459" s="1"/>
      <c r="M459" s="1"/>
      <c r="N459" s="1"/>
      <c r="O459" s="1"/>
      <c r="P459" s="1"/>
      <c r="Q459" s="1"/>
      <c r="R459" s="1"/>
      <c r="S459" s="1"/>
      <c r="T459" s="2"/>
      <c r="U459" s="1"/>
      <c r="V459" s="1"/>
      <c r="W459" s="1"/>
      <c r="X459" s="1"/>
      <c r="Y459" s="1"/>
      <c r="Z459" s="1"/>
      <c r="AA459" s="1"/>
      <c r="AB459" s="1"/>
      <c r="AC459" s="2"/>
      <c r="AD459" s="1"/>
      <c r="AE459" s="1"/>
      <c r="AF459" s="1"/>
      <c r="AG459" s="1"/>
      <c r="AH459" s="1"/>
      <c r="AI459" s="1"/>
      <c r="AJ459" s="1"/>
      <c r="AK459" s="1"/>
      <c r="AL459" s="2"/>
      <c r="AM459" s="1"/>
      <c r="AN459" s="1"/>
      <c r="AO459" s="1"/>
      <c r="AP459" s="1"/>
      <c r="AQ459" s="1"/>
      <c r="AR459" s="1"/>
      <c r="AS459" s="1"/>
      <c r="AT459" s="1"/>
      <c r="AU459" s="2"/>
      <c r="AV459" s="1"/>
      <c r="AW459" s="1"/>
      <c r="AX459" s="1"/>
      <c r="AY459" s="1"/>
      <c r="AZ459" s="1"/>
      <c r="BA459" s="1"/>
      <c r="BB459" s="1"/>
      <c r="BC459" s="1"/>
      <c r="BD459" s="2"/>
      <c r="BE459" s="1"/>
      <c r="BF459" s="1"/>
      <c r="BG459" s="1"/>
      <c r="BH459" s="1"/>
      <c r="BI459" s="1"/>
      <c r="BJ459" s="1"/>
      <c r="BK459" s="1"/>
      <c r="BL459" s="1"/>
      <c r="BM459" s="2"/>
      <c r="BN459" s="1"/>
      <c r="BO459" s="1"/>
      <c r="BP459" s="1"/>
      <c r="BQ459" s="1"/>
      <c r="BR459" s="1"/>
      <c r="BS459" s="1"/>
      <c r="BT459" s="1"/>
      <c r="BU459" s="1"/>
      <c r="BV459" s="2"/>
      <c r="BW459" s="1"/>
      <c r="BX459" s="1"/>
      <c r="BY459" s="1"/>
      <c r="BZ459" s="1"/>
      <c r="CA459" s="1"/>
      <c r="CB459" s="1"/>
      <c r="CC459" s="1"/>
      <c r="CD459" s="1"/>
      <c r="CE459" s="2"/>
      <c r="CF459" s="1"/>
      <c r="CG459" s="1"/>
      <c r="CH459" s="1"/>
      <c r="CI459" s="1"/>
      <c r="CJ459" s="1"/>
      <c r="CK459" s="1"/>
      <c r="CL459" s="1"/>
    </row>
    <row r="460" spans="1:90" ht="14.65" x14ac:dyDescent="0.4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2"/>
      <c r="L460" s="1"/>
      <c r="M460" s="7"/>
      <c r="N460" s="1"/>
      <c r="O460" s="1"/>
      <c r="P460" s="1"/>
      <c r="Q460" s="1"/>
      <c r="R460" s="1"/>
      <c r="S460" s="1"/>
      <c r="T460" s="2"/>
      <c r="U460" s="1"/>
      <c r="V460" s="1"/>
      <c r="W460" s="1"/>
      <c r="X460" s="1"/>
      <c r="Y460" s="1"/>
      <c r="Z460" s="1"/>
      <c r="AA460" s="1"/>
      <c r="AB460" s="1"/>
      <c r="AC460" s="2"/>
      <c r="AD460" s="1"/>
      <c r="AE460" s="1"/>
      <c r="AF460" s="1"/>
      <c r="AG460" s="1"/>
      <c r="AH460" s="1"/>
      <c r="AI460" s="1"/>
      <c r="AJ460" s="1"/>
      <c r="AK460" s="1"/>
      <c r="AL460" s="2"/>
      <c r="AM460" s="1"/>
      <c r="AN460" s="1"/>
      <c r="AO460" s="1"/>
      <c r="AP460" s="1"/>
      <c r="AQ460" s="1"/>
      <c r="AR460" s="1"/>
      <c r="AS460" s="1"/>
      <c r="AT460" s="1"/>
      <c r="AU460" s="2"/>
      <c r="AV460" s="1"/>
      <c r="AW460" s="1"/>
      <c r="AX460" s="1"/>
      <c r="AY460" s="1"/>
      <c r="AZ460" s="1"/>
      <c r="BA460" s="1"/>
      <c r="BB460" s="1"/>
      <c r="BC460" s="1"/>
      <c r="BD460" s="2"/>
      <c r="BE460" s="1"/>
      <c r="BF460" s="1"/>
      <c r="BG460" s="1"/>
      <c r="BH460" s="1"/>
      <c r="BI460" s="1"/>
      <c r="BJ460" s="1"/>
      <c r="BK460" s="1"/>
      <c r="BL460" s="1"/>
      <c r="BM460" s="2"/>
      <c r="BN460" s="1"/>
      <c r="BO460" s="1"/>
      <c r="BP460" s="1"/>
      <c r="BQ460" s="1"/>
      <c r="BR460" s="1"/>
      <c r="BS460" s="1"/>
      <c r="BT460" s="1"/>
      <c r="BU460" s="1"/>
      <c r="BV460" s="2"/>
      <c r="BW460" s="1"/>
      <c r="BX460" s="1"/>
      <c r="BY460" s="1"/>
      <c r="BZ460" s="1"/>
      <c r="CA460" s="1"/>
      <c r="CB460" s="1"/>
      <c r="CC460" s="1"/>
      <c r="CD460" s="1"/>
      <c r="CE460" s="2"/>
      <c r="CF460" s="1"/>
      <c r="CG460" s="1"/>
      <c r="CH460" s="1"/>
      <c r="CI460" s="1"/>
      <c r="CJ460" s="1"/>
      <c r="CK460" s="1"/>
      <c r="CL460" s="1"/>
    </row>
    <row r="461" spans="1:90" ht="14.65" x14ac:dyDescent="0.4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2"/>
      <c r="L461" s="1"/>
      <c r="M461" s="4"/>
      <c r="N461" s="1"/>
      <c r="O461" s="1"/>
      <c r="P461" s="1"/>
      <c r="Q461" s="1"/>
      <c r="R461" s="1"/>
      <c r="S461" s="1"/>
      <c r="T461" s="2"/>
      <c r="U461" s="1"/>
      <c r="V461" s="1"/>
      <c r="W461" s="1"/>
      <c r="X461" s="1"/>
      <c r="Y461" s="1"/>
      <c r="Z461" s="1"/>
      <c r="AA461" s="1"/>
      <c r="AB461" s="1"/>
      <c r="AC461" s="2"/>
      <c r="AD461" s="1"/>
      <c r="AE461" s="1"/>
      <c r="AF461" s="1"/>
      <c r="AG461" s="1"/>
      <c r="AH461" s="1"/>
      <c r="AI461" s="1"/>
      <c r="AJ461" s="1"/>
      <c r="AK461" s="1"/>
      <c r="AL461" s="2"/>
      <c r="AM461" s="1"/>
      <c r="AN461" s="1"/>
      <c r="AO461" s="1"/>
      <c r="AP461" s="1"/>
      <c r="AQ461" s="1"/>
      <c r="AR461" s="1"/>
      <c r="AS461" s="1"/>
      <c r="AT461" s="1"/>
      <c r="AU461" s="2"/>
      <c r="AV461" s="1"/>
      <c r="AW461" s="1"/>
      <c r="AX461" s="1"/>
      <c r="AY461" s="1"/>
      <c r="AZ461" s="1"/>
      <c r="BA461" s="1"/>
      <c r="BB461" s="1"/>
      <c r="BC461" s="1"/>
      <c r="BD461" s="2"/>
      <c r="BE461" s="1"/>
      <c r="BF461" s="1"/>
      <c r="BG461" s="1"/>
      <c r="BH461" s="1"/>
      <c r="BI461" s="1"/>
      <c r="BJ461" s="1"/>
      <c r="BK461" s="1"/>
      <c r="BL461" s="1"/>
      <c r="BM461" s="2"/>
      <c r="BN461" s="1"/>
      <c r="BO461" s="1"/>
      <c r="BP461" s="1"/>
      <c r="BQ461" s="1"/>
      <c r="BR461" s="1"/>
      <c r="BS461" s="1"/>
      <c r="BT461" s="1"/>
      <c r="BU461" s="1"/>
      <c r="BV461" s="2"/>
      <c r="BW461" s="1"/>
      <c r="BX461" s="1"/>
      <c r="BY461" s="1"/>
      <c r="BZ461" s="1"/>
      <c r="CA461" s="1"/>
      <c r="CB461" s="1"/>
      <c r="CC461" s="1"/>
      <c r="CD461" s="1"/>
      <c r="CE461" s="2"/>
      <c r="CF461" s="1"/>
      <c r="CG461" s="1"/>
      <c r="CH461" s="1"/>
      <c r="CI461" s="1"/>
      <c r="CJ461" s="1"/>
      <c r="CK461" s="1"/>
      <c r="CL461" s="1"/>
    </row>
    <row r="462" spans="1:90" ht="14.65" x14ac:dyDescent="0.4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2"/>
      <c r="L462" s="1"/>
      <c r="M462" s="1"/>
      <c r="N462" s="1"/>
      <c r="O462" s="1"/>
      <c r="P462" s="1"/>
      <c r="Q462" s="1"/>
      <c r="R462" s="1"/>
      <c r="S462" s="1"/>
      <c r="T462" s="2"/>
      <c r="U462" s="1"/>
      <c r="V462" s="1"/>
      <c r="W462" s="1"/>
      <c r="X462" s="1"/>
      <c r="Y462" s="1"/>
      <c r="Z462" s="1"/>
      <c r="AA462" s="1"/>
      <c r="AB462" s="1"/>
      <c r="AC462" s="2"/>
      <c r="AD462" s="1"/>
      <c r="AE462" s="1"/>
      <c r="AF462" s="1"/>
      <c r="AG462" s="1"/>
      <c r="AH462" s="1"/>
      <c r="AI462" s="1"/>
      <c r="AJ462" s="1"/>
      <c r="AK462" s="1"/>
      <c r="AL462" s="2"/>
      <c r="AM462" s="1"/>
      <c r="AN462" s="1"/>
      <c r="AO462" s="1"/>
      <c r="AP462" s="1"/>
      <c r="AQ462" s="1"/>
      <c r="AR462" s="1"/>
      <c r="AS462" s="1"/>
      <c r="AT462" s="1"/>
      <c r="AU462" s="2"/>
      <c r="AV462" s="1"/>
      <c r="AW462" s="1"/>
      <c r="AX462" s="1"/>
      <c r="AY462" s="1"/>
      <c r="AZ462" s="1"/>
      <c r="BA462" s="1"/>
      <c r="BB462" s="1"/>
      <c r="BC462" s="1"/>
      <c r="BD462" s="2"/>
      <c r="BE462" s="1"/>
      <c r="BF462" s="1"/>
      <c r="BG462" s="1"/>
      <c r="BH462" s="1"/>
      <c r="BI462" s="1"/>
      <c r="BJ462" s="1"/>
      <c r="BK462" s="1"/>
      <c r="BL462" s="1"/>
      <c r="BM462" s="2"/>
      <c r="BN462" s="1"/>
      <c r="BO462" s="1"/>
      <c r="BP462" s="1"/>
      <c r="BQ462" s="1"/>
      <c r="BR462" s="1"/>
      <c r="BS462" s="1"/>
      <c r="BT462" s="1"/>
      <c r="BU462" s="1"/>
      <c r="BV462" s="2"/>
      <c r="BW462" s="1"/>
      <c r="BX462" s="1"/>
      <c r="BY462" s="1"/>
      <c r="BZ462" s="1"/>
      <c r="CA462" s="1"/>
      <c r="CB462" s="1"/>
      <c r="CC462" s="1"/>
      <c r="CD462" s="1"/>
      <c r="CE462" s="2"/>
      <c r="CF462" s="1"/>
      <c r="CG462" s="1"/>
      <c r="CH462" s="1"/>
      <c r="CI462" s="1"/>
      <c r="CJ462" s="1"/>
      <c r="CK462" s="1"/>
      <c r="CL462" s="1"/>
    </row>
    <row r="463" spans="1:90" ht="14.65" x14ac:dyDescent="0.4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2"/>
      <c r="L463" s="1"/>
      <c r="M463" s="1"/>
      <c r="N463" s="1"/>
      <c r="O463" s="1"/>
      <c r="P463" s="1"/>
      <c r="Q463" s="1"/>
      <c r="R463" s="1"/>
      <c r="S463" s="1"/>
      <c r="T463" s="2"/>
      <c r="U463" s="1"/>
      <c r="V463" s="1"/>
      <c r="W463" s="1"/>
      <c r="X463" s="1"/>
      <c r="Y463" s="1"/>
      <c r="Z463" s="1"/>
      <c r="AA463" s="1"/>
      <c r="AB463" s="1"/>
      <c r="AC463" s="2"/>
      <c r="AD463" s="1"/>
      <c r="AE463" s="1"/>
      <c r="AF463" s="1"/>
      <c r="AG463" s="1"/>
      <c r="AH463" s="1"/>
      <c r="AI463" s="1"/>
      <c r="AJ463" s="1"/>
      <c r="AK463" s="1"/>
      <c r="AL463" s="2"/>
      <c r="AM463" s="1"/>
      <c r="AN463" s="1"/>
      <c r="AO463" s="1"/>
      <c r="AP463" s="1"/>
      <c r="AQ463" s="1"/>
      <c r="AR463" s="1"/>
      <c r="AS463" s="1"/>
      <c r="AT463" s="1"/>
      <c r="AU463" s="2"/>
      <c r="AV463" s="1"/>
      <c r="AW463" s="1"/>
      <c r="AX463" s="1"/>
      <c r="AY463" s="1"/>
      <c r="AZ463" s="1"/>
      <c r="BA463" s="1"/>
      <c r="BB463" s="1"/>
      <c r="BC463" s="1"/>
      <c r="BD463" s="2"/>
      <c r="BE463" s="1"/>
      <c r="BF463" s="1"/>
      <c r="BG463" s="1"/>
      <c r="BH463" s="1"/>
      <c r="BI463" s="1"/>
      <c r="BJ463" s="1"/>
      <c r="BK463" s="1"/>
      <c r="BL463" s="1"/>
      <c r="BM463" s="2"/>
      <c r="BN463" s="1"/>
      <c r="BO463" s="1"/>
      <c r="BP463" s="1"/>
      <c r="BQ463" s="1"/>
      <c r="BR463" s="1"/>
      <c r="BS463" s="1"/>
      <c r="BT463" s="1"/>
      <c r="BU463" s="1"/>
      <c r="BV463" s="2"/>
      <c r="BW463" s="1"/>
      <c r="BX463" s="1"/>
      <c r="BY463" s="1"/>
      <c r="BZ463" s="1"/>
      <c r="CA463" s="1"/>
      <c r="CB463" s="1"/>
      <c r="CC463" s="1"/>
      <c r="CD463" s="1"/>
      <c r="CE463" s="2"/>
      <c r="CF463" s="1"/>
      <c r="CG463" s="1"/>
      <c r="CH463" s="1"/>
      <c r="CI463" s="1"/>
      <c r="CJ463" s="1"/>
      <c r="CK463" s="1"/>
      <c r="CL463" s="1"/>
    </row>
    <row r="464" spans="1:90" ht="14.65" x14ac:dyDescent="0.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2"/>
      <c r="L464" s="1"/>
      <c r="M464" s="1"/>
      <c r="N464" s="1"/>
      <c r="O464" s="1"/>
      <c r="P464" s="1"/>
      <c r="Q464" s="1"/>
      <c r="R464" s="1"/>
      <c r="S464" s="1"/>
      <c r="T464" s="2"/>
      <c r="U464" s="1"/>
      <c r="V464" s="1"/>
      <c r="W464" s="1"/>
      <c r="X464" s="1"/>
      <c r="Y464" s="1"/>
      <c r="Z464" s="1"/>
      <c r="AA464" s="1"/>
      <c r="AB464" s="1"/>
      <c r="AC464" s="2"/>
      <c r="AD464" s="1"/>
      <c r="AE464" s="1"/>
      <c r="AF464" s="1"/>
      <c r="AG464" s="1"/>
      <c r="AH464" s="1"/>
      <c r="AI464" s="1"/>
      <c r="AJ464" s="1"/>
      <c r="AK464" s="1"/>
      <c r="AL464" s="2"/>
      <c r="AM464" s="1"/>
      <c r="AN464" s="1"/>
      <c r="AO464" s="1"/>
      <c r="AP464" s="1"/>
      <c r="AQ464" s="1"/>
      <c r="AR464" s="1"/>
      <c r="AS464" s="1"/>
      <c r="AT464" s="1"/>
      <c r="AU464" s="2"/>
      <c r="AV464" s="1"/>
      <c r="AW464" s="1"/>
      <c r="AX464" s="1"/>
      <c r="AY464" s="1"/>
      <c r="AZ464" s="1"/>
      <c r="BA464" s="1"/>
      <c r="BB464" s="1"/>
      <c r="BC464" s="1"/>
      <c r="BD464" s="2"/>
      <c r="BE464" s="1"/>
      <c r="BF464" s="1"/>
      <c r="BG464" s="1"/>
      <c r="BH464" s="1"/>
      <c r="BI464" s="1"/>
      <c r="BJ464" s="1"/>
      <c r="BK464" s="1"/>
      <c r="BL464" s="1"/>
      <c r="BM464" s="2"/>
      <c r="BN464" s="1"/>
      <c r="BO464" s="1"/>
      <c r="BP464" s="1"/>
      <c r="BQ464" s="1"/>
      <c r="BR464" s="1"/>
      <c r="BS464" s="1"/>
      <c r="BT464" s="1"/>
      <c r="BU464" s="1"/>
      <c r="BV464" s="2"/>
      <c r="BW464" s="1"/>
      <c r="BX464" s="1"/>
      <c r="BY464" s="1"/>
      <c r="BZ464" s="1"/>
      <c r="CA464" s="1"/>
      <c r="CB464" s="1"/>
      <c r="CC464" s="1"/>
      <c r="CD464" s="1"/>
      <c r="CE464" s="2"/>
      <c r="CF464" s="1"/>
      <c r="CG464" s="1"/>
      <c r="CH464" s="1"/>
      <c r="CI464" s="1"/>
      <c r="CJ464" s="1"/>
      <c r="CK464" s="1"/>
      <c r="CL464" s="1"/>
    </row>
    <row r="465" spans="1:90" ht="14.65" x14ac:dyDescent="0.4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2"/>
      <c r="L465" s="1"/>
      <c r="M465" s="1"/>
      <c r="N465" s="1"/>
      <c r="O465" s="1"/>
      <c r="P465" s="1"/>
      <c r="Q465" s="1"/>
      <c r="R465" s="1"/>
      <c r="S465" s="1"/>
      <c r="T465" s="2"/>
      <c r="U465" s="1"/>
      <c r="V465" s="1"/>
      <c r="W465" s="1"/>
      <c r="X465" s="1"/>
      <c r="Y465" s="1"/>
      <c r="Z465" s="1"/>
      <c r="AA465" s="1"/>
      <c r="AB465" s="1"/>
      <c r="AC465" s="2"/>
      <c r="AD465" s="1"/>
      <c r="AE465" s="1"/>
      <c r="AF465" s="1"/>
      <c r="AG465" s="1"/>
      <c r="AH465" s="1"/>
      <c r="AI465" s="1"/>
      <c r="AJ465" s="1"/>
      <c r="AK465" s="1"/>
      <c r="AL465" s="2"/>
      <c r="AM465" s="1"/>
      <c r="AN465" s="1"/>
      <c r="AO465" s="1"/>
      <c r="AP465" s="1"/>
      <c r="AQ465" s="1"/>
      <c r="AR465" s="1"/>
      <c r="AS465" s="1"/>
      <c r="AT465" s="1"/>
      <c r="AU465" s="2"/>
      <c r="AV465" s="1"/>
      <c r="AW465" s="1"/>
      <c r="AX465" s="1"/>
      <c r="AY465" s="1"/>
      <c r="AZ465" s="1"/>
      <c r="BA465" s="1"/>
      <c r="BB465" s="1"/>
      <c r="BC465" s="1"/>
      <c r="BD465" s="2"/>
      <c r="BE465" s="1"/>
      <c r="BF465" s="1"/>
      <c r="BG465" s="1"/>
      <c r="BH465" s="1"/>
      <c r="BI465" s="1"/>
      <c r="BJ465" s="1"/>
      <c r="BK465" s="1"/>
      <c r="BL465" s="1"/>
      <c r="BM465" s="2"/>
      <c r="BN465" s="1"/>
      <c r="BO465" s="1"/>
      <c r="BP465" s="1"/>
      <c r="BQ465" s="1"/>
      <c r="BR465" s="1"/>
      <c r="BS465" s="1"/>
      <c r="BT465" s="1"/>
      <c r="BU465" s="1"/>
      <c r="BV465" s="2"/>
      <c r="BW465" s="1"/>
      <c r="BX465" s="1"/>
      <c r="BY465" s="1"/>
      <c r="BZ465" s="1"/>
      <c r="CA465" s="1"/>
      <c r="CB465" s="1"/>
      <c r="CC465" s="1"/>
      <c r="CD465" s="1"/>
      <c r="CE465" s="2"/>
      <c r="CF465" s="1"/>
      <c r="CG465" s="1"/>
      <c r="CH465" s="1"/>
      <c r="CI465" s="1"/>
      <c r="CJ465" s="1"/>
      <c r="CK465" s="1"/>
      <c r="CL465" s="1"/>
    </row>
    <row r="466" spans="1:90" ht="14.65" x14ac:dyDescent="0.4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2"/>
      <c r="L466" s="1"/>
      <c r="M466" s="1"/>
      <c r="N466" s="1"/>
      <c r="O466" s="1"/>
      <c r="P466" s="1"/>
      <c r="Q466" s="1"/>
      <c r="R466" s="1"/>
      <c r="S466" s="1"/>
      <c r="T466" s="2"/>
      <c r="U466" s="1"/>
      <c r="V466" s="1"/>
      <c r="W466" s="1"/>
      <c r="X466" s="1"/>
      <c r="Y466" s="1"/>
      <c r="Z466" s="1"/>
      <c r="AA466" s="1"/>
      <c r="AB466" s="1"/>
      <c r="AC466" s="2"/>
      <c r="AD466" s="1"/>
      <c r="AE466" s="1"/>
      <c r="AF466" s="1"/>
      <c r="AG466" s="1"/>
      <c r="AH466" s="1"/>
      <c r="AI466" s="1"/>
      <c r="AJ466" s="1"/>
      <c r="AK466" s="1"/>
      <c r="AL466" s="2"/>
      <c r="AM466" s="1"/>
      <c r="AN466" s="1"/>
      <c r="AO466" s="1"/>
      <c r="AP466" s="1"/>
      <c r="AQ466" s="1"/>
      <c r="AR466" s="1"/>
      <c r="AS466" s="1"/>
      <c r="AT466" s="1"/>
      <c r="AU466" s="2"/>
      <c r="AV466" s="1"/>
      <c r="AW466" s="1"/>
      <c r="AX466" s="1"/>
      <c r="AY466" s="1"/>
      <c r="AZ466" s="1"/>
      <c r="BA466" s="1"/>
      <c r="BB466" s="1"/>
      <c r="BC466" s="1"/>
      <c r="BD466" s="2"/>
      <c r="BE466" s="1"/>
      <c r="BF466" s="1"/>
      <c r="BG466" s="1"/>
      <c r="BH466" s="1"/>
      <c r="BI466" s="1"/>
      <c r="BJ466" s="1"/>
      <c r="BK466" s="1"/>
      <c r="BL466" s="1"/>
      <c r="BM466" s="2"/>
      <c r="BN466" s="1"/>
      <c r="BO466" s="1"/>
      <c r="BP466" s="1"/>
      <c r="BQ466" s="1"/>
      <c r="BR466" s="1"/>
      <c r="BS466" s="1"/>
      <c r="BT466" s="1"/>
      <c r="BU466" s="1"/>
      <c r="BV466" s="2"/>
      <c r="BW466" s="1"/>
      <c r="BX466" s="1"/>
      <c r="BY466" s="1"/>
      <c r="BZ466" s="1"/>
      <c r="CA466" s="1"/>
      <c r="CB466" s="1"/>
      <c r="CC466" s="1"/>
      <c r="CD466" s="1"/>
      <c r="CE466" s="2"/>
      <c r="CF466" s="1"/>
      <c r="CG466" s="1"/>
      <c r="CH466" s="1"/>
      <c r="CI466" s="1"/>
      <c r="CJ466" s="1"/>
      <c r="CK466" s="1"/>
      <c r="CL466" s="1"/>
    </row>
    <row r="467" spans="1:90" ht="14.65" x14ac:dyDescent="0.4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2"/>
      <c r="L467" s="1"/>
      <c r="M467" s="1"/>
      <c r="N467" s="1"/>
      <c r="O467" s="1"/>
      <c r="P467" s="1"/>
      <c r="Q467" s="1"/>
      <c r="R467" s="1"/>
      <c r="S467" s="1"/>
      <c r="T467" s="2"/>
      <c r="U467" s="1"/>
      <c r="V467" s="1"/>
      <c r="W467" s="1"/>
      <c r="X467" s="1"/>
      <c r="Y467" s="1"/>
      <c r="Z467" s="1"/>
      <c r="AA467" s="1"/>
      <c r="AB467" s="1"/>
      <c r="AC467" s="2"/>
      <c r="AD467" s="1"/>
      <c r="AE467" s="1"/>
      <c r="AF467" s="1"/>
      <c r="AG467" s="1"/>
      <c r="AH467" s="1"/>
      <c r="AI467" s="1"/>
      <c r="AJ467" s="1"/>
      <c r="AK467" s="1"/>
      <c r="AL467" s="2"/>
      <c r="AM467" s="1"/>
      <c r="AN467" s="1"/>
      <c r="AO467" s="1"/>
      <c r="AP467" s="1"/>
      <c r="AQ467" s="1"/>
      <c r="AR467" s="1"/>
      <c r="AS467" s="1"/>
      <c r="AT467" s="1"/>
      <c r="AU467" s="2"/>
      <c r="AV467" s="1"/>
      <c r="AW467" s="1"/>
      <c r="AX467" s="1"/>
      <c r="AY467" s="1"/>
      <c r="AZ467" s="1"/>
      <c r="BA467" s="1"/>
      <c r="BB467" s="1"/>
      <c r="BC467" s="1"/>
      <c r="BD467" s="2"/>
      <c r="BE467" s="1"/>
      <c r="BF467" s="1"/>
      <c r="BG467" s="1"/>
      <c r="BH467" s="1"/>
      <c r="BI467" s="1"/>
      <c r="BJ467" s="1"/>
      <c r="BK467" s="1"/>
      <c r="BL467" s="1"/>
      <c r="BM467" s="2"/>
      <c r="BN467" s="1"/>
      <c r="BO467" s="1"/>
      <c r="BP467" s="1"/>
      <c r="BQ467" s="1"/>
      <c r="BR467" s="1"/>
      <c r="BS467" s="1"/>
      <c r="BT467" s="1"/>
      <c r="BU467" s="1"/>
      <c r="BV467" s="2"/>
      <c r="BW467" s="1"/>
      <c r="BX467" s="1"/>
      <c r="BY467" s="1"/>
      <c r="BZ467" s="1"/>
      <c r="CA467" s="1"/>
      <c r="CB467" s="1"/>
      <c r="CC467" s="1"/>
      <c r="CD467" s="1"/>
      <c r="CE467" s="2"/>
      <c r="CF467" s="1"/>
      <c r="CG467" s="1"/>
      <c r="CH467" s="1"/>
      <c r="CI467" s="1"/>
      <c r="CJ467" s="1"/>
      <c r="CK467" s="1"/>
      <c r="CL467" s="1"/>
    </row>
    <row r="468" spans="1:90" ht="14.65" x14ac:dyDescent="0.4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2"/>
      <c r="L468" s="1"/>
      <c r="M468" s="1"/>
      <c r="N468" s="1"/>
      <c r="O468" s="1"/>
      <c r="P468" s="1"/>
      <c r="Q468" s="1"/>
      <c r="R468" s="1"/>
      <c r="S468" s="1"/>
      <c r="T468" s="2"/>
      <c r="U468" s="1"/>
      <c r="V468" s="1"/>
      <c r="W468" s="1"/>
      <c r="X468" s="1"/>
      <c r="Y468" s="1"/>
      <c r="Z468" s="1"/>
      <c r="AA468" s="1"/>
      <c r="AB468" s="1"/>
      <c r="AC468" s="2"/>
      <c r="AD468" s="1"/>
      <c r="AE468" s="1"/>
      <c r="AF468" s="1"/>
      <c r="AG468" s="1"/>
      <c r="AH468" s="1"/>
      <c r="AI468" s="1"/>
      <c r="AJ468" s="1"/>
      <c r="AK468" s="1"/>
      <c r="AL468" s="2"/>
      <c r="AM468" s="1"/>
      <c r="AN468" s="1"/>
      <c r="AO468" s="1"/>
      <c r="AP468" s="1"/>
      <c r="AQ468" s="1"/>
      <c r="AR468" s="1"/>
      <c r="AS468" s="1"/>
      <c r="AT468" s="1"/>
      <c r="AU468" s="2"/>
      <c r="AV468" s="1"/>
      <c r="AW468" s="1"/>
      <c r="AX468" s="1"/>
      <c r="AY468" s="1"/>
      <c r="AZ468" s="1"/>
      <c r="BA468" s="1"/>
      <c r="BB468" s="1"/>
      <c r="BC468" s="1"/>
      <c r="BD468" s="2"/>
      <c r="BE468" s="1"/>
      <c r="BF468" s="1"/>
      <c r="BG468" s="1"/>
      <c r="BH468" s="1"/>
      <c r="BI468" s="1"/>
      <c r="BJ468" s="1"/>
      <c r="BK468" s="1"/>
      <c r="BL468" s="1"/>
      <c r="BM468" s="2"/>
      <c r="BN468" s="1"/>
      <c r="BO468" s="1"/>
      <c r="BP468" s="1"/>
      <c r="BQ468" s="1"/>
      <c r="BR468" s="1"/>
      <c r="BS468" s="1"/>
      <c r="BT468" s="1"/>
      <c r="BU468" s="1"/>
      <c r="BV468" s="2"/>
      <c r="BW468" s="1"/>
      <c r="BX468" s="1"/>
      <c r="BY468" s="1"/>
      <c r="BZ468" s="1"/>
      <c r="CA468" s="1"/>
      <c r="CB468" s="1"/>
      <c r="CC468" s="1"/>
      <c r="CD468" s="1"/>
      <c r="CE468" s="2"/>
      <c r="CF468" s="1"/>
      <c r="CG468" s="1"/>
      <c r="CH468" s="1"/>
      <c r="CI468" s="1"/>
      <c r="CJ468" s="1"/>
      <c r="CK468" s="1"/>
      <c r="CL468" s="1"/>
    </row>
    <row r="469" spans="1:90" ht="14.65" x14ac:dyDescent="0.4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2"/>
      <c r="L469" s="1"/>
      <c r="M469" s="1"/>
      <c r="N469" s="1"/>
      <c r="O469" s="1"/>
      <c r="P469" s="1"/>
      <c r="Q469" s="1"/>
      <c r="R469" s="1"/>
      <c r="S469" s="1"/>
      <c r="T469" s="2"/>
      <c r="U469" s="1"/>
      <c r="V469" s="1"/>
      <c r="W469" s="1"/>
      <c r="X469" s="1"/>
      <c r="Y469" s="1"/>
      <c r="Z469" s="1"/>
      <c r="AA469" s="1"/>
      <c r="AB469" s="1"/>
      <c r="AC469" s="2"/>
      <c r="AD469" s="1"/>
      <c r="AE469" s="1"/>
      <c r="AF469" s="1"/>
      <c r="AG469" s="1"/>
      <c r="AH469" s="1"/>
      <c r="AI469" s="1"/>
      <c r="AJ469" s="1"/>
      <c r="AK469" s="1"/>
      <c r="AL469" s="2"/>
      <c r="AM469" s="1"/>
      <c r="AN469" s="1"/>
      <c r="AO469" s="1"/>
      <c r="AP469" s="1"/>
      <c r="AQ469" s="1"/>
      <c r="AR469" s="1"/>
      <c r="AS469" s="1"/>
      <c r="AT469" s="1"/>
      <c r="AU469" s="2"/>
      <c r="AV469" s="1"/>
      <c r="AW469" s="1"/>
      <c r="AX469" s="1"/>
      <c r="AY469" s="1"/>
      <c r="AZ469" s="1"/>
      <c r="BA469" s="1"/>
      <c r="BB469" s="1"/>
      <c r="BC469" s="1"/>
      <c r="BD469" s="2"/>
      <c r="BE469" s="1"/>
      <c r="BF469" s="1"/>
      <c r="BG469" s="1"/>
      <c r="BH469" s="1"/>
      <c r="BI469" s="1"/>
      <c r="BJ469" s="1"/>
      <c r="BK469" s="1"/>
      <c r="BL469" s="1"/>
      <c r="BM469" s="2"/>
      <c r="BN469" s="1"/>
      <c r="BO469" s="1"/>
      <c r="BP469" s="1"/>
      <c r="BQ469" s="1"/>
      <c r="BR469" s="1"/>
      <c r="BS469" s="1"/>
      <c r="BT469" s="1"/>
      <c r="BU469" s="1"/>
      <c r="BV469" s="2"/>
      <c r="BW469" s="1"/>
      <c r="BX469" s="1"/>
      <c r="BY469" s="1"/>
      <c r="BZ469" s="1"/>
      <c r="CA469" s="1"/>
      <c r="CB469" s="1"/>
      <c r="CC469" s="1"/>
      <c r="CD469" s="1"/>
      <c r="CE469" s="2"/>
      <c r="CF469" s="1"/>
      <c r="CG469" s="1"/>
      <c r="CH469" s="1"/>
      <c r="CI469" s="1"/>
      <c r="CJ469" s="1"/>
      <c r="CK469" s="1"/>
      <c r="CL469" s="1"/>
    </row>
    <row r="470" spans="1:90" ht="14.65" x14ac:dyDescent="0.4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2"/>
      <c r="L470" s="1"/>
      <c r="M470" s="1"/>
      <c r="N470" s="1"/>
      <c r="O470" s="1"/>
      <c r="P470" s="1"/>
      <c r="Q470" s="1"/>
      <c r="R470" s="1"/>
      <c r="S470" s="1"/>
      <c r="T470" s="2"/>
      <c r="U470" s="1"/>
      <c r="V470" s="1"/>
      <c r="W470" s="1"/>
      <c r="X470" s="1"/>
      <c r="Y470" s="1"/>
      <c r="Z470" s="1"/>
      <c r="AA470" s="1"/>
      <c r="AB470" s="1"/>
      <c r="AC470" s="2"/>
      <c r="AD470" s="1"/>
      <c r="AE470" s="1"/>
      <c r="AF470" s="1"/>
      <c r="AG470" s="1"/>
      <c r="AH470" s="1"/>
      <c r="AI470" s="1"/>
      <c r="AJ470" s="1"/>
      <c r="AK470" s="1"/>
      <c r="AL470" s="2"/>
      <c r="AM470" s="1"/>
      <c r="AN470" s="1"/>
      <c r="AO470" s="1"/>
      <c r="AP470" s="1"/>
      <c r="AQ470" s="1"/>
      <c r="AR470" s="1"/>
      <c r="AS470" s="1"/>
      <c r="AT470" s="1"/>
      <c r="AU470" s="2"/>
      <c r="AV470" s="1"/>
      <c r="AW470" s="1"/>
      <c r="AX470" s="1"/>
      <c r="AY470" s="1"/>
      <c r="AZ470" s="1"/>
      <c r="BA470" s="1"/>
      <c r="BB470" s="1"/>
      <c r="BC470" s="1"/>
      <c r="BD470" s="2"/>
      <c r="BE470" s="1"/>
      <c r="BF470" s="1"/>
      <c r="BG470" s="1"/>
      <c r="BH470" s="1"/>
      <c r="BI470" s="1"/>
      <c r="BJ470" s="1"/>
      <c r="BK470" s="1"/>
      <c r="BL470" s="1"/>
      <c r="BM470" s="2"/>
      <c r="BN470" s="1"/>
      <c r="BO470" s="1"/>
      <c r="BP470" s="1"/>
      <c r="BQ470" s="1"/>
      <c r="BR470" s="1"/>
      <c r="BS470" s="1"/>
      <c r="BT470" s="1"/>
      <c r="BU470" s="1"/>
      <c r="BV470" s="2"/>
      <c r="BW470" s="1"/>
      <c r="BX470" s="1"/>
      <c r="BY470" s="1"/>
      <c r="BZ470" s="1"/>
      <c r="CA470" s="1"/>
      <c r="CB470" s="1"/>
      <c r="CC470" s="1"/>
      <c r="CD470" s="1"/>
      <c r="CE470" s="2"/>
      <c r="CF470" s="1"/>
      <c r="CG470" s="1"/>
      <c r="CH470" s="1"/>
      <c r="CI470" s="1"/>
      <c r="CJ470" s="1"/>
      <c r="CK470" s="1"/>
      <c r="CL470" s="1"/>
    </row>
    <row r="471" spans="1:90" ht="14.65" x14ac:dyDescent="0.4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2"/>
      <c r="L471" s="1"/>
      <c r="M471" s="1"/>
      <c r="N471" s="1"/>
      <c r="O471" s="1"/>
      <c r="P471" s="1"/>
      <c r="Q471" s="1"/>
      <c r="R471" s="1"/>
      <c r="S471" s="1"/>
      <c r="T471" s="2"/>
      <c r="U471" s="1"/>
      <c r="V471" s="1"/>
      <c r="W471" s="1"/>
      <c r="X471" s="1"/>
      <c r="Y471" s="1"/>
      <c r="Z471" s="1"/>
      <c r="AA471" s="1"/>
      <c r="AB471" s="1"/>
      <c r="AC471" s="2"/>
      <c r="AD471" s="1"/>
      <c r="AE471" s="1"/>
      <c r="AF471" s="1"/>
      <c r="AG471" s="1"/>
      <c r="AH471" s="1"/>
      <c r="AI471" s="1"/>
      <c r="AJ471" s="1"/>
      <c r="AK471" s="1"/>
      <c r="AL471" s="2"/>
      <c r="AM471" s="1"/>
      <c r="AN471" s="1"/>
      <c r="AO471" s="1"/>
      <c r="AP471" s="1"/>
      <c r="AQ471" s="1"/>
      <c r="AR471" s="1"/>
      <c r="AS471" s="1"/>
      <c r="AT471" s="1"/>
      <c r="AU471" s="2"/>
      <c r="AV471" s="1"/>
      <c r="AW471" s="1"/>
      <c r="AX471" s="1"/>
      <c r="AY471" s="1"/>
      <c r="AZ471" s="1"/>
      <c r="BA471" s="1"/>
      <c r="BB471" s="1"/>
      <c r="BC471" s="1"/>
      <c r="BD471" s="2"/>
      <c r="BE471" s="1"/>
      <c r="BF471" s="1"/>
      <c r="BG471" s="1"/>
      <c r="BH471" s="1"/>
      <c r="BI471" s="1"/>
      <c r="BJ471" s="1"/>
      <c r="BK471" s="1"/>
      <c r="BL471" s="1"/>
      <c r="BM471" s="2"/>
      <c r="BN471" s="1"/>
      <c r="BO471" s="1"/>
      <c r="BP471" s="1"/>
      <c r="BQ471" s="1"/>
      <c r="BR471" s="1"/>
      <c r="BS471" s="1"/>
      <c r="BT471" s="1"/>
      <c r="BU471" s="1"/>
      <c r="BV471" s="2"/>
      <c r="BW471" s="1"/>
      <c r="BX471" s="1"/>
      <c r="BY471" s="1"/>
      <c r="BZ471" s="1"/>
      <c r="CA471" s="1"/>
      <c r="CB471" s="1"/>
      <c r="CC471" s="1"/>
      <c r="CD471" s="1"/>
      <c r="CE471" s="2"/>
      <c r="CF471" s="1"/>
      <c r="CG471" s="1"/>
      <c r="CH471" s="1"/>
      <c r="CI471" s="1"/>
      <c r="CJ471" s="1"/>
      <c r="CK471" s="1"/>
      <c r="CL471" s="1"/>
    </row>
    <row r="472" spans="1:90" ht="14.65" x14ac:dyDescent="0.4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2"/>
      <c r="L472" s="1"/>
      <c r="M472" s="1"/>
      <c r="N472" s="1"/>
      <c r="O472" s="1"/>
      <c r="P472" s="1"/>
      <c r="Q472" s="1"/>
      <c r="R472" s="1"/>
      <c r="S472" s="1"/>
      <c r="T472" s="2"/>
      <c r="U472" s="1"/>
      <c r="V472" s="1"/>
      <c r="W472" s="1"/>
      <c r="X472" s="1"/>
      <c r="Y472" s="1"/>
      <c r="Z472" s="1"/>
      <c r="AA472" s="1"/>
      <c r="AB472" s="1"/>
      <c r="AC472" s="2"/>
      <c r="AD472" s="1"/>
      <c r="AE472" s="1"/>
      <c r="AF472" s="1"/>
      <c r="AG472" s="1"/>
      <c r="AH472" s="1"/>
      <c r="AI472" s="1"/>
      <c r="AJ472" s="1"/>
      <c r="AK472" s="1"/>
      <c r="AL472" s="2"/>
      <c r="AM472" s="1"/>
      <c r="AN472" s="1"/>
      <c r="AO472" s="1"/>
      <c r="AP472" s="1"/>
      <c r="AQ472" s="1"/>
      <c r="AR472" s="1"/>
      <c r="AS472" s="1"/>
      <c r="AT472" s="1"/>
      <c r="AU472" s="2"/>
      <c r="AV472" s="1"/>
      <c r="AW472" s="1"/>
      <c r="AX472" s="1"/>
      <c r="AY472" s="1"/>
      <c r="AZ472" s="1"/>
      <c r="BA472" s="1"/>
      <c r="BB472" s="1"/>
      <c r="BC472" s="1"/>
      <c r="BD472" s="2"/>
      <c r="BE472" s="1"/>
      <c r="BF472" s="1"/>
      <c r="BG472" s="1"/>
      <c r="BH472" s="1"/>
      <c r="BI472" s="1"/>
      <c r="BJ472" s="1"/>
      <c r="BK472" s="1"/>
      <c r="BL472" s="1"/>
      <c r="BM472" s="2"/>
      <c r="BN472" s="1"/>
      <c r="BO472" s="1"/>
      <c r="BP472" s="1"/>
      <c r="BQ472" s="1"/>
      <c r="BR472" s="1"/>
      <c r="BS472" s="1"/>
      <c r="BT472" s="1"/>
      <c r="BU472" s="1"/>
      <c r="BV472" s="2"/>
      <c r="BW472" s="1"/>
      <c r="BX472" s="1"/>
      <c r="BY472" s="1"/>
      <c r="BZ472" s="1"/>
      <c r="CA472" s="1"/>
      <c r="CB472" s="1"/>
      <c r="CC472" s="1"/>
      <c r="CD472" s="1"/>
      <c r="CE472" s="2"/>
      <c r="CF472" s="1"/>
      <c r="CG472" s="1"/>
      <c r="CH472" s="1"/>
      <c r="CI472" s="1"/>
      <c r="CJ472" s="1"/>
      <c r="CK472" s="1"/>
      <c r="CL472" s="1"/>
    </row>
    <row r="473" spans="1:90" ht="14.65" x14ac:dyDescent="0.4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2"/>
      <c r="L473" s="1"/>
      <c r="M473" s="1"/>
      <c r="N473" s="1"/>
      <c r="O473" s="1"/>
      <c r="P473" s="1"/>
      <c r="Q473" s="1"/>
      <c r="R473" s="1"/>
      <c r="S473" s="1"/>
      <c r="T473" s="2"/>
      <c r="U473" s="1"/>
      <c r="V473" s="1"/>
      <c r="W473" s="1"/>
      <c r="X473" s="1"/>
      <c r="Y473" s="1"/>
      <c r="Z473" s="1"/>
      <c r="AA473" s="1"/>
      <c r="AB473" s="1"/>
      <c r="AC473" s="2"/>
      <c r="AD473" s="1"/>
      <c r="AE473" s="1"/>
      <c r="AF473" s="1"/>
      <c r="AG473" s="1"/>
      <c r="AH473" s="1"/>
      <c r="AI473" s="1"/>
      <c r="AJ473" s="1"/>
      <c r="AK473" s="1"/>
      <c r="AL473" s="2"/>
      <c r="AM473" s="1"/>
      <c r="AN473" s="1"/>
      <c r="AO473" s="1"/>
      <c r="AP473" s="1"/>
      <c r="AQ473" s="1"/>
      <c r="AR473" s="1"/>
      <c r="AS473" s="1"/>
      <c r="AT473" s="1"/>
      <c r="AU473" s="2"/>
      <c r="AV473" s="1"/>
      <c r="AW473" s="1"/>
      <c r="AX473" s="1"/>
      <c r="AY473" s="1"/>
      <c r="AZ473" s="1"/>
      <c r="BA473" s="1"/>
      <c r="BB473" s="1"/>
      <c r="BC473" s="1"/>
      <c r="BD473" s="2"/>
      <c r="BE473" s="1"/>
      <c r="BF473" s="1"/>
      <c r="BG473" s="1"/>
      <c r="BH473" s="1"/>
      <c r="BI473" s="1"/>
      <c r="BJ473" s="1"/>
      <c r="BK473" s="1"/>
      <c r="BL473" s="1"/>
      <c r="BM473" s="2"/>
      <c r="BN473" s="1"/>
      <c r="BO473" s="1"/>
      <c r="BP473" s="1"/>
      <c r="BQ473" s="1"/>
      <c r="BR473" s="1"/>
      <c r="BS473" s="1"/>
      <c r="BT473" s="1"/>
      <c r="BU473" s="1"/>
      <c r="BV473" s="2"/>
      <c r="BW473" s="1"/>
      <c r="BX473" s="1"/>
      <c r="BY473" s="1"/>
      <c r="BZ473" s="1"/>
      <c r="CA473" s="1"/>
      <c r="CB473" s="1"/>
      <c r="CC473" s="1"/>
      <c r="CD473" s="1"/>
      <c r="CE473" s="2"/>
      <c r="CF473" s="1"/>
      <c r="CG473" s="1"/>
      <c r="CH473" s="1"/>
      <c r="CI473" s="1"/>
      <c r="CJ473" s="1"/>
      <c r="CK473" s="1"/>
      <c r="CL473" s="1"/>
    </row>
    <row r="474" spans="1:90" ht="14.65" x14ac:dyDescent="0.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2"/>
      <c r="L474" s="1"/>
      <c r="M474" s="1"/>
      <c r="N474" s="1"/>
      <c r="O474" s="1"/>
      <c r="P474" s="1"/>
      <c r="Q474" s="1"/>
      <c r="R474" s="1"/>
      <c r="S474" s="1"/>
      <c r="T474" s="2"/>
      <c r="U474" s="1"/>
      <c r="V474" s="1"/>
      <c r="W474" s="1"/>
      <c r="X474" s="1"/>
      <c r="Y474" s="1"/>
      <c r="Z474" s="1"/>
      <c r="AA474" s="1"/>
      <c r="AB474" s="1"/>
      <c r="AC474" s="2"/>
      <c r="AD474" s="1"/>
      <c r="AE474" s="1"/>
      <c r="AF474" s="1"/>
      <c r="AG474" s="1"/>
      <c r="AH474" s="1"/>
      <c r="AI474" s="1"/>
      <c r="AJ474" s="1"/>
      <c r="AK474" s="1"/>
      <c r="AL474" s="2"/>
      <c r="AM474" s="1"/>
      <c r="AN474" s="1"/>
      <c r="AO474" s="1"/>
      <c r="AP474" s="1"/>
      <c r="AQ474" s="1"/>
      <c r="AR474" s="1"/>
      <c r="AS474" s="1"/>
      <c r="AT474" s="1"/>
      <c r="AU474" s="2"/>
      <c r="AV474" s="1"/>
      <c r="AW474" s="1"/>
      <c r="AX474" s="1"/>
      <c r="AY474" s="1"/>
      <c r="AZ474" s="1"/>
      <c r="BA474" s="1"/>
      <c r="BB474" s="1"/>
      <c r="BC474" s="1"/>
      <c r="BD474" s="2"/>
      <c r="BE474" s="1"/>
      <c r="BF474" s="1"/>
      <c r="BG474" s="1"/>
      <c r="BH474" s="1"/>
      <c r="BI474" s="1"/>
      <c r="BJ474" s="1"/>
      <c r="BK474" s="1"/>
      <c r="BL474" s="1"/>
      <c r="BM474" s="2"/>
      <c r="BN474" s="1"/>
      <c r="BO474" s="1"/>
      <c r="BP474" s="1"/>
      <c r="BQ474" s="1"/>
      <c r="BR474" s="1"/>
      <c r="BS474" s="1"/>
      <c r="BT474" s="1"/>
      <c r="BU474" s="1"/>
      <c r="BV474" s="2"/>
      <c r="BW474" s="1"/>
      <c r="BX474" s="1"/>
      <c r="BY474" s="1"/>
      <c r="BZ474" s="1"/>
      <c r="CA474" s="1"/>
      <c r="CB474" s="1"/>
      <c r="CC474" s="1"/>
      <c r="CD474" s="1"/>
      <c r="CE474" s="2"/>
      <c r="CF474" s="1"/>
      <c r="CG474" s="1"/>
      <c r="CH474" s="1"/>
      <c r="CI474" s="1"/>
      <c r="CJ474" s="1"/>
      <c r="CK474" s="1"/>
      <c r="CL474" s="1"/>
    </row>
    <row r="475" spans="1:90" ht="14.65" x14ac:dyDescent="0.4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2"/>
      <c r="L475" s="1"/>
      <c r="M475" s="1"/>
      <c r="N475" s="1"/>
      <c r="O475" s="1"/>
      <c r="P475" s="1"/>
      <c r="Q475" s="1"/>
      <c r="R475" s="1"/>
      <c r="S475" s="1"/>
      <c r="T475" s="2"/>
      <c r="U475" s="1"/>
      <c r="V475" s="1"/>
      <c r="W475" s="1"/>
      <c r="X475" s="1"/>
      <c r="Y475" s="1"/>
      <c r="Z475" s="1"/>
      <c r="AA475" s="1"/>
      <c r="AB475" s="1"/>
      <c r="AC475" s="2"/>
      <c r="AD475" s="1"/>
      <c r="AE475" s="1"/>
      <c r="AF475" s="1"/>
      <c r="AG475" s="1"/>
      <c r="AH475" s="1"/>
      <c r="AI475" s="1"/>
      <c r="AJ475" s="1"/>
      <c r="AK475" s="1"/>
      <c r="AL475" s="2"/>
      <c r="AM475" s="1"/>
      <c r="AN475" s="1"/>
      <c r="AO475" s="1"/>
      <c r="AP475" s="1"/>
      <c r="AQ475" s="1"/>
      <c r="AR475" s="1"/>
      <c r="AS475" s="1"/>
      <c r="AT475" s="1"/>
      <c r="AU475" s="2"/>
      <c r="AV475" s="1"/>
      <c r="AW475" s="1"/>
      <c r="AX475" s="1"/>
      <c r="AY475" s="1"/>
      <c r="AZ475" s="1"/>
      <c r="BA475" s="1"/>
      <c r="BB475" s="1"/>
      <c r="BC475" s="1"/>
      <c r="BD475" s="2"/>
      <c r="BE475" s="1"/>
      <c r="BF475" s="1"/>
      <c r="BG475" s="1"/>
      <c r="BH475" s="1"/>
      <c r="BI475" s="1"/>
      <c r="BJ475" s="1"/>
      <c r="BK475" s="1"/>
      <c r="BL475" s="1"/>
      <c r="BM475" s="2"/>
      <c r="BN475" s="1"/>
      <c r="BO475" s="1"/>
      <c r="BP475" s="1"/>
      <c r="BQ475" s="1"/>
      <c r="BR475" s="1"/>
      <c r="BS475" s="1"/>
      <c r="BT475" s="1"/>
      <c r="BU475" s="1"/>
      <c r="BV475" s="2"/>
      <c r="BW475" s="1"/>
      <c r="BX475" s="1"/>
      <c r="BY475" s="1"/>
      <c r="BZ475" s="1"/>
      <c r="CA475" s="1"/>
      <c r="CB475" s="1"/>
      <c r="CC475" s="1"/>
      <c r="CD475" s="1"/>
      <c r="CE475" s="2"/>
      <c r="CF475" s="1"/>
      <c r="CG475" s="1"/>
      <c r="CH475" s="1"/>
      <c r="CI475" s="1"/>
      <c r="CJ475" s="1"/>
      <c r="CK475" s="1"/>
      <c r="CL475" s="1"/>
    </row>
    <row r="476" spans="1:90" ht="14.65" x14ac:dyDescent="0.4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2"/>
      <c r="L476" s="1"/>
      <c r="M476" s="3"/>
      <c r="N476" s="1"/>
      <c r="O476" s="1"/>
      <c r="P476" s="1"/>
      <c r="Q476" s="1"/>
      <c r="R476" s="1"/>
      <c r="S476" s="1"/>
      <c r="T476" s="2"/>
      <c r="U476" s="1"/>
      <c r="V476" s="1"/>
      <c r="W476" s="1"/>
      <c r="X476" s="1"/>
      <c r="Y476" s="1"/>
      <c r="Z476" s="1"/>
      <c r="AA476" s="1"/>
      <c r="AB476" s="1"/>
      <c r="AC476" s="2"/>
      <c r="AD476" s="1"/>
      <c r="AE476" s="1"/>
      <c r="AF476" s="1"/>
      <c r="AG476" s="1"/>
      <c r="AH476" s="1"/>
      <c r="AI476" s="1"/>
      <c r="AJ476" s="1"/>
      <c r="AK476" s="1"/>
      <c r="AL476" s="2"/>
      <c r="AM476" s="1"/>
      <c r="AN476" s="1"/>
      <c r="AO476" s="1"/>
      <c r="AP476" s="1"/>
      <c r="AQ476" s="1"/>
      <c r="AR476" s="1"/>
      <c r="AS476" s="1"/>
      <c r="AT476" s="1"/>
      <c r="AU476" s="2"/>
      <c r="AV476" s="1"/>
      <c r="AW476" s="1"/>
      <c r="AX476" s="1"/>
      <c r="AY476" s="1"/>
      <c r="AZ476" s="1"/>
      <c r="BA476" s="1"/>
      <c r="BB476" s="1"/>
      <c r="BC476" s="1"/>
      <c r="BD476" s="2"/>
      <c r="BE476" s="1"/>
      <c r="BF476" s="1"/>
      <c r="BG476" s="1"/>
      <c r="BH476" s="1"/>
      <c r="BI476" s="1"/>
      <c r="BJ476" s="1"/>
      <c r="BK476" s="1"/>
      <c r="BL476" s="1"/>
      <c r="BM476" s="2"/>
      <c r="BN476" s="1"/>
      <c r="BO476" s="1"/>
      <c r="BP476" s="1"/>
      <c r="BQ476" s="1"/>
      <c r="BR476" s="1"/>
      <c r="BS476" s="1"/>
      <c r="BT476" s="1"/>
      <c r="BU476" s="1"/>
      <c r="BV476" s="2"/>
      <c r="BW476" s="1"/>
      <c r="BX476" s="1"/>
      <c r="BY476" s="1"/>
      <c r="BZ476" s="1"/>
      <c r="CA476" s="1"/>
      <c r="CB476" s="1"/>
      <c r="CC476" s="1"/>
      <c r="CD476" s="1"/>
      <c r="CE476" s="2"/>
      <c r="CF476" s="1"/>
      <c r="CG476" s="1"/>
      <c r="CH476" s="1"/>
      <c r="CI476" s="1"/>
      <c r="CJ476" s="1"/>
      <c r="CK476" s="1"/>
      <c r="CL476" s="1"/>
    </row>
    <row r="477" spans="1:90" ht="14.65" x14ac:dyDescent="0.4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2"/>
      <c r="L477" s="1"/>
      <c r="M477" s="1"/>
      <c r="N477" s="1"/>
      <c r="O477" s="1"/>
      <c r="P477" s="1"/>
      <c r="Q477" s="1"/>
      <c r="R477" s="1"/>
      <c r="S477" s="1"/>
      <c r="T477" s="2"/>
      <c r="U477" s="1"/>
      <c r="V477" s="1"/>
      <c r="W477" s="1"/>
      <c r="X477" s="1"/>
      <c r="Y477" s="1"/>
      <c r="Z477" s="1"/>
      <c r="AA477" s="1"/>
      <c r="AB477" s="1"/>
      <c r="AC477" s="2"/>
      <c r="AD477" s="1"/>
      <c r="AE477" s="1"/>
      <c r="AF477" s="1"/>
      <c r="AG477" s="1"/>
      <c r="AH477" s="1"/>
      <c r="AI477" s="1"/>
      <c r="AJ477" s="1"/>
      <c r="AK477" s="1"/>
      <c r="AL477" s="2"/>
      <c r="AM477" s="1"/>
      <c r="AN477" s="1"/>
      <c r="AO477" s="1"/>
      <c r="AP477" s="1"/>
      <c r="AQ477" s="1"/>
      <c r="AR477" s="1"/>
      <c r="AS477" s="1"/>
      <c r="AT477" s="1"/>
      <c r="AU477" s="2"/>
      <c r="AV477" s="1"/>
      <c r="AW477" s="1"/>
      <c r="AX477" s="1"/>
      <c r="AY477" s="1"/>
      <c r="AZ477" s="1"/>
      <c r="BA477" s="1"/>
      <c r="BB477" s="1"/>
      <c r="BC477" s="1"/>
      <c r="BD477" s="2"/>
      <c r="BE477" s="1"/>
      <c r="BF477" s="1"/>
      <c r="BG477" s="1"/>
      <c r="BH477" s="1"/>
      <c r="BI477" s="1"/>
      <c r="BJ477" s="1"/>
      <c r="BK477" s="1"/>
      <c r="BL477" s="1"/>
      <c r="BM477" s="2"/>
      <c r="BN477" s="1"/>
      <c r="BO477" s="1"/>
      <c r="BP477" s="1"/>
      <c r="BQ477" s="1"/>
      <c r="BR477" s="1"/>
      <c r="BS477" s="1"/>
      <c r="BT477" s="1"/>
      <c r="BU477" s="1"/>
      <c r="BV477" s="2"/>
      <c r="BW477" s="1"/>
      <c r="BX477" s="1"/>
      <c r="BY477" s="1"/>
      <c r="BZ477" s="1"/>
      <c r="CA477" s="1"/>
      <c r="CB477" s="1"/>
      <c r="CC477" s="1"/>
      <c r="CD477" s="1"/>
      <c r="CE477" s="2"/>
      <c r="CF477" s="1"/>
      <c r="CG477" s="1"/>
      <c r="CH477" s="1"/>
      <c r="CI477" s="1"/>
      <c r="CJ477" s="1"/>
      <c r="CK477" s="1"/>
      <c r="CL477" s="1"/>
    </row>
    <row r="478" spans="1:90" ht="14.65" x14ac:dyDescent="0.4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2"/>
      <c r="L478" s="1"/>
      <c r="M478" s="1"/>
      <c r="N478" s="1"/>
      <c r="O478" s="1"/>
      <c r="P478" s="1"/>
      <c r="Q478" s="1"/>
      <c r="R478" s="1"/>
      <c r="S478" s="1"/>
      <c r="T478" s="2"/>
      <c r="U478" s="1"/>
      <c r="V478" s="1"/>
      <c r="W478" s="1"/>
      <c r="X478" s="1"/>
      <c r="Y478" s="1"/>
      <c r="Z478" s="1"/>
      <c r="AA478" s="1"/>
      <c r="AB478" s="1"/>
      <c r="AC478" s="2"/>
      <c r="AD478" s="1"/>
      <c r="AE478" s="1"/>
      <c r="AF478" s="1"/>
      <c r="AG478" s="1"/>
      <c r="AH478" s="1"/>
      <c r="AI478" s="1"/>
      <c r="AJ478" s="1"/>
      <c r="AK478" s="1"/>
      <c r="AL478" s="2"/>
      <c r="AM478" s="1"/>
      <c r="AN478" s="1"/>
      <c r="AO478" s="1"/>
      <c r="AP478" s="1"/>
      <c r="AQ478" s="1"/>
      <c r="AR478" s="1"/>
      <c r="AS478" s="1"/>
      <c r="AT478" s="1"/>
      <c r="AU478" s="2"/>
      <c r="AV478" s="1"/>
      <c r="AW478" s="1"/>
      <c r="AX478" s="1"/>
      <c r="AY478" s="1"/>
      <c r="AZ478" s="1"/>
      <c r="BA478" s="1"/>
      <c r="BB478" s="1"/>
      <c r="BC478" s="1"/>
      <c r="BD478" s="2"/>
      <c r="BE478" s="1"/>
      <c r="BF478" s="1"/>
      <c r="BG478" s="1"/>
      <c r="BH478" s="1"/>
      <c r="BI478" s="1"/>
      <c r="BJ478" s="1"/>
      <c r="BK478" s="1"/>
      <c r="BL478" s="1"/>
      <c r="BM478" s="2"/>
      <c r="BN478" s="1"/>
      <c r="BO478" s="1"/>
      <c r="BP478" s="1"/>
      <c r="BQ478" s="1"/>
      <c r="BR478" s="1"/>
      <c r="BS478" s="1"/>
      <c r="BT478" s="1"/>
      <c r="BU478" s="1"/>
      <c r="BV478" s="2"/>
      <c r="BW478" s="1"/>
      <c r="BX478" s="1"/>
      <c r="BY478" s="1"/>
      <c r="BZ478" s="1"/>
      <c r="CA478" s="1"/>
      <c r="CB478" s="1"/>
      <c r="CC478" s="1"/>
      <c r="CD478" s="1"/>
      <c r="CE478" s="2"/>
      <c r="CF478" s="1"/>
      <c r="CG478" s="1"/>
      <c r="CH478" s="1"/>
      <c r="CI478" s="1"/>
      <c r="CJ478" s="1"/>
      <c r="CK478" s="1"/>
      <c r="CL478" s="1"/>
    </row>
    <row r="479" spans="1:90" ht="14.65" x14ac:dyDescent="0.4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2"/>
      <c r="L479" s="1"/>
      <c r="M479" s="1"/>
      <c r="N479" s="1"/>
      <c r="O479" s="1"/>
      <c r="P479" s="1"/>
      <c r="Q479" s="1"/>
      <c r="R479" s="1"/>
      <c r="S479" s="1"/>
      <c r="T479" s="2"/>
      <c r="U479" s="1"/>
      <c r="V479" s="1"/>
      <c r="W479" s="1"/>
      <c r="X479" s="1"/>
      <c r="Y479" s="1"/>
      <c r="Z479" s="1"/>
      <c r="AA479" s="1"/>
      <c r="AB479" s="1"/>
      <c r="AC479" s="2"/>
      <c r="AD479" s="1"/>
      <c r="AE479" s="1"/>
      <c r="AF479" s="1"/>
      <c r="AG479" s="1"/>
      <c r="AH479" s="1"/>
      <c r="AI479" s="1"/>
      <c r="AJ479" s="1"/>
      <c r="AK479" s="1"/>
      <c r="AL479" s="2"/>
      <c r="AM479" s="1"/>
      <c r="AN479" s="1"/>
      <c r="AO479" s="1"/>
      <c r="AP479" s="1"/>
      <c r="AQ479" s="1"/>
      <c r="AR479" s="1"/>
      <c r="AS479" s="1"/>
      <c r="AT479" s="1"/>
      <c r="AU479" s="2"/>
      <c r="AV479" s="1"/>
      <c r="AW479" s="1"/>
      <c r="AX479" s="1"/>
      <c r="AY479" s="1"/>
      <c r="AZ479" s="1"/>
      <c r="BA479" s="1"/>
      <c r="BB479" s="1"/>
      <c r="BC479" s="1"/>
      <c r="BD479" s="2"/>
      <c r="BE479" s="1"/>
      <c r="BF479" s="1"/>
      <c r="BG479" s="1"/>
      <c r="BH479" s="1"/>
      <c r="BI479" s="1"/>
      <c r="BJ479" s="1"/>
      <c r="BK479" s="1"/>
      <c r="BL479" s="1"/>
      <c r="BM479" s="2"/>
      <c r="BN479" s="1"/>
      <c r="BO479" s="1"/>
      <c r="BP479" s="1"/>
      <c r="BQ479" s="1"/>
      <c r="BR479" s="1"/>
      <c r="BS479" s="1"/>
      <c r="BT479" s="1"/>
      <c r="BU479" s="1"/>
      <c r="BV479" s="2"/>
      <c r="BW479" s="1"/>
      <c r="BX479" s="1"/>
      <c r="BY479" s="1"/>
      <c r="BZ479" s="1"/>
      <c r="CA479" s="1"/>
      <c r="CB479" s="1"/>
      <c r="CC479" s="1"/>
      <c r="CD479" s="1"/>
      <c r="CE479" s="2"/>
      <c r="CF479" s="1"/>
      <c r="CG479" s="1"/>
      <c r="CH479" s="1"/>
      <c r="CI479" s="1"/>
      <c r="CJ479" s="1"/>
      <c r="CK479" s="1"/>
      <c r="CL479" s="1"/>
    </row>
    <row r="480" spans="1:90" ht="14.65" x14ac:dyDescent="0.4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2"/>
      <c r="L480" s="1"/>
      <c r="M480" s="1"/>
      <c r="N480" s="1"/>
      <c r="O480" s="1"/>
      <c r="P480" s="1"/>
      <c r="Q480" s="1"/>
      <c r="R480" s="1"/>
      <c r="S480" s="1"/>
      <c r="T480" s="2"/>
      <c r="U480" s="1"/>
      <c r="V480" s="1"/>
      <c r="W480" s="1"/>
      <c r="X480" s="1"/>
      <c r="Y480" s="1"/>
      <c r="Z480" s="1"/>
      <c r="AA480" s="1"/>
      <c r="AB480" s="1"/>
      <c r="AC480" s="2"/>
      <c r="AD480" s="1"/>
      <c r="AE480" s="1"/>
      <c r="AF480" s="1"/>
      <c r="AG480" s="1"/>
      <c r="AH480" s="1"/>
      <c r="AI480" s="1"/>
      <c r="AJ480" s="1"/>
      <c r="AK480" s="1"/>
      <c r="AL480" s="2"/>
      <c r="AM480" s="1"/>
      <c r="AN480" s="1"/>
      <c r="AO480" s="1"/>
      <c r="AP480" s="1"/>
      <c r="AQ480" s="1"/>
      <c r="AR480" s="1"/>
      <c r="AS480" s="1"/>
      <c r="AT480" s="1"/>
      <c r="AU480" s="2"/>
      <c r="AV480" s="1"/>
      <c r="AW480" s="1"/>
      <c r="AX480" s="1"/>
      <c r="AY480" s="1"/>
      <c r="AZ480" s="1"/>
      <c r="BA480" s="1"/>
      <c r="BB480" s="1"/>
      <c r="BC480" s="1"/>
      <c r="BD480" s="2"/>
      <c r="BE480" s="1"/>
      <c r="BF480" s="1"/>
      <c r="BG480" s="1"/>
      <c r="BH480" s="1"/>
      <c r="BI480" s="1"/>
      <c r="BJ480" s="1"/>
      <c r="BK480" s="1"/>
      <c r="BL480" s="1"/>
      <c r="BM480" s="2"/>
      <c r="BN480" s="1"/>
      <c r="BO480" s="1"/>
      <c r="BP480" s="1"/>
      <c r="BQ480" s="1"/>
      <c r="BR480" s="1"/>
      <c r="BS480" s="1"/>
      <c r="BT480" s="1"/>
      <c r="BU480" s="1"/>
      <c r="BV480" s="2"/>
      <c r="BW480" s="1"/>
      <c r="BX480" s="1"/>
      <c r="BY480" s="1"/>
      <c r="BZ480" s="1"/>
      <c r="CA480" s="1"/>
      <c r="CB480" s="1"/>
      <c r="CC480" s="1"/>
      <c r="CD480" s="1"/>
      <c r="CE480" s="2"/>
      <c r="CF480" s="1"/>
      <c r="CG480" s="1"/>
      <c r="CH480" s="1"/>
      <c r="CI480" s="1"/>
      <c r="CJ480" s="1"/>
      <c r="CK480" s="1"/>
      <c r="CL480" s="1"/>
    </row>
    <row r="481" spans="1:90" ht="14.65" x14ac:dyDescent="0.4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2"/>
      <c r="L481" s="1"/>
      <c r="M481" s="1"/>
      <c r="N481" s="1"/>
      <c r="O481" s="1"/>
      <c r="P481" s="1"/>
      <c r="Q481" s="1"/>
      <c r="R481" s="1"/>
      <c r="S481" s="1"/>
      <c r="T481" s="2"/>
      <c r="U481" s="1"/>
      <c r="V481" s="1"/>
      <c r="W481" s="1"/>
      <c r="X481" s="1"/>
      <c r="Y481" s="1"/>
      <c r="Z481" s="1"/>
      <c r="AA481" s="1"/>
      <c r="AB481" s="1"/>
      <c r="AC481" s="2"/>
      <c r="AD481" s="1"/>
      <c r="AE481" s="1"/>
      <c r="AF481" s="1"/>
      <c r="AG481" s="1"/>
      <c r="AH481" s="1"/>
      <c r="AI481" s="1"/>
      <c r="AJ481" s="1"/>
      <c r="AK481" s="1"/>
      <c r="AL481" s="2"/>
      <c r="AM481" s="1"/>
      <c r="AN481" s="1"/>
      <c r="AO481" s="1"/>
      <c r="AP481" s="1"/>
      <c r="AQ481" s="1"/>
      <c r="AR481" s="1"/>
      <c r="AS481" s="1"/>
      <c r="AT481" s="1"/>
      <c r="AU481" s="2"/>
      <c r="AV481" s="1"/>
      <c r="AW481" s="1"/>
      <c r="AX481" s="1"/>
      <c r="AY481" s="1"/>
      <c r="AZ481" s="1"/>
      <c r="BA481" s="1"/>
      <c r="BB481" s="1"/>
      <c r="BC481" s="1"/>
      <c r="BD481" s="2"/>
      <c r="BE481" s="1"/>
      <c r="BF481" s="1"/>
      <c r="BG481" s="1"/>
      <c r="BH481" s="1"/>
      <c r="BI481" s="1"/>
      <c r="BJ481" s="1"/>
      <c r="BK481" s="1"/>
      <c r="BL481" s="1"/>
      <c r="BM481" s="2"/>
      <c r="BN481" s="1"/>
      <c r="BO481" s="1"/>
      <c r="BP481" s="1"/>
      <c r="BQ481" s="1"/>
      <c r="BR481" s="1"/>
      <c r="BS481" s="1"/>
      <c r="BT481" s="1"/>
      <c r="BU481" s="1"/>
      <c r="BV481" s="2"/>
      <c r="BW481" s="1"/>
      <c r="BX481" s="1"/>
      <c r="BY481" s="1"/>
      <c r="BZ481" s="1"/>
      <c r="CA481" s="1"/>
      <c r="CB481" s="1"/>
      <c r="CC481" s="1"/>
      <c r="CD481" s="1"/>
      <c r="CE481" s="2"/>
      <c r="CF481" s="1"/>
      <c r="CG481" s="1"/>
      <c r="CH481" s="1"/>
      <c r="CI481" s="1"/>
      <c r="CJ481" s="1"/>
      <c r="CK481" s="1"/>
      <c r="CL481" s="1"/>
    </row>
    <row r="482" spans="1:90" ht="14.65" x14ac:dyDescent="0.4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2"/>
      <c r="L482" s="1"/>
      <c r="M482" s="1"/>
      <c r="N482" s="1"/>
      <c r="O482" s="1"/>
      <c r="P482" s="1"/>
      <c r="Q482" s="1"/>
      <c r="R482" s="1"/>
      <c r="S482" s="1"/>
      <c r="T482" s="2"/>
      <c r="U482" s="1"/>
      <c r="V482" s="1"/>
      <c r="W482" s="1"/>
      <c r="X482" s="1"/>
      <c r="Y482" s="1"/>
      <c r="Z482" s="1"/>
      <c r="AA482" s="1"/>
      <c r="AB482" s="1"/>
      <c r="AC482" s="2"/>
      <c r="AD482" s="1"/>
      <c r="AE482" s="1"/>
      <c r="AF482" s="1"/>
      <c r="AG482" s="1"/>
      <c r="AH482" s="1"/>
      <c r="AI482" s="1"/>
      <c r="AJ482" s="1"/>
      <c r="AK482" s="1"/>
      <c r="AL482" s="2"/>
      <c r="AM482" s="1"/>
      <c r="AN482" s="1"/>
      <c r="AO482" s="1"/>
      <c r="AP482" s="1"/>
      <c r="AQ482" s="1"/>
      <c r="AR482" s="1"/>
      <c r="AS482" s="1"/>
      <c r="AT482" s="1"/>
      <c r="AU482" s="2"/>
      <c r="AV482" s="1"/>
      <c r="AW482" s="1"/>
      <c r="AX482" s="1"/>
      <c r="AY482" s="1"/>
      <c r="AZ482" s="1"/>
      <c r="BA482" s="1"/>
      <c r="BB482" s="1"/>
      <c r="BC482" s="1"/>
      <c r="BD482" s="2"/>
      <c r="BE482" s="1"/>
      <c r="BF482" s="1"/>
      <c r="BG482" s="1"/>
      <c r="BH482" s="1"/>
      <c r="BI482" s="1"/>
      <c r="BJ482" s="1"/>
      <c r="BK482" s="1"/>
      <c r="BL482" s="1"/>
      <c r="BM482" s="2"/>
      <c r="BN482" s="1"/>
      <c r="BO482" s="1"/>
      <c r="BP482" s="1"/>
      <c r="BQ482" s="1"/>
      <c r="BR482" s="1"/>
      <c r="BS482" s="1"/>
      <c r="BT482" s="1"/>
      <c r="BU482" s="1"/>
      <c r="BV482" s="2"/>
      <c r="BW482" s="1"/>
      <c r="BX482" s="1"/>
      <c r="BY482" s="1"/>
      <c r="BZ482" s="1"/>
      <c r="CA482" s="1"/>
      <c r="CB482" s="1"/>
      <c r="CC482" s="1"/>
      <c r="CD482" s="1"/>
      <c r="CE482" s="2"/>
      <c r="CF482" s="1"/>
      <c r="CG482" s="1"/>
      <c r="CH482" s="1"/>
      <c r="CI482" s="1"/>
      <c r="CJ482" s="1"/>
      <c r="CK482" s="1"/>
      <c r="CL482" s="1"/>
    </row>
    <row r="483" spans="1:90" ht="14.65" x14ac:dyDescent="0.4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2"/>
      <c r="L483" s="1"/>
      <c r="M483" s="1"/>
      <c r="N483" s="1"/>
      <c r="O483" s="1"/>
      <c r="P483" s="1"/>
      <c r="Q483" s="1"/>
      <c r="R483" s="1"/>
      <c r="S483" s="1"/>
      <c r="T483" s="2"/>
      <c r="U483" s="1"/>
      <c r="V483" s="1"/>
      <c r="W483" s="1"/>
      <c r="X483" s="1"/>
      <c r="Y483" s="1"/>
      <c r="Z483" s="1"/>
      <c r="AA483" s="1"/>
      <c r="AB483" s="1"/>
      <c r="AC483" s="2"/>
      <c r="AD483" s="1"/>
      <c r="AE483" s="1"/>
      <c r="AF483" s="1"/>
      <c r="AG483" s="1"/>
      <c r="AH483" s="1"/>
      <c r="AI483" s="1"/>
      <c r="AJ483" s="1"/>
      <c r="AK483" s="1"/>
      <c r="AL483" s="2"/>
      <c r="AM483" s="1"/>
      <c r="AN483" s="1"/>
      <c r="AO483" s="1"/>
      <c r="AP483" s="1"/>
      <c r="AQ483" s="1"/>
      <c r="AR483" s="1"/>
      <c r="AS483" s="1"/>
      <c r="AT483" s="1"/>
      <c r="AU483" s="2"/>
      <c r="AV483" s="1"/>
      <c r="AW483" s="1"/>
      <c r="AX483" s="1"/>
      <c r="AY483" s="1"/>
      <c r="AZ483" s="1"/>
      <c r="BA483" s="1"/>
      <c r="BB483" s="1"/>
      <c r="BC483" s="1"/>
      <c r="BD483" s="2"/>
      <c r="BE483" s="1"/>
      <c r="BF483" s="1"/>
      <c r="BG483" s="1"/>
      <c r="BH483" s="1"/>
      <c r="BI483" s="1"/>
      <c r="BJ483" s="1"/>
      <c r="BK483" s="1"/>
      <c r="BL483" s="1"/>
      <c r="BM483" s="2"/>
      <c r="BN483" s="1"/>
      <c r="BO483" s="1"/>
      <c r="BP483" s="1"/>
      <c r="BQ483" s="1"/>
      <c r="BR483" s="1"/>
      <c r="BS483" s="1"/>
      <c r="BT483" s="1"/>
      <c r="BU483" s="1"/>
      <c r="BV483" s="2"/>
      <c r="BW483" s="1"/>
      <c r="BX483" s="1"/>
      <c r="BY483" s="1"/>
      <c r="BZ483" s="1"/>
      <c r="CA483" s="1"/>
      <c r="CB483" s="1"/>
      <c r="CC483" s="1"/>
      <c r="CD483" s="1"/>
      <c r="CE483" s="2"/>
      <c r="CF483" s="1"/>
      <c r="CG483" s="1"/>
      <c r="CH483" s="1"/>
      <c r="CI483" s="1"/>
      <c r="CJ483" s="1"/>
      <c r="CK483" s="1"/>
      <c r="CL483" s="1"/>
    </row>
    <row r="484" spans="1:90" ht="14.65" x14ac:dyDescent="0.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2"/>
      <c r="L484" s="1"/>
      <c r="M484" s="1"/>
      <c r="N484" s="1"/>
      <c r="O484" s="1"/>
      <c r="P484" s="1"/>
      <c r="Q484" s="1"/>
      <c r="R484" s="1"/>
      <c r="S484" s="1"/>
      <c r="T484" s="2"/>
      <c r="U484" s="1"/>
      <c r="V484" s="1"/>
      <c r="W484" s="1"/>
      <c r="X484" s="1"/>
      <c r="Y484" s="1"/>
      <c r="Z484" s="1"/>
      <c r="AA484" s="1"/>
      <c r="AB484" s="1"/>
      <c r="AC484" s="2"/>
      <c r="AD484" s="1"/>
      <c r="AE484" s="1"/>
      <c r="AF484" s="1"/>
      <c r="AG484" s="1"/>
      <c r="AH484" s="1"/>
      <c r="AI484" s="1"/>
      <c r="AJ484" s="1"/>
      <c r="AK484" s="1"/>
      <c r="AL484" s="2"/>
      <c r="AM484" s="1"/>
      <c r="AN484" s="1"/>
      <c r="AO484" s="1"/>
      <c r="AP484" s="1"/>
      <c r="AQ484" s="1"/>
      <c r="AR484" s="1"/>
      <c r="AS484" s="1"/>
      <c r="AT484" s="1"/>
      <c r="AU484" s="2"/>
      <c r="AV484" s="1"/>
      <c r="AW484" s="1"/>
      <c r="AX484" s="1"/>
      <c r="AY484" s="1"/>
      <c r="AZ484" s="1"/>
      <c r="BA484" s="1"/>
      <c r="BB484" s="1"/>
      <c r="BC484" s="1"/>
      <c r="BD484" s="2"/>
      <c r="BE484" s="1"/>
      <c r="BF484" s="1"/>
      <c r="BG484" s="1"/>
      <c r="BH484" s="1"/>
      <c r="BI484" s="1"/>
      <c r="BJ484" s="1"/>
      <c r="BK484" s="1"/>
      <c r="BL484" s="1"/>
      <c r="BM484" s="2"/>
      <c r="BN484" s="1"/>
      <c r="BO484" s="1"/>
      <c r="BP484" s="1"/>
      <c r="BQ484" s="1"/>
      <c r="BR484" s="1"/>
      <c r="BS484" s="1"/>
      <c r="BT484" s="1"/>
      <c r="BU484" s="1"/>
      <c r="BV484" s="2"/>
      <c r="BW484" s="1"/>
      <c r="BX484" s="1"/>
      <c r="BY484" s="1"/>
      <c r="BZ484" s="1"/>
      <c r="CA484" s="1"/>
      <c r="CB484" s="1"/>
      <c r="CC484" s="1"/>
      <c r="CD484" s="1"/>
      <c r="CE484" s="2"/>
      <c r="CF484" s="1"/>
      <c r="CG484" s="1"/>
      <c r="CH484" s="1"/>
      <c r="CI484" s="1"/>
      <c r="CJ484" s="1"/>
      <c r="CK484" s="1"/>
      <c r="CL484" s="1"/>
    </row>
    <row r="485" spans="1:90" ht="14.65" x14ac:dyDescent="0.4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2"/>
      <c r="L485" s="1"/>
      <c r="M485" s="1"/>
      <c r="N485" s="1"/>
      <c r="O485" s="1"/>
      <c r="P485" s="1"/>
      <c r="Q485" s="1"/>
      <c r="R485" s="1"/>
      <c r="S485" s="1"/>
      <c r="T485" s="2"/>
      <c r="U485" s="1"/>
      <c r="V485" s="1"/>
      <c r="W485" s="1"/>
      <c r="X485" s="1"/>
      <c r="Y485" s="1"/>
      <c r="Z485" s="1"/>
      <c r="AA485" s="1"/>
      <c r="AB485" s="1"/>
      <c r="AC485" s="2"/>
      <c r="AD485" s="1"/>
      <c r="AE485" s="1"/>
      <c r="AF485" s="1"/>
      <c r="AG485" s="1"/>
      <c r="AH485" s="1"/>
      <c r="AI485" s="1"/>
      <c r="AJ485" s="1"/>
      <c r="AK485" s="1"/>
      <c r="AL485" s="2"/>
      <c r="AM485" s="1"/>
      <c r="AN485" s="1"/>
      <c r="AO485" s="1"/>
      <c r="AP485" s="1"/>
      <c r="AQ485" s="1"/>
      <c r="AR485" s="1"/>
      <c r="AS485" s="1"/>
      <c r="AT485" s="1"/>
      <c r="AU485" s="2"/>
      <c r="AV485" s="1"/>
      <c r="AW485" s="1"/>
      <c r="AX485" s="1"/>
      <c r="AY485" s="1"/>
      <c r="AZ485" s="1"/>
      <c r="BA485" s="1"/>
      <c r="BB485" s="1"/>
      <c r="BC485" s="1"/>
      <c r="BD485" s="2"/>
      <c r="BE485" s="1"/>
      <c r="BF485" s="1"/>
      <c r="BG485" s="1"/>
      <c r="BH485" s="1"/>
      <c r="BI485" s="1"/>
      <c r="BJ485" s="1"/>
      <c r="BK485" s="1"/>
      <c r="BL485" s="1"/>
      <c r="BM485" s="2"/>
      <c r="BN485" s="1"/>
      <c r="BO485" s="1"/>
      <c r="BP485" s="1"/>
      <c r="BQ485" s="1"/>
      <c r="BR485" s="1"/>
      <c r="BS485" s="1"/>
      <c r="BT485" s="1"/>
      <c r="BU485" s="1"/>
      <c r="BV485" s="2"/>
      <c r="BW485" s="1"/>
      <c r="BX485" s="1"/>
      <c r="BY485" s="1"/>
      <c r="BZ485" s="1"/>
      <c r="CA485" s="1"/>
      <c r="CB485" s="1"/>
      <c r="CC485" s="1"/>
      <c r="CD485" s="1"/>
      <c r="CE485" s="2"/>
      <c r="CF485" s="1"/>
      <c r="CG485" s="1"/>
      <c r="CH485" s="1"/>
      <c r="CI485" s="1"/>
      <c r="CJ485" s="1"/>
      <c r="CK485" s="1"/>
      <c r="CL485" s="1"/>
    </row>
    <row r="486" spans="1:90" ht="14.65" x14ac:dyDescent="0.4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2"/>
      <c r="L486" s="1"/>
      <c r="M486" s="1"/>
      <c r="N486" s="1"/>
      <c r="O486" s="1"/>
      <c r="P486" s="1"/>
      <c r="Q486" s="1"/>
      <c r="R486" s="1"/>
      <c r="S486" s="1"/>
      <c r="T486" s="2"/>
      <c r="U486" s="1"/>
      <c r="V486" s="1"/>
      <c r="W486" s="1"/>
      <c r="X486" s="1"/>
      <c r="Y486" s="1"/>
      <c r="Z486" s="1"/>
      <c r="AA486" s="1"/>
      <c r="AB486" s="1"/>
      <c r="AC486" s="2"/>
      <c r="AD486" s="1"/>
      <c r="AE486" s="1"/>
      <c r="AF486" s="1"/>
      <c r="AG486" s="1"/>
      <c r="AH486" s="1"/>
      <c r="AI486" s="1"/>
      <c r="AJ486" s="1"/>
      <c r="AK486" s="1"/>
      <c r="AL486" s="2"/>
      <c r="AM486" s="1"/>
      <c r="AN486" s="1"/>
      <c r="AO486" s="1"/>
      <c r="AP486" s="1"/>
      <c r="AQ486" s="1"/>
      <c r="AR486" s="1"/>
      <c r="AS486" s="1"/>
      <c r="AT486" s="1"/>
      <c r="AU486" s="2"/>
      <c r="AV486" s="1"/>
      <c r="AW486" s="1"/>
      <c r="AX486" s="1"/>
      <c r="AY486" s="1"/>
      <c r="AZ486" s="1"/>
      <c r="BA486" s="1"/>
      <c r="BB486" s="1"/>
      <c r="BC486" s="1"/>
      <c r="BD486" s="2"/>
      <c r="BE486" s="1"/>
      <c r="BF486" s="1"/>
      <c r="BG486" s="1"/>
      <c r="BH486" s="1"/>
      <c r="BI486" s="1"/>
      <c r="BJ486" s="1"/>
      <c r="BK486" s="1"/>
      <c r="BL486" s="1"/>
      <c r="BM486" s="2"/>
      <c r="BN486" s="1"/>
      <c r="BO486" s="1"/>
      <c r="BP486" s="1"/>
      <c r="BQ486" s="1"/>
      <c r="BR486" s="1"/>
      <c r="BS486" s="1"/>
      <c r="BT486" s="1"/>
      <c r="BU486" s="1"/>
      <c r="BV486" s="2"/>
      <c r="BW486" s="1"/>
      <c r="BX486" s="1"/>
      <c r="BY486" s="1"/>
      <c r="BZ486" s="1"/>
      <c r="CA486" s="1"/>
      <c r="CB486" s="1"/>
      <c r="CC486" s="1"/>
      <c r="CD486" s="1"/>
      <c r="CE486" s="2"/>
      <c r="CF486" s="1"/>
      <c r="CG486" s="1"/>
      <c r="CH486" s="1"/>
      <c r="CI486" s="1"/>
      <c r="CJ486" s="1"/>
      <c r="CK486" s="1"/>
      <c r="CL486" s="1"/>
    </row>
    <row r="487" spans="1:90" ht="14.65" x14ac:dyDescent="0.4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2"/>
      <c r="L487" s="1"/>
      <c r="M487" s="1"/>
      <c r="N487" s="1"/>
      <c r="O487" s="1"/>
      <c r="P487" s="1"/>
      <c r="Q487" s="1"/>
      <c r="R487" s="1"/>
      <c r="S487" s="1"/>
      <c r="T487" s="2"/>
      <c r="U487" s="1"/>
      <c r="V487" s="1"/>
      <c r="W487" s="1"/>
      <c r="X487" s="1"/>
      <c r="Y487" s="1"/>
      <c r="Z487" s="1"/>
      <c r="AA487" s="1"/>
      <c r="AB487" s="1"/>
      <c r="AC487" s="2"/>
      <c r="AD487" s="1"/>
      <c r="AE487" s="1"/>
      <c r="AF487" s="1"/>
      <c r="AG487" s="1"/>
      <c r="AH487" s="1"/>
      <c r="AI487" s="1"/>
      <c r="AJ487" s="1"/>
      <c r="AK487" s="1"/>
      <c r="AL487" s="2"/>
      <c r="AM487" s="1"/>
      <c r="AN487" s="1"/>
      <c r="AO487" s="1"/>
      <c r="AP487" s="1"/>
      <c r="AQ487" s="1"/>
      <c r="AR487" s="1"/>
      <c r="AS487" s="1"/>
      <c r="AT487" s="1"/>
      <c r="AU487" s="2"/>
      <c r="AV487" s="1"/>
      <c r="AW487" s="1"/>
      <c r="AX487" s="1"/>
      <c r="AY487" s="1"/>
      <c r="AZ487" s="1"/>
      <c r="BA487" s="1"/>
      <c r="BB487" s="1"/>
      <c r="BC487" s="1"/>
      <c r="BD487" s="2"/>
      <c r="BE487" s="1"/>
      <c r="BF487" s="1"/>
      <c r="BG487" s="1"/>
      <c r="BH487" s="1"/>
      <c r="BI487" s="1"/>
      <c r="BJ487" s="1"/>
      <c r="BK487" s="1"/>
      <c r="BL487" s="1"/>
      <c r="BM487" s="2"/>
      <c r="BN487" s="1"/>
      <c r="BO487" s="1"/>
      <c r="BP487" s="1"/>
      <c r="BQ487" s="1"/>
      <c r="BR487" s="1"/>
      <c r="BS487" s="1"/>
      <c r="BT487" s="1"/>
      <c r="BU487" s="1"/>
      <c r="BV487" s="2"/>
      <c r="BW487" s="1"/>
      <c r="BX487" s="1"/>
      <c r="BY487" s="1"/>
      <c r="BZ487" s="1"/>
      <c r="CA487" s="1"/>
      <c r="CB487" s="1"/>
      <c r="CC487" s="1"/>
      <c r="CD487" s="1"/>
      <c r="CE487" s="2"/>
      <c r="CF487" s="1"/>
      <c r="CG487" s="1"/>
      <c r="CH487" s="1"/>
      <c r="CI487" s="1"/>
      <c r="CJ487" s="1"/>
      <c r="CK487" s="1"/>
      <c r="CL487" s="1"/>
    </row>
    <row r="488" spans="1:90" ht="14.65" x14ac:dyDescent="0.4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2"/>
      <c r="L488" s="1"/>
      <c r="M488" s="1"/>
      <c r="N488" s="1"/>
      <c r="O488" s="1"/>
      <c r="P488" s="1"/>
      <c r="Q488" s="1"/>
      <c r="R488" s="1"/>
      <c r="S488" s="1"/>
      <c r="T488" s="2"/>
      <c r="U488" s="1"/>
      <c r="V488" s="1"/>
      <c r="W488" s="1"/>
      <c r="X488" s="1"/>
      <c r="Y488" s="1"/>
      <c r="Z488" s="1"/>
      <c r="AA488" s="1"/>
      <c r="AB488" s="1"/>
      <c r="AC488" s="2"/>
      <c r="AD488" s="1"/>
      <c r="AE488" s="1"/>
      <c r="AF488" s="1"/>
      <c r="AG488" s="1"/>
      <c r="AH488" s="1"/>
      <c r="AI488" s="1"/>
      <c r="AJ488" s="1"/>
      <c r="AK488" s="1"/>
      <c r="AL488" s="2"/>
      <c r="AM488" s="1"/>
      <c r="AN488" s="1"/>
      <c r="AO488" s="1"/>
      <c r="AP488" s="1"/>
      <c r="AQ488" s="1"/>
      <c r="AR488" s="1"/>
      <c r="AS488" s="1"/>
      <c r="AT488" s="1"/>
      <c r="AU488" s="2"/>
      <c r="AV488" s="1"/>
      <c r="AW488" s="1"/>
      <c r="AX488" s="1"/>
      <c r="AY488" s="1"/>
      <c r="AZ488" s="1"/>
      <c r="BA488" s="1"/>
      <c r="BB488" s="1"/>
      <c r="BC488" s="1"/>
      <c r="BD488" s="2"/>
      <c r="BE488" s="1"/>
      <c r="BF488" s="1"/>
      <c r="BG488" s="1"/>
      <c r="BH488" s="1"/>
      <c r="BI488" s="1"/>
      <c r="BJ488" s="1"/>
      <c r="BK488" s="1"/>
      <c r="BL488" s="1"/>
      <c r="BM488" s="2"/>
      <c r="BN488" s="1"/>
      <c r="BO488" s="1"/>
      <c r="BP488" s="1"/>
      <c r="BQ488" s="1"/>
      <c r="BR488" s="1"/>
      <c r="BS488" s="1"/>
      <c r="BT488" s="1"/>
      <c r="BU488" s="1"/>
      <c r="BV488" s="2"/>
      <c r="BW488" s="1"/>
      <c r="BX488" s="1"/>
      <c r="BY488" s="1"/>
      <c r="BZ488" s="1"/>
      <c r="CA488" s="1"/>
      <c r="CB488" s="1"/>
      <c r="CC488" s="1"/>
      <c r="CD488" s="1"/>
      <c r="CE488" s="2"/>
      <c r="CF488" s="1"/>
      <c r="CG488" s="1"/>
      <c r="CH488" s="1"/>
      <c r="CI488" s="1"/>
      <c r="CJ488" s="1"/>
      <c r="CK488" s="1"/>
      <c r="CL488" s="1"/>
    </row>
    <row r="489" spans="1:90" ht="14.65" x14ac:dyDescent="0.4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2"/>
      <c r="L489" s="1"/>
      <c r="M489" s="1"/>
      <c r="N489" s="1"/>
      <c r="O489" s="1"/>
      <c r="P489" s="1"/>
      <c r="Q489" s="1"/>
      <c r="R489" s="1"/>
      <c r="S489" s="1"/>
      <c r="T489" s="2"/>
      <c r="U489" s="1"/>
      <c r="V489" s="1"/>
      <c r="W489" s="1"/>
      <c r="X489" s="1"/>
      <c r="Y489" s="1"/>
      <c r="Z489" s="1"/>
      <c r="AA489" s="1"/>
      <c r="AB489" s="1"/>
      <c r="AC489" s="2"/>
      <c r="AD489" s="1"/>
      <c r="AE489" s="1"/>
      <c r="AF489" s="1"/>
      <c r="AG489" s="1"/>
      <c r="AH489" s="1"/>
      <c r="AI489" s="1"/>
      <c r="AJ489" s="1"/>
      <c r="AK489" s="1"/>
      <c r="AL489" s="2"/>
      <c r="AM489" s="1"/>
      <c r="AN489" s="1"/>
      <c r="AO489" s="1"/>
      <c r="AP489" s="1"/>
      <c r="AQ489" s="1"/>
      <c r="AR489" s="1"/>
      <c r="AS489" s="1"/>
      <c r="AT489" s="1"/>
      <c r="AU489" s="2"/>
      <c r="AV489" s="1"/>
      <c r="AW489" s="1"/>
      <c r="AX489" s="1"/>
      <c r="AY489" s="1"/>
      <c r="AZ489" s="1"/>
      <c r="BA489" s="1"/>
      <c r="BB489" s="1"/>
      <c r="BC489" s="1"/>
      <c r="BD489" s="2"/>
      <c r="BE489" s="1"/>
      <c r="BF489" s="1"/>
      <c r="BG489" s="1"/>
      <c r="BH489" s="1"/>
      <c r="BI489" s="1"/>
      <c r="BJ489" s="1"/>
      <c r="BK489" s="1"/>
      <c r="BL489" s="1"/>
      <c r="BM489" s="2"/>
      <c r="BN489" s="1"/>
      <c r="BO489" s="1"/>
      <c r="BP489" s="1"/>
      <c r="BQ489" s="1"/>
      <c r="BR489" s="1"/>
      <c r="BS489" s="1"/>
      <c r="BT489" s="1"/>
      <c r="BU489" s="1"/>
      <c r="BV489" s="2"/>
      <c r="BW489" s="1"/>
      <c r="BX489" s="1"/>
      <c r="BY489" s="1"/>
      <c r="BZ489" s="1"/>
      <c r="CA489" s="1"/>
      <c r="CB489" s="1"/>
      <c r="CC489" s="1"/>
      <c r="CD489" s="1"/>
      <c r="CE489" s="2"/>
      <c r="CF489" s="1"/>
      <c r="CG489" s="1"/>
      <c r="CH489" s="1"/>
      <c r="CI489" s="1"/>
      <c r="CJ489" s="1"/>
      <c r="CK489" s="1"/>
      <c r="CL489" s="1"/>
    </row>
    <row r="490" spans="1:90" ht="14.65" x14ac:dyDescent="0.4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2"/>
      <c r="L490" s="1"/>
      <c r="M490" s="1"/>
      <c r="N490" s="1"/>
      <c r="O490" s="1"/>
      <c r="P490" s="1"/>
      <c r="Q490" s="1"/>
      <c r="R490" s="1"/>
      <c r="S490" s="1"/>
      <c r="T490" s="2"/>
      <c r="U490" s="1"/>
      <c r="V490" s="1"/>
      <c r="W490" s="1"/>
      <c r="X490" s="1"/>
      <c r="Y490" s="1"/>
      <c r="Z490" s="1"/>
      <c r="AA490" s="1"/>
      <c r="AB490" s="1"/>
      <c r="AC490" s="2"/>
      <c r="AD490" s="1"/>
      <c r="AE490" s="1"/>
      <c r="AF490" s="1"/>
      <c r="AG490" s="1"/>
      <c r="AH490" s="1"/>
      <c r="AI490" s="1"/>
      <c r="AJ490" s="1"/>
      <c r="AK490" s="1"/>
      <c r="AL490" s="2"/>
      <c r="AM490" s="1"/>
      <c r="AN490" s="1"/>
      <c r="AO490" s="1"/>
      <c r="AP490" s="1"/>
      <c r="AQ490" s="1"/>
      <c r="AR490" s="1"/>
      <c r="AS490" s="1"/>
      <c r="AT490" s="1"/>
      <c r="AU490" s="2"/>
      <c r="AV490" s="1"/>
      <c r="AW490" s="1"/>
      <c r="AX490" s="1"/>
      <c r="AY490" s="1"/>
      <c r="AZ490" s="1"/>
      <c r="BA490" s="1"/>
      <c r="BB490" s="1"/>
      <c r="BC490" s="1"/>
      <c r="BD490" s="2"/>
      <c r="BE490" s="1"/>
      <c r="BF490" s="1"/>
      <c r="BG490" s="1"/>
      <c r="BH490" s="1"/>
      <c r="BI490" s="1"/>
      <c r="BJ490" s="1"/>
      <c r="BK490" s="1"/>
      <c r="BL490" s="1"/>
      <c r="BM490" s="2"/>
      <c r="BN490" s="1"/>
      <c r="BO490" s="1"/>
      <c r="BP490" s="1"/>
      <c r="BQ490" s="1"/>
      <c r="BR490" s="1"/>
      <c r="BS490" s="1"/>
      <c r="BT490" s="1"/>
      <c r="BU490" s="1"/>
      <c r="BV490" s="2"/>
      <c r="BW490" s="1"/>
      <c r="BX490" s="1"/>
      <c r="BY490" s="1"/>
      <c r="BZ490" s="1"/>
      <c r="CA490" s="1"/>
      <c r="CB490" s="1"/>
      <c r="CC490" s="1"/>
      <c r="CD490" s="1"/>
      <c r="CE490" s="2"/>
      <c r="CF490" s="1"/>
      <c r="CG490" s="1"/>
      <c r="CH490" s="1"/>
      <c r="CI490" s="1"/>
      <c r="CJ490" s="1"/>
      <c r="CK490" s="1"/>
      <c r="CL490" s="1"/>
    </row>
    <row r="491" spans="1:90" ht="14.65" x14ac:dyDescent="0.4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2"/>
      <c r="L491" s="1"/>
      <c r="M491" s="1"/>
      <c r="N491" s="1"/>
      <c r="O491" s="1"/>
      <c r="P491" s="1"/>
      <c r="Q491" s="1"/>
      <c r="R491" s="1"/>
      <c r="S491" s="1"/>
      <c r="T491" s="2"/>
      <c r="U491" s="1"/>
      <c r="V491" s="1"/>
      <c r="W491" s="1"/>
      <c r="X491" s="1"/>
      <c r="Y491" s="1"/>
      <c r="Z491" s="1"/>
      <c r="AA491" s="1"/>
      <c r="AB491" s="1"/>
      <c r="AC491" s="2"/>
      <c r="AD491" s="1"/>
      <c r="AE491" s="1"/>
      <c r="AF491" s="1"/>
      <c r="AG491" s="1"/>
      <c r="AH491" s="1"/>
      <c r="AI491" s="1"/>
      <c r="AJ491" s="1"/>
      <c r="AK491" s="1"/>
      <c r="AL491" s="2"/>
      <c r="AM491" s="1"/>
      <c r="AN491" s="1"/>
      <c r="AO491" s="1"/>
      <c r="AP491" s="1"/>
      <c r="AQ491" s="1"/>
      <c r="AR491" s="1"/>
      <c r="AS491" s="1"/>
      <c r="AT491" s="1"/>
      <c r="AU491" s="2"/>
      <c r="AV491" s="1"/>
      <c r="AW491" s="1"/>
      <c r="AX491" s="1"/>
      <c r="AY491" s="1"/>
      <c r="AZ491" s="1"/>
      <c r="BA491" s="1"/>
      <c r="BB491" s="1"/>
      <c r="BC491" s="1"/>
      <c r="BD491" s="2"/>
      <c r="BE491" s="1"/>
      <c r="BF491" s="1"/>
      <c r="BG491" s="1"/>
      <c r="BH491" s="1"/>
      <c r="BI491" s="1"/>
      <c r="BJ491" s="1"/>
      <c r="BK491" s="1"/>
      <c r="BL491" s="1"/>
      <c r="BM491" s="2"/>
      <c r="BN491" s="1"/>
      <c r="BO491" s="1"/>
      <c r="BP491" s="1"/>
      <c r="BQ491" s="1"/>
      <c r="BR491" s="1"/>
      <c r="BS491" s="1"/>
      <c r="BT491" s="1"/>
      <c r="BU491" s="1"/>
      <c r="BV491" s="2"/>
      <c r="BW491" s="1"/>
      <c r="BX491" s="1"/>
      <c r="BY491" s="1"/>
      <c r="BZ491" s="1"/>
      <c r="CA491" s="1"/>
      <c r="CB491" s="1"/>
      <c r="CC491" s="1"/>
      <c r="CD491" s="1"/>
      <c r="CE491" s="2"/>
      <c r="CF491" s="1"/>
      <c r="CG491" s="1"/>
      <c r="CH491" s="1"/>
      <c r="CI491" s="1"/>
      <c r="CJ491" s="1"/>
      <c r="CK491" s="1"/>
      <c r="CL491" s="1"/>
    </row>
    <row r="492" spans="1:90" ht="14.65" x14ac:dyDescent="0.4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2"/>
      <c r="L492" s="1"/>
      <c r="M492" s="1"/>
      <c r="N492" s="1"/>
      <c r="O492" s="1"/>
      <c r="P492" s="1"/>
      <c r="Q492" s="1"/>
      <c r="R492" s="1"/>
      <c r="S492" s="1"/>
      <c r="T492" s="2"/>
      <c r="U492" s="1"/>
      <c r="V492" s="1"/>
      <c r="W492" s="1"/>
      <c r="X492" s="1"/>
      <c r="Y492" s="1"/>
      <c r="Z492" s="1"/>
      <c r="AA492" s="1"/>
      <c r="AB492" s="1"/>
      <c r="AC492" s="2"/>
      <c r="AD492" s="1"/>
      <c r="AE492" s="1"/>
      <c r="AF492" s="1"/>
      <c r="AG492" s="1"/>
      <c r="AH492" s="1"/>
      <c r="AI492" s="1"/>
      <c r="AJ492" s="1"/>
      <c r="AK492" s="1"/>
      <c r="AL492" s="2"/>
      <c r="AM492" s="1"/>
      <c r="AN492" s="1"/>
      <c r="AO492" s="1"/>
      <c r="AP492" s="1"/>
      <c r="AQ492" s="1"/>
      <c r="AR492" s="1"/>
      <c r="AS492" s="1"/>
      <c r="AT492" s="1"/>
      <c r="AU492" s="2"/>
      <c r="AV492" s="1"/>
      <c r="AW492" s="1"/>
      <c r="AX492" s="1"/>
      <c r="AY492" s="1"/>
      <c r="AZ492" s="1"/>
      <c r="BA492" s="1"/>
      <c r="BB492" s="1"/>
      <c r="BC492" s="1"/>
      <c r="BD492" s="2"/>
      <c r="BE492" s="1"/>
      <c r="BF492" s="1"/>
      <c r="BG492" s="1"/>
      <c r="BH492" s="1"/>
      <c r="BI492" s="1"/>
      <c r="BJ492" s="1"/>
      <c r="BK492" s="1"/>
      <c r="BL492" s="1"/>
      <c r="BM492" s="2"/>
      <c r="BN492" s="1"/>
      <c r="BO492" s="1"/>
      <c r="BP492" s="1"/>
      <c r="BQ492" s="1"/>
      <c r="BR492" s="1"/>
      <c r="BS492" s="1"/>
      <c r="BT492" s="1"/>
      <c r="BU492" s="1"/>
      <c r="BV492" s="2"/>
      <c r="BW492" s="1"/>
      <c r="BX492" s="1"/>
      <c r="BY492" s="1"/>
      <c r="BZ492" s="1"/>
      <c r="CA492" s="1"/>
      <c r="CB492" s="1"/>
      <c r="CC492" s="1"/>
      <c r="CD492" s="1"/>
      <c r="CE492" s="2"/>
      <c r="CF492" s="1"/>
      <c r="CG492" s="1"/>
      <c r="CH492" s="1"/>
      <c r="CI492" s="1"/>
      <c r="CJ492" s="1"/>
      <c r="CK492" s="1"/>
      <c r="CL492" s="1"/>
    </row>
    <row r="493" spans="1:90" ht="14.65" x14ac:dyDescent="0.4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2"/>
      <c r="L493" s="1"/>
      <c r="M493" s="1"/>
      <c r="N493" s="1"/>
      <c r="O493" s="1"/>
      <c r="P493" s="1"/>
      <c r="Q493" s="1"/>
      <c r="R493" s="1"/>
      <c r="S493" s="1"/>
      <c r="T493" s="2"/>
      <c r="U493" s="1"/>
      <c r="V493" s="1"/>
      <c r="W493" s="1"/>
      <c r="X493" s="1"/>
      <c r="Y493" s="1"/>
      <c r="Z493" s="1"/>
      <c r="AA493" s="1"/>
      <c r="AB493" s="1"/>
      <c r="AC493" s="2"/>
      <c r="AD493" s="1"/>
      <c r="AE493" s="1"/>
      <c r="AF493" s="1"/>
      <c r="AG493" s="1"/>
      <c r="AH493" s="1"/>
      <c r="AI493" s="1"/>
      <c r="AJ493" s="1"/>
      <c r="AK493" s="1"/>
      <c r="AL493" s="2"/>
      <c r="AM493" s="1"/>
      <c r="AN493" s="1"/>
      <c r="AO493" s="1"/>
      <c r="AP493" s="1"/>
      <c r="AQ493" s="1"/>
      <c r="AR493" s="1"/>
      <c r="AS493" s="1"/>
      <c r="AT493" s="1"/>
      <c r="AU493" s="2"/>
      <c r="AV493" s="1"/>
      <c r="AW493" s="1"/>
      <c r="AX493" s="1"/>
      <c r="AY493" s="1"/>
      <c r="AZ493" s="1"/>
      <c r="BA493" s="1"/>
      <c r="BB493" s="1"/>
      <c r="BC493" s="1"/>
      <c r="BD493" s="2"/>
      <c r="BE493" s="1"/>
      <c r="BF493" s="1"/>
      <c r="BG493" s="1"/>
      <c r="BH493" s="1"/>
      <c r="BI493" s="1"/>
      <c r="BJ493" s="1"/>
      <c r="BK493" s="1"/>
      <c r="BL493" s="1"/>
      <c r="BM493" s="2"/>
      <c r="BN493" s="1"/>
      <c r="BO493" s="1"/>
      <c r="BP493" s="1"/>
      <c r="BQ493" s="1"/>
      <c r="BR493" s="1"/>
      <c r="BS493" s="1"/>
      <c r="BT493" s="1"/>
      <c r="BU493" s="1"/>
      <c r="BV493" s="2"/>
      <c r="BW493" s="1"/>
      <c r="BX493" s="1"/>
      <c r="BY493" s="1"/>
      <c r="BZ493" s="1"/>
      <c r="CA493" s="1"/>
      <c r="CB493" s="1"/>
      <c r="CC493" s="1"/>
      <c r="CD493" s="1"/>
      <c r="CE493" s="2"/>
      <c r="CF493" s="1"/>
      <c r="CG493" s="1"/>
      <c r="CH493" s="1"/>
      <c r="CI493" s="1"/>
      <c r="CJ493" s="1"/>
      <c r="CK493" s="1"/>
      <c r="CL493" s="1"/>
    </row>
    <row r="494" spans="1:90" ht="14.65" x14ac:dyDescent="0.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2"/>
      <c r="L494" s="1"/>
      <c r="M494" s="1"/>
      <c r="N494" s="1"/>
      <c r="O494" s="1"/>
      <c r="P494" s="1"/>
      <c r="Q494" s="1"/>
      <c r="R494" s="1"/>
      <c r="S494" s="1"/>
      <c r="T494" s="2"/>
      <c r="U494" s="1"/>
      <c r="V494" s="1"/>
      <c r="W494" s="1"/>
      <c r="X494" s="1"/>
      <c r="Y494" s="1"/>
      <c r="Z494" s="1"/>
      <c r="AA494" s="1"/>
      <c r="AB494" s="1"/>
      <c r="AC494" s="2"/>
      <c r="AD494" s="1"/>
      <c r="AE494" s="1"/>
      <c r="AF494" s="1"/>
      <c r="AG494" s="1"/>
      <c r="AH494" s="1"/>
      <c r="AI494" s="1"/>
      <c r="AJ494" s="1"/>
      <c r="AK494" s="1"/>
      <c r="AL494" s="2"/>
      <c r="AM494" s="1"/>
      <c r="AN494" s="1"/>
      <c r="AO494" s="1"/>
      <c r="AP494" s="1"/>
      <c r="AQ494" s="1"/>
      <c r="AR494" s="1"/>
      <c r="AS494" s="1"/>
      <c r="AT494" s="1"/>
      <c r="AU494" s="2"/>
      <c r="AV494" s="1"/>
      <c r="AW494" s="1"/>
      <c r="AX494" s="1"/>
      <c r="AY494" s="1"/>
      <c r="AZ494" s="1"/>
      <c r="BA494" s="1"/>
      <c r="BB494" s="1"/>
      <c r="BC494" s="1"/>
      <c r="BD494" s="2"/>
      <c r="BE494" s="1"/>
      <c r="BF494" s="1"/>
      <c r="BG494" s="1"/>
      <c r="BH494" s="1"/>
      <c r="BI494" s="1"/>
      <c r="BJ494" s="1"/>
      <c r="BK494" s="1"/>
      <c r="BL494" s="1"/>
      <c r="BM494" s="2"/>
      <c r="BN494" s="1"/>
      <c r="BO494" s="1"/>
      <c r="BP494" s="1"/>
      <c r="BQ494" s="1"/>
      <c r="BR494" s="1"/>
      <c r="BS494" s="1"/>
      <c r="BT494" s="1"/>
      <c r="BU494" s="1"/>
      <c r="BV494" s="2"/>
      <c r="BW494" s="1"/>
      <c r="BX494" s="1"/>
      <c r="BY494" s="1"/>
      <c r="BZ494" s="1"/>
      <c r="CA494" s="1"/>
      <c r="CB494" s="1"/>
      <c r="CC494" s="1"/>
      <c r="CD494" s="1"/>
      <c r="CE494" s="2"/>
      <c r="CF494" s="1"/>
      <c r="CG494" s="1"/>
      <c r="CH494" s="1"/>
      <c r="CI494" s="1"/>
      <c r="CJ494" s="1"/>
      <c r="CK494" s="1"/>
      <c r="CL494" s="1"/>
    </row>
    <row r="495" spans="1:90" ht="14.65" x14ac:dyDescent="0.4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2"/>
      <c r="L495" s="1"/>
      <c r="M495" s="1"/>
      <c r="N495" s="1"/>
      <c r="O495" s="1"/>
      <c r="P495" s="1"/>
      <c r="Q495" s="1"/>
      <c r="R495" s="1"/>
      <c r="S495" s="1"/>
      <c r="T495" s="2"/>
      <c r="U495" s="1"/>
      <c r="V495" s="1"/>
      <c r="W495" s="1"/>
      <c r="X495" s="1"/>
      <c r="Y495" s="1"/>
      <c r="Z495" s="1"/>
      <c r="AA495" s="1"/>
      <c r="AB495" s="1"/>
      <c r="AC495" s="2"/>
      <c r="AD495" s="1"/>
      <c r="AE495" s="1"/>
      <c r="AF495" s="1"/>
      <c r="AG495" s="1"/>
      <c r="AH495" s="1"/>
      <c r="AI495" s="1"/>
      <c r="AJ495" s="1"/>
      <c r="AK495" s="1"/>
      <c r="AL495" s="2"/>
      <c r="AM495" s="1"/>
      <c r="AN495" s="1"/>
      <c r="AO495" s="1"/>
      <c r="AP495" s="1"/>
      <c r="AQ495" s="1"/>
      <c r="AR495" s="1"/>
      <c r="AS495" s="1"/>
      <c r="AT495" s="1"/>
      <c r="AU495" s="2"/>
      <c r="AV495" s="1"/>
      <c r="AW495" s="1"/>
      <c r="AX495" s="1"/>
      <c r="AY495" s="1"/>
      <c r="AZ495" s="1"/>
      <c r="BA495" s="1"/>
      <c r="BB495" s="1"/>
      <c r="BC495" s="1"/>
      <c r="BD495" s="2"/>
      <c r="BE495" s="1"/>
      <c r="BF495" s="1"/>
      <c r="BG495" s="1"/>
      <c r="BH495" s="1"/>
      <c r="BI495" s="1"/>
      <c r="BJ495" s="1"/>
      <c r="BK495" s="1"/>
      <c r="BL495" s="1"/>
      <c r="BM495" s="2"/>
      <c r="BN495" s="1"/>
      <c r="BO495" s="1"/>
      <c r="BP495" s="1"/>
      <c r="BQ495" s="1"/>
      <c r="BR495" s="1"/>
      <c r="BS495" s="1"/>
      <c r="BT495" s="1"/>
      <c r="BU495" s="1"/>
      <c r="BV495" s="2"/>
      <c r="BW495" s="1"/>
      <c r="BX495" s="1"/>
      <c r="BY495" s="1"/>
      <c r="BZ495" s="1"/>
      <c r="CA495" s="1"/>
      <c r="CB495" s="1"/>
      <c r="CC495" s="1"/>
      <c r="CD495" s="1"/>
      <c r="CE495" s="2"/>
      <c r="CF495" s="1"/>
      <c r="CG495" s="1"/>
      <c r="CH495" s="1"/>
      <c r="CI495" s="1"/>
      <c r="CJ495" s="1"/>
      <c r="CK495" s="1"/>
      <c r="CL495" s="1"/>
    </row>
    <row r="496" spans="1:90" ht="14.65" x14ac:dyDescent="0.4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2"/>
      <c r="L496" s="1"/>
      <c r="M496" s="1"/>
      <c r="N496" s="1"/>
      <c r="O496" s="1"/>
      <c r="P496" s="1"/>
      <c r="Q496" s="1"/>
      <c r="R496" s="1"/>
      <c r="S496" s="1"/>
      <c r="T496" s="2"/>
      <c r="U496" s="1"/>
      <c r="V496" s="1"/>
      <c r="W496" s="1"/>
      <c r="X496" s="1"/>
      <c r="Y496" s="1"/>
      <c r="Z496" s="1"/>
      <c r="AA496" s="1"/>
      <c r="AB496" s="1"/>
      <c r="AC496" s="2"/>
      <c r="AD496" s="1"/>
      <c r="AE496" s="1"/>
      <c r="AF496" s="1"/>
      <c r="AG496" s="1"/>
      <c r="AH496" s="1"/>
      <c r="AI496" s="1"/>
      <c r="AJ496" s="1"/>
      <c r="AK496" s="1"/>
      <c r="AL496" s="2"/>
      <c r="AM496" s="1"/>
      <c r="AN496" s="1"/>
      <c r="AO496" s="1"/>
      <c r="AP496" s="1"/>
      <c r="AQ496" s="1"/>
      <c r="AR496" s="1"/>
      <c r="AS496" s="1"/>
      <c r="AT496" s="1"/>
      <c r="AU496" s="2"/>
      <c r="AV496" s="1"/>
      <c r="AW496" s="1"/>
      <c r="AX496" s="1"/>
      <c r="AY496" s="1"/>
      <c r="AZ496" s="1"/>
      <c r="BA496" s="1"/>
      <c r="BB496" s="1"/>
      <c r="BC496" s="1"/>
      <c r="BD496" s="2"/>
      <c r="BE496" s="1"/>
      <c r="BF496" s="1"/>
      <c r="BG496" s="1"/>
      <c r="BH496" s="1"/>
      <c r="BI496" s="1"/>
      <c r="BJ496" s="1"/>
      <c r="BK496" s="1"/>
      <c r="BL496" s="1"/>
      <c r="BM496" s="2"/>
      <c r="BN496" s="1"/>
      <c r="BO496" s="1"/>
      <c r="BP496" s="1"/>
      <c r="BQ496" s="1"/>
      <c r="BR496" s="1"/>
      <c r="BS496" s="1"/>
      <c r="BT496" s="1"/>
      <c r="BU496" s="1"/>
      <c r="BV496" s="2"/>
      <c r="BW496" s="1"/>
      <c r="BX496" s="1"/>
      <c r="BY496" s="1"/>
      <c r="BZ496" s="1"/>
      <c r="CA496" s="1"/>
      <c r="CB496" s="1"/>
      <c r="CC496" s="1"/>
      <c r="CD496" s="1"/>
      <c r="CE496" s="2"/>
      <c r="CF496" s="1"/>
      <c r="CG496" s="1"/>
      <c r="CH496" s="1"/>
      <c r="CI496" s="1"/>
      <c r="CJ496" s="1"/>
      <c r="CK496" s="1"/>
      <c r="CL496" s="1"/>
    </row>
    <row r="497" spans="1:90" ht="14.65" x14ac:dyDescent="0.4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2"/>
      <c r="L497" s="1"/>
      <c r="M497" s="1"/>
      <c r="N497" s="1"/>
      <c r="O497" s="1"/>
      <c r="P497" s="1"/>
      <c r="Q497" s="1"/>
      <c r="R497" s="1"/>
      <c r="S497" s="1"/>
      <c r="T497" s="2"/>
      <c r="U497" s="1"/>
      <c r="V497" s="1"/>
      <c r="W497" s="1"/>
      <c r="X497" s="1"/>
      <c r="Y497" s="1"/>
      <c r="Z497" s="1"/>
      <c r="AA497" s="1"/>
      <c r="AB497" s="1"/>
      <c r="AC497" s="2"/>
      <c r="AD497" s="1"/>
      <c r="AE497" s="1"/>
      <c r="AF497" s="1"/>
      <c r="AG497" s="1"/>
      <c r="AH497" s="1"/>
      <c r="AI497" s="1"/>
      <c r="AJ497" s="1"/>
      <c r="AK497" s="1"/>
      <c r="AL497" s="2"/>
      <c r="AM497" s="1"/>
      <c r="AN497" s="1"/>
      <c r="AO497" s="1"/>
      <c r="AP497" s="1"/>
      <c r="AQ497" s="1"/>
      <c r="AR497" s="1"/>
      <c r="AS497" s="1"/>
      <c r="AT497" s="1"/>
      <c r="AU497" s="2"/>
      <c r="AV497" s="1"/>
      <c r="AW497" s="1"/>
      <c r="AX497" s="1"/>
      <c r="AY497" s="1"/>
      <c r="AZ497" s="1"/>
      <c r="BA497" s="1"/>
      <c r="BB497" s="1"/>
      <c r="BC497" s="1"/>
      <c r="BD497" s="2"/>
      <c r="BE497" s="1"/>
      <c r="BF497" s="1"/>
      <c r="BG497" s="1"/>
      <c r="BH497" s="1"/>
      <c r="BI497" s="1"/>
      <c r="BJ497" s="1"/>
      <c r="BK497" s="1"/>
      <c r="BL497" s="1"/>
      <c r="BM497" s="2"/>
      <c r="BN497" s="1"/>
      <c r="BO497" s="1"/>
      <c r="BP497" s="1"/>
      <c r="BQ497" s="1"/>
      <c r="BR497" s="1"/>
      <c r="BS497" s="1"/>
      <c r="BT497" s="1"/>
      <c r="BU497" s="1"/>
      <c r="BV497" s="2"/>
      <c r="BW497" s="1"/>
      <c r="BX497" s="1"/>
      <c r="BY497" s="1"/>
      <c r="BZ497" s="1"/>
      <c r="CA497" s="1"/>
      <c r="CB497" s="1"/>
      <c r="CC497" s="1"/>
      <c r="CD497" s="1"/>
      <c r="CE497" s="2"/>
      <c r="CF497" s="1"/>
      <c r="CG497" s="1"/>
      <c r="CH497" s="1"/>
      <c r="CI497" s="1"/>
      <c r="CJ497" s="1"/>
      <c r="CK497" s="1"/>
      <c r="CL497" s="1"/>
    </row>
    <row r="498" spans="1:90" ht="14.65" x14ac:dyDescent="0.4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2"/>
      <c r="L498" s="1"/>
      <c r="M498" s="1"/>
      <c r="N498" s="1"/>
      <c r="O498" s="1"/>
      <c r="P498" s="1"/>
      <c r="Q498" s="1"/>
      <c r="R498" s="1"/>
      <c r="S498" s="1"/>
      <c r="T498" s="2"/>
      <c r="U498" s="1"/>
      <c r="V498" s="1"/>
      <c r="W498" s="1"/>
      <c r="X498" s="1"/>
      <c r="Y498" s="1"/>
      <c r="Z498" s="1"/>
      <c r="AA498" s="1"/>
      <c r="AB498" s="1"/>
      <c r="AC498" s="2"/>
      <c r="AD498" s="1"/>
      <c r="AE498" s="1"/>
      <c r="AF498" s="1"/>
      <c r="AG498" s="1"/>
      <c r="AH498" s="1"/>
      <c r="AI498" s="1"/>
      <c r="AJ498" s="1"/>
      <c r="AK498" s="1"/>
      <c r="AL498" s="2"/>
      <c r="AM498" s="1"/>
      <c r="AN498" s="1"/>
      <c r="AO498" s="1"/>
      <c r="AP498" s="1"/>
      <c r="AQ498" s="1"/>
      <c r="AR498" s="1"/>
      <c r="AS498" s="1"/>
      <c r="AT498" s="1"/>
      <c r="AU498" s="2"/>
      <c r="AV498" s="1"/>
      <c r="AW498" s="1"/>
      <c r="AX498" s="1"/>
      <c r="AY498" s="1"/>
      <c r="AZ498" s="1"/>
      <c r="BA498" s="1"/>
      <c r="BB498" s="1"/>
      <c r="BC498" s="1"/>
      <c r="BD498" s="2"/>
      <c r="BE498" s="1"/>
      <c r="BF498" s="1"/>
      <c r="BG498" s="1"/>
      <c r="BH498" s="1"/>
      <c r="BI498" s="1"/>
      <c r="BJ498" s="1"/>
      <c r="BK498" s="1"/>
      <c r="BL498" s="1"/>
      <c r="BM498" s="2"/>
      <c r="BN498" s="1"/>
      <c r="BO498" s="1"/>
      <c r="BP498" s="1"/>
      <c r="BQ498" s="1"/>
      <c r="BR498" s="1"/>
      <c r="BS498" s="1"/>
      <c r="BT498" s="1"/>
      <c r="BU498" s="1"/>
      <c r="BV498" s="2"/>
      <c r="BW498" s="1"/>
      <c r="BX498" s="1"/>
      <c r="BY498" s="1"/>
      <c r="BZ498" s="1"/>
      <c r="CA498" s="1"/>
      <c r="CB498" s="1"/>
      <c r="CC498" s="1"/>
      <c r="CD498" s="1"/>
      <c r="CE498" s="2"/>
      <c r="CF498" s="1"/>
      <c r="CG498" s="1"/>
      <c r="CH498" s="1"/>
      <c r="CI498" s="1"/>
      <c r="CJ498" s="1"/>
      <c r="CK498" s="1"/>
      <c r="CL498" s="1"/>
    </row>
    <row r="499" spans="1:90" ht="14.65" x14ac:dyDescent="0.4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2"/>
      <c r="L499" s="1"/>
      <c r="M499" s="1"/>
      <c r="N499" s="1"/>
      <c r="O499" s="1"/>
      <c r="P499" s="1"/>
      <c r="Q499" s="1"/>
      <c r="R499" s="1"/>
      <c r="S499" s="1"/>
      <c r="T499" s="2"/>
      <c r="U499" s="1"/>
      <c r="V499" s="1"/>
      <c r="W499" s="1"/>
      <c r="X499" s="1"/>
      <c r="Y499" s="1"/>
      <c r="Z499" s="1"/>
      <c r="AA499" s="1"/>
      <c r="AB499" s="1"/>
      <c r="AC499" s="2"/>
      <c r="AD499" s="1"/>
      <c r="AE499" s="1"/>
      <c r="AF499" s="1"/>
      <c r="AG499" s="1"/>
      <c r="AH499" s="1"/>
      <c r="AI499" s="1"/>
      <c r="AJ499" s="1"/>
      <c r="AK499" s="1"/>
      <c r="AL499" s="2"/>
      <c r="AM499" s="1"/>
      <c r="AN499" s="1"/>
      <c r="AO499" s="1"/>
      <c r="AP499" s="1"/>
      <c r="AQ499" s="1"/>
      <c r="AR499" s="1"/>
      <c r="AS499" s="1"/>
      <c r="AT499" s="1"/>
      <c r="AU499" s="2"/>
      <c r="AV499" s="1"/>
      <c r="AW499" s="1"/>
      <c r="AX499" s="1"/>
      <c r="AY499" s="1"/>
      <c r="AZ499" s="1"/>
      <c r="BA499" s="1"/>
      <c r="BB499" s="1"/>
      <c r="BC499" s="1"/>
      <c r="BD499" s="2"/>
      <c r="BE499" s="1"/>
      <c r="BF499" s="1"/>
      <c r="BG499" s="1"/>
      <c r="BH499" s="1"/>
      <c r="BI499" s="1"/>
      <c r="BJ499" s="1"/>
      <c r="BK499" s="1"/>
      <c r="BL499" s="1"/>
      <c r="BM499" s="2"/>
      <c r="BN499" s="1"/>
      <c r="BO499" s="1"/>
      <c r="BP499" s="1"/>
      <c r="BQ499" s="1"/>
      <c r="BR499" s="1"/>
      <c r="BS499" s="1"/>
      <c r="BT499" s="1"/>
      <c r="BU499" s="1"/>
      <c r="BV499" s="2"/>
      <c r="BW499" s="1"/>
      <c r="BX499" s="1"/>
      <c r="BY499" s="1"/>
      <c r="BZ499" s="1"/>
      <c r="CA499" s="1"/>
      <c r="CB499" s="1"/>
      <c r="CC499" s="1"/>
      <c r="CD499" s="1"/>
      <c r="CE499" s="2"/>
      <c r="CF499" s="1"/>
      <c r="CG499" s="1"/>
      <c r="CH499" s="1"/>
      <c r="CI499" s="1"/>
      <c r="CJ499" s="1"/>
      <c r="CK499" s="1"/>
      <c r="CL499" s="1"/>
    </row>
    <row r="500" spans="1:90" ht="14.65" x14ac:dyDescent="0.4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2"/>
      <c r="L500" s="1"/>
      <c r="M500" s="1"/>
      <c r="N500" s="1"/>
      <c r="O500" s="1"/>
      <c r="P500" s="1"/>
      <c r="Q500" s="1"/>
      <c r="R500" s="1"/>
      <c r="S500" s="1"/>
      <c r="T500" s="2"/>
      <c r="U500" s="1"/>
      <c r="V500" s="1"/>
      <c r="W500" s="1"/>
      <c r="X500" s="1"/>
      <c r="Y500" s="1"/>
      <c r="Z500" s="1"/>
      <c r="AA500" s="1"/>
      <c r="AB500" s="1"/>
      <c r="AC500" s="2"/>
      <c r="AD500" s="1"/>
      <c r="AE500" s="1"/>
      <c r="AF500" s="1"/>
      <c r="AG500" s="1"/>
      <c r="AH500" s="1"/>
      <c r="AI500" s="1"/>
      <c r="AJ500" s="1"/>
      <c r="AK500" s="1"/>
      <c r="AL500" s="2"/>
      <c r="AM500" s="1"/>
      <c r="AN500" s="1"/>
      <c r="AO500" s="1"/>
      <c r="AP500" s="1"/>
      <c r="AQ500" s="1"/>
      <c r="AR500" s="1"/>
      <c r="AS500" s="1"/>
      <c r="AT500" s="1"/>
      <c r="AU500" s="2"/>
      <c r="AV500" s="1"/>
      <c r="AW500" s="1"/>
      <c r="AX500" s="1"/>
      <c r="AY500" s="1"/>
      <c r="AZ500" s="1"/>
      <c r="BA500" s="1"/>
      <c r="BB500" s="1"/>
      <c r="BC500" s="1"/>
      <c r="BD500" s="2"/>
      <c r="BE500" s="1"/>
      <c r="BF500" s="1"/>
      <c r="BG500" s="1"/>
      <c r="BH500" s="1"/>
      <c r="BI500" s="1"/>
      <c r="BJ500" s="1"/>
      <c r="BK500" s="1"/>
      <c r="BL500" s="1"/>
      <c r="BM500" s="2"/>
      <c r="BN500" s="1"/>
      <c r="BO500" s="1"/>
      <c r="BP500" s="1"/>
      <c r="BQ500" s="1"/>
      <c r="BR500" s="1"/>
      <c r="BS500" s="1"/>
      <c r="BT500" s="1"/>
      <c r="BU500" s="1"/>
      <c r="BV500" s="2"/>
      <c r="BW500" s="1"/>
      <c r="BX500" s="1"/>
      <c r="BY500" s="1"/>
      <c r="BZ500" s="1"/>
      <c r="CA500" s="1"/>
      <c r="CB500" s="1"/>
      <c r="CC500" s="1"/>
      <c r="CD500" s="1"/>
      <c r="CE500" s="2"/>
      <c r="CF500" s="1"/>
      <c r="CG500" s="1"/>
      <c r="CH500" s="1"/>
      <c r="CI500" s="1"/>
      <c r="CJ500" s="1"/>
      <c r="CK500" s="1"/>
      <c r="CL500" s="1"/>
    </row>
    <row r="501" spans="1:90" ht="14.65" x14ac:dyDescent="0.4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2"/>
      <c r="L501" s="1"/>
      <c r="M501" s="1"/>
      <c r="N501" s="1"/>
      <c r="O501" s="1"/>
      <c r="P501" s="1"/>
      <c r="Q501" s="1"/>
      <c r="R501" s="1"/>
      <c r="S501" s="1"/>
      <c r="T501" s="2"/>
      <c r="U501" s="1"/>
      <c r="V501" s="1"/>
      <c r="W501" s="1"/>
      <c r="X501" s="1"/>
      <c r="Y501" s="1"/>
      <c r="Z501" s="1"/>
      <c r="AA501" s="1"/>
      <c r="AB501" s="1"/>
      <c r="AC501" s="2"/>
      <c r="AD501" s="1"/>
      <c r="AE501" s="1"/>
      <c r="AF501" s="1"/>
      <c r="AG501" s="1"/>
      <c r="AH501" s="1"/>
      <c r="AI501" s="1"/>
      <c r="AJ501" s="1"/>
      <c r="AK501" s="1"/>
      <c r="AL501" s="2"/>
      <c r="AM501" s="1"/>
      <c r="AN501" s="1"/>
      <c r="AO501" s="1"/>
      <c r="AP501" s="1"/>
      <c r="AQ501" s="1"/>
      <c r="AR501" s="1"/>
      <c r="AS501" s="1"/>
      <c r="AT501" s="1"/>
      <c r="AU501" s="2"/>
      <c r="AV501" s="1"/>
      <c r="AW501" s="1"/>
      <c r="AX501" s="1"/>
      <c r="AY501" s="1"/>
      <c r="AZ501" s="1"/>
      <c r="BA501" s="1"/>
      <c r="BB501" s="1"/>
      <c r="BC501" s="1"/>
      <c r="BD501" s="2"/>
      <c r="BE501" s="1"/>
      <c r="BF501" s="1"/>
      <c r="BG501" s="1"/>
      <c r="BH501" s="1"/>
      <c r="BI501" s="1"/>
      <c r="BJ501" s="1"/>
      <c r="BK501" s="1"/>
      <c r="BL501" s="1"/>
      <c r="BM501" s="2"/>
      <c r="BN501" s="1"/>
      <c r="BO501" s="1"/>
      <c r="BP501" s="1"/>
      <c r="BQ501" s="1"/>
      <c r="BR501" s="1"/>
      <c r="BS501" s="1"/>
      <c r="BT501" s="1"/>
      <c r="BU501" s="1"/>
      <c r="BV501" s="2"/>
      <c r="BW501" s="1"/>
      <c r="BX501" s="1"/>
      <c r="BY501" s="1"/>
      <c r="BZ501" s="1"/>
      <c r="CA501" s="1"/>
      <c r="CB501" s="1"/>
      <c r="CC501" s="1"/>
      <c r="CD501" s="1"/>
      <c r="CE501" s="2"/>
      <c r="CF501" s="1"/>
      <c r="CG501" s="1"/>
      <c r="CH501" s="1"/>
      <c r="CI501" s="1"/>
      <c r="CJ501" s="1"/>
      <c r="CK501" s="1"/>
      <c r="CL501" s="1"/>
    </row>
    <row r="502" spans="1:90" ht="14.65" x14ac:dyDescent="0.4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2"/>
      <c r="L502" s="1"/>
      <c r="M502" s="1"/>
      <c r="N502" s="1"/>
      <c r="O502" s="1"/>
      <c r="P502" s="1"/>
      <c r="Q502" s="1"/>
      <c r="R502" s="1"/>
      <c r="S502" s="1"/>
      <c r="T502" s="2"/>
      <c r="U502" s="1"/>
      <c r="V502" s="1"/>
      <c r="W502" s="1"/>
      <c r="X502" s="1"/>
      <c r="Y502" s="1"/>
      <c r="Z502" s="1"/>
      <c r="AA502" s="1"/>
      <c r="AB502" s="1"/>
      <c r="AC502" s="2"/>
      <c r="AD502" s="1"/>
      <c r="AE502" s="1"/>
      <c r="AF502" s="1"/>
      <c r="AG502" s="1"/>
      <c r="AH502" s="1"/>
      <c r="AI502" s="1"/>
      <c r="AJ502" s="1"/>
      <c r="AK502" s="1"/>
      <c r="AL502" s="2"/>
      <c r="AM502" s="1"/>
      <c r="AN502" s="1"/>
      <c r="AO502" s="1"/>
      <c r="AP502" s="1"/>
      <c r="AQ502" s="1"/>
      <c r="AR502" s="1"/>
      <c r="AS502" s="1"/>
      <c r="AT502" s="1"/>
      <c r="AU502" s="2"/>
      <c r="AV502" s="1"/>
      <c r="AW502" s="1"/>
      <c r="AX502" s="1"/>
      <c r="AY502" s="1"/>
      <c r="AZ502" s="1"/>
      <c r="BA502" s="1"/>
      <c r="BB502" s="1"/>
      <c r="BC502" s="1"/>
      <c r="BD502" s="2"/>
      <c r="BE502" s="1"/>
      <c r="BF502" s="1"/>
      <c r="BG502" s="1"/>
      <c r="BH502" s="1"/>
      <c r="BI502" s="1"/>
      <c r="BJ502" s="1"/>
      <c r="BK502" s="1"/>
      <c r="BL502" s="1"/>
      <c r="BM502" s="2"/>
      <c r="BN502" s="1"/>
      <c r="BO502" s="1"/>
      <c r="BP502" s="1"/>
      <c r="BQ502" s="1"/>
      <c r="BR502" s="1"/>
      <c r="BS502" s="1"/>
      <c r="BT502" s="1"/>
      <c r="BU502" s="1"/>
      <c r="BV502" s="2"/>
      <c r="BW502" s="1"/>
      <c r="BX502" s="1"/>
      <c r="BY502" s="1"/>
      <c r="BZ502" s="1"/>
      <c r="CA502" s="1"/>
      <c r="CB502" s="1"/>
      <c r="CC502" s="1"/>
      <c r="CD502" s="1"/>
      <c r="CE502" s="2"/>
      <c r="CF502" s="1"/>
      <c r="CG502" s="1"/>
      <c r="CH502" s="1"/>
      <c r="CI502" s="1"/>
      <c r="CJ502" s="1"/>
      <c r="CK502" s="1"/>
      <c r="CL502" s="1"/>
    </row>
    <row r="503" spans="1:90" ht="14.65" x14ac:dyDescent="0.4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2"/>
      <c r="L503" s="1"/>
      <c r="M503" s="1"/>
      <c r="N503" s="1"/>
      <c r="O503" s="1"/>
      <c r="P503" s="1"/>
      <c r="Q503" s="1"/>
      <c r="R503" s="1"/>
      <c r="S503" s="1"/>
      <c r="T503" s="2"/>
      <c r="U503" s="1"/>
      <c r="V503" s="1"/>
      <c r="W503" s="1"/>
      <c r="X503" s="1"/>
      <c r="Y503" s="1"/>
      <c r="Z503" s="1"/>
      <c r="AA503" s="1"/>
      <c r="AB503" s="1"/>
      <c r="AC503" s="2"/>
      <c r="AD503" s="1"/>
      <c r="AE503" s="1"/>
      <c r="AF503" s="1"/>
      <c r="AG503" s="1"/>
      <c r="AH503" s="1"/>
      <c r="AI503" s="1"/>
      <c r="AJ503" s="1"/>
      <c r="AK503" s="1"/>
      <c r="AL503" s="2"/>
      <c r="AM503" s="1"/>
      <c r="AN503" s="1"/>
      <c r="AO503" s="1"/>
      <c r="AP503" s="1"/>
      <c r="AQ503" s="1"/>
      <c r="AR503" s="1"/>
      <c r="AS503" s="1"/>
      <c r="AT503" s="1"/>
      <c r="AU503" s="2"/>
      <c r="AV503" s="1"/>
      <c r="AW503" s="1"/>
      <c r="AX503" s="1"/>
      <c r="AY503" s="1"/>
      <c r="AZ503" s="1"/>
      <c r="BA503" s="1"/>
      <c r="BB503" s="1"/>
      <c r="BC503" s="1"/>
      <c r="BD503" s="2"/>
      <c r="BE503" s="1"/>
      <c r="BF503" s="1"/>
      <c r="BG503" s="1"/>
      <c r="BH503" s="1"/>
      <c r="BI503" s="1"/>
      <c r="BJ503" s="1"/>
      <c r="BK503" s="1"/>
      <c r="BL503" s="1"/>
      <c r="BM503" s="2"/>
      <c r="BN503" s="1"/>
      <c r="BO503" s="1"/>
      <c r="BP503" s="1"/>
      <c r="BQ503" s="1"/>
      <c r="BR503" s="1"/>
      <c r="BS503" s="1"/>
      <c r="BT503" s="1"/>
      <c r="BU503" s="1"/>
      <c r="BV503" s="2"/>
      <c r="BW503" s="1"/>
      <c r="BX503" s="1"/>
      <c r="BY503" s="1"/>
      <c r="BZ503" s="1"/>
      <c r="CA503" s="1"/>
      <c r="CB503" s="1"/>
      <c r="CC503" s="1"/>
      <c r="CD503" s="1"/>
      <c r="CE503" s="2"/>
      <c r="CF503" s="1"/>
      <c r="CG503" s="1"/>
      <c r="CH503" s="1"/>
      <c r="CI503" s="1"/>
      <c r="CJ503" s="1"/>
      <c r="CK503" s="1"/>
      <c r="CL503" s="1"/>
    </row>
    <row r="504" spans="1:90" ht="14.65" x14ac:dyDescent="0.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2"/>
      <c r="L504" s="1"/>
      <c r="M504" s="3"/>
      <c r="N504" s="1"/>
      <c r="O504" s="1"/>
      <c r="P504" s="1"/>
      <c r="Q504" s="1"/>
      <c r="R504" s="1"/>
      <c r="S504" s="1"/>
      <c r="T504" s="2"/>
      <c r="U504" s="1"/>
      <c r="V504" s="1"/>
      <c r="W504" s="1"/>
      <c r="X504" s="1"/>
      <c r="Y504" s="1"/>
      <c r="Z504" s="1"/>
      <c r="AA504" s="1"/>
      <c r="AB504" s="1"/>
      <c r="AC504" s="2"/>
      <c r="AD504" s="1"/>
      <c r="AE504" s="1"/>
      <c r="AF504" s="1"/>
      <c r="AG504" s="1"/>
      <c r="AH504" s="1"/>
      <c r="AI504" s="1"/>
      <c r="AJ504" s="1"/>
      <c r="AK504" s="1"/>
      <c r="AL504" s="2"/>
      <c r="AM504" s="1"/>
      <c r="AN504" s="1"/>
      <c r="AO504" s="1"/>
      <c r="AP504" s="1"/>
      <c r="AQ504" s="1"/>
      <c r="AR504" s="1"/>
      <c r="AS504" s="1"/>
      <c r="AT504" s="1"/>
      <c r="AU504" s="2"/>
      <c r="AV504" s="1"/>
      <c r="AW504" s="1"/>
      <c r="AX504" s="1"/>
      <c r="AY504" s="1"/>
      <c r="AZ504" s="1"/>
      <c r="BA504" s="1"/>
      <c r="BB504" s="1"/>
      <c r="BC504" s="1"/>
      <c r="BD504" s="2"/>
      <c r="BE504" s="1"/>
      <c r="BF504" s="1"/>
      <c r="BG504" s="1"/>
      <c r="BH504" s="1"/>
      <c r="BI504" s="1"/>
      <c r="BJ504" s="1"/>
      <c r="BK504" s="1"/>
      <c r="BL504" s="1"/>
      <c r="BM504" s="2"/>
      <c r="BN504" s="1"/>
      <c r="BO504" s="1"/>
      <c r="BP504" s="1"/>
      <c r="BQ504" s="1"/>
      <c r="BR504" s="1"/>
      <c r="BS504" s="1"/>
      <c r="BT504" s="1"/>
      <c r="BU504" s="1"/>
      <c r="BV504" s="2"/>
      <c r="BW504" s="1"/>
      <c r="BX504" s="1"/>
      <c r="BY504" s="1"/>
      <c r="BZ504" s="1"/>
      <c r="CA504" s="1"/>
      <c r="CB504" s="1"/>
      <c r="CC504" s="1"/>
      <c r="CD504" s="1"/>
      <c r="CE504" s="2"/>
      <c r="CF504" s="1"/>
      <c r="CG504" s="1"/>
      <c r="CH504" s="1"/>
      <c r="CI504" s="1"/>
      <c r="CJ504" s="1"/>
      <c r="CK504" s="1"/>
      <c r="CL504" s="1"/>
    </row>
    <row r="505" spans="1:90" ht="14.65" x14ac:dyDescent="0.4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2"/>
      <c r="L505" s="1"/>
      <c r="M505" s="1"/>
      <c r="N505" s="1"/>
      <c r="O505" s="1"/>
      <c r="P505" s="1"/>
      <c r="Q505" s="1"/>
      <c r="R505" s="1"/>
      <c r="S505" s="1"/>
      <c r="T505" s="2"/>
      <c r="U505" s="1"/>
      <c r="V505" s="1"/>
      <c r="W505" s="1"/>
      <c r="X505" s="1"/>
      <c r="Y505" s="1"/>
      <c r="Z505" s="1"/>
      <c r="AA505" s="1"/>
      <c r="AB505" s="1"/>
      <c r="AC505" s="2"/>
      <c r="AD505" s="1"/>
      <c r="AE505" s="1"/>
      <c r="AF505" s="1"/>
      <c r="AG505" s="1"/>
      <c r="AH505" s="1"/>
      <c r="AI505" s="1"/>
      <c r="AJ505" s="1"/>
      <c r="AK505" s="1"/>
      <c r="AL505" s="2"/>
      <c r="AM505" s="1"/>
      <c r="AN505" s="1"/>
      <c r="AO505" s="1"/>
      <c r="AP505" s="1"/>
      <c r="AQ505" s="1"/>
      <c r="AR505" s="1"/>
      <c r="AS505" s="1"/>
      <c r="AT505" s="1"/>
      <c r="AU505" s="2"/>
      <c r="AV505" s="1"/>
      <c r="AW505" s="1"/>
      <c r="AX505" s="1"/>
      <c r="AY505" s="1"/>
      <c r="AZ505" s="1"/>
      <c r="BA505" s="1"/>
      <c r="BB505" s="1"/>
      <c r="BC505" s="1"/>
      <c r="BD505" s="2"/>
      <c r="BE505" s="1"/>
      <c r="BF505" s="1"/>
      <c r="BG505" s="1"/>
      <c r="BH505" s="1"/>
      <c r="BI505" s="1"/>
      <c r="BJ505" s="1"/>
      <c r="BK505" s="1"/>
      <c r="BL505" s="1"/>
      <c r="BM505" s="2"/>
      <c r="BN505" s="1"/>
      <c r="BO505" s="1"/>
      <c r="BP505" s="1"/>
      <c r="BQ505" s="1"/>
      <c r="BR505" s="1"/>
      <c r="BS505" s="1"/>
      <c r="BT505" s="1"/>
      <c r="BU505" s="1"/>
      <c r="BV505" s="2"/>
      <c r="BW505" s="1"/>
      <c r="BX505" s="1"/>
      <c r="BY505" s="1"/>
      <c r="BZ505" s="1"/>
      <c r="CA505" s="1"/>
      <c r="CB505" s="1"/>
      <c r="CC505" s="1"/>
      <c r="CD505" s="1"/>
      <c r="CE505" s="2"/>
      <c r="CF505" s="1"/>
      <c r="CG505" s="1"/>
      <c r="CH505" s="1"/>
      <c r="CI505" s="1"/>
      <c r="CJ505" s="1"/>
      <c r="CK505" s="1"/>
      <c r="CL505" s="1"/>
    </row>
    <row r="506" spans="1:90" ht="14.65" x14ac:dyDescent="0.4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2"/>
      <c r="L506" s="1"/>
      <c r="M506" s="1"/>
      <c r="N506" s="1"/>
      <c r="O506" s="1"/>
      <c r="P506" s="1"/>
      <c r="Q506" s="1"/>
      <c r="R506" s="1"/>
      <c r="S506" s="1"/>
      <c r="T506" s="2"/>
      <c r="U506" s="1"/>
      <c r="V506" s="1"/>
      <c r="W506" s="1"/>
      <c r="X506" s="1"/>
      <c r="Y506" s="1"/>
      <c r="Z506" s="1"/>
      <c r="AA506" s="1"/>
      <c r="AB506" s="1"/>
      <c r="AC506" s="2"/>
      <c r="AD506" s="1"/>
      <c r="AE506" s="1"/>
      <c r="AF506" s="1"/>
      <c r="AG506" s="1"/>
      <c r="AH506" s="1"/>
      <c r="AI506" s="1"/>
      <c r="AJ506" s="1"/>
      <c r="AK506" s="1"/>
      <c r="AL506" s="2"/>
      <c r="AM506" s="1"/>
      <c r="AN506" s="1"/>
      <c r="AO506" s="1"/>
      <c r="AP506" s="1"/>
      <c r="AQ506" s="1"/>
      <c r="AR506" s="1"/>
      <c r="AS506" s="1"/>
      <c r="AT506" s="1"/>
      <c r="AU506" s="2"/>
      <c r="AV506" s="1"/>
      <c r="AW506" s="1"/>
      <c r="AX506" s="1"/>
      <c r="AY506" s="1"/>
      <c r="AZ506" s="1"/>
      <c r="BA506" s="1"/>
      <c r="BB506" s="1"/>
      <c r="BC506" s="1"/>
      <c r="BD506" s="2"/>
      <c r="BE506" s="1"/>
      <c r="BF506" s="1"/>
      <c r="BG506" s="1"/>
      <c r="BH506" s="1"/>
      <c r="BI506" s="1"/>
      <c r="BJ506" s="1"/>
      <c r="BK506" s="1"/>
      <c r="BL506" s="1"/>
      <c r="BM506" s="2"/>
      <c r="BN506" s="1"/>
      <c r="BO506" s="1"/>
      <c r="BP506" s="1"/>
      <c r="BQ506" s="1"/>
      <c r="BR506" s="1"/>
      <c r="BS506" s="1"/>
      <c r="BT506" s="1"/>
      <c r="BU506" s="1"/>
      <c r="BV506" s="2"/>
      <c r="BW506" s="1"/>
      <c r="BX506" s="1"/>
      <c r="BY506" s="1"/>
      <c r="BZ506" s="1"/>
      <c r="CA506" s="1"/>
      <c r="CB506" s="1"/>
      <c r="CC506" s="1"/>
      <c r="CD506" s="1"/>
      <c r="CE506" s="2"/>
      <c r="CF506" s="1"/>
      <c r="CG506" s="1"/>
      <c r="CH506" s="1"/>
      <c r="CI506" s="1"/>
      <c r="CJ506" s="1"/>
      <c r="CK506" s="1"/>
      <c r="CL506" s="1"/>
    </row>
    <row r="507" spans="1:90" ht="14.65" x14ac:dyDescent="0.4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2"/>
      <c r="L507" s="1"/>
      <c r="M507" s="1"/>
      <c r="N507" s="1"/>
      <c r="O507" s="1"/>
      <c r="P507" s="1"/>
      <c r="Q507" s="1"/>
      <c r="R507" s="1"/>
      <c r="S507" s="1"/>
      <c r="T507" s="2"/>
      <c r="U507" s="1"/>
      <c r="V507" s="1"/>
      <c r="W507" s="1"/>
      <c r="X507" s="1"/>
      <c r="Y507" s="1"/>
      <c r="Z507" s="1"/>
      <c r="AA507" s="1"/>
      <c r="AB507" s="1"/>
      <c r="AC507" s="2"/>
      <c r="AD507" s="1"/>
      <c r="AE507" s="1"/>
      <c r="AF507" s="1"/>
      <c r="AG507" s="1"/>
      <c r="AH507" s="1"/>
      <c r="AI507" s="1"/>
      <c r="AJ507" s="1"/>
      <c r="AK507" s="1"/>
      <c r="AL507" s="2"/>
      <c r="AM507" s="1"/>
      <c r="AN507" s="1"/>
      <c r="AO507" s="1"/>
      <c r="AP507" s="1"/>
      <c r="AQ507" s="1"/>
      <c r="AR507" s="1"/>
      <c r="AS507" s="1"/>
      <c r="AT507" s="1"/>
      <c r="AU507" s="2"/>
      <c r="AV507" s="1"/>
      <c r="AW507" s="1"/>
      <c r="AX507" s="1"/>
      <c r="AY507" s="1"/>
      <c r="AZ507" s="1"/>
      <c r="BA507" s="1"/>
      <c r="BB507" s="1"/>
      <c r="BC507" s="1"/>
      <c r="BD507" s="2"/>
      <c r="BE507" s="1"/>
      <c r="BF507" s="1"/>
      <c r="BG507" s="1"/>
      <c r="BH507" s="1"/>
      <c r="BI507" s="1"/>
      <c r="BJ507" s="1"/>
      <c r="BK507" s="1"/>
      <c r="BL507" s="1"/>
      <c r="BM507" s="2"/>
      <c r="BN507" s="1"/>
      <c r="BO507" s="1"/>
      <c r="BP507" s="1"/>
      <c r="BQ507" s="1"/>
      <c r="BR507" s="1"/>
      <c r="BS507" s="1"/>
      <c r="BT507" s="1"/>
      <c r="BU507" s="1"/>
      <c r="BV507" s="2"/>
      <c r="BW507" s="1"/>
      <c r="BX507" s="1"/>
      <c r="BY507" s="1"/>
      <c r="BZ507" s="1"/>
      <c r="CA507" s="1"/>
      <c r="CB507" s="1"/>
      <c r="CC507" s="1"/>
      <c r="CD507" s="1"/>
      <c r="CE507" s="2"/>
      <c r="CF507" s="1"/>
      <c r="CG507" s="1"/>
      <c r="CH507" s="1"/>
      <c r="CI507" s="1"/>
      <c r="CJ507" s="1"/>
      <c r="CK507" s="1"/>
      <c r="CL507" s="1"/>
    </row>
    <row r="508" spans="1:90" ht="14.65" x14ac:dyDescent="0.4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2"/>
      <c r="L508" s="1"/>
      <c r="M508" s="1"/>
      <c r="N508" s="1"/>
      <c r="O508" s="1"/>
      <c r="P508" s="1"/>
      <c r="Q508" s="1"/>
      <c r="R508" s="1"/>
      <c r="S508" s="1"/>
      <c r="T508" s="2"/>
      <c r="U508" s="1"/>
      <c r="V508" s="1"/>
      <c r="W508" s="1"/>
      <c r="X508" s="1"/>
      <c r="Y508" s="1"/>
      <c r="Z508" s="1"/>
      <c r="AA508" s="1"/>
      <c r="AB508" s="1"/>
      <c r="AC508" s="2"/>
      <c r="AD508" s="1"/>
      <c r="AE508" s="1"/>
      <c r="AF508" s="1"/>
      <c r="AG508" s="1"/>
      <c r="AH508" s="1"/>
      <c r="AI508" s="1"/>
      <c r="AJ508" s="1"/>
      <c r="AK508" s="1"/>
      <c r="AL508" s="2"/>
      <c r="AM508" s="1"/>
      <c r="AN508" s="1"/>
      <c r="AO508" s="1"/>
      <c r="AP508" s="1"/>
      <c r="AQ508" s="1"/>
      <c r="AR508" s="1"/>
      <c r="AS508" s="1"/>
      <c r="AT508" s="1"/>
      <c r="AU508" s="2"/>
      <c r="AV508" s="1"/>
      <c r="AW508" s="1"/>
      <c r="AX508" s="1"/>
      <c r="AY508" s="1"/>
      <c r="AZ508" s="1"/>
      <c r="BA508" s="1"/>
      <c r="BB508" s="1"/>
      <c r="BC508" s="1"/>
      <c r="BD508" s="2"/>
      <c r="BE508" s="1"/>
      <c r="BF508" s="1"/>
      <c r="BG508" s="1"/>
      <c r="BH508" s="1"/>
      <c r="BI508" s="1"/>
      <c r="BJ508" s="1"/>
      <c r="BK508" s="1"/>
      <c r="BL508" s="1"/>
      <c r="BM508" s="2"/>
      <c r="BN508" s="1"/>
      <c r="BO508" s="1"/>
      <c r="BP508" s="1"/>
      <c r="BQ508" s="1"/>
      <c r="BR508" s="1"/>
      <c r="BS508" s="1"/>
      <c r="BT508" s="1"/>
      <c r="BU508" s="1"/>
      <c r="BV508" s="2"/>
      <c r="BW508" s="1"/>
      <c r="BX508" s="1"/>
      <c r="BY508" s="1"/>
      <c r="BZ508" s="1"/>
      <c r="CA508" s="1"/>
      <c r="CB508" s="1"/>
      <c r="CC508" s="1"/>
      <c r="CD508" s="1"/>
      <c r="CE508" s="2"/>
      <c r="CF508" s="1"/>
      <c r="CG508" s="1"/>
      <c r="CH508" s="1"/>
      <c r="CI508" s="1"/>
      <c r="CJ508" s="1"/>
      <c r="CK508" s="1"/>
      <c r="CL508" s="1"/>
    </row>
    <row r="509" spans="1:90" ht="14.65" x14ac:dyDescent="0.4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2"/>
      <c r="L509" s="1"/>
      <c r="M509" s="1"/>
      <c r="N509" s="1"/>
      <c r="O509" s="1"/>
      <c r="P509" s="1"/>
      <c r="Q509" s="1"/>
      <c r="R509" s="1"/>
      <c r="S509" s="1"/>
      <c r="T509" s="2"/>
      <c r="U509" s="1"/>
      <c r="V509" s="1"/>
      <c r="W509" s="1"/>
      <c r="X509" s="1"/>
      <c r="Y509" s="1"/>
      <c r="Z509" s="1"/>
      <c r="AA509" s="1"/>
      <c r="AB509" s="1"/>
      <c r="AC509" s="2"/>
      <c r="AD509" s="1"/>
      <c r="AE509" s="1"/>
      <c r="AF509" s="1"/>
      <c r="AG509" s="1"/>
      <c r="AH509" s="1"/>
      <c r="AI509" s="1"/>
      <c r="AJ509" s="1"/>
      <c r="AK509" s="1"/>
      <c r="AL509" s="2"/>
      <c r="AM509" s="1"/>
      <c r="AN509" s="1"/>
      <c r="AO509" s="1"/>
      <c r="AP509" s="1"/>
      <c r="AQ509" s="1"/>
      <c r="AR509" s="1"/>
      <c r="AS509" s="1"/>
      <c r="AT509" s="1"/>
      <c r="AU509" s="2"/>
      <c r="AV509" s="1"/>
      <c r="AW509" s="1"/>
      <c r="AX509" s="1"/>
      <c r="AY509" s="1"/>
      <c r="AZ509" s="1"/>
      <c r="BA509" s="1"/>
      <c r="BB509" s="1"/>
      <c r="BC509" s="1"/>
      <c r="BD509" s="2"/>
      <c r="BE509" s="1"/>
      <c r="BF509" s="1"/>
      <c r="BG509" s="1"/>
      <c r="BH509" s="1"/>
      <c r="BI509" s="1"/>
      <c r="BJ509" s="1"/>
      <c r="BK509" s="1"/>
      <c r="BL509" s="1"/>
      <c r="BM509" s="2"/>
      <c r="BN509" s="1"/>
      <c r="BO509" s="1"/>
      <c r="BP509" s="1"/>
      <c r="BQ509" s="1"/>
      <c r="BR509" s="1"/>
      <c r="BS509" s="1"/>
      <c r="BT509" s="1"/>
      <c r="BU509" s="1"/>
      <c r="BV509" s="2"/>
      <c r="BW509" s="1"/>
      <c r="BX509" s="1"/>
      <c r="BY509" s="1"/>
      <c r="BZ509" s="1"/>
      <c r="CA509" s="1"/>
      <c r="CB509" s="1"/>
      <c r="CC509" s="1"/>
      <c r="CD509" s="1"/>
      <c r="CE509" s="2"/>
      <c r="CF509" s="1"/>
      <c r="CG509" s="1"/>
      <c r="CH509" s="1"/>
      <c r="CI509" s="1"/>
      <c r="CJ509" s="1"/>
      <c r="CK509" s="1"/>
      <c r="CL509" s="1"/>
    </row>
    <row r="510" spans="1:90" ht="14.65" x14ac:dyDescent="0.4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2"/>
      <c r="L510" s="1"/>
      <c r="M510" s="1"/>
      <c r="N510" s="1"/>
      <c r="O510" s="1"/>
      <c r="P510" s="1"/>
      <c r="Q510" s="1"/>
      <c r="R510" s="1"/>
      <c r="S510" s="1"/>
      <c r="T510" s="2"/>
      <c r="U510" s="1"/>
      <c r="V510" s="1"/>
      <c r="W510" s="1"/>
      <c r="X510" s="1"/>
      <c r="Y510" s="1"/>
      <c r="Z510" s="1"/>
      <c r="AA510" s="1"/>
      <c r="AB510" s="1"/>
      <c r="AC510" s="2"/>
      <c r="AD510" s="1"/>
      <c r="AE510" s="1"/>
      <c r="AF510" s="1"/>
      <c r="AG510" s="1"/>
      <c r="AH510" s="1"/>
      <c r="AI510" s="1"/>
      <c r="AJ510" s="1"/>
      <c r="AK510" s="1"/>
      <c r="AL510" s="2"/>
      <c r="AM510" s="1"/>
      <c r="AN510" s="1"/>
      <c r="AO510" s="1"/>
      <c r="AP510" s="1"/>
      <c r="AQ510" s="1"/>
      <c r="AR510" s="1"/>
      <c r="AS510" s="1"/>
      <c r="AT510" s="1"/>
      <c r="AU510" s="2"/>
      <c r="AV510" s="1"/>
      <c r="AW510" s="1"/>
      <c r="AX510" s="1"/>
      <c r="AY510" s="1"/>
      <c r="AZ510" s="1"/>
      <c r="BA510" s="1"/>
      <c r="BB510" s="1"/>
      <c r="BC510" s="1"/>
      <c r="BD510" s="2"/>
      <c r="BE510" s="1"/>
      <c r="BF510" s="1"/>
      <c r="BG510" s="1"/>
      <c r="BH510" s="1"/>
      <c r="BI510" s="1"/>
      <c r="BJ510" s="1"/>
      <c r="BK510" s="1"/>
      <c r="BL510" s="1"/>
      <c r="BM510" s="2"/>
      <c r="BN510" s="1"/>
      <c r="BO510" s="1"/>
      <c r="BP510" s="1"/>
      <c r="BQ510" s="1"/>
      <c r="BR510" s="1"/>
      <c r="BS510" s="1"/>
      <c r="BT510" s="1"/>
      <c r="BU510" s="1"/>
      <c r="BV510" s="2"/>
      <c r="BW510" s="1"/>
      <c r="BX510" s="1"/>
      <c r="BY510" s="1"/>
      <c r="BZ510" s="1"/>
      <c r="CA510" s="1"/>
      <c r="CB510" s="1"/>
      <c r="CC510" s="1"/>
      <c r="CD510" s="1"/>
      <c r="CE510" s="2"/>
      <c r="CF510" s="1"/>
      <c r="CG510" s="1"/>
      <c r="CH510" s="1"/>
      <c r="CI510" s="1"/>
      <c r="CJ510" s="1"/>
      <c r="CK510" s="1"/>
      <c r="CL510" s="1"/>
    </row>
    <row r="511" spans="1:90" ht="14.65" x14ac:dyDescent="0.4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2"/>
      <c r="L511" s="1"/>
      <c r="M511" s="1"/>
      <c r="N511" s="1"/>
      <c r="O511" s="1"/>
      <c r="P511" s="1"/>
      <c r="Q511" s="1"/>
      <c r="R511" s="1"/>
      <c r="S511" s="1"/>
      <c r="T511" s="2"/>
      <c r="U511" s="1"/>
      <c r="V511" s="1"/>
      <c r="W511" s="1"/>
      <c r="X511" s="1"/>
      <c r="Y511" s="1"/>
      <c r="Z511" s="1"/>
      <c r="AA511" s="1"/>
      <c r="AB511" s="1"/>
      <c r="AC511" s="2"/>
      <c r="AD511" s="1"/>
      <c r="AE511" s="1"/>
      <c r="AF511" s="1"/>
      <c r="AG511" s="1"/>
      <c r="AH511" s="1"/>
      <c r="AI511" s="1"/>
      <c r="AJ511" s="1"/>
      <c r="AK511" s="1"/>
      <c r="AL511" s="2"/>
      <c r="AM511" s="1"/>
      <c r="AN511" s="1"/>
      <c r="AO511" s="1"/>
      <c r="AP511" s="1"/>
      <c r="AQ511" s="1"/>
      <c r="AR511" s="1"/>
      <c r="AS511" s="1"/>
      <c r="AT511" s="1"/>
      <c r="AU511" s="2"/>
      <c r="AV511" s="1"/>
      <c r="AW511" s="1"/>
      <c r="AX511" s="1"/>
      <c r="AY511" s="1"/>
      <c r="AZ511" s="1"/>
      <c r="BA511" s="1"/>
      <c r="BB511" s="1"/>
      <c r="BC511" s="1"/>
      <c r="BD511" s="2"/>
      <c r="BE511" s="1"/>
      <c r="BF511" s="1"/>
      <c r="BG511" s="1"/>
      <c r="BH511" s="1"/>
      <c r="BI511" s="1"/>
      <c r="BJ511" s="1"/>
      <c r="BK511" s="1"/>
      <c r="BL511" s="1"/>
      <c r="BM511" s="2"/>
      <c r="BN511" s="1"/>
      <c r="BO511" s="1"/>
      <c r="BP511" s="1"/>
      <c r="BQ511" s="1"/>
      <c r="BR511" s="1"/>
      <c r="BS511" s="1"/>
      <c r="BT511" s="1"/>
      <c r="BU511" s="1"/>
      <c r="BV511" s="2"/>
      <c r="BW511" s="1"/>
      <c r="BX511" s="1"/>
      <c r="BY511" s="1"/>
      <c r="BZ511" s="1"/>
      <c r="CA511" s="1"/>
      <c r="CB511" s="1"/>
      <c r="CC511" s="1"/>
      <c r="CD511" s="1"/>
      <c r="CE511" s="2"/>
      <c r="CF511" s="1"/>
      <c r="CG511" s="1"/>
      <c r="CH511" s="1"/>
      <c r="CI511" s="1"/>
      <c r="CJ511" s="1"/>
      <c r="CK511" s="1"/>
      <c r="CL511" s="1"/>
    </row>
    <row r="512" spans="1:90" ht="14.65" x14ac:dyDescent="0.4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2"/>
      <c r="L512" s="1"/>
      <c r="M512" s="1"/>
      <c r="N512" s="1"/>
      <c r="O512" s="1"/>
      <c r="P512" s="1"/>
      <c r="Q512" s="1"/>
      <c r="R512" s="1"/>
      <c r="S512" s="1"/>
      <c r="T512" s="2"/>
      <c r="U512" s="1"/>
      <c r="V512" s="1"/>
      <c r="W512" s="1"/>
      <c r="X512" s="1"/>
      <c r="Y512" s="1"/>
      <c r="Z512" s="1"/>
      <c r="AA512" s="1"/>
      <c r="AB512" s="1"/>
      <c r="AC512" s="2"/>
      <c r="AD512" s="1"/>
      <c r="AE512" s="1"/>
      <c r="AF512" s="1"/>
      <c r="AG512" s="1"/>
      <c r="AH512" s="1"/>
      <c r="AI512" s="1"/>
      <c r="AJ512" s="1"/>
      <c r="AK512" s="1"/>
      <c r="AL512" s="2"/>
      <c r="AM512" s="1"/>
      <c r="AN512" s="1"/>
      <c r="AO512" s="1"/>
      <c r="AP512" s="1"/>
      <c r="AQ512" s="1"/>
      <c r="AR512" s="1"/>
      <c r="AS512" s="1"/>
      <c r="AT512" s="1"/>
      <c r="AU512" s="2"/>
      <c r="AV512" s="1"/>
      <c r="AW512" s="1"/>
      <c r="AX512" s="1"/>
      <c r="AY512" s="1"/>
      <c r="AZ512" s="1"/>
      <c r="BA512" s="1"/>
      <c r="BB512" s="1"/>
      <c r="BC512" s="1"/>
      <c r="BD512" s="2"/>
      <c r="BE512" s="1"/>
      <c r="BF512" s="1"/>
      <c r="BG512" s="1"/>
      <c r="BH512" s="1"/>
      <c r="BI512" s="1"/>
      <c r="BJ512" s="1"/>
      <c r="BK512" s="1"/>
      <c r="BL512" s="1"/>
      <c r="BM512" s="2"/>
      <c r="BN512" s="1"/>
      <c r="BO512" s="1"/>
      <c r="BP512" s="1"/>
      <c r="BQ512" s="1"/>
      <c r="BR512" s="1"/>
      <c r="BS512" s="1"/>
      <c r="BT512" s="1"/>
      <c r="BU512" s="1"/>
      <c r="BV512" s="2"/>
      <c r="BW512" s="1"/>
      <c r="BX512" s="1"/>
      <c r="BY512" s="1"/>
      <c r="BZ512" s="1"/>
      <c r="CA512" s="1"/>
      <c r="CB512" s="1"/>
      <c r="CC512" s="1"/>
      <c r="CD512" s="1"/>
      <c r="CE512" s="2"/>
      <c r="CF512" s="1"/>
      <c r="CG512" s="1"/>
      <c r="CH512" s="1"/>
      <c r="CI512" s="1"/>
      <c r="CJ512" s="1"/>
      <c r="CK512" s="1"/>
      <c r="CL512" s="1"/>
    </row>
    <row r="513" spans="1:90" ht="14.65" x14ac:dyDescent="0.4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2"/>
      <c r="L513" s="1"/>
      <c r="M513" s="1"/>
      <c r="N513" s="1"/>
      <c r="O513" s="1"/>
      <c r="P513" s="1"/>
      <c r="Q513" s="1"/>
      <c r="R513" s="1"/>
      <c r="S513" s="1"/>
      <c r="T513" s="2"/>
      <c r="U513" s="1"/>
      <c r="V513" s="1"/>
      <c r="W513" s="1"/>
      <c r="X513" s="1"/>
      <c r="Y513" s="1"/>
      <c r="Z513" s="1"/>
      <c r="AA513" s="1"/>
      <c r="AB513" s="1"/>
      <c r="AC513" s="2"/>
      <c r="AD513" s="1"/>
      <c r="AE513" s="1"/>
      <c r="AF513" s="1"/>
      <c r="AG513" s="1"/>
      <c r="AH513" s="1"/>
      <c r="AI513" s="1"/>
      <c r="AJ513" s="1"/>
      <c r="AK513" s="1"/>
      <c r="AL513" s="2"/>
      <c r="AM513" s="1"/>
      <c r="AN513" s="1"/>
      <c r="AO513" s="1"/>
      <c r="AP513" s="1"/>
      <c r="AQ513" s="1"/>
      <c r="AR513" s="1"/>
      <c r="AS513" s="1"/>
      <c r="AT513" s="1"/>
      <c r="AU513" s="2"/>
      <c r="AV513" s="1"/>
      <c r="AW513" s="1"/>
      <c r="AX513" s="1"/>
      <c r="AY513" s="1"/>
      <c r="AZ513" s="1"/>
      <c r="BA513" s="1"/>
      <c r="BB513" s="1"/>
      <c r="BC513" s="1"/>
      <c r="BD513" s="2"/>
      <c r="BE513" s="1"/>
      <c r="BF513" s="1"/>
      <c r="BG513" s="1"/>
      <c r="BH513" s="1"/>
      <c r="BI513" s="1"/>
      <c r="BJ513" s="1"/>
      <c r="BK513" s="1"/>
      <c r="BL513" s="1"/>
      <c r="BM513" s="2"/>
      <c r="BN513" s="1"/>
      <c r="BO513" s="1"/>
      <c r="BP513" s="1"/>
      <c r="BQ513" s="1"/>
      <c r="BR513" s="1"/>
      <c r="BS513" s="1"/>
      <c r="BT513" s="1"/>
      <c r="BU513" s="1"/>
      <c r="BV513" s="2"/>
      <c r="BW513" s="1"/>
      <c r="BX513" s="1"/>
      <c r="BY513" s="1"/>
      <c r="BZ513" s="1"/>
      <c r="CA513" s="1"/>
      <c r="CB513" s="1"/>
      <c r="CC513" s="1"/>
      <c r="CD513" s="1"/>
      <c r="CE513" s="2"/>
      <c r="CF513" s="1"/>
      <c r="CG513" s="1"/>
      <c r="CH513" s="1"/>
      <c r="CI513" s="1"/>
      <c r="CJ513" s="1"/>
      <c r="CK513" s="1"/>
      <c r="CL513" s="1"/>
    </row>
    <row r="514" spans="1:90" ht="14.65" x14ac:dyDescent="0.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2"/>
      <c r="L514" s="1"/>
      <c r="M514" s="1"/>
      <c r="N514" s="1"/>
      <c r="O514" s="1"/>
      <c r="P514" s="1"/>
      <c r="Q514" s="1"/>
      <c r="R514" s="1"/>
      <c r="S514" s="1"/>
      <c r="T514" s="2"/>
      <c r="U514" s="1"/>
      <c r="V514" s="1"/>
      <c r="W514" s="1"/>
      <c r="X514" s="1"/>
      <c r="Y514" s="1"/>
      <c r="Z514" s="1"/>
      <c r="AA514" s="1"/>
      <c r="AB514" s="1"/>
      <c r="AC514" s="2"/>
      <c r="AD514" s="1"/>
      <c r="AE514" s="1"/>
      <c r="AF514" s="1"/>
      <c r="AG514" s="1"/>
      <c r="AH514" s="1"/>
      <c r="AI514" s="1"/>
      <c r="AJ514" s="1"/>
      <c r="AK514" s="1"/>
      <c r="AL514" s="2"/>
      <c r="AM514" s="1"/>
      <c r="AN514" s="1"/>
      <c r="AO514" s="1"/>
      <c r="AP514" s="1"/>
      <c r="AQ514" s="1"/>
      <c r="AR514" s="1"/>
      <c r="AS514" s="1"/>
      <c r="AT514" s="1"/>
      <c r="AU514" s="2"/>
      <c r="AV514" s="1"/>
      <c r="AW514" s="1"/>
      <c r="AX514" s="1"/>
      <c r="AY514" s="1"/>
      <c r="AZ514" s="1"/>
      <c r="BA514" s="1"/>
      <c r="BB514" s="1"/>
      <c r="BC514" s="1"/>
      <c r="BD514" s="2"/>
      <c r="BE514" s="1"/>
      <c r="BF514" s="1"/>
      <c r="BG514" s="1"/>
      <c r="BH514" s="1"/>
      <c r="BI514" s="1"/>
      <c r="BJ514" s="1"/>
      <c r="BK514" s="1"/>
      <c r="BL514" s="1"/>
      <c r="BM514" s="2"/>
      <c r="BN514" s="1"/>
      <c r="BO514" s="1"/>
      <c r="BP514" s="1"/>
      <c r="BQ514" s="1"/>
      <c r="BR514" s="1"/>
      <c r="BS514" s="1"/>
      <c r="BT514" s="1"/>
      <c r="BU514" s="1"/>
      <c r="BV514" s="2"/>
      <c r="BW514" s="1"/>
      <c r="BX514" s="1"/>
      <c r="BY514" s="1"/>
      <c r="BZ514" s="1"/>
      <c r="CA514" s="1"/>
      <c r="CB514" s="1"/>
      <c r="CC514" s="1"/>
      <c r="CD514" s="1"/>
      <c r="CE514" s="2"/>
      <c r="CF514" s="1"/>
      <c r="CG514" s="1"/>
      <c r="CH514" s="1"/>
      <c r="CI514" s="1"/>
      <c r="CJ514" s="1"/>
      <c r="CK514" s="1"/>
      <c r="CL514" s="1"/>
    </row>
    <row r="515" spans="1:90" ht="14.65" x14ac:dyDescent="0.4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2"/>
      <c r="L515" s="1"/>
      <c r="M515" s="1"/>
      <c r="N515" s="1"/>
      <c r="O515" s="1"/>
      <c r="P515" s="1"/>
      <c r="Q515" s="1"/>
      <c r="R515" s="1"/>
      <c r="S515" s="1"/>
      <c r="T515" s="2"/>
      <c r="U515" s="1"/>
      <c r="V515" s="1"/>
      <c r="W515" s="1"/>
      <c r="X515" s="1"/>
      <c r="Y515" s="1"/>
      <c r="Z515" s="1"/>
      <c r="AA515" s="1"/>
      <c r="AB515" s="1"/>
      <c r="AC515" s="2"/>
      <c r="AD515" s="1"/>
      <c r="AE515" s="1"/>
      <c r="AF515" s="1"/>
      <c r="AG515" s="1"/>
      <c r="AH515" s="1"/>
      <c r="AI515" s="1"/>
      <c r="AJ515" s="1"/>
      <c r="AK515" s="1"/>
      <c r="AL515" s="2"/>
      <c r="AM515" s="1"/>
      <c r="AN515" s="1"/>
      <c r="AO515" s="1"/>
      <c r="AP515" s="1"/>
      <c r="AQ515" s="1"/>
      <c r="AR515" s="1"/>
      <c r="AS515" s="1"/>
      <c r="AT515" s="1"/>
      <c r="AU515" s="2"/>
      <c r="AV515" s="1"/>
      <c r="AW515" s="1"/>
      <c r="AX515" s="1"/>
      <c r="AY515" s="1"/>
      <c r="AZ515" s="1"/>
      <c r="BA515" s="1"/>
      <c r="BB515" s="1"/>
      <c r="BC515" s="1"/>
      <c r="BD515" s="2"/>
      <c r="BE515" s="1"/>
      <c r="BF515" s="1"/>
      <c r="BG515" s="1"/>
      <c r="BH515" s="1"/>
      <c r="BI515" s="1"/>
      <c r="BJ515" s="1"/>
      <c r="BK515" s="1"/>
      <c r="BL515" s="1"/>
      <c r="BM515" s="2"/>
      <c r="BN515" s="1"/>
      <c r="BO515" s="1"/>
      <c r="BP515" s="1"/>
      <c r="BQ515" s="1"/>
      <c r="BR515" s="1"/>
      <c r="BS515" s="1"/>
      <c r="BT515" s="1"/>
      <c r="BU515" s="1"/>
      <c r="BV515" s="2"/>
      <c r="BW515" s="1"/>
      <c r="BX515" s="1"/>
      <c r="BY515" s="1"/>
      <c r="BZ515" s="1"/>
      <c r="CA515" s="1"/>
      <c r="CB515" s="1"/>
      <c r="CC515" s="1"/>
      <c r="CD515" s="1"/>
      <c r="CE515" s="2"/>
      <c r="CF515" s="1"/>
      <c r="CG515" s="1"/>
      <c r="CH515" s="1"/>
      <c r="CI515" s="1"/>
      <c r="CJ515" s="1"/>
      <c r="CK515" s="1"/>
      <c r="CL515" s="1"/>
    </row>
    <row r="516" spans="1:90" ht="14.65" x14ac:dyDescent="0.4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2"/>
      <c r="L516" s="1"/>
      <c r="M516" s="1"/>
      <c r="N516" s="1"/>
      <c r="O516" s="1"/>
      <c r="P516" s="1"/>
      <c r="Q516" s="1"/>
      <c r="R516" s="1"/>
      <c r="S516" s="1"/>
      <c r="T516" s="2"/>
      <c r="U516" s="1"/>
      <c r="V516" s="1"/>
      <c r="W516" s="1"/>
      <c r="X516" s="1"/>
      <c r="Y516" s="1"/>
      <c r="Z516" s="1"/>
      <c r="AA516" s="1"/>
      <c r="AB516" s="1"/>
      <c r="AC516" s="2"/>
      <c r="AD516" s="1"/>
      <c r="AE516" s="1"/>
      <c r="AF516" s="1"/>
      <c r="AG516" s="1"/>
      <c r="AH516" s="1"/>
      <c r="AI516" s="1"/>
      <c r="AJ516" s="1"/>
      <c r="AK516" s="1"/>
      <c r="AL516" s="2"/>
      <c r="AM516" s="1"/>
      <c r="AN516" s="1"/>
      <c r="AO516" s="1"/>
      <c r="AP516" s="1"/>
      <c r="AQ516" s="1"/>
      <c r="AR516" s="1"/>
      <c r="AS516" s="1"/>
      <c r="AT516" s="1"/>
      <c r="AU516" s="2"/>
      <c r="AV516" s="1"/>
      <c r="AW516" s="1"/>
      <c r="AX516" s="1"/>
      <c r="AY516" s="1"/>
      <c r="AZ516" s="1"/>
      <c r="BA516" s="1"/>
      <c r="BB516" s="1"/>
      <c r="BC516" s="1"/>
      <c r="BD516" s="2"/>
      <c r="BE516" s="1"/>
      <c r="BF516" s="1"/>
      <c r="BG516" s="1"/>
      <c r="BH516" s="1"/>
      <c r="BI516" s="1"/>
      <c r="BJ516" s="1"/>
      <c r="BK516" s="1"/>
      <c r="BL516" s="1"/>
      <c r="BM516" s="2"/>
      <c r="BN516" s="1"/>
      <c r="BO516" s="1"/>
      <c r="BP516" s="1"/>
      <c r="BQ516" s="1"/>
      <c r="BR516" s="1"/>
      <c r="BS516" s="1"/>
      <c r="BT516" s="1"/>
      <c r="BU516" s="1"/>
      <c r="BV516" s="2"/>
      <c r="BW516" s="1"/>
      <c r="BX516" s="1"/>
      <c r="BY516" s="1"/>
      <c r="BZ516" s="1"/>
      <c r="CA516" s="1"/>
      <c r="CB516" s="1"/>
      <c r="CC516" s="1"/>
      <c r="CD516" s="1"/>
      <c r="CE516" s="2"/>
      <c r="CF516" s="1"/>
      <c r="CG516" s="1"/>
      <c r="CH516" s="1"/>
      <c r="CI516" s="1"/>
      <c r="CJ516" s="1"/>
      <c r="CK516" s="1"/>
      <c r="CL516" s="1"/>
    </row>
    <row r="517" spans="1:90" ht="14.65" x14ac:dyDescent="0.4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2"/>
      <c r="L517" s="1"/>
      <c r="M517" s="1"/>
      <c r="N517" s="1"/>
      <c r="O517" s="1"/>
      <c r="P517" s="1"/>
      <c r="Q517" s="1"/>
      <c r="R517" s="1"/>
      <c r="S517" s="1"/>
      <c r="T517" s="2"/>
      <c r="U517" s="1"/>
      <c r="V517" s="1"/>
      <c r="W517" s="1"/>
      <c r="X517" s="1"/>
      <c r="Y517" s="1"/>
      <c r="Z517" s="1"/>
      <c r="AA517" s="1"/>
      <c r="AB517" s="1"/>
      <c r="AC517" s="2"/>
      <c r="AD517" s="1"/>
      <c r="AE517" s="1"/>
      <c r="AF517" s="1"/>
      <c r="AG517" s="1"/>
      <c r="AH517" s="1"/>
      <c r="AI517" s="1"/>
      <c r="AJ517" s="1"/>
      <c r="AK517" s="1"/>
      <c r="AL517" s="2"/>
      <c r="AM517" s="1"/>
      <c r="AN517" s="1"/>
      <c r="AO517" s="1"/>
      <c r="AP517" s="1"/>
      <c r="AQ517" s="1"/>
      <c r="AR517" s="1"/>
      <c r="AS517" s="1"/>
      <c r="AT517" s="1"/>
      <c r="AU517" s="2"/>
      <c r="AV517" s="1"/>
      <c r="AW517" s="1"/>
      <c r="AX517" s="1"/>
      <c r="AY517" s="1"/>
      <c r="AZ517" s="1"/>
      <c r="BA517" s="1"/>
      <c r="BB517" s="1"/>
      <c r="BC517" s="1"/>
      <c r="BD517" s="2"/>
      <c r="BE517" s="1"/>
      <c r="BF517" s="1"/>
      <c r="BG517" s="1"/>
      <c r="BH517" s="1"/>
      <c r="BI517" s="1"/>
      <c r="BJ517" s="1"/>
      <c r="BK517" s="1"/>
      <c r="BL517" s="1"/>
      <c r="BM517" s="2"/>
      <c r="BN517" s="1"/>
      <c r="BO517" s="1"/>
      <c r="BP517" s="1"/>
      <c r="BQ517" s="1"/>
      <c r="BR517" s="1"/>
      <c r="BS517" s="1"/>
      <c r="BT517" s="1"/>
      <c r="BU517" s="1"/>
      <c r="BV517" s="2"/>
      <c r="BW517" s="1"/>
      <c r="BX517" s="1"/>
      <c r="BY517" s="1"/>
      <c r="BZ517" s="1"/>
      <c r="CA517" s="1"/>
      <c r="CB517" s="1"/>
      <c r="CC517" s="1"/>
      <c r="CD517" s="1"/>
      <c r="CE517" s="2"/>
      <c r="CF517" s="1"/>
      <c r="CG517" s="1"/>
      <c r="CH517" s="1"/>
      <c r="CI517" s="1"/>
      <c r="CJ517" s="1"/>
      <c r="CK517" s="1"/>
      <c r="CL517" s="1"/>
    </row>
    <row r="518" spans="1:90" ht="14.65" x14ac:dyDescent="0.4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2"/>
      <c r="L518" s="1"/>
      <c r="M518" s="1"/>
      <c r="N518" s="1"/>
      <c r="O518" s="1"/>
      <c r="P518" s="1"/>
      <c r="Q518" s="1"/>
      <c r="R518" s="1"/>
      <c r="S518" s="1"/>
      <c r="T518" s="2"/>
      <c r="U518" s="1"/>
      <c r="V518" s="1"/>
      <c r="W518" s="1"/>
      <c r="X518" s="1"/>
      <c r="Y518" s="1"/>
      <c r="Z518" s="1"/>
      <c r="AA518" s="1"/>
      <c r="AB518" s="1"/>
      <c r="AC518" s="2"/>
      <c r="AD518" s="1"/>
      <c r="AE518" s="1"/>
      <c r="AF518" s="1"/>
      <c r="AG518" s="1"/>
      <c r="AH518" s="1"/>
      <c r="AI518" s="1"/>
      <c r="AJ518" s="1"/>
      <c r="AK518" s="1"/>
      <c r="AL518" s="2"/>
      <c r="AM518" s="1"/>
      <c r="AN518" s="1"/>
      <c r="AO518" s="1"/>
      <c r="AP518" s="1"/>
      <c r="AQ518" s="1"/>
      <c r="AR518" s="1"/>
      <c r="AS518" s="1"/>
      <c r="AT518" s="1"/>
      <c r="AU518" s="2"/>
      <c r="AV518" s="1"/>
      <c r="AW518" s="1"/>
      <c r="AX518" s="1"/>
      <c r="AY518" s="1"/>
      <c r="AZ518" s="1"/>
      <c r="BA518" s="1"/>
      <c r="BB518" s="1"/>
      <c r="BC518" s="1"/>
      <c r="BD518" s="2"/>
      <c r="BE518" s="1"/>
      <c r="BF518" s="1"/>
      <c r="BG518" s="1"/>
      <c r="BH518" s="1"/>
      <c r="BI518" s="1"/>
      <c r="BJ518" s="1"/>
      <c r="BK518" s="1"/>
      <c r="BL518" s="1"/>
      <c r="BM518" s="2"/>
      <c r="BN518" s="1"/>
      <c r="BO518" s="1"/>
      <c r="BP518" s="1"/>
      <c r="BQ518" s="1"/>
      <c r="BR518" s="1"/>
      <c r="BS518" s="1"/>
      <c r="BT518" s="1"/>
      <c r="BU518" s="1"/>
      <c r="BV518" s="2"/>
      <c r="BW518" s="1"/>
      <c r="BX518" s="1"/>
      <c r="BY518" s="1"/>
      <c r="BZ518" s="1"/>
      <c r="CA518" s="1"/>
      <c r="CB518" s="1"/>
      <c r="CC518" s="1"/>
      <c r="CD518" s="1"/>
      <c r="CE518" s="2"/>
      <c r="CF518" s="1"/>
      <c r="CG518" s="1"/>
      <c r="CH518" s="1"/>
      <c r="CI518" s="1"/>
      <c r="CJ518" s="1"/>
      <c r="CK518" s="1"/>
      <c r="CL518" s="1"/>
    </row>
    <row r="519" spans="1:90" ht="14.65" x14ac:dyDescent="0.4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2"/>
      <c r="L519" s="1"/>
      <c r="M519" s="1"/>
      <c r="N519" s="1"/>
      <c r="O519" s="1"/>
      <c r="P519" s="1"/>
      <c r="Q519" s="1"/>
      <c r="R519" s="1"/>
      <c r="S519" s="1"/>
      <c r="T519" s="2"/>
      <c r="U519" s="1"/>
      <c r="V519" s="1"/>
      <c r="W519" s="1"/>
      <c r="X519" s="1"/>
      <c r="Y519" s="1"/>
      <c r="Z519" s="1"/>
      <c r="AA519" s="1"/>
      <c r="AB519" s="1"/>
      <c r="AC519" s="2"/>
      <c r="AD519" s="1"/>
      <c r="AE519" s="1"/>
      <c r="AF519" s="1"/>
      <c r="AG519" s="1"/>
      <c r="AH519" s="1"/>
      <c r="AI519" s="1"/>
      <c r="AJ519" s="1"/>
      <c r="AK519" s="1"/>
      <c r="AL519" s="2"/>
      <c r="AM519" s="1"/>
      <c r="AN519" s="1"/>
      <c r="AO519" s="1"/>
      <c r="AP519" s="1"/>
      <c r="AQ519" s="1"/>
      <c r="AR519" s="1"/>
      <c r="AS519" s="1"/>
      <c r="AT519" s="1"/>
      <c r="AU519" s="2"/>
      <c r="AV519" s="1"/>
      <c r="AW519" s="1"/>
      <c r="AX519" s="1"/>
      <c r="AY519" s="1"/>
      <c r="AZ519" s="1"/>
      <c r="BA519" s="1"/>
      <c r="BB519" s="1"/>
      <c r="BC519" s="1"/>
      <c r="BD519" s="2"/>
      <c r="BE519" s="1"/>
      <c r="BF519" s="1"/>
      <c r="BG519" s="1"/>
      <c r="BH519" s="1"/>
      <c r="BI519" s="1"/>
      <c r="BJ519" s="1"/>
      <c r="BK519" s="1"/>
      <c r="BL519" s="1"/>
      <c r="BM519" s="2"/>
      <c r="BN519" s="1"/>
      <c r="BO519" s="1"/>
      <c r="BP519" s="1"/>
      <c r="BQ519" s="1"/>
      <c r="BR519" s="1"/>
      <c r="BS519" s="1"/>
      <c r="BT519" s="1"/>
      <c r="BU519" s="1"/>
      <c r="BV519" s="2"/>
      <c r="BW519" s="1"/>
      <c r="BX519" s="1"/>
      <c r="BY519" s="1"/>
      <c r="BZ519" s="1"/>
      <c r="CA519" s="1"/>
      <c r="CB519" s="1"/>
      <c r="CC519" s="1"/>
      <c r="CD519" s="1"/>
      <c r="CE519" s="2"/>
      <c r="CF519" s="1"/>
      <c r="CG519" s="1"/>
      <c r="CH519" s="1"/>
      <c r="CI519" s="1"/>
      <c r="CJ519" s="1"/>
      <c r="CK519" s="1"/>
      <c r="CL519" s="1"/>
    </row>
    <row r="520" spans="1:90" ht="14.65" x14ac:dyDescent="0.4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2"/>
      <c r="L520" s="1"/>
      <c r="M520" s="1"/>
      <c r="N520" s="1"/>
      <c r="O520" s="1"/>
      <c r="P520" s="1"/>
      <c r="Q520" s="1"/>
      <c r="R520" s="1"/>
      <c r="S520" s="1"/>
      <c r="T520" s="2"/>
      <c r="U520" s="1"/>
      <c r="V520" s="1"/>
      <c r="W520" s="1"/>
      <c r="X520" s="1"/>
      <c r="Y520" s="1"/>
      <c r="Z520" s="1"/>
      <c r="AA520" s="1"/>
      <c r="AB520" s="1"/>
      <c r="AC520" s="2"/>
      <c r="AD520" s="1"/>
      <c r="AE520" s="1"/>
      <c r="AF520" s="1"/>
      <c r="AG520" s="1"/>
      <c r="AH520" s="1"/>
      <c r="AI520" s="1"/>
      <c r="AJ520" s="1"/>
      <c r="AK520" s="1"/>
      <c r="AL520" s="2"/>
      <c r="AM520" s="1"/>
      <c r="AN520" s="1"/>
      <c r="AO520" s="1"/>
      <c r="AP520" s="1"/>
      <c r="AQ520" s="1"/>
      <c r="AR520" s="1"/>
      <c r="AS520" s="1"/>
      <c r="AT520" s="1"/>
      <c r="AU520" s="2"/>
      <c r="AV520" s="1"/>
      <c r="AW520" s="1"/>
      <c r="AX520" s="1"/>
      <c r="AY520" s="1"/>
      <c r="AZ520" s="1"/>
      <c r="BA520" s="1"/>
      <c r="BB520" s="1"/>
      <c r="BC520" s="1"/>
      <c r="BD520" s="2"/>
      <c r="BE520" s="1"/>
      <c r="BF520" s="1"/>
      <c r="BG520" s="1"/>
      <c r="BH520" s="1"/>
      <c r="BI520" s="1"/>
      <c r="BJ520" s="1"/>
      <c r="BK520" s="1"/>
      <c r="BL520" s="1"/>
      <c r="BM520" s="2"/>
      <c r="BN520" s="1"/>
      <c r="BO520" s="1"/>
      <c r="BP520" s="1"/>
      <c r="BQ520" s="1"/>
      <c r="BR520" s="1"/>
      <c r="BS520" s="1"/>
      <c r="BT520" s="1"/>
      <c r="BU520" s="1"/>
      <c r="BV520" s="2"/>
      <c r="BW520" s="1"/>
      <c r="BX520" s="1"/>
      <c r="BY520" s="1"/>
      <c r="BZ520" s="1"/>
      <c r="CA520" s="1"/>
      <c r="CB520" s="1"/>
      <c r="CC520" s="1"/>
      <c r="CD520" s="1"/>
      <c r="CE520" s="2"/>
      <c r="CF520" s="1"/>
      <c r="CG520" s="1"/>
      <c r="CH520" s="1"/>
      <c r="CI520" s="1"/>
      <c r="CJ520" s="1"/>
      <c r="CK520" s="1"/>
      <c r="CL520" s="1"/>
    </row>
    <row r="521" spans="1:90" ht="14.65" x14ac:dyDescent="0.4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2"/>
      <c r="L521" s="1"/>
      <c r="M521" s="1"/>
      <c r="N521" s="1"/>
      <c r="O521" s="1"/>
      <c r="P521" s="1"/>
      <c r="Q521" s="1"/>
      <c r="R521" s="1"/>
      <c r="S521" s="1"/>
      <c r="T521" s="2"/>
      <c r="U521" s="1"/>
      <c r="V521" s="1"/>
      <c r="W521" s="1"/>
      <c r="X521" s="1"/>
      <c r="Y521" s="1"/>
      <c r="Z521" s="1"/>
      <c r="AA521" s="1"/>
      <c r="AB521" s="1"/>
      <c r="AC521" s="2"/>
      <c r="AD521" s="1"/>
      <c r="AE521" s="1"/>
      <c r="AF521" s="1"/>
      <c r="AG521" s="1"/>
      <c r="AH521" s="1"/>
      <c r="AI521" s="1"/>
      <c r="AJ521" s="1"/>
      <c r="AK521" s="1"/>
      <c r="AL521" s="2"/>
      <c r="AM521" s="1"/>
      <c r="AN521" s="1"/>
      <c r="AO521" s="1"/>
      <c r="AP521" s="1"/>
      <c r="AQ521" s="1"/>
      <c r="AR521" s="1"/>
      <c r="AS521" s="1"/>
      <c r="AT521" s="1"/>
      <c r="AU521" s="2"/>
      <c r="AV521" s="1"/>
      <c r="AW521" s="1"/>
      <c r="AX521" s="1"/>
      <c r="AY521" s="1"/>
      <c r="AZ521" s="1"/>
      <c r="BA521" s="1"/>
      <c r="BB521" s="1"/>
      <c r="BC521" s="1"/>
      <c r="BD521" s="2"/>
      <c r="BE521" s="1"/>
      <c r="BF521" s="1"/>
      <c r="BG521" s="1"/>
      <c r="BH521" s="1"/>
      <c r="BI521" s="1"/>
      <c r="BJ521" s="1"/>
      <c r="BK521" s="1"/>
      <c r="BL521" s="1"/>
      <c r="BM521" s="2"/>
      <c r="BN521" s="1"/>
      <c r="BO521" s="1"/>
      <c r="BP521" s="1"/>
      <c r="BQ521" s="1"/>
      <c r="BR521" s="1"/>
      <c r="BS521" s="1"/>
      <c r="BT521" s="1"/>
      <c r="BU521" s="1"/>
      <c r="BV521" s="2"/>
      <c r="BW521" s="1"/>
      <c r="BX521" s="1"/>
      <c r="BY521" s="1"/>
      <c r="BZ521" s="1"/>
      <c r="CA521" s="1"/>
      <c r="CB521" s="1"/>
      <c r="CC521" s="1"/>
      <c r="CD521" s="1"/>
      <c r="CE521" s="2"/>
      <c r="CF521" s="1"/>
      <c r="CG521" s="1"/>
      <c r="CH521" s="1"/>
      <c r="CI521" s="1"/>
      <c r="CJ521" s="1"/>
      <c r="CK521" s="1"/>
      <c r="CL521" s="1"/>
    </row>
    <row r="522" spans="1:90" ht="14.65" x14ac:dyDescent="0.4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2"/>
      <c r="L522" s="1"/>
      <c r="M522" s="1"/>
      <c r="N522" s="1"/>
      <c r="O522" s="1"/>
      <c r="P522" s="1"/>
      <c r="Q522" s="1"/>
      <c r="R522" s="1"/>
      <c r="S522" s="1"/>
      <c r="T522" s="2"/>
      <c r="U522" s="1"/>
      <c r="V522" s="1"/>
      <c r="W522" s="1"/>
      <c r="X522" s="1"/>
      <c r="Y522" s="1"/>
      <c r="Z522" s="1"/>
      <c r="AA522" s="1"/>
      <c r="AB522" s="1"/>
      <c r="AC522" s="2"/>
      <c r="AD522" s="1"/>
      <c r="AE522" s="1"/>
      <c r="AF522" s="1"/>
      <c r="AG522" s="1"/>
      <c r="AH522" s="1"/>
      <c r="AI522" s="1"/>
      <c r="AJ522" s="1"/>
      <c r="AK522" s="1"/>
      <c r="AL522" s="2"/>
      <c r="AM522" s="1"/>
      <c r="AN522" s="1"/>
      <c r="AO522" s="1"/>
      <c r="AP522" s="1"/>
      <c r="AQ522" s="1"/>
      <c r="AR522" s="1"/>
      <c r="AS522" s="1"/>
      <c r="AT522" s="1"/>
      <c r="AU522" s="2"/>
      <c r="AV522" s="1"/>
      <c r="AW522" s="1"/>
      <c r="AX522" s="1"/>
      <c r="AY522" s="1"/>
      <c r="AZ522" s="1"/>
      <c r="BA522" s="1"/>
      <c r="BB522" s="1"/>
      <c r="BC522" s="1"/>
      <c r="BD522" s="2"/>
      <c r="BE522" s="1"/>
      <c r="BF522" s="1"/>
      <c r="BG522" s="1"/>
      <c r="BH522" s="1"/>
      <c r="BI522" s="1"/>
      <c r="BJ522" s="1"/>
      <c r="BK522" s="1"/>
      <c r="BL522" s="1"/>
      <c r="BM522" s="2"/>
      <c r="BN522" s="1"/>
      <c r="BO522" s="1"/>
      <c r="BP522" s="1"/>
      <c r="BQ522" s="1"/>
      <c r="BR522" s="1"/>
      <c r="BS522" s="1"/>
      <c r="BT522" s="1"/>
      <c r="BU522" s="1"/>
      <c r="BV522" s="2"/>
      <c r="BW522" s="1"/>
      <c r="BX522" s="1"/>
      <c r="BY522" s="1"/>
      <c r="BZ522" s="1"/>
      <c r="CA522" s="1"/>
      <c r="CB522" s="1"/>
      <c r="CC522" s="1"/>
      <c r="CD522" s="1"/>
      <c r="CE522" s="2"/>
      <c r="CF522" s="1"/>
      <c r="CG522" s="1"/>
      <c r="CH522" s="1"/>
      <c r="CI522" s="1"/>
      <c r="CJ522" s="1"/>
      <c r="CK522" s="1"/>
      <c r="CL522" s="1"/>
    </row>
    <row r="523" spans="1:90" ht="14.65" x14ac:dyDescent="0.4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2"/>
      <c r="L523" s="1"/>
      <c r="M523" s="1"/>
      <c r="N523" s="1"/>
      <c r="O523" s="1"/>
      <c r="P523" s="1"/>
      <c r="Q523" s="1"/>
      <c r="R523" s="1"/>
      <c r="S523" s="1"/>
      <c r="T523" s="2"/>
      <c r="U523" s="1"/>
      <c r="V523" s="1"/>
      <c r="W523" s="1"/>
      <c r="X523" s="1"/>
      <c r="Y523" s="1"/>
      <c r="Z523" s="1"/>
      <c r="AA523" s="1"/>
      <c r="AB523" s="1"/>
      <c r="AC523" s="2"/>
      <c r="AD523" s="1"/>
      <c r="AE523" s="1"/>
      <c r="AF523" s="1"/>
      <c r="AG523" s="1"/>
      <c r="AH523" s="1"/>
      <c r="AI523" s="1"/>
      <c r="AJ523" s="1"/>
      <c r="AK523" s="1"/>
      <c r="AL523" s="2"/>
      <c r="AM523" s="1"/>
      <c r="AN523" s="1"/>
      <c r="AO523" s="1"/>
      <c r="AP523" s="1"/>
      <c r="AQ523" s="1"/>
      <c r="AR523" s="1"/>
      <c r="AS523" s="1"/>
      <c r="AT523" s="1"/>
      <c r="AU523" s="2"/>
      <c r="AV523" s="1"/>
      <c r="AW523" s="1"/>
      <c r="AX523" s="1"/>
      <c r="AY523" s="1"/>
      <c r="AZ523" s="1"/>
      <c r="BA523" s="1"/>
      <c r="BB523" s="1"/>
      <c r="BC523" s="1"/>
      <c r="BD523" s="2"/>
      <c r="BE523" s="1"/>
      <c r="BF523" s="1"/>
      <c r="BG523" s="1"/>
      <c r="BH523" s="1"/>
      <c r="BI523" s="1"/>
      <c r="BJ523" s="1"/>
      <c r="BK523" s="1"/>
      <c r="BL523" s="1"/>
      <c r="BM523" s="2"/>
      <c r="BN523" s="1"/>
      <c r="BO523" s="1"/>
      <c r="BP523" s="1"/>
      <c r="BQ523" s="1"/>
      <c r="BR523" s="1"/>
      <c r="BS523" s="1"/>
      <c r="BT523" s="1"/>
      <c r="BU523" s="1"/>
      <c r="BV523" s="2"/>
      <c r="BW523" s="1"/>
      <c r="BX523" s="1"/>
      <c r="BY523" s="1"/>
      <c r="BZ523" s="1"/>
      <c r="CA523" s="1"/>
      <c r="CB523" s="1"/>
      <c r="CC523" s="1"/>
      <c r="CD523" s="1"/>
      <c r="CE523" s="2"/>
      <c r="CF523" s="1"/>
      <c r="CG523" s="1"/>
      <c r="CH523" s="1"/>
      <c r="CI523" s="1"/>
      <c r="CJ523" s="1"/>
      <c r="CK523" s="1"/>
      <c r="CL523" s="1"/>
    </row>
    <row r="524" spans="1:90" ht="14.65" x14ac:dyDescent="0.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2"/>
      <c r="L524" s="1"/>
      <c r="M524" s="1"/>
      <c r="N524" s="1"/>
      <c r="O524" s="1"/>
      <c r="P524" s="1"/>
      <c r="Q524" s="1"/>
      <c r="R524" s="1"/>
      <c r="S524" s="1"/>
      <c r="T524" s="2"/>
      <c r="U524" s="1"/>
      <c r="V524" s="1"/>
      <c r="W524" s="1"/>
      <c r="X524" s="1"/>
      <c r="Y524" s="1"/>
      <c r="Z524" s="1"/>
      <c r="AA524" s="1"/>
      <c r="AB524" s="1"/>
      <c r="AC524" s="2"/>
      <c r="AD524" s="1"/>
      <c r="AE524" s="1"/>
      <c r="AF524" s="1"/>
      <c r="AG524" s="1"/>
      <c r="AH524" s="1"/>
      <c r="AI524" s="1"/>
      <c r="AJ524" s="1"/>
      <c r="AK524" s="1"/>
      <c r="AL524" s="2"/>
      <c r="AM524" s="1"/>
      <c r="AN524" s="1"/>
      <c r="AO524" s="1"/>
      <c r="AP524" s="1"/>
      <c r="AQ524" s="1"/>
      <c r="AR524" s="1"/>
      <c r="AS524" s="1"/>
      <c r="AT524" s="1"/>
      <c r="AU524" s="2"/>
      <c r="AV524" s="1"/>
      <c r="AW524" s="1"/>
      <c r="AX524" s="1"/>
      <c r="AY524" s="1"/>
      <c r="AZ524" s="1"/>
      <c r="BA524" s="1"/>
      <c r="BB524" s="1"/>
      <c r="BC524" s="1"/>
      <c r="BD524" s="2"/>
      <c r="BE524" s="1"/>
      <c r="BF524" s="1"/>
      <c r="BG524" s="1"/>
      <c r="BH524" s="1"/>
      <c r="BI524" s="1"/>
      <c r="BJ524" s="1"/>
      <c r="BK524" s="1"/>
      <c r="BL524" s="1"/>
      <c r="BM524" s="2"/>
      <c r="BN524" s="1"/>
      <c r="BO524" s="1"/>
      <c r="BP524" s="1"/>
      <c r="BQ524" s="1"/>
      <c r="BR524" s="1"/>
      <c r="BS524" s="1"/>
      <c r="BT524" s="1"/>
      <c r="BU524" s="1"/>
      <c r="BV524" s="2"/>
      <c r="BW524" s="1"/>
      <c r="BX524" s="1"/>
      <c r="BY524" s="1"/>
      <c r="BZ524" s="1"/>
      <c r="CA524" s="1"/>
      <c r="CB524" s="1"/>
      <c r="CC524" s="1"/>
      <c r="CD524" s="1"/>
      <c r="CE524" s="2"/>
      <c r="CF524" s="1"/>
      <c r="CG524" s="1"/>
      <c r="CH524" s="1"/>
      <c r="CI524" s="1"/>
      <c r="CJ524" s="1"/>
      <c r="CK524" s="1"/>
      <c r="CL524" s="1"/>
    </row>
    <row r="525" spans="1:90" ht="14.65" x14ac:dyDescent="0.4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2"/>
      <c r="L525" s="1"/>
      <c r="M525" s="1"/>
      <c r="N525" s="1"/>
      <c r="O525" s="1"/>
      <c r="P525" s="1"/>
      <c r="Q525" s="1"/>
      <c r="R525" s="1"/>
      <c r="S525" s="1"/>
      <c r="T525" s="2"/>
      <c r="U525" s="1"/>
      <c r="V525" s="1"/>
      <c r="W525" s="1"/>
      <c r="X525" s="1"/>
      <c r="Y525" s="1"/>
      <c r="Z525" s="1"/>
      <c r="AA525" s="1"/>
      <c r="AB525" s="1"/>
      <c r="AC525" s="2"/>
      <c r="AD525" s="1"/>
      <c r="AE525" s="1"/>
      <c r="AF525" s="1"/>
      <c r="AG525" s="1"/>
      <c r="AH525" s="1"/>
      <c r="AI525" s="1"/>
      <c r="AJ525" s="1"/>
      <c r="AK525" s="1"/>
      <c r="AL525" s="2"/>
      <c r="AM525" s="1"/>
      <c r="AN525" s="1"/>
      <c r="AO525" s="1"/>
      <c r="AP525" s="1"/>
      <c r="AQ525" s="1"/>
      <c r="AR525" s="1"/>
      <c r="AS525" s="1"/>
      <c r="AT525" s="1"/>
      <c r="AU525" s="2"/>
      <c r="AV525" s="1"/>
      <c r="AW525" s="1"/>
      <c r="AX525" s="1"/>
      <c r="AY525" s="1"/>
      <c r="AZ525" s="1"/>
      <c r="BA525" s="1"/>
      <c r="BB525" s="1"/>
      <c r="BC525" s="1"/>
      <c r="BD525" s="2"/>
      <c r="BE525" s="1"/>
      <c r="BF525" s="1"/>
      <c r="BG525" s="1"/>
      <c r="BH525" s="1"/>
      <c r="BI525" s="1"/>
      <c r="BJ525" s="1"/>
      <c r="BK525" s="1"/>
      <c r="BL525" s="1"/>
      <c r="BM525" s="2"/>
      <c r="BN525" s="1"/>
      <c r="BO525" s="1"/>
      <c r="BP525" s="1"/>
      <c r="BQ525" s="1"/>
      <c r="BR525" s="1"/>
      <c r="BS525" s="1"/>
      <c r="BT525" s="1"/>
      <c r="BU525" s="1"/>
      <c r="BV525" s="2"/>
      <c r="BW525" s="1"/>
      <c r="BX525" s="1"/>
      <c r="BY525" s="1"/>
      <c r="BZ525" s="1"/>
      <c r="CA525" s="1"/>
      <c r="CB525" s="1"/>
      <c r="CC525" s="1"/>
      <c r="CD525" s="1"/>
      <c r="CE525" s="2"/>
      <c r="CF525" s="1"/>
      <c r="CG525" s="1"/>
      <c r="CH525" s="1"/>
      <c r="CI525" s="1"/>
      <c r="CJ525" s="1"/>
      <c r="CK525" s="1"/>
      <c r="CL525" s="1"/>
    </row>
    <row r="526" spans="1:90" ht="14.65" x14ac:dyDescent="0.4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2"/>
      <c r="L526" s="1"/>
      <c r="M526" s="1"/>
      <c r="N526" s="1"/>
      <c r="O526" s="1"/>
      <c r="P526" s="1"/>
      <c r="Q526" s="1"/>
      <c r="R526" s="1"/>
      <c r="S526" s="1"/>
      <c r="T526" s="2"/>
      <c r="U526" s="1"/>
      <c r="V526" s="1"/>
      <c r="W526" s="1"/>
      <c r="X526" s="1"/>
      <c r="Y526" s="1"/>
      <c r="Z526" s="1"/>
      <c r="AA526" s="1"/>
      <c r="AB526" s="1"/>
      <c r="AC526" s="2"/>
      <c r="AD526" s="1"/>
      <c r="AE526" s="1"/>
      <c r="AF526" s="1"/>
      <c r="AG526" s="1"/>
      <c r="AH526" s="1"/>
      <c r="AI526" s="1"/>
      <c r="AJ526" s="1"/>
      <c r="AK526" s="1"/>
      <c r="AL526" s="2"/>
      <c r="AM526" s="1"/>
      <c r="AN526" s="1"/>
      <c r="AO526" s="1"/>
      <c r="AP526" s="1"/>
      <c r="AQ526" s="1"/>
      <c r="AR526" s="1"/>
      <c r="AS526" s="1"/>
      <c r="AT526" s="1"/>
      <c r="AU526" s="2"/>
      <c r="AV526" s="1"/>
      <c r="AW526" s="1"/>
      <c r="AX526" s="1"/>
      <c r="AY526" s="1"/>
      <c r="AZ526" s="1"/>
      <c r="BA526" s="1"/>
      <c r="BB526" s="1"/>
      <c r="BC526" s="1"/>
      <c r="BD526" s="2"/>
      <c r="BE526" s="1"/>
      <c r="BF526" s="1"/>
      <c r="BG526" s="1"/>
      <c r="BH526" s="1"/>
      <c r="BI526" s="1"/>
      <c r="BJ526" s="1"/>
      <c r="BK526" s="1"/>
      <c r="BL526" s="1"/>
      <c r="BM526" s="2"/>
      <c r="BN526" s="1"/>
      <c r="BO526" s="1"/>
      <c r="BP526" s="1"/>
      <c r="BQ526" s="1"/>
      <c r="BR526" s="1"/>
      <c r="BS526" s="1"/>
      <c r="BT526" s="1"/>
      <c r="BU526" s="1"/>
      <c r="BV526" s="2"/>
      <c r="BW526" s="1"/>
      <c r="BX526" s="1"/>
      <c r="BY526" s="1"/>
      <c r="BZ526" s="1"/>
      <c r="CA526" s="1"/>
      <c r="CB526" s="1"/>
      <c r="CC526" s="1"/>
      <c r="CD526" s="1"/>
      <c r="CE526" s="2"/>
      <c r="CF526" s="1"/>
      <c r="CG526" s="1"/>
      <c r="CH526" s="1"/>
      <c r="CI526" s="1"/>
      <c r="CJ526" s="1"/>
      <c r="CK526" s="1"/>
      <c r="CL526" s="1"/>
    </row>
    <row r="527" spans="1:90" ht="14.65" x14ac:dyDescent="0.4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2"/>
      <c r="L527" s="1"/>
      <c r="M527" s="1"/>
      <c r="N527" s="1"/>
      <c r="O527" s="1"/>
      <c r="P527" s="1"/>
      <c r="Q527" s="1"/>
      <c r="R527" s="1"/>
      <c r="S527" s="1"/>
      <c r="T527" s="2"/>
      <c r="U527" s="1"/>
      <c r="V527" s="1"/>
      <c r="W527" s="1"/>
      <c r="X527" s="1"/>
      <c r="Y527" s="1"/>
      <c r="Z527" s="1"/>
      <c r="AA527" s="1"/>
      <c r="AB527" s="1"/>
      <c r="AC527" s="2"/>
      <c r="AD527" s="1"/>
      <c r="AE527" s="1"/>
      <c r="AF527" s="1"/>
      <c r="AG527" s="1"/>
      <c r="AH527" s="1"/>
      <c r="AI527" s="1"/>
      <c r="AJ527" s="1"/>
      <c r="AK527" s="1"/>
      <c r="AL527" s="2"/>
      <c r="AM527" s="1"/>
      <c r="AN527" s="1"/>
      <c r="AO527" s="1"/>
      <c r="AP527" s="1"/>
      <c r="AQ527" s="1"/>
      <c r="AR527" s="1"/>
      <c r="AS527" s="1"/>
      <c r="AT527" s="1"/>
      <c r="AU527" s="2"/>
      <c r="AV527" s="1"/>
      <c r="AW527" s="1"/>
      <c r="AX527" s="1"/>
      <c r="AY527" s="1"/>
      <c r="AZ527" s="1"/>
      <c r="BA527" s="1"/>
      <c r="BB527" s="1"/>
      <c r="BC527" s="1"/>
      <c r="BD527" s="2"/>
      <c r="BE527" s="1"/>
      <c r="BF527" s="1"/>
      <c r="BG527" s="1"/>
      <c r="BH527" s="1"/>
      <c r="BI527" s="1"/>
      <c r="BJ527" s="1"/>
      <c r="BK527" s="1"/>
      <c r="BL527" s="1"/>
      <c r="BM527" s="2"/>
      <c r="BN527" s="1"/>
      <c r="BO527" s="1"/>
      <c r="BP527" s="1"/>
      <c r="BQ527" s="1"/>
      <c r="BR527" s="1"/>
      <c r="BS527" s="1"/>
      <c r="BT527" s="1"/>
      <c r="BU527" s="1"/>
      <c r="BV527" s="2"/>
      <c r="BW527" s="1"/>
      <c r="BX527" s="1"/>
      <c r="BY527" s="1"/>
      <c r="BZ527" s="1"/>
      <c r="CA527" s="1"/>
      <c r="CB527" s="1"/>
      <c r="CC527" s="1"/>
      <c r="CD527" s="1"/>
      <c r="CE527" s="2"/>
      <c r="CF527" s="1"/>
      <c r="CG527" s="1"/>
      <c r="CH527" s="1"/>
      <c r="CI527" s="1"/>
      <c r="CJ527" s="1"/>
      <c r="CK527" s="1"/>
      <c r="CL527" s="1"/>
    </row>
    <row r="528" spans="1:90" ht="14.65" x14ac:dyDescent="0.4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2"/>
      <c r="L528" s="1"/>
      <c r="M528" s="1"/>
      <c r="N528" s="1"/>
      <c r="O528" s="1"/>
      <c r="P528" s="1"/>
      <c r="Q528" s="1"/>
      <c r="R528" s="1"/>
      <c r="S528" s="1"/>
      <c r="T528" s="2"/>
      <c r="U528" s="1"/>
      <c r="V528" s="1"/>
      <c r="W528" s="1"/>
      <c r="X528" s="1"/>
      <c r="Y528" s="1"/>
      <c r="Z528" s="1"/>
      <c r="AA528" s="1"/>
      <c r="AB528" s="1"/>
      <c r="AC528" s="2"/>
      <c r="AD528" s="1"/>
      <c r="AE528" s="1"/>
      <c r="AF528" s="1"/>
      <c r="AG528" s="1"/>
      <c r="AH528" s="1"/>
      <c r="AI528" s="1"/>
      <c r="AJ528" s="1"/>
      <c r="AK528" s="1"/>
      <c r="AL528" s="2"/>
      <c r="AM528" s="1"/>
      <c r="AN528" s="1"/>
      <c r="AO528" s="1"/>
      <c r="AP528" s="1"/>
      <c r="AQ528" s="1"/>
      <c r="AR528" s="1"/>
      <c r="AS528" s="1"/>
      <c r="AT528" s="1"/>
      <c r="AU528" s="2"/>
      <c r="AV528" s="1"/>
      <c r="AW528" s="1"/>
      <c r="AX528" s="1"/>
      <c r="AY528" s="1"/>
      <c r="AZ528" s="1"/>
      <c r="BA528" s="1"/>
      <c r="BB528" s="1"/>
      <c r="BC528" s="1"/>
      <c r="BD528" s="2"/>
      <c r="BE528" s="1"/>
      <c r="BF528" s="1"/>
      <c r="BG528" s="1"/>
      <c r="BH528" s="1"/>
      <c r="BI528" s="1"/>
      <c r="BJ528" s="1"/>
      <c r="BK528" s="1"/>
      <c r="BL528" s="1"/>
      <c r="BM528" s="2"/>
      <c r="BN528" s="1"/>
      <c r="BO528" s="1"/>
      <c r="BP528" s="1"/>
      <c r="BQ528" s="1"/>
      <c r="BR528" s="1"/>
      <c r="BS528" s="1"/>
      <c r="BT528" s="1"/>
      <c r="BU528" s="1"/>
      <c r="BV528" s="2"/>
      <c r="BW528" s="1"/>
      <c r="BX528" s="1"/>
      <c r="BY528" s="1"/>
      <c r="BZ528" s="1"/>
      <c r="CA528" s="1"/>
      <c r="CB528" s="1"/>
      <c r="CC528" s="1"/>
      <c r="CD528" s="1"/>
      <c r="CE528" s="2"/>
      <c r="CF528" s="1"/>
      <c r="CG528" s="1"/>
      <c r="CH528" s="1"/>
      <c r="CI528" s="1"/>
      <c r="CJ528" s="1"/>
      <c r="CK528" s="1"/>
      <c r="CL528" s="1"/>
    </row>
    <row r="529" spans="1:90" ht="14.65" x14ac:dyDescent="0.4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2"/>
      <c r="L529" s="1"/>
      <c r="M529" s="1"/>
      <c r="N529" s="1"/>
      <c r="O529" s="1"/>
      <c r="P529" s="1"/>
      <c r="Q529" s="1"/>
      <c r="R529" s="1"/>
      <c r="S529" s="1"/>
      <c r="T529" s="2"/>
      <c r="U529" s="1"/>
      <c r="V529" s="1"/>
      <c r="W529" s="1"/>
      <c r="X529" s="1"/>
      <c r="Y529" s="1"/>
      <c r="Z529" s="1"/>
      <c r="AA529" s="1"/>
      <c r="AB529" s="1"/>
      <c r="AC529" s="2"/>
      <c r="AD529" s="1"/>
      <c r="AE529" s="1"/>
      <c r="AF529" s="1"/>
      <c r="AG529" s="1"/>
      <c r="AH529" s="1"/>
      <c r="AI529" s="1"/>
      <c r="AJ529" s="1"/>
      <c r="AK529" s="1"/>
      <c r="AL529" s="2"/>
      <c r="AM529" s="1"/>
      <c r="AN529" s="1"/>
      <c r="AO529" s="1"/>
      <c r="AP529" s="1"/>
      <c r="AQ529" s="1"/>
      <c r="AR529" s="1"/>
      <c r="AS529" s="1"/>
      <c r="AT529" s="1"/>
      <c r="AU529" s="2"/>
      <c r="AV529" s="1"/>
      <c r="AW529" s="1"/>
      <c r="AX529" s="1"/>
      <c r="AY529" s="1"/>
      <c r="AZ529" s="1"/>
      <c r="BA529" s="1"/>
      <c r="BB529" s="1"/>
      <c r="BC529" s="1"/>
      <c r="BD529" s="2"/>
      <c r="BE529" s="1"/>
      <c r="BF529" s="1"/>
      <c r="BG529" s="1"/>
      <c r="BH529" s="1"/>
      <c r="BI529" s="1"/>
      <c r="BJ529" s="1"/>
      <c r="BK529" s="1"/>
      <c r="BL529" s="1"/>
      <c r="BM529" s="2"/>
      <c r="BN529" s="1"/>
      <c r="BO529" s="1"/>
      <c r="BP529" s="1"/>
      <c r="BQ529" s="1"/>
      <c r="BR529" s="1"/>
      <c r="BS529" s="1"/>
      <c r="BT529" s="1"/>
      <c r="BU529" s="1"/>
      <c r="BV529" s="2"/>
      <c r="BW529" s="1"/>
      <c r="BX529" s="1"/>
      <c r="BY529" s="1"/>
      <c r="BZ529" s="1"/>
      <c r="CA529" s="1"/>
      <c r="CB529" s="1"/>
      <c r="CC529" s="1"/>
      <c r="CD529" s="1"/>
      <c r="CE529" s="2"/>
      <c r="CF529" s="1"/>
      <c r="CG529" s="1"/>
      <c r="CH529" s="1"/>
      <c r="CI529" s="1"/>
      <c r="CJ529" s="1"/>
      <c r="CK529" s="1"/>
      <c r="CL529" s="1"/>
    </row>
    <row r="530" spans="1:90" ht="14.65" x14ac:dyDescent="0.4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2"/>
      <c r="L530" s="1"/>
      <c r="M530" s="1"/>
      <c r="N530" s="1"/>
      <c r="O530" s="1"/>
      <c r="P530" s="1"/>
      <c r="Q530" s="1"/>
      <c r="R530" s="1"/>
      <c r="S530" s="1"/>
      <c r="T530" s="2"/>
      <c r="U530" s="1"/>
      <c r="V530" s="1"/>
      <c r="W530" s="1"/>
      <c r="X530" s="1"/>
      <c r="Y530" s="1"/>
      <c r="Z530" s="1"/>
      <c r="AA530" s="1"/>
      <c r="AB530" s="1"/>
      <c r="AC530" s="2"/>
      <c r="AD530" s="1"/>
      <c r="AE530" s="1"/>
      <c r="AF530" s="1"/>
      <c r="AG530" s="1"/>
      <c r="AH530" s="1"/>
      <c r="AI530" s="1"/>
      <c r="AJ530" s="1"/>
      <c r="AK530" s="1"/>
      <c r="AL530" s="2"/>
      <c r="AM530" s="1"/>
      <c r="AN530" s="1"/>
      <c r="AO530" s="1"/>
      <c r="AP530" s="1"/>
      <c r="AQ530" s="1"/>
      <c r="AR530" s="1"/>
      <c r="AS530" s="1"/>
      <c r="AT530" s="1"/>
      <c r="AU530" s="2"/>
      <c r="AV530" s="1"/>
      <c r="AW530" s="1"/>
      <c r="AX530" s="1"/>
      <c r="AY530" s="1"/>
      <c r="AZ530" s="1"/>
      <c r="BA530" s="1"/>
      <c r="BB530" s="1"/>
      <c r="BC530" s="1"/>
      <c r="BD530" s="2"/>
      <c r="BE530" s="1"/>
      <c r="BF530" s="1"/>
      <c r="BG530" s="1"/>
      <c r="BH530" s="1"/>
      <c r="BI530" s="1"/>
      <c r="BJ530" s="1"/>
      <c r="BK530" s="1"/>
      <c r="BL530" s="1"/>
      <c r="BM530" s="2"/>
      <c r="BN530" s="1"/>
      <c r="BO530" s="1"/>
      <c r="BP530" s="1"/>
      <c r="BQ530" s="1"/>
      <c r="BR530" s="1"/>
      <c r="BS530" s="1"/>
      <c r="BT530" s="1"/>
      <c r="BU530" s="1"/>
      <c r="BV530" s="2"/>
      <c r="BW530" s="1"/>
      <c r="BX530" s="1"/>
      <c r="BY530" s="1"/>
      <c r="BZ530" s="1"/>
      <c r="CA530" s="1"/>
      <c r="CB530" s="1"/>
      <c r="CC530" s="1"/>
      <c r="CD530" s="1"/>
      <c r="CE530" s="2"/>
      <c r="CF530" s="1"/>
      <c r="CG530" s="1"/>
      <c r="CH530" s="1"/>
      <c r="CI530" s="1"/>
      <c r="CJ530" s="1"/>
      <c r="CK530" s="1"/>
      <c r="CL530" s="1"/>
    </row>
    <row r="531" spans="1:90" ht="14.65" x14ac:dyDescent="0.4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2"/>
      <c r="L531" s="1"/>
      <c r="M531" s="1"/>
      <c r="N531" s="1"/>
      <c r="O531" s="1"/>
      <c r="P531" s="1"/>
      <c r="Q531" s="1"/>
      <c r="R531" s="1"/>
      <c r="S531" s="1"/>
      <c r="T531" s="2"/>
      <c r="U531" s="1"/>
      <c r="V531" s="1"/>
      <c r="W531" s="1"/>
      <c r="X531" s="1"/>
      <c r="Y531" s="1"/>
      <c r="Z531" s="1"/>
      <c r="AA531" s="1"/>
      <c r="AB531" s="1"/>
      <c r="AC531" s="2"/>
      <c r="AD531" s="1"/>
      <c r="AE531" s="1"/>
      <c r="AF531" s="1"/>
      <c r="AG531" s="1"/>
      <c r="AH531" s="1"/>
      <c r="AI531" s="1"/>
      <c r="AJ531" s="1"/>
      <c r="AK531" s="1"/>
      <c r="AL531" s="2"/>
      <c r="AM531" s="1"/>
      <c r="AN531" s="1"/>
      <c r="AO531" s="1"/>
      <c r="AP531" s="1"/>
      <c r="AQ531" s="1"/>
      <c r="AR531" s="1"/>
      <c r="AS531" s="1"/>
      <c r="AT531" s="1"/>
      <c r="AU531" s="2"/>
      <c r="AV531" s="1"/>
      <c r="AW531" s="1"/>
      <c r="AX531" s="1"/>
      <c r="AY531" s="1"/>
      <c r="AZ531" s="1"/>
      <c r="BA531" s="1"/>
      <c r="BB531" s="1"/>
      <c r="BC531" s="1"/>
      <c r="BD531" s="2"/>
      <c r="BE531" s="1"/>
      <c r="BF531" s="1"/>
      <c r="BG531" s="1"/>
      <c r="BH531" s="1"/>
      <c r="BI531" s="1"/>
      <c r="BJ531" s="1"/>
      <c r="BK531" s="1"/>
      <c r="BL531" s="1"/>
      <c r="BM531" s="2"/>
      <c r="BN531" s="1"/>
      <c r="BO531" s="1"/>
      <c r="BP531" s="1"/>
      <c r="BQ531" s="1"/>
      <c r="BR531" s="1"/>
      <c r="BS531" s="1"/>
      <c r="BT531" s="1"/>
      <c r="BU531" s="1"/>
      <c r="BV531" s="2"/>
      <c r="BW531" s="1"/>
      <c r="BX531" s="1"/>
      <c r="BY531" s="1"/>
      <c r="BZ531" s="1"/>
      <c r="CA531" s="1"/>
      <c r="CB531" s="1"/>
      <c r="CC531" s="1"/>
      <c r="CD531" s="1"/>
      <c r="CE531" s="2"/>
      <c r="CF531" s="1"/>
      <c r="CG531" s="1"/>
      <c r="CH531" s="1"/>
      <c r="CI531" s="1"/>
      <c r="CJ531" s="1"/>
      <c r="CK531" s="1"/>
      <c r="CL531" s="1"/>
    </row>
    <row r="532" spans="1:90" ht="14.65" x14ac:dyDescent="0.4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2"/>
      <c r="L532" s="1"/>
      <c r="M532" s="1"/>
      <c r="N532" s="1"/>
      <c r="O532" s="1"/>
      <c r="P532" s="1"/>
      <c r="Q532" s="1"/>
      <c r="R532" s="1"/>
      <c r="S532" s="1"/>
      <c r="T532" s="2"/>
      <c r="U532" s="1"/>
      <c r="V532" s="1"/>
      <c r="W532" s="1"/>
      <c r="X532" s="1"/>
      <c r="Y532" s="1"/>
      <c r="Z532" s="1"/>
      <c r="AA532" s="1"/>
      <c r="AB532" s="1"/>
      <c r="AC532" s="2"/>
      <c r="AD532" s="1"/>
      <c r="AE532" s="1"/>
      <c r="AF532" s="1"/>
      <c r="AG532" s="1"/>
      <c r="AH532" s="1"/>
      <c r="AI532" s="1"/>
      <c r="AJ532" s="1"/>
      <c r="AK532" s="1"/>
      <c r="AL532" s="2"/>
      <c r="AM532" s="1"/>
      <c r="AN532" s="1"/>
      <c r="AO532" s="1"/>
      <c r="AP532" s="1"/>
      <c r="AQ532" s="1"/>
      <c r="AR532" s="1"/>
      <c r="AS532" s="1"/>
      <c r="AT532" s="1"/>
      <c r="AU532" s="2"/>
      <c r="AV532" s="1"/>
      <c r="AW532" s="1"/>
      <c r="AX532" s="1"/>
      <c r="AY532" s="1"/>
      <c r="AZ532" s="1"/>
      <c r="BA532" s="1"/>
      <c r="BB532" s="1"/>
      <c r="BC532" s="1"/>
      <c r="BD532" s="2"/>
      <c r="BE532" s="1"/>
      <c r="BF532" s="1"/>
      <c r="BG532" s="1"/>
      <c r="BH532" s="1"/>
      <c r="BI532" s="1"/>
      <c r="BJ532" s="1"/>
      <c r="BK532" s="1"/>
      <c r="BL532" s="1"/>
      <c r="BM532" s="2"/>
      <c r="BN532" s="1"/>
      <c r="BO532" s="1"/>
      <c r="BP532" s="1"/>
      <c r="BQ532" s="1"/>
      <c r="BR532" s="1"/>
      <c r="BS532" s="1"/>
      <c r="BT532" s="1"/>
      <c r="BU532" s="1"/>
      <c r="BV532" s="2"/>
      <c r="BW532" s="1"/>
      <c r="BX532" s="1"/>
      <c r="BY532" s="1"/>
      <c r="BZ532" s="1"/>
      <c r="CA532" s="1"/>
      <c r="CB532" s="1"/>
      <c r="CC532" s="1"/>
      <c r="CD532" s="1"/>
      <c r="CE532" s="2"/>
      <c r="CF532" s="1"/>
      <c r="CG532" s="1"/>
      <c r="CH532" s="1"/>
      <c r="CI532" s="1"/>
      <c r="CJ532" s="1"/>
      <c r="CK532" s="1"/>
      <c r="CL532" s="1"/>
    </row>
    <row r="533" spans="1:90" ht="14.65" x14ac:dyDescent="0.4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2"/>
      <c r="L533" s="1"/>
      <c r="M533" s="1"/>
      <c r="N533" s="1"/>
      <c r="O533" s="1"/>
      <c r="P533" s="1"/>
      <c r="Q533" s="1"/>
      <c r="R533" s="1"/>
      <c r="S533" s="1"/>
      <c r="T533" s="2"/>
      <c r="U533" s="1"/>
      <c r="V533" s="1"/>
      <c r="W533" s="1"/>
      <c r="X533" s="1"/>
      <c r="Y533" s="1"/>
      <c r="Z533" s="1"/>
      <c r="AA533" s="1"/>
      <c r="AB533" s="1"/>
      <c r="AC533" s="2"/>
      <c r="AD533" s="1"/>
      <c r="AE533" s="1"/>
      <c r="AF533" s="1"/>
      <c r="AG533" s="1"/>
      <c r="AH533" s="1"/>
      <c r="AI533" s="1"/>
      <c r="AJ533" s="1"/>
      <c r="AK533" s="1"/>
      <c r="AL533" s="2"/>
      <c r="AM533" s="1"/>
      <c r="AN533" s="1"/>
      <c r="AO533" s="1"/>
      <c r="AP533" s="1"/>
      <c r="AQ533" s="1"/>
      <c r="AR533" s="1"/>
      <c r="AS533" s="1"/>
      <c r="AT533" s="1"/>
      <c r="AU533" s="2"/>
      <c r="AV533" s="1"/>
      <c r="AW533" s="1"/>
      <c r="AX533" s="1"/>
      <c r="AY533" s="1"/>
      <c r="AZ533" s="1"/>
      <c r="BA533" s="1"/>
      <c r="BB533" s="1"/>
      <c r="BC533" s="1"/>
      <c r="BD533" s="2"/>
      <c r="BE533" s="1"/>
      <c r="BF533" s="1"/>
      <c r="BG533" s="1"/>
      <c r="BH533" s="1"/>
      <c r="BI533" s="1"/>
      <c r="BJ533" s="1"/>
      <c r="BK533" s="1"/>
      <c r="BL533" s="1"/>
      <c r="BM533" s="2"/>
      <c r="BN533" s="1"/>
      <c r="BO533" s="1"/>
      <c r="BP533" s="1"/>
      <c r="BQ533" s="1"/>
      <c r="BR533" s="1"/>
      <c r="BS533" s="1"/>
      <c r="BT533" s="1"/>
      <c r="BU533" s="1"/>
      <c r="BV533" s="2"/>
      <c r="BW533" s="1"/>
      <c r="BX533" s="1"/>
      <c r="BY533" s="1"/>
      <c r="BZ533" s="1"/>
      <c r="CA533" s="1"/>
      <c r="CB533" s="1"/>
      <c r="CC533" s="1"/>
      <c r="CD533" s="1"/>
      <c r="CE533" s="2"/>
      <c r="CF533" s="1"/>
      <c r="CG533" s="1"/>
      <c r="CH533" s="1"/>
      <c r="CI533" s="1"/>
      <c r="CJ533" s="1"/>
      <c r="CK533" s="1"/>
      <c r="CL533" s="1"/>
    </row>
    <row r="534" spans="1:90" ht="14.65" x14ac:dyDescent="0.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2"/>
      <c r="L534" s="1"/>
      <c r="M534" s="1"/>
      <c r="N534" s="1"/>
      <c r="O534" s="1"/>
      <c r="P534" s="1"/>
      <c r="Q534" s="1"/>
      <c r="R534" s="1"/>
      <c r="S534" s="1"/>
      <c r="T534" s="2"/>
      <c r="U534" s="1"/>
      <c r="V534" s="1"/>
      <c r="W534" s="1"/>
      <c r="X534" s="1"/>
      <c r="Y534" s="1"/>
      <c r="Z534" s="1"/>
      <c r="AA534" s="1"/>
      <c r="AB534" s="1"/>
      <c r="AC534" s="2"/>
      <c r="AD534" s="1"/>
      <c r="AE534" s="1"/>
      <c r="AF534" s="1"/>
      <c r="AG534" s="1"/>
      <c r="AH534" s="1"/>
      <c r="AI534" s="1"/>
      <c r="AJ534" s="1"/>
      <c r="AK534" s="1"/>
      <c r="AL534" s="2"/>
      <c r="AM534" s="1"/>
      <c r="AN534" s="1"/>
      <c r="AO534" s="1"/>
      <c r="AP534" s="1"/>
      <c r="AQ534" s="1"/>
      <c r="AR534" s="1"/>
      <c r="AS534" s="1"/>
      <c r="AT534" s="1"/>
      <c r="AU534" s="2"/>
      <c r="AV534" s="1"/>
      <c r="AW534" s="1"/>
      <c r="AX534" s="1"/>
      <c r="AY534" s="1"/>
      <c r="AZ534" s="1"/>
      <c r="BA534" s="1"/>
      <c r="BB534" s="1"/>
      <c r="BC534" s="1"/>
      <c r="BD534" s="2"/>
      <c r="BE534" s="1"/>
      <c r="BF534" s="1"/>
      <c r="BG534" s="1"/>
      <c r="BH534" s="1"/>
      <c r="BI534" s="1"/>
      <c r="BJ534" s="1"/>
      <c r="BK534" s="1"/>
      <c r="BL534" s="1"/>
      <c r="BM534" s="2"/>
      <c r="BN534" s="1"/>
      <c r="BO534" s="1"/>
      <c r="BP534" s="1"/>
      <c r="BQ534" s="1"/>
      <c r="BR534" s="1"/>
      <c r="BS534" s="1"/>
      <c r="BT534" s="1"/>
      <c r="BU534" s="1"/>
      <c r="BV534" s="2"/>
      <c r="BW534" s="1"/>
      <c r="BX534" s="1"/>
      <c r="BY534" s="1"/>
      <c r="BZ534" s="1"/>
      <c r="CA534" s="1"/>
      <c r="CB534" s="1"/>
      <c r="CC534" s="1"/>
      <c r="CD534" s="1"/>
      <c r="CE534" s="2"/>
      <c r="CF534" s="1"/>
      <c r="CG534" s="1"/>
      <c r="CH534" s="1"/>
      <c r="CI534" s="1"/>
      <c r="CJ534" s="1"/>
      <c r="CK534" s="1"/>
      <c r="CL534" s="1"/>
    </row>
    <row r="535" spans="1:90" ht="14.65" x14ac:dyDescent="0.4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2"/>
      <c r="L535" s="1"/>
      <c r="M535" s="1"/>
      <c r="N535" s="1"/>
      <c r="O535" s="1"/>
      <c r="P535" s="1"/>
      <c r="Q535" s="1"/>
      <c r="R535" s="1"/>
      <c r="S535" s="1"/>
      <c r="T535" s="2"/>
      <c r="U535" s="1"/>
      <c r="V535" s="1"/>
      <c r="W535" s="1"/>
      <c r="X535" s="1"/>
      <c r="Y535" s="1"/>
      <c r="Z535" s="1"/>
      <c r="AA535" s="1"/>
      <c r="AB535" s="1"/>
      <c r="AC535" s="2"/>
      <c r="AD535" s="1"/>
      <c r="AE535" s="1"/>
      <c r="AF535" s="1"/>
      <c r="AG535" s="1"/>
      <c r="AH535" s="1"/>
      <c r="AI535" s="1"/>
      <c r="AJ535" s="1"/>
      <c r="AK535" s="1"/>
      <c r="AL535" s="2"/>
      <c r="AM535" s="1"/>
      <c r="AN535" s="1"/>
      <c r="AO535" s="1"/>
      <c r="AP535" s="1"/>
      <c r="AQ535" s="1"/>
      <c r="AR535" s="1"/>
      <c r="AS535" s="1"/>
      <c r="AT535" s="1"/>
      <c r="AU535" s="2"/>
      <c r="AV535" s="1"/>
      <c r="AW535" s="1"/>
      <c r="AX535" s="1"/>
      <c r="AY535" s="1"/>
      <c r="AZ535" s="1"/>
      <c r="BA535" s="1"/>
      <c r="BB535" s="1"/>
      <c r="BC535" s="1"/>
      <c r="BD535" s="2"/>
      <c r="BE535" s="1"/>
      <c r="BF535" s="1"/>
      <c r="BG535" s="1"/>
      <c r="BH535" s="1"/>
      <c r="BI535" s="1"/>
      <c r="BJ535" s="1"/>
      <c r="BK535" s="1"/>
      <c r="BL535" s="1"/>
      <c r="BM535" s="2"/>
      <c r="BN535" s="1"/>
      <c r="BO535" s="1"/>
      <c r="BP535" s="1"/>
      <c r="BQ535" s="1"/>
      <c r="BR535" s="1"/>
      <c r="BS535" s="1"/>
      <c r="BT535" s="1"/>
      <c r="BU535" s="1"/>
      <c r="BV535" s="2"/>
      <c r="BW535" s="1"/>
      <c r="BX535" s="1"/>
      <c r="BY535" s="1"/>
      <c r="BZ535" s="1"/>
      <c r="CA535" s="1"/>
      <c r="CB535" s="1"/>
      <c r="CC535" s="1"/>
      <c r="CD535" s="1"/>
      <c r="CE535" s="2"/>
      <c r="CF535" s="1"/>
      <c r="CG535" s="1"/>
      <c r="CH535" s="1"/>
      <c r="CI535" s="1"/>
      <c r="CJ535" s="1"/>
      <c r="CK535" s="1"/>
      <c r="CL535" s="1"/>
    </row>
    <row r="536" spans="1:90" ht="14.65" x14ac:dyDescent="0.4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2"/>
      <c r="L536" s="1"/>
      <c r="M536" s="1"/>
      <c r="N536" s="1"/>
      <c r="O536" s="1"/>
      <c r="P536" s="1"/>
      <c r="Q536" s="1"/>
      <c r="R536" s="1"/>
      <c r="S536" s="1"/>
      <c r="T536" s="2"/>
      <c r="U536" s="1"/>
      <c r="V536" s="1"/>
      <c r="W536" s="1"/>
      <c r="X536" s="1"/>
      <c r="Y536" s="1"/>
      <c r="Z536" s="1"/>
      <c r="AA536" s="1"/>
      <c r="AB536" s="1"/>
      <c r="AC536" s="2"/>
      <c r="AD536" s="1"/>
      <c r="AE536" s="1"/>
      <c r="AF536" s="1"/>
      <c r="AG536" s="1"/>
      <c r="AH536" s="1"/>
      <c r="AI536" s="1"/>
      <c r="AJ536" s="1"/>
      <c r="AK536" s="1"/>
      <c r="AL536" s="2"/>
      <c r="AM536" s="1"/>
      <c r="AN536" s="1"/>
      <c r="AO536" s="1"/>
      <c r="AP536" s="1"/>
      <c r="AQ536" s="1"/>
      <c r="AR536" s="1"/>
      <c r="AS536" s="1"/>
      <c r="AT536" s="1"/>
      <c r="AU536" s="2"/>
      <c r="AV536" s="1"/>
      <c r="AW536" s="1"/>
      <c r="AX536" s="1"/>
      <c r="AY536" s="1"/>
      <c r="AZ536" s="1"/>
      <c r="BA536" s="1"/>
      <c r="BB536" s="1"/>
      <c r="BC536" s="1"/>
      <c r="BD536" s="2"/>
      <c r="BE536" s="1"/>
      <c r="BF536" s="1"/>
      <c r="BG536" s="1"/>
      <c r="BH536" s="1"/>
      <c r="BI536" s="1"/>
      <c r="BJ536" s="1"/>
      <c r="BK536" s="1"/>
      <c r="BL536" s="1"/>
      <c r="BM536" s="2"/>
      <c r="BN536" s="1"/>
      <c r="BO536" s="1"/>
      <c r="BP536" s="1"/>
      <c r="BQ536" s="1"/>
      <c r="BR536" s="1"/>
      <c r="BS536" s="1"/>
      <c r="BT536" s="1"/>
      <c r="BU536" s="1"/>
      <c r="BV536" s="2"/>
      <c r="BW536" s="1"/>
      <c r="BX536" s="1"/>
      <c r="BY536" s="1"/>
      <c r="BZ536" s="1"/>
      <c r="CA536" s="1"/>
      <c r="CB536" s="1"/>
      <c r="CC536" s="1"/>
      <c r="CD536" s="1"/>
      <c r="CE536" s="2"/>
      <c r="CF536" s="1"/>
      <c r="CG536" s="1"/>
      <c r="CH536" s="1"/>
      <c r="CI536" s="1"/>
      <c r="CJ536" s="1"/>
      <c r="CK536" s="1"/>
      <c r="CL536" s="1"/>
    </row>
    <row r="537" spans="1:90" ht="14.65" x14ac:dyDescent="0.4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2"/>
      <c r="L537" s="1"/>
      <c r="M537" s="1"/>
      <c r="N537" s="1"/>
      <c r="O537" s="1"/>
      <c r="P537" s="1"/>
      <c r="Q537" s="1"/>
      <c r="R537" s="1"/>
      <c r="S537" s="1"/>
      <c r="T537" s="2"/>
      <c r="U537" s="1"/>
      <c r="V537" s="1"/>
      <c r="W537" s="1"/>
      <c r="X537" s="1"/>
      <c r="Y537" s="1"/>
      <c r="Z537" s="1"/>
      <c r="AA537" s="1"/>
      <c r="AB537" s="1"/>
      <c r="AC537" s="2"/>
      <c r="AD537" s="1"/>
      <c r="AE537" s="1"/>
      <c r="AF537" s="1"/>
      <c r="AG537" s="1"/>
      <c r="AH537" s="1"/>
      <c r="AI537" s="1"/>
      <c r="AJ537" s="1"/>
      <c r="AK537" s="1"/>
      <c r="AL537" s="2"/>
      <c r="AM537" s="1"/>
      <c r="AN537" s="1"/>
      <c r="AO537" s="1"/>
      <c r="AP537" s="1"/>
      <c r="AQ537" s="1"/>
      <c r="AR537" s="1"/>
      <c r="AS537" s="1"/>
      <c r="AT537" s="1"/>
      <c r="AU537" s="2"/>
      <c r="AV537" s="1"/>
      <c r="AW537" s="1"/>
      <c r="AX537" s="1"/>
      <c r="AY537" s="1"/>
      <c r="AZ537" s="1"/>
      <c r="BA537" s="1"/>
      <c r="BB537" s="1"/>
      <c r="BC537" s="1"/>
      <c r="BD537" s="2"/>
      <c r="BE537" s="1"/>
      <c r="BF537" s="1"/>
      <c r="BG537" s="1"/>
      <c r="BH537" s="1"/>
      <c r="BI537" s="1"/>
      <c r="BJ537" s="1"/>
      <c r="BK537" s="1"/>
      <c r="BL537" s="1"/>
      <c r="BM537" s="2"/>
      <c r="BN537" s="1"/>
      <c r="BO537" s="1"/>
      <c r="BP537" s="1"/>
      <c r="BQ537" s="1"/>
      <c r="BR537" s="1"/>
      <c r="BS537" s="1"/>
      <c r="BT537" s="1"/>
      <c r="BU537" s="1"/>
      <c r="BV537" s="2"/>
      <c r="BW537" s="1"/>
      <c r="BX537" s="1"/>
      <c r="BY537" s="1"/>
      <c r="BZ537" s="1"/>
      <c r="CA537" s="1"/>
      <c r="CB537" s="1"/>
      <c r="CC537" s="1"/>
      <c r="CD537" s="1"/>
      <c r="CE537" s="2"/>
      <c r="CF537" s="1"/>
      <c r="CG537" s="1"/>
      <c r="CH537" s="1"/>
      <c r="CI537" s="1"/>
      <c r="CJ537" s="1"/>
      <c r="CK537" s="1"/>
      <c r="CL537" s="1"/>
    </row>
    <row r="538" spans="1:90" ht="14.65" x14ac:dyDescent="0.4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2"/>
      <c r="L538" s="1"/>
      <c r="M538" s="1"/>
      <c r="N538" s="1"/>
      <c r="O538" s="1"/>
      <c r="P538" s="1"/>
      <c r="Q538" s="1"/>
      <c r="R538" s="1"/>
      <c r="S538" s="1"/>
      <c r="T538" s="2"/>
      <c r="U538" s="1"/>
      <c r="V538" s="1"/>
      <c r="W538" s="1"/>
      <c r="X538" s="1"/>
      <c r="Y538" s="1"/>
      <c r="Z538" s="1"/>
      <c r="AA538" s="1"/>
      <c r="AB538" s="1"/>
      <c r="AC538" s="2"/>
      <c r="AD538" s="1"/>
      <c r="AE538" s="1"/>
      <c r="AF538" s="1"/>
      <c r="AG538" s="1"/>
      <c r="AH538" s="1"/>
      <c r="AI538" s="1"/>
      <c r="AJ538" s="1"/>
      <c r="AK538" s="1"/>
      <c r="AL538" s="2"/>
      <c r="AM538" s="1"/>
      <c r="AN538" s="1"/>
      <c r="AO538" s="1"/>
      <c r="AP538" s="1"/>
      <c r="AQ538" s="1"/>
      <c r="AR538" s="1"/>
      <c r="AS538" s="1"/>
      <c r="AT538" s="1"/>
      <c r="AU538" s="2"/>
      <c r="AV538" s="1"/>
      <c r="AW538" s="1"/>
      <c r="AX538" s="1"/>
      <c r="AY538" s="1"/>
      <c r="AZ538" s="1"/>
      <c r="BA538" s="1"/>
      <c r="BB538" s="1"/>
      <c r="BC538" s="1"/>
      <c r="BD538" s="2"/>
      <c r="BE538" s="1"/>
      <c r="BF538" s="1"/>
      <c r="BG538" s="1"/>
      <c r="BH538" s="1"/>
      <c r="BI538" s="1"/>
      <c r="BJ538" s="1"/>
      <c r="BK538" s="1"/>
      <c r="BL538" s="1"/>
      <c r="BM538" s="2"/>
      <c r="BN538" s="1"/>
      <c r="BO538" s="1"/>
      <c r="BP538" s="1"/>
      <c r="BQ538" s="1"/>
      <c r="BR538" s="1"/>
      <c r="BS538" s="1"/>
      <c r="BT538" s="1"/>
      <c r="BU538" s="1"/>
      <c r="BV538" s="2"/>
      <c r="BW538" s="1"/>
      <c r="BX538" s="1"/>
      <c r="BY538" s="1"/>
      <c r="BZ538" s="1"/>
      <c r="CA538" s="1"/>
      <c r="CB538" s="1"/>
      <c r="CC538" s="1"/>
      <c r="CD538" s="1"/>
      <c r="CE538" s="2"/>
      <c r="CF538" s="1"/>
      <c r="CG538" s="1"/>
      <c r="CH538" s="1"/>
      <c r="CI538" s="1"/>
      <c r="CJ538" s="1"/>
      <c r="CK538" s="1"/>
      <c r="CL538" s="1"/>
    </row>
    <row r="539" spans="1:90" ht="14.65" x14ac:dyDescent="0.4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2"/>
      <c r="L539" s="1"/>
      <c r="M539" s="1"/>
      <c r="N539" s="1"/>
      <c r="O539" s="1"/>
      <c r="P539" s="1"/>
      <c r="Q539" s="1"/>
      <c r="R539" s="1"/>
      <c r="S539" s="1"/>
      <c r="T539" s="2"/>
      <c r="U539" s="1"/>
      <c r="V539" s="1"/>
      <c r="W539" s="1"/>
      <c r="X539" s="1"/>
      <c r="Y539" s="1"/>
      <c r="Z539" s="1"/>
      <c r="AA539" s="1"/>
      <c r="AB539" s="1"/>
      <c r="AC539" s="2"/>
      <c r="AD539" s="1"/>
      <c r="AE539" s="1"/>
      <c r="AF539" s="1"/>
      <c r="AG539" s="1"/>
      <c r="AH539" s="1"/>
      <c r="AI539" s="1"/>
      <c r="AJ539" s="1"/>
      <c r="AK539" s="1"/>
      <c r="AL539" s="2"/>
      <c r="AM539" s="1"/>
      <c r="AN539" s="1"/>
      <c r="AO539" s="1"/>
      <c r="AP539" s="1"/>
      <c r="AQ539" s="1"/>
      <c r="AR539" s="1"/>
      <c r="AS539" s="1"/>
      <c r="AT539" s="1"/>
      <c r="AU539" s="2"/>
      <c r="AV539" s="1"/>
      <c r="AW539" s="1"/>
      <c r="AX539" s="1"/>
      <c r="AY539" s="1"/>
      <c r="AZ539" s="1"/>
      <c r="BA539" s="1"/>
      <c r="BB539" s="1"/>
      <c r="BC539" s="1"/>
      <c r="BD539" s="2"/>
      <c r="BE539" s="1"/>
      <c r="BF539" s="1"/>
      <c r="BG539" s="1"/>
      <c r="BH539" s="1"/>
      <c r="BI539" s="1"/>
      <c r="BJ539" s="1"/>
      <c r="BK539" s="1"/>
      <c r="BL539" s="1"/>
      <c r="BM539" s="2"/>
      <c r="BN539" s="1"/>
      <c r="BO539" s="1"/>
      <c r="BP539" s="1"/>
      <c r="BQ539" s="1"/>
      <c r="BR539" s="1"/>
      <c r="BS539" s="1"/>
      <c r="BT539" s="1"/>
      <c r="BU539" s="1"/>
      <c r="BV539" s="2"/>
      <c r="BW539" s="1"/>
      <c r="BX539" s="1"/>
      <c r="BY539" s="1"/>
      <c r="BZ539" s="1"/>
      <c r="CA539" s="1"/>
      <c r="CB539" s="1"/>
      <c r="CC539" s="1"/>
      <c r="CD539" s="1"/>
      <c r="CE539" s="2"/>
      <c r="CF539" s="1"/>
      <c r="CG539" s="1"/>
      <c r="CH539" s="1"/>
      <c r="CI539" s="1"/>
      <c r="CJ539" s="1"/>
      <c r="CK539" s="1"/>
      <c r="CL539" s="1"/>
    </row>
    <row r="540" spans="1:90" ht="14.65" x14ac:dyDescent="0.4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2"/>
      <c r="L540" s="1"/>
      <c r="M540" s="1"/>
      <c r="N540" s="1"/>
      <c r="O540" s="1"/>
      <c r="P540" s="1"/>
      <c r="Q540" s="1"/>
      <c r="R540" s="1"/>
      <c r="S540" s="1"/>
      <c r="T540" s="2"/>
      <c r="U540" s="1"/>
      <c r="V540" s="1"/>
      <c r="W540" s="1"/>
      <c r="X540" s="1"/>
      <c r="Y540" s="1"/>
      <c r="Z540" s="1"/>
      <c r="AA540" s="1"/>
      <c r="AB540" s="1"/>
      <c r="AC540" s="2"/>
      <c r="AD540" s="1"/>
      <c r="AE540" s="1"/>
      <c r="AF540" s="1"/>
      <c r="AG540" s="1"/>
      <c r="AH540" s="1"/>
      <c r="AI540" s="1"/>
      <c r="AJ540" s="1"/>
      <c r="AK540" s="1"/>
      <c r="AL540" s="2"/>
      <c r="AM540" s="1"/>
      <c r="AN540" s="1"/>
      <c r="AO540" s="1"/>
      <c r="AP540" s="1"/>
      <c r="AQ540" s="1"/>
      <c r="AR540" s="1"/>
      <c r="AS540" s="1"/>
      <c r="AT540" s="1"/>
      <c r="AU540" s="2"/>
      <c r="AV540" s="1"/>
      <c r="AW540" s="1"/>
      <c r="AX540" s="1"/>
      <c r="AY540" s="1"/>
      <c r="AZ540" s="1"/>
      <c r="BA540" s="1"/>
      <c r="BB540" s="1"/>
      <c r="BC540" s="1"/>
      <c r="BD540" s="2"/>
      <c r="BE540" s="1"/>
      <c r="BF540" s="1"/>
      <c r="BG540" s="1"/>
      <c r="BH540" s="1"/>
      <c r="BI540" s="1"/>
      <c r="BJ540" s="1"/>
      <c r="BK540" s="1"/>
      <c r="BL540" s="1"/>
      <c r="BM540" s="2"/>
      <c r="BN540" s="1"/>
      <c r="BO540" s="1"/>
      <c r="BP540" s="1"/>
      <c r="BQ540" s="1"/>
      <c r="BR540" s="1"/>
      <c r="BS540" s="1"/>
      <c r="BT540" s="1"/>
      <c r="BU540" s="1"/>
      <c r="BV540" s="2"/>
      <c r="BW540" s="1"/>
      <c r="BX540" s="1"/>
      <c r="BY540" s="1"/>
      <c r="BZ540" s="1"/>
      <c r="CA540" s="1"/>
      <c r="CB540" s="1"/>
      <c r="CC540" s="1"/>
      <c r="CD540" s="1"/>
      <c r="CE540" s="2"/>
      <c r="CF540" s="1"/>
      <c r="CG540" s="1"/>
      <c r="CH540" s="1"/>
      <c r="CI540" s="1"/>
      <c r="CJ540" s="1"/>
      <c r="CK540" s="1"/>
      <c r="CL540" s="1"/>
    </row>
    <row r="541" spans="1:90" ht="14.65" x14ac:dyDescent="0.4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2"/>
      <c r="L541" s="1"/>
      <c r="M541" s="1"/>
      <c r="N541" s="1"/>
      <c r="O541" s="1"/>
      <c r="P541" s="1"/>
      <c r="Q541" s="1"/>
      <c r="R541" s="1"/>
      <c r="S541" s="1"/>
      <c r="T541" s="2"/>
      <c r="U541" s="1"/>
      <c r="V541" s="1"/>
      <c r="W541" s="1"/>
      <c r="X541" s="1"/>
      <c r="Y541" s="1"/>
      <c r="Z541" s="1"/>
      <c r="AA541" s="1"/>
      <c r="AB541" s="1"/>
      <c r="AC541" s="2"/>
      <c r="AD541" s="1"/>
      <c r="AE541" s="1"/>
      <c r="AF541" s="1"/>
      <c r="AG541" s="1"/>
      <c r="AH541" s="1"/>
      <c r="AI541" s="1"/>
      <c r="AJ541" s="1"/>
      <c r="AK541" s="1"/>
      <c r="AL541" s="2"/>
      <c r="AM541" s="1"/>
      <c r="AN541" s="1"/>
      <c r="AO541" s="1"/>
      <c r="AP541" s="1"/>
      <c r="AQ541" s="1"/>
      <c r="AR541" s="1"/>
      <c r="AS541" s="1"/>
      <c r="AT541" s="1"/>
      <c r="AU541" s="2"/>
      <c r="AV541" s="1"/>
      <c r="AW541" s="1"/>
      <c r="AX541" s="1"/>
      <c r="AY541" s="1"/>
      <c r="AZ541" s="1"/>
      <c r="BA541" s="1"/>
      <c r="BB541" s="1"/>
      <c r="BC541" s="1"/>
      <c r="BD541" s="2"/>
      <c r="BE541" s="1"/>
      <c r="BF541" s="1"/>
      <c r="BG541" s="1"/>
      <c r="BH541" s="1"/>
      <c r="BI541" s="1"/>
      <c r="BJ541" s="1"/>
      <c r="BK541" s="1"/>
      <c r="BL541" s="1"/>
      <c r="BM541" s="2"/>
      <c r="BN541" s="1"/>
      <c r="BO541" s="1"/>
      <c r="BP541" s="1"/>
      <c r="BQ541" s="1"/>
      <c r="BR541" s="1"/>
      <c r="BS541" s="1"/>
      <c r="BT541" s="1"/>
      <c r="BU541" s="1"/>
      <c r="BV541" s="2"/>
      <c r="BW541" s="1"/>
      <c r="BX541" s="1"/>
      <c r="BY541" s="1"/>
      <c r="BZ541" s="1"/>
      <c r="CA541" s="1"/>
      <c r="CB541" s="1"/>
      <c r="CC541" s="1"/>
      <c r="CD541" s="1"/>
      <c r="CE541" s="2"/>
      <c r="CF541" s="1"/>
      <c r="CG541" s="1"/>
      <c r="CH541" s="1"/>
      <c r="CI541" s="1"/>
      <c r="CJ541" s="1"/>
      <c r="CK541" s="1"/>
      <c r="CL541" s="1"/>
    </row>
    <row r="542" spans="1:90" ht="14.65" x14ac:dyDescent="0.4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2"/>
      <c r="L542" s="1"/>
      <c r="M542" s="1"/>
      <c r="N542" s="1"/>
      <c r="O542" s="1"/>
      <c r="P542" s="1"/>
      <c r="Q542" s="1"/>
      <c r="R542" s="1"/>
      <c r="S542" s="1"/>
      <c r="T542" s="2"/>
      <c r="U542" s="1"/>
      <c r="V542" s="1"/>
      <c r="W542" s="1"/>
      <c r="X542" s="1"/>
      <c r="Y542" s="1"/>
      <c r="Z542" s="1"/>
      <c r="AA542" s="1"/>
      <c r="AB542" s="1"/>
      <c r="AC542" s="2"/>
      <c r="AD542" s="1"/>
      <c r="AE542" s="1"/>
      <c r="AF542" s="1"/>
      <c r="AG542" s="1"/>
      <c r="AH542" s="1"/>
      <c r="AI542" s="1"/>
      <c r="AJ542" s="1"/>
      <c r="AK542" s="1"/>
      <c r="AL542" s="2"/>
      <c r="AM542" s="1"/>
      <c r="AN542" s="1"/>
      <c r="AO542" s="1"/>
      <c r="AP542" s="1"/>
      <c r="AQ542" s="1"/>
      <c r="AR542" s="1"/>
      <c r="AS542" s="1"/>
      <c r="AT542" s="1"/>
      <c r="AU542" s="2"/>
      <c r="AV542" s="1"/>
      <c r="AW542" s="1"/>
      <c r="AX542" s="1"/>
      <c r="AY542" s="1"/>
      <c r="AZ542" s="1"/>
      <c r="BA542" s="1"/>
      <c r="BB542" s="1"/>
      <c r="BC542" s="1"/>
      <c r="BD542" s="2"/>
      <c r="BE542" s="1"/>
      <c r="BF542" s="1"/>
      <c r="BG542" s="1"/>
      <c r="BH542" s="1"/>
      <c r="BI542" s="1"/>
      <c r="BJ542" s="1"/>
      <c r="BK542" s="1"/>
      <c r="BL542" s="1"/>
      <c r="BM542" s="2"/>
      <c r="BN542" s="1"/>
      <c r="BO542" s="1"/>
      <c r="BP542" s="1"/>
      <c r="BQ542" s="1"/>
      <c r="BR542" s="1"/>
      <c r="BS542" s="1"/>
      <c r="BT542" s="1"/>
      <c r="BU542" s="1"/>
      <c r="BV542" s="2"/>
      <c r="BW542" s="1"/>
      <c r="BX542" s="1"/>
      <c r="BY542" s="1"/>
      <c r="BZ542" s="1"/>
      <c r="CA542" s="1"/>
      <c r="CB542" s="1"/>
      <c r="CC542" s="1"/>
      <c r="CD542" s="1"/>
      <c r="CE542" s="2"/>
      <c r="CF542" s="1"/>
      <c r="CG542" s="1"/>
      <c r="CH542" s="1"/>
      <c r="CI542" s="1"/>
      <c r="CJ542" s="1"/>
      <c r="CK542" s="1"/>
      <c r="CL542" s="1"/>
    </row>
    <row r="543" spans="1:90" ht="14.65" x14ac:dyDescent="0.4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2"/>
      <c r="L543" s="1"/>
      <c r="M543" s="1"/>
      <c r="N543" s="1"/>
      <c r="O543" s="1"/>
      <c r="P543" s="1"/>
      <c r="Q543" s="1"/>
      <c r="R543" s="1"/>
      <c r="S543" s="1"/>
      <c r="T543" s="2"/>
      <c r="U543" s="1"/>
      <c r="V543" s="1"/>
      <c r="W543" s="1"/>
      <c r="X543" s="1"/>
      <c r="Y543" s="1"/>
      <c r="Z543" s="1"/>
      <c r="AA543" s="1"/>
      <c r="AB543" s="1"/>
      <c r="AC543" s="2"/>
      <c r="AD543" s="1"/>
      <c r="AE543" s="1"/>
      <c r="AF543" s="1"/>
      <c r="AG543" s="1"/>
      <c r="AH543" s="1"/>
      <c r="AI543" s="1"/>
      <c r="AJ543" s="1"/>
      <c r="AK543" s="1"/>
      <c r="AL543" s="2"/>
      <c r="AM543" s="1"/>
      <c r="AN543" s="1"/>
      <c r="AO543" s="1"/>
      <c r="AP543" s="1"/>
      <c r="AQ543" s="1"/>
      <c r="AR543" s="1"/>
      <c r="AS543" s="1"/>
      <c r="AT543" s="1"/>
      <c r="AU543" s="2"/>
      <c r="AV543" s="1"/>
      <c r="AW543" s="1"/>
      <c r="AX543" s="1"/>
      <c r="AY543" s="1"/>
      <c r="AZ543" s="1"/>
      <c r="BA543" s="1"/>
      <c r="BB543" s="1"/>
      <c r="BC543" s="1"/>
      <c r="BD543" s="2"/>
      <c r="BE543" s="1"/>
      <c r="BF543" s="1"/>
      <c r="BG543" s="1"/>
      <c r="BH543" s="1"/>
      <c r="BI543" s="1"/>
      <c r="BJ543" s="1"/>
      <c r="BK543" s="1"/>
      <c r="BL543" s="1"/>
      <c r="BM543" s="2"/>
      <c r="BN543" s="1"/>
      <c r="BO543" s="1"/>
      <c r="BP543" s="1"/>
      <c r="BQ543" s="1"/>
      <c r="BR543" s="1"/>
      <c r="BS543" s="1"/>
      <c r="BT543" s="1"/>
      <c r="BU543" s="1"/>
      <c r="BV543" s="2"/>
      <c r="BW543" s="1"/>
      <c r="BX543" s="1"/>
      <c r="BY543" s="1"/>
      <c r="BZ543" s="1"/>
      <c r="CA543" s="1"/>
      <c r="CB543" s="1"/>
      <c r="CC543" s="1"/>
      <c r="CD543" s="1"/>
      <c r="CE543" s="2"/>
      <c r="CF543" s="1"/>
      <c r="CG543" s="1"/>
      <c r="CH543" s="1"/>
      <c r="CI543" s="1"/>
      <c r="CJ543" s="1"/>
      <c r="CK543" s="1"/>
      <c r="CL543" s="1"/>
    </row>
    <row r="544" spans="1:90" ht="14.65" x14ac:dyDescent="0.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2"/>
      <c r="L544" s="1"/>
      <c r="M544" s="1"/>
      <c r="N544" s="1"/>
      <c r="O544" s="1"/>
      <c r="P544" s="1"/>
      <c r="Q544" s="1"/>
      <c r="R544" s="1"/>
      <c r="S544" s="1"/>
      <c r="T544" s="2"/>
      <c r="U544" s="1"/>
      <c r="V544" s="1"/>
      <c r="W544" s="1"/>
      <c r="X544" s="1"/>
      <c r="Y544" s="1"/>
      <c r="Z544" s="1"/>
      <c r="AA544" s="1"/>
      <c r="AB544" s="1"/>
      <c r="AC544" s="2"/>
      <c r="AD544" s="1"/>
      <c r="AE544" s="1"/>
      <c r="AF544" s="1"/>
      <c r="AG544" s="1"/>
      <c r="AH544" s="1"/>
      <c r="AI544" s="1"/>
      <c r="AJ544" s="1"/>
      <c r="AK544" s="1"/>
      <c r="AL544" s="2"/>
      <c r="AM544" s="1"/>
      <c r="AN544" s="1"/>
      <c r="AO544" s="1"/>
      <c r="AP544" s="1"/>
      <c r="AQ544" s="1"/>
      <c r="AR544" s="1"/>
      <c r="AS544" s="1"/>
      <c r="AT544" s="1"/>
      <c r="AU544" s="2"/>
      <c r="AV544" s="1"/>
      <c r="AW544" s="1"/>
      <c r="AX544" s="1"/>
      <c r="AY544" s="1"/>
      <c r="AZ544" s="1"/>
      <c r="BA544" s="1"/>
      <c r="BB544" s="1"/>
      <c r="BC544" s="1"/>
      <c r="BD544" s="2"/>
      <c r="BE544" s="1"/>
      <c r="BF544" s="1"/>
      <c r="BG544" s="1"/>
      <c r="BH544" s="1"/>
      <c r="BI544" s="1"/>
      <c r="BJ544" s="1"/>
      <c r="BK544" s="1"/>
      <c r="BL544" s="1"/>
      <c r="BM544" s="2"/>
      <c r="BN544" s="1"/>
      <c r="BO544" s="1"/>
      <c r="BP544" s="1"/>
      <c r="BQ544" s="1"/>
      <c r="BR544" s="1"/>
      <c r="BS544" s="1"/>
      <c r="BT544" s="1"/>
      <c r="BU544" s="1"/>
      <c r="BV544" s="2"/>
      <c r="BW544" s="1"/>
      <c r="BX544" s="1"/>
      <c r="BY544" s="1"/>
      <c r="BZ544" s="1"/>
      <c r="CA544" s="1"/>
      <c r="CB544" s="1"/>
      <c r="CC544" s="1"/>
      <c r="CD544" s="1"/>
      <c r="CE544" s="2"/>
      <c r="CF544" s="1"/>
      <c r="CG544" s="1"/>
      <c r="CH544" s="1"/>
      <c r="CI544" s="1"/>
      <c r="CJ544" s="1"/>
      <c r="CK544" s="1"/>
      <c r="CL544" s="1"/>
    </row>
    <row r="545" spans="1:90" ht="14.65" x14ac:dyDescent="0.4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2"/>
      <c r="L545" s="1"/>
      <c r="M545" s="1"/>
      <c r="N545" s="1"/>
      <c r="O545" s="1"/>
      <c r="P545" s="1"/>
      <c r="Q545" s="1"/>
      <c r="R545" s="1"/>
      <c r="S545" s="1"/>
      <c r="T545" s="2"/>
      <c r="U545" s="1"/>
      <c r="V545" s="1"/>
      <c r="W545" s="1"/>
      <c r="X545" s="1"/>
      <c r="Y545" s="1"/>
      <c r="Z545" s="1"/>
      <c r="AA545" s="1"/>
      <c r="AB545" s="1"/>
      <c r="AC545" s="2"/>
      <c r="AD545" s="1"/>
      <c r="AE545" s="1"/>
      <c r="AF545" s="1"/>
      <c r="AG545" s="1"/>
      <c r="AH545" s="1"/>
      <c r="AI545" s="1"/>
      <c r="AJ545" s="1"/>
      <c r="AK545" s="1"/>
      <c r="AL545" s="2"/>
      <c r="AM545" s="1"/>
      <c r="AN545" s="1"/>
      <c r="AO545" s="1"/>
      <c r="AP545" s="1"/>
      <c r="AQ545" s="1"/>
      <c r="AR545" s="1"/>
      <c r="AS545" s="1"/>
      <c r="AT545" s="1"/>
      <c r="AU545" s="2"/>
      <c r="AV545" s="1"/>
      <c r="AW545" s="1"/>
      <c r="AX545" s="1"/>
      <c r="AY545" s="1"/>
      <c r="AZ545" s="1"/>
      <c r="BA545" s="1"/>
      <c r="BB545" s="1"/>
      <c r="BC545" s="1"/>
      <c r="BD545" s="2"/>
      <c r="BE545" s="1"/>
      <c r="BF545" s="1"/>
      <c r="BG545" s="1"/>
      <c r="BH545" s="1"/>
      <c r="BI545" s="1"/>
      <c r="BJ545" s="1"/>
      <c r="BK545" s="1"/>
      <c r="BL545" s="1"/>
      <c r="BM545" s="2"/>
      <c r="BN545" s="1"/>
      <c r="BO545" s="1"/>
      <c r="BP545" s="1"/>
      <c r="BQ545" s="1"/>
      <c r="BR545" s="1"/>
      <c r="BS545" s="1"/>
      <c r="BT545" s="1"/>
      <c r="BU545" s="1"/>
      <c r="BV545" s="2"/>
      <c r="BW545" s="1"/>
      <c r="BX545" s="1"/>
      <c r="BY545" s="1"/>
      <c r="BZ545" s="1"/>
      <c r="CA545" s="1"/>
      <c r="CB545" s="1"/>
      <c r="CC545" s="1"/>
      <c r="CD545" s="1"/>
      <c r="CE545" s="2"/>
      <c r="CF545" s="1"/>
      <c r="CG545" s="1"/>
      <c r="CH545" s="1"/>
      <c r="CI545" s="1"/>
      <c r="CJ545" s="1"/>
      <c r="CK545" s="1"/>
      <c r="CL545" s="1"/>
    </row>
    <row r="546" spans="1:90" ht="14.65" x14ac:dyDescent="0.4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2"/>
      <c r="L546" s="1"/>
      <c r="M546" s="1"/>
      <c r="N546" s="1"/>
      <c r="O546" s="1"/>
      <c r="P546" s="1"/>
      <c r="Q546" s="1"/>
      <c r="R546" s="1"/>
      <c r="S546" s="1"/>
      <c r="T546" s="2"/>
      <c r="U546" s="1"/>
      <c r="V546" s="1"/>
      <c r="W546" s="1"/>
      <c r="X546" s="1"/>
      <c r="Y546" s="1"/>
      <c r="Z546" s="1"/>
      <c r="AA546" s="1"/>
      <c r="AB546" s="1"/>
      <c r="AC546" s="2"/>
      <c r="AD546" s="1"/>
      <c r="AE546" s="1"/>
      <c r="AF546" s="1"/>
      <c r="AG546" s="1"/>
      <c r="AH546" s="1"/>
      <c r="AI546" s="1"/>
      <c r="AJ546" s="1"/>
      <c r="AK546" s="1"/>
      <c r="AL546" s="2"/>
      <c r="AM546" s="1"/>
      <c r="AN546" s="1"/>
      <c r="AO546" s="1"/>
      <c r="AP546" s="1"/>
      <c r="AQ546" s="1"/>
      <c r="AR546" s="1"/>
      <c r="AS546" s="1"/>
      <c r="AT546" s="1"/>
      <c r="AU546" s="2"/>
      <c r="AV546" s="1"/>
      <c r="AW546" s="1"/>
      <c r="AX546" s="1"/>
      <c r="AY546" s="1"/>
      <c r="AZ546" s="1"/>
      <c r="BA546" s="1"/>
      <c r="BB546" s="1"/>
      <c r="BC546" s="1"/>
      <c r="BD546" s="2"/>
      <c r="BE546" s="1"/>
      <c r="BF546" s="1"/>
      <c r="BG546" s="1"/>
      <c r="BH546" s="1"/>
      <c r="BI546" s="1"/>
      <c r="BJ546" s="1"/>
      <c r="BK546" s="1"/>
      <c r="BL546" s="1"/>
      <c r="BM546" s="2"/>
      <c r="BN546" s="1"/>
      <c r="BO546" s="1"/>
      <c r="BP546" s="1"/>
      <c r="BQ546" s="1"/>
      <c r="BR546" s="1"/>
      <c r="BS546" s="1"/>
      <c r="BT546" s="1"/>
      <c r="BU546" s="1"/>
      <c r="BV546" s="2"/>
      <c r="BW546" s="1"/>
      <c r="BX546" s="1"/>
      <c r="BY546" s="1"/>
      <c r="BZ546" s="1"/>
      <c r="CA546" s="1"/>
      <c r="CB546" s="1"/>
      <c r="CC546" s="1"/>
      <c r="CD546" s="1"/>
      <c r="CE546" s="2"/>
      <c r="CF546" s="1"/>
      <c r="CG546" s="1"/>
      <c r="CH546" s="1"/>
      <c r="CI546" s="1"/>
      <c r="CJ546" s="1"/>
      <c r="CK546" s="1"/>
      <c r="CL546" s="1"/>
    </row>
    <row r="547" spans="1:90" ht="14.65" x14ac:dyDescent="0.4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2"/>
      <c r="L547" s="1"/>
      <c r="M547" s="1"/>
      <c r="N547" s="1"/>
      <c r="O547" s="1"/>
      <c r="P547" s="1"/>
      <c r="Q547" s="1"/>
      <c r="R547" s="1"/>
      <c r="S547" s="1"/>
      <c r="T547" s="2"/>
      <c r="U547" s="1"/>
      <c r="V547" s="1"/>
      <c r="W547" s="1"/>
      <c r="X547" s="1"/>
      <c r="Y547" s="1"/>
      <c r="Z547" s="1"/>
      <c r="AA547" s="1"/>
      <c r="AB547" s="1"/>
      <c r="AC547" s="2"/>
      <c r="AD547" s="1"/>
      <c r="AE547" s="1"/>
      <c r="AF547" s="1"/>
      <c r="AG547" s="1"/>
      <c r="AH547" s="1"/>
      <c r="AI547" s="1"/>
      <c r="AJ547" s="1"/>
      <c r="AK547" s="1"/>
      <c r="AL547" s="2"/>
      <c r="AM547" s="1"/>
      <c r="AN547" s="1"/>
      <c r="AO547" s="1"/>
      <c r="AP547" s="1"/>
      <c r="AQ547" s="1"/>
      <c r="AR547" s="1"/>
      <c r="AS547" s="1"/>
      <c r="AT547" s="1"/>
      <c r="AU547" s="2"/>
      <c r="AV547" s="1"/>
      <c r="AW547" s="1"/>
      <c r="AX547" s="1"/>
      <c r="AY547" s="1"/>
      <c r="AZ547" s="1"/>
      <c r="BA547" s="1"/>
      <c r="BB547" s="1"/>
      <c r="BC547" s="1"/>
      <c r="BD547" s="2"/>
      <c r="BE547" s="1"/>
      <c r="BF547" s="1"/>
      <c r="BG547" s="1"/>
      <c r="BH547" s="1"/>
      <c r="BI547" s="1"/>
      <c r="BJ547" s="1"/>
      <c r="BK547" s="1"/>
      <c r="BL547" s="1"/>
      <c r="BM547" s="2"/>
      <c r="BN547" s="1"/>
      <c r="BO547" s="1"/>
      <c r="BP547" s="1"/>
      <c r="BQ547" s="1"/>
      <c r="BR547" s="1"/>
      <c r="BS547" s="1"/>
      <c r="BT547" s="1"/>
      <c r="BU547" s="1"/>
      <c r="BV547" s="2"/>
      <c r="BW547" s="1"/>
      <c r="BX547" s="1"/>
      <c r="BY547" s="1"/>
      <c r="BZ547" s="1"/>
      <c r="CA547" s="1"/>
      <c r="CB547" s="1"/>
      <c r="CC547" s="1"/>
      <c r="CD547" s="1"/>
      <c r="CE547" s="2"/>
      <c r="CF547" s="1"/>
      <c r="CG547" s="1"/>
      <c r="CH547" s="1"/>
      <c r="CI547" s="1"/>
      <c r="CJ547" s="1"/>
      <c r="CK547" s="1"/>
      <c r="CL547" s="1"/>
    </row>
    <row r="548" spans="1:90" ht="14.65" x14ac:dyDescent="0.4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2"/>
      <c r="L548" s="1"/>
      <c r="M548" s="1"/>
      <c r="N548" s="1"/>
      <c r="O548" s="1"/>
      <c r="P548" s="1"/>
      <c r="Q548" s="1"/>
      <c r="R548" s="1"/>
      <c r="S548" s="1"/>
      <c r="T548" s="2"/>
      <c r="U548" s="1"/>
      <c r="V548" s="1"/>
      <c r="W548" s="1"/>
      <c r="X548" s="1"/>
      <c r="Y548" s="1"/>
      <c r="Z548" s="1"/>
      <c r="AA548" s="1"/>
      <c r="AB548" s="1"/>
      <c r="AC548" s="2"/>
      <c r="AD548" s="1"/>
      <c r="AE548" s="1"/>
      <c r="AF548" s="1"/>
      <c r="AG548" s="1"/>
      <c r="AH548" s="1"/>
      <c r="AI548" s="1"/>
      <c r="AJ548" s="1"/>
      <c r="AK548" s="1"/>
      <c r="AL548" s="2"/>
      <c r="AM548" s="1"/>
      <c r="AN548" s="1"/>
      <c r="AO548" s="1"/>
      <c r="AP548" s="1"/>
      <c r="AQ548" s="1"/>
      <c r="AR548" s="1"/>
      <c r="AS548" s="1"/>
      <c r="AT548" s="1"/>
      <c r="AU548" s="2"/>
      <c r="AV548" s="1"/>
      <c r="AW548" s="1"/>
      <c r="AX548" s="1"/>
      <c r="AY548" s="1"/>
      <c r="AZ548" s="1"/>
      <c r="BA548" s="1"/>
      <c r="BB548" s="1"/>
      <c r="BC548" s="1"/>
      <c r="BD548" s="2"/>
      <c r="BE548" s="1"/>
      <c r="BF548" s="1"/>
      <c r="BG548" s="1"/>
      <c r="BH548" s="1"/>
      <c r="BI548" s="1"/>
      <c r="BJ548" s="1"/>
      <c r="BK548" s="1"/>
      <c r="BL548" s="1"/>
      <c r="BM548" s="2"/>
      <c r="BN548" s="1"/>
      <c r="BO548" s="1"/>
      <c r="BP548" s="1"/>
      <c r="BQ548" s="1"/>
      <c r="BR548" s="1"/>
      <c r="BS548" s="1"/>
      <c r="BT548" s="1"/>
      <c r="BU548" s="1"/>
      <c r="BV548" s="2"/>
      <c r="BW548" s="1"/>
      <c r="BX548" s="1"/>
      <c r="BY548" s="1"/>
      <c r="BZ548" s="1"/>
      <c r="CA548" s="1"/>
      <c r="CB548" s="1"/>
      <c r="CC548" s="1"/>
      <c r="CD548" s="1"/>
      <c r="CE548" s="2"/>
      <c r="CF548" s="1"/>
      <c r="CG548" s="1"/>
      <c r="CH548" s="1"/>
      <c r="CI548" s="1"/>
      <c r="CJ548" s="1"/>
      <c r="CK548" s="1"/>
      <c r="CL548" s="1"/>
    </row>
    <row r="549" spans="1:90" ht="14.65" x14ac:dyDescent="0.4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2"/>
      <c r="L549" s="1"/>
      <c r="M549" s="1"/>
      <c r="N549" s="1"/>
      <c r="O549" s="1"/>
      <c r="P549" s="1"/>
      <c r="Q549" s="1"/>
      <c r="R549" s="1"/>
      <c r="S549" s="1"/>
      <c r="T549" s="2"/>
      <c r="U549" s="1"/>
      <c r="V549" s="1"/>
      <c r="W549" s="1"/>
      <c r="X549" s="1"/>
      <c r="Y549" s="1"/>
      <c r="Z549" s="1"/>
      <c r="AA549" s="1"/>
      <c r="AB549" s="1"/>
      <c r="AC549" s="2"/>
      <c r="AD549" s="1"/>
      <c r="AE549" s="1"/>
      <c r="AF549" s="1"/>
      <c r="AG549" s="1"/>
      <c r="AH549" s="1"/>
      <c r="AI549" s="1"/>
      <c r="AJ549" s="1"/>
      <c r="AK549" s="1"/>
      <c r="AL549" s="2"/>
      <c r="AM549" s="1"/>
      <c r="AN549" s="1"/>
      <c r="AO549" s="1"/>
      <c r="AP549" s="1"/>
      <c r="AQ549" s="1"/>
      <c r="AR549" s="1"/>
      <c r="AS549" s="1"/>
      <c r="AT549" s="1"/>
      <c r="AU549" s="2"/>
      <c r="AV549" s="1"/>
      <c r="AW549" s="1"/>
      <c r="AX549" s="1"/>
      <c r="AY549" s="1"/>
      <c r="AZ549" s="1"/>
      <c r="BA549" s="1"/>
      <c r="BB549" s="1"/>
      <c r="BC549" s="1"/>
      <c r="BD549" s="2"/>
      <c r="BE549" s="1"/>
      <c r="BF549" s="1"/>
      <c r="BG549" s="1"/>
      <c r="BH549" s="1"/>
      <c r="BI549" s="1"/>
      <c r="BJ549" s="1"/>
      <c r="BK549" s="1"/>
      <c r="BL549" s="1"/>
      <c r="BM549" s="2"/>
      <c r="BN549" s="1"/>
      <c r="BO549" s="1"/>
      <c r="BP549" s="1"/>
      <c r="BQ549" s="1"/>
      <c r="BR549" s="1"/>
      <c r="BS549" s="1"/>
      <c r="BT549" s="1"/>
      <c r="BU549" s="1"/>
      <c r="BV549" s="2"/>
      <c r="BW549" s="1"/>
      <c r="BX549" s="1"/>
      <c r="BY549" s="1"/>
      <c r="BZ549" s="1"/>
      <c r="CA549" s="1"/>
      <c r="CB549" s="1"/>
      <c r="CC549" s="1"/>
      <c r="CD549" s="1"/>
      <c r="CE549" s="2"/>
      <c r="CF549" s="1"/>
      <c r="CG549" s="1"/>
      <c r="CH549" s="1"/>
      <c r="CI549" s="1"/>
      <c r="CJ549" s="1"/>
      <c r="CK549" s="1"/>
      <c r="CL549" s="1"/>
    </row>
    <row r="550" spans="1:90" ht="14.65" x14ac:dyDescent="0.4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2"/>
      <c r="L550" s="1"/>
      <c r="M550" s="1"/>
      <c r="N550" s="1"/>
      <c r="O550" s="1"/>
      <c r="P550" s="1"/>
      <c r="Q550" s="1"/>
      <c r="R550" s="1"/>
      <c r="S550" s="1"/>
      <c r="T550" s="2"/>
      <c r="U550" s="1"/>
      <c r="V550" s="1"/>
      <c r="W550" s="1"/>
      <c r="X550" s="1"/>
      <c r="Y550" s="1"/>
      <c r="Z550" s="1"/>
      <c r="AA550" s="1"/>
      <c r="AB550" s="1"/>
      <c r="AC550" s="2"/>
      <c r="AD550" s="1"/>
      <c r="AE550" s="1"/>
      <c r="AF550" s="1"/>
      <c r="AG550" s="1"/>
      <c r="AH550" s="1"/>
      <c r="AI550" s="1"/>
      <c r="AJ550" s="1"/>
      <c r="AK550" s="1"/>
      <c r="AL550" s="2"/>
      <c r="AM550" s="1"/>
      <c r="AN550" s="1"/>
      <c r="AO550" s="1"/>
      <c r="AP550" s="1"/>
      <c r="AQ550" s="1"/>
      <c r="AR550" s="1"/>
      <c r="AS550" s="1"/>
      <c r="AT550" s="1"/>
      <c r="AU550" s="2"/>
      <c r="AV550" s="1"/>
      <c r="AW550" s="1"/>
      <c r="AX550" s="1"/>
      <c r="AY550" s="1"/>
      <c r="AZ550" s="1"/>
      <c r="BA550" s="1"/>
      <c r="BB550" s="1"/>
      <c r="BC550" s="1"/>
      <c r="BD550" s="2"/>
      <c r="BE550" s="1"/>
      <c r="BF550" s="1"/>
      <c r="BG550" s="1"/>
      <c r="BH550" s="1"/>
      <c r="BI550" s="1"/>
      <c r="BJ550" s="1"/>
      <c r="BK550" s="1"/>
      <c r="BL550" s="1"/>
      <c r="BM550" s="2"/>
      <c r="BN550" s="1"/>
      <c r="BO550" s="1"/>
      <c r="BP550" s="1"/>
      <c r="BQ550" s="1"/>
      <c r="BR550" s="1"/>
      <c r="BS550" s="1"/>
      <c r="BT550" s="1"/>
      <c r="BU550" s="1"/>
      <c r="BV550" s="2"/>
      <c r="BW550" s="1"/>
      <c r="BX550" s="1"/>
      <c r="BY550" s="1"/>
      <c r="BZ550" s="1"/>
      <c r="CA550" s="1"/>
      <c r="CB550" s="1"/>
      <c r="CC550" s="1"/>
      <c r="CD550" s="1"/>
      <c r="CE550" s="2"/>
      <c r="CF550" s="1"/>
      <c r="CG550" s="1"/>
      <c r="CH550" s="1"/>
      <c r="CI550" s="1"/>
      <c r="CJ550" s="1"/>
      <c r="CK550" s="1"/>
      <c r="CL550" s="1"/>
    </row>
    <row r="551" spans="1:90" ht="14.65" x14ac:dyDescent="0.4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2"/>
      <c r="L551" s="1"/>
      <c r="M551" s="1"/>
      <c r="N551" s="1"/>
      <c r="O551" s="1"/>
      <c r="P551" s="1"/>
      <c r="Q551" s="1"/>
      <c r="R551" s="1"/>
      <c r="S551" s="1"/>
      <c r="T551" s="2"/>
      <c r="U551" s="1"/>
      <c r="V551" s="1"/>
      <c r="W551" s="1"/>
      <c r="X551" s="1"/>
      <c r="Y551" s="1"/>
      <c r="Z551" s="1"/>
      <c r="AA551" s="1"/>
      <c r="AB551" s="1"/>
      <c r="AC551" s="2"/>
      <c r="AD551" s="1"/>
      <c r="AE551" s="1"/>
      <c r="AF551" s="1"/>
      <c r="AG551" s="1"/>
      <c r="AH551" s="1"/>
      <c r="AI551" s="1"/>
      <c r="AJ551" s="1"/>
      <c r="AK551" s="1"/>
      <c r="AL551" s="2"/>
      <c r="AM551" s="1"/>
      <c r="AN551" s="1"/>
      <c r="AO551" s="1"/>
      <c r="AP551" s="1"/>
      <c r="AQ551" s="1"/>
      <c r="AR551" s="1"/>
      <c r="AS551" s="1"/>
      <c r="AT551" s="1"/>
      <c r="AU551" s="2"/>
      <c r="AV551" s="1"/>
      <c r="AW551" s="1"/>
      <c r="AX551" s="1"/>
      <c r="AY551" s="1"/>
      <c r="AZ551" s="1"/>
      <c r="BA551" s="1"/>
      <c r="BB551" s="1"/>
      <c r="BC551" s="1"/>
      <c r="BD551" s="2"/>
      <c r="BE551" s="1"/>
      <c r="BF551" s="1"/>
      <c r="BG551" s="1"/>
      <c r="BH551" s="1"/>
      <c r="BI551" s="1"/>
      <c r="BJ551" s="1"/>
      <c r="BK551" s="1"/>
      <c r="BL551" s="1"/>
      <c r="BM551" s="2"/>
      <c r="BN551" s="1"/>
      <c r="BO551" s="1"/>
      <c r="BP551" s="1"/>
      <c r="BQ551" s="1"/>
      <c r="BR551" s="1"/>
      <c r="BS551" s="1"/>
      <c r="BT551" s="1"/>
      <c r="BU551" s="1"/>
      <c r="BV551" s="2"/>
      <c r="BW551" s="1"/>
      <c r="BX551" s="1"/>
      <c r="BY551" s="1"/>
      <c r="BZ551" s="1"/>
      <c r="CA551" s="1"/>
      <c r="CB551" s="1"/>
      <c r="CC551" s="1"/>
      <c r="CD551" s="1"/>
      <c r="CE551" s="2"/>
      <c r="CF551" s="1"/>
      <c r="CG551" s="1"/>
      <c r="CH551" s="1"/>
      <c r="CI551" s="1"/>
      <c r="CJ551" s="1"/>
      <c r="CK551" s="1"/>
      <c r="CL551" s="1"/>
    </row>
    <row r="552" spans="1:90" ht="14.65" x14ac:dyDescent="0.4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2"/>
      <c r="L552" s="1"/>
      <c r="M552" s="1"/>
      <c r="N552" s="1"/>
      <c r="O552" s="1"/>
      <c r="P552" s="1"/>
      <c r="Q552" s="1"/>
      <c r="R552" s="1"/>
      <c r="S552" s="1"/>
      <c r="T552" s="2"/>
      <c r="U552" s="1"/>
      <c r="V552" s="1"/>
      <c r="W552" s="1"/>
      <c r="X552" s="1"/>
      <c r="Y552" s="1"/>
      <c r="Z552" s="1"/>
      <c r="AA552" s="1"/>
      <c r="AB552" s="1"/>
      <c r="AC552" s="2"/>
      <c r="AD552" s="1"/>
      <c r="AE552" s="1"/>
      <c r="AF552" s="1"/>
      <c r="AG552" s="1"/>
      <c r="AH552" s="1"/>
      <c r="AI552" s="1"/>
      <c r="AJ552" s="1"/>
      <c r="AK552" s="1"/>
      <c r="AL552" s="2"/>
      <c r="AM552" s="1"/>
      <c r="AN552" s="1"/>
      <c r="AO552" s="1"/>
      <c r="AP552" s="1"/>
      <c r="AQ552" s="1"/>
      <c r="AR552" s="1"/>
      <c r="AS552" s="1"/>
      <c r="AT552" s="1"/>
      <c r="AU552" s="2"/>
      <c r="AV552" s="1"/>
      <c r="AW552" s="1"/>
      <c r="AX552" s="1"/>
      <c r="AY552" s="1"/>
      <c r="AZ552" s="1"/>
      <c r="BA552" s="1"/>
      <c r="BB552" s="1"/>
      <c r="BC552" s="1"/>
      <c r="BD552" s="2"/>
      <c r="BE552" s="1"/>
      <c r="BF552" s="1"/>
      <c r="BG552" s="1"/>
      <c r="BH552" s="1"/>
      <c r="BI552" s="1"/>
      <c r="BJ552" s="1"/>
      <c r="BK552" s="1"/>
      <c r="BL552" s="1"/>
      <c r="BM552" s="2"/>
      <c r="BN552" s="1"/>
      <c r="BO552" s="1"/>
      <c r="BP552" s="1"/>
      <c r="BQ552" s="1"/>
      <c r="BR552" s="1"/>
      <c r="BS552" s="1"/>
      <c r="BT552" s="1"/>
      <c r="BU552" s="1"/>
      <c r="BV552" s="2"/>
      <c r="BW552" s="1"/>
      <c r="BX552" s="1"/>
      <c r="BY552" s="1"/>
      <c r="BZ552" s="1"/>
      <c r="CA552" s="1"/>
      <c r="CB552" s="1"/>
      <c r="CC552" s="1"/>
      <c r="CD552" s="1"/>
      <c r="CE552" s="2"/>
      <c r="CF552" s="1"/>
      <c r="CG552" s="1"/>
      <c r="CH552" s="1"/>
      <c r="CI552" s="1"/>
      <c r="CJ552" s="1"/>
      <c r="CK552" s="1"/>
      <c r="CL552" s="1"/>
    </row>
    <row r="553" spans="1:90" ht="14.65" x14ac:dyDescent="0.4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2"/>
      <c r="L553" s="1"/>
      <c r="M553" s="1"/>
      <c r="N553" s="1"/>
      <c r="O553" s="1"/>
      <c r="P553" s="1"/>
      <c r="Q553" s="1"/>
      <c r="R553" s="1"/>
      <c r="S553" s="1"/>
      <c r="T553" s="2"/>
      <c r="U553" s="1"/>
      <c r="V553" s="1"/>
      <c r="W553" s="1"/>
      <c r="X553" s="1"/>
      <c r="Y553" s="1"/>
      <c r="Z553" s="1"/>
      <c r="AA553" s="1"/>
      <c r="AB553" s="1"/>
      <c r="AC553" s="2"/>
      <c r="AD553" s="1"/>
      <c r="AE553" s="1"/>
      <c r="AF553" s="1"/>
      <c r="AG553" s="1"/>
      <c r="AH553" s="1"/>
      <c r="AI553" s="1"/>
      <c r="AJ553" s="1"/>
      <c r="AK553" s="1"/>
      <c r="AL553" s="2"/>
      <c r="AM553" s="1"/>
      <c r="AN553" s="1"/>
      <c r="AO553" s="1"/>
      <c r="AP553" s="1"/>
      <c r="AQ553" s="1"/>
      <c r="AR553" s="1"/>
      <c r="AS553" s="1"/>
      <c r="AT553" s="1"/>
      <c r="AU553" s="2"/>
      <c r="AV553" s="1"/>
      <c r="AW553" s="1"/>
      <c r="AX553" s="1"/>
      <c r="AY553" s="1"/>
      <c r="AZ553" s="1"/>
      <c r="BA553" s="1"/>
      <c r="BB553" s="1"/>
      <c r="BC553" s="1"/>
      <c r="BD553" s="2"/>
      <c r="BE553" s="1"/>
      <c r="BF553" s="1"/>
      <c r="BG553" s="1"/>
      <c r="BH553" s="1"/>
      <c r="BI553" s="1"/>
      <c r="BJ553" s="1"/>
      <c r="BK553" s="1"/>
      <c r="BL553" s="1"/>
      <c r="BM553" s="2"/>
      <c r="BN553" s="1"/>
      <c r="BO553" s="1"/>
      <c r="BP553" s="1"/>
      <c r="BQ553" s="1"/>
      <c r="BR553" s="1"/>
      <c r="BS553" s="1"/>
      <c r="BT553" s="1"/>
      <c r="BU553" s="1"/>
      <c r="BV553" s="2"/>
      <c r="BW553" s="1"/>
      <c r="BX553" s="1"/>
      <c r="BY553" s="1"/>
      <c r="BZ553" s="1"/>
      <c r="CA553" s="1"/>
      <c r="CB553" s="1"/>
      <c r="CC553" s="1"/>
      <c r="CD553" s="1"/>
      <c r="CE553" s="2"/>
      <c r="CF553" s="1"/>
      <c r="CG553" s="1"/>
      <c r="CH553" s="1"/>
      <c r="CI553" s="1"/>
      <c r="CJ553" s="1"/>
      <c r="CK553" s="1"/>
      <c r="CL553" s="1"/>
    </row>
    <row r="554" spans="1:90" ht="14.65" x14ac:dyDescent="0.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2"/>
      <c r="L554" s="1"/>
      <c r="M554" s="1"/>
      <c r="N554" s="1"/>
      <c r="O554" s="1"/>
      <c r="P554" s="1"/>
      <c r="Q554" s="1"/>
      <c r="R554" s="1"/>
      <c r="S554" s="1"/>
      <c r="T554" s="2"/>
      <c r="U554" s="1"/>
      <c r="V554" s="1"/>
      <c r="W554" s="1"/>
      <c r="X554" s="1"/>
      <c r="Y554" s="1"/>
      <c r="Z554" s="1"/>
      <c r="AA554" s="1"/>
      <c r="AB554" s="1"/>
      <c r="AC554" s="2"/>
      <c r="AD554" s="1"/>
      <c r="AE554" s="1"/>
      <c r="AF554" s="1"/>
      <c r="AG554" s="1"/>
      <c r="AH554" s="1"/>
      <c r="AI554" s="1"/>
      <c r="AJ554" s="1"/>
      <c r="AK554" s="1"/>
      <c r="AL554" s="2"/>
      <c r="AM554" s="1"/>
      <c r="AN554" s="1"/>
      <c r="AO554" s="1"/>
      <c r="AP554" s="1"/>
      <c r="AQ554" s="1"/>
      <c r="AR554" s="1"/>
      <c r="AS554" s="1"/>
      <c r="AT554" s="1"/>
      <c r="AU554" s="2"/>
      <c r="AV554" s="1"/>
      <c r="AW554" s="1"/>
      <c r="AX554" s="1"/>
      <c r="AY554" s="1"/>
      <c r="AZ554" s="1"/>
      <c r="BA554" s="1"/>
      <c r="BB554" s="1"/>
      <c r="BC554" s="1"/>
      <c r="BD554" s="2"/>
      <c r="BE554" s="1"/>
      <c r="BF554" s="1"/>
      <c r="BG554" s="1"/>
      <c r="BH554" s="1"/>
      <c r="BI554" s="1"/>
      <c r="BJ554" s="1"/>
      <c r="BK554" s="1"/>
      <c r="BL554" s="1"/>
      <c r="BM554" s="2"/>
      <c r="BN554" s="1"/>
      <c r="BO554" s="1"/>
      <c r="BP554" s="1"/>
      <c r="BQ554" s="1"/>
      <c r="BR554" s="1"/>
      <c r="BS554" s="1"/>
      <c r="BT554" s="1"/>
      <c r="BU554" s="1"/>
      <c r="BV554" s="2"/>
      <c r="BW554" s="1"/>
      <c r="BX554" s="1"/>
      <c r="BY554" s="1"/>
      <c r="BZ554" s="1"/>
      <c r="CA554" s="1"/>
      <c r="CB554" s="1"/>
      <c r="CC554" s="1"/>
      <c r="CD554" s="1"/>
      <c r="CE554" s="2"/>
      <c r="CF554" s="1"/>
      <c r="CG554" s="1"/>
      <c r="CH554" s="1"/>
      <c r="CI554" s="1"/>
      <c r="CJ554" s="1"/>
      <c r="CK554" s="1"/>
      <c r="CL554" s="1"/>
    </row>
    <row r="555" spans="1:90" ht="14.65" x14ac:dyDescent="0.4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2"/>
      <c r="L555" s="1"/>
      <c r="M555" s="1"/>
      <c r="N555" s="1"/>
      <c r="O555" s="1"/>
      <c r="P555" s="1"/>
      <c r="Q555" s="1"/>
      <c r="R555" s="1"/>
      <c r="S555" s="1"/>
      <c r="T555" s="2"/>
      <c r="U555" s="1"/>
      <c r="V555" s="1"/>
      <c r="W555" s="1"/>
      <c r="X555" s="1"/>
      <c r="Y555" s="1"/>
      <c r="Z555" s="1"/>
      <c r="AA555" s="1"/>
      <c r="AB555" s="1"/>
      <c r="AC555" s="2"/>
      <c r="AD555" s="1"/>
      <c r="AE555" s="1"/>
      <c r="AF555" s="1"/>
      <c r="AG555" s="1"/>
      <c r="AH555" s="1"/>
      <c r="AI555" s="1"/>
      <c r="AJ555" s="1"/>
      <c r="AK555" s="1"/>
      <c r="AL555" s="2"/>
      <c r="AM555" s="1"/>
      <c r="AN555" s="1"/>
      <c r="AO555" s="1"/>
      <c r="AP555" s="1"/>
      <c r="AQ555" s="1"/>
      <c r="AR555" s="1"/>
      <c r="AS555" s="1"/>
      <c r="AT555" s="1"/>
      <c r="AU555" s="2"/>
      <c r="AV555" s="1"/>
      <c r="AW555" s="1"/>
      <c r="AX555" s="1"/>
      <c r="AY555" s="1"/>
      <c r="AZ555" s="1"/>
      <c r="BA555" s="1"/>
      <c r="BB555" s="1"/>
      <c r="BC555" s="1"/>
      <c r="BD555" s="2"/>
      <c r="BE555" s="1"/>
      <c r="BF555" s="1"/>
      <c r="BG555" s="1"/>
      <c r="BH555" s="1"/>
      <c r="BI555" s="1"/>
      <c r="BJ555" s="1"/>
      <c r="BK555" s="1"/>
      <c r="BL555" s="1"/>
      <c r="BM555" s="2"/>
      <c r="BN555" s="1"/>
      <c r="BO555" s="1"/>
      <c r="BP555" s="1"/>
      <c r="BQ555" s="1"/>
      <c r="BR555" s="1"/>
      <c r="BS555" s="1"/>
      <c r="BT555" s="1"/>
      <c r="BU555" s="1"/>
      <c r="BV555" s="2"/>
      <c r="BW555" s="1"/>
      <c r="BX555" s="1"/>
      <c r="BY555" s="1"/>
      <c r="BZ555" s="1"/>
      <c r="CA555" s="1"/>
      <c r="CB555" s="1"/>
      <c r="CC555" s="1"/>
      <c r="CD555" s="1"/>
      <c r="CE555" s="2"/>
      <c r="CF555" s="1"/>
      <c r="CG555" s="1"/>
      <c r="CH555" s="1"/>
      <c r="CI555" s="1"/>
      <c r="CJ555" s="1"/>
      <c r="CK555" s="1"/>
      <c r="CL555" s="1"/>
    </row>
    <row r="556" spans="1:90" ht="14.65" x14ac:dyDescent="0.4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2"/>
      <c r="L556" s="1"/>
      <c r="M556" s="1"/>
      <c r="N556" s="1"/>
      <c r="O556" s="1"/>
      <c r="P556" s="1"/>
      <c r="Q556" s="1"/>
      <c r="R556" s="1"/>
      <c r="S556" s="1"/>
      <c r="T556" s="2"/>
      <c r="U556" s="1"/>
      <c r="V556" s="1"/>
      <c r="W556" s="1"/>
      <c r="X556" s="1"/>
      <c r="Y556" s="1"/>
      <c r="Z556" s="1"/>
      <c r="AA556" s="1"/>
      <c r="AB556" s="1"/>
      <c r="AC556" s="2"/>
      <c r="AD556" s="1"/>
      <c r="AE556" s="1"/>
      <c r="AF556" s="1"/>
      <c r="AG556" s="1"/>
      <c r="AH556" s="1"/>
      <c r="AI556" s="1"/>
      <c r="AJ556" s="1"/>
      <c r="AK556" s="1"/>
      <c r="AL556" s="2"/>
      <c r="AM556" s="1"/>
      <c r="AN556" s="1"/>
      <c r="AO556" s="1"/>
      <c r="AP556" s="1"/>
      <c r="AQ556" s="1"/>
      <c r="AR556" s="1"/>
      <c r="AS556" s="1"/>
      <c r="AT556" s="1"/>
      <c r="AU556" s="2"/>
      <c r="AV556" s="1"/>
      <c r="AW556" s="1"/>
      <c r="AX556" s="1"/>
      <c r="AY556" s="1"/>
      <c r="AZ556" s="1"/>
      <c r="BA556" s="1"/>
      <c r="BB556" s="1"/>
      <c r="BC556" s="1"/>
      <c r="BD556" s="2"/>
      <c r="BE556" s="1"/>
      <c r="BF556" s="1"/>
      <c r="BG556" s="1"/>
      <c r="BH556" s="1"/>
      <c r="BI556" s="1"/>
      <c r="BJ556" s="1"/>
      <c r="BK556" s="1"/>
      <c r="BL556" s="1"/>
      <c r="BM556" s="2"/>
      <c r="BN556" s="1"/>
      <c r="BO556" s="1"/>
      <c r="BP556" s="1"/>
      <c r="BQ556" s="1"/>
      <c r="BR556" s="1"/>
      <c r="BS556" s="1"/>
      <c r="BT556" s="1"/>
      <c r="BU556" s="1"/>
      <c r="BV556" s="2"/>
      <c r="BW556" s="1"/>
      <c r="BX556" s="1"/>
      <c r="BY556" s="1"/>
      <c r="BZ556" s="1"/>
      <c r="CA556" s="1"/>
      <c r="CB556" s="1"/>
      <c r="CC556" s="1"/>
      <c r="CD556" s="1"/>
      <c r="CE556" s="2"/>
      <c r="CF556" s="1"/>
      <c r="CG556" s="1"/>
      <c r="CH556" s="1"/>
      <c r="CI556" s="1"/>
      <c r="CJ556" s="1"/>
      <c r="CK556" s="1"/>
      <c r="CL556" s="1"/>
    </row>
    <row r="557" spans="1:90" ht="14.65" x14ac:dyDescent="0.4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2"/>
      <c r="L557" s="1"/>
      <c r="M557" s="1"/>
      <c r="N557" s="1"/>
      <c r="O557" s="1"/>
      <c r="P557" s="1"/>
      <c r="Q557" s="1"/>
      <c r="R557" s="1"/>
      <c r="S557" s="1"/>
      <c r="T557" s="2"/>
      <c r="U557" s="1"/>
      <c r="V557" s="1"/>
      <c r="W557" s="1"/>
      <c r="X557" s="1"/>
      <c r="Y557" s="1"/>
      <c r="Z557" s="1"/>
      <c r="AA557" s="1"/>
      <c r="AB557" s="1"/>
      <c r="AC557" s="2"/>
      <c r="AD557" s="1"/>
      <c r="AE557" s="1"/>
      <c r="AF557" s="1"/>
      <c r="AG557" s="1"/>
      <c r="AH557" s="1"/>
      <c r="AI557" s="1"/>
      <c r="AJ557" s="1"/>
      <c r="AK557" s="1"/>
      <c r="AL557" s="2"/>
      <c r="AM557" s="1"/>
      <c r="AN557" s="1"/>
      <c r="AO557" s="1"/>
      <c r="AP557" s="1"/>
      <c r="AQ557" s="1"/>
      <c r="AR557" s="1"/>
      <c r="AS557" s="1"/>
      <c r="AT557" s="1"/>
      <c r="AU557" s="2"/>
      <c r="AV557" s="1"/>
      <c r="AW557" s="1"/>
      <c r="AX557" s="1"/>
      <c r="AY557" s="1"/>
      <c r="AZ557" s="1"/>
      <c r="BA557" s="1"/>
      <c r="BB557" s="1"/>
      <c r="BC557" s="1"/>
      <c r="BD557" s="2"/>
      <c r="BE557" s="1"/>
      <c r="BF557" s="1"/>
      <c r="BG557" s="1"/>
      <c r="BH557" s="1"/>
      <c r="BI557" s="1"/>
      <c r="BJ557" s="1"/>
      <c r="BK557" s="1"/>
      <c r="BL557" s="1"/>
      <c r="BM557" s="2"/>
      <c r="BN557" s="1"/>
      <c r="BO557" s="1"/>
      <c r="BP557" s="1"/>
      <c r="BQ557" s="1"/>
      <c r="BR557" s="1"/>
      <c r="BS557" s="1"/>
      <c r="BT557" s="1"/>
      <c r="BU557" s="1"/>
      <c r="BV557" s="2"/>
      <c r="BW557" s="1"/>
      <c r="BX557" s="1"/>
      <c r="BY557" s="1"/>
      <c r="BZ557" s="1"/>
      <c r="CA557" s="1"/>
      <c r="CB557" s="1"/>
      <c r="CC557" s="1"/>
      <c r="CD557" s="1"/>
      <c r="CE557" s="2"/>
      <c r="CF557" s="1"/>
      <c r="CG557" s="1"/>
      <c r="CH557" s="1"/>
      <c r="CI557" s="1"/>
      <c r="CJ557" s="1"/>
      <c r="CK557" s="1"/>
      <c r="CL557" s="1"/>
    </row>
    <row r="558" spans="1:90" ht="14.65" x14ac:dyDescent="0.4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2"/>
      <c r="L558" s="1"/>
      <c r="M558" s="1"/>
      <c r="N558" s="1"/>
      <c r="O558" s="1"/>
      <c r="P558" s="1"/>
      <c r="Q558" s="1"/>
      <c r="R558" s="1"/>
      <c r="S558" s="1"/>
      <c r="T558" s="2"/>
      <c r="U558" s="1"/>
      <c r="V558" s="1"/>
      <c r="W558" s="1"/>
      <c r="X558" s="1"/>
      <c r="Y558" s="1"/>
      <c r="Z558" s="1"/>
      <c r="AA558" s="1"/>
      <c r="AB558" s="1"/>
      <c r="AC558" s="2"/>
      <c r="AD558" s="1"/>
      <c r="AE558" s="1"/>
      <c r="AF558" s="1"/>
      <c r="AG558" s="1"/>
      <c r="AH558" s="1"/>
      <c r="AI558" s="1"/>
      <c r="AJ558" s="1"/>
      <c r="AK558" s="1"/>
      <c r="AL558" s="2"/>
      <c r="AM558" s="1"/>
      <c r="AN558" s="1"/>
      <c r="AO558" s="1"/>
      <c r="AP558" s="1"/>
      <c r="AQ558" s="1"/>
      <c r="AR558" s="1"/>
      <c r="AS558" s="1"/>
      <c r="AT558" s="1"/>
      <c r="AU558" s="2"/>
      <c r="AV558" s="1"/>
      <c r="AW558" s="1"/>
      <c r="AX558" s="1"/>
      <c r="AY558" s="1"/>
      <c r="AZ558" s="1"/>
      <c r="BA558" s="1"/>
      <c r="BB558" s="1"/>
      <c r="BC558" s="1"/>
      <c r="BD558" s="2"/>
      <c r="BE558" s="1"/>
      <c r="BF558" s="1"/>
      <c r="BG558" s="1"/>
      <c r="BH558" s="1"/>
      <c r="BI558" s="1"/>
      <c r="BJ558" s="1"/>
      <c r="BK558" s="1"/>
      <c r="BL558" s="1"/>
      <c r="BM558" s="2"/>
      <c r="BN558" s="1"/>
      <c r="BO558" s="1"/>
      <c r="BP558" s="1"/>
      <c r="BQ558" s="1"/>
      <c r="BR558" s="1"/>
      <c r="BS558" s="1"/>
      <c r="BT558" s="1"/>
      <c r="BU558" s="1"/>
      <c r="BV558" s="2"/>
      <c r="BW558" s="1"/>
      <c r="BX558" s="1"/>
      <c r="BY558" s="1"/>
      <c r="BZ558" s="1"/>
      <c r="CA558" s="1"/>
      <c r="CB558" s="1"/>
      <c r="CC558" s="1"/>
      <c r="CD558" s="1"/>
      <c r="CE558" s="2"/>
      <c r="CF558" s="1"/>
      <c r="CG558" s="1"/>
      <c r="CH558" s="1"/>
      <c r="CI558" s="1"/>
      <c r="CJ558" s="1"/>
      <c r="CK558" s="1"/>
      <c r="CL558" s="1"/>
    </row>
    <row r="559" spans="1:90" ht="14.65" x14ac:dyDescent="0.4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2"/>
      <c r="L559" s="1"/>
      <c r="M559" s="1"/>
      <c r="N559" s="1"/>
      <c r="O559" s="1"/>
      <c r="P559" s="1"/>
      <c r="Q559" s="1"/>
      <c r="R559" s="1"/>
      <c r="S559" s="1"/>
      <c r="T559" s="2"/>
      <c r="U559" s="1"/>
      <c r="V559" s="1"/>
      <c r="W559" s="1"/>
      <c r="X559" s="1"/>
      <c r="Y559" s="1"/>
      <c r="Z559" s="1"/>
      <c r="AA559" s="1"/>
      <c r="AB559" s="1"/>
      <c r="AC559" s="2"/>
      <c r="AD559" s="1"/>
      <c r="AE559" s="1"/>
      <c r="AF559" s="1"/>
      <c r="AG559" s="1"/>
      <c r="AH559" s="1"/>
      <c r="AI559" s="1"/>
      <c r="AJ559" s="1"/>
      <c r="AK559" s="1"/>
      <c r="AL559" s="2"/>
      <c r="AM559" s="1"/>
      <c r="AN559" s="1"/>
      <c r="AO559" s="1"/>
      <c r="AP559" s="1"/>
      <c r="AQ559" s="1"/>
      <c r="AR559" s="1"/>
      <c r="AS559" s="1"/>
      <c r="AT559" s="1"/>
      <c r="AU559" s="2"/>
      <c r="AV559" s="1"/>
      <c r="AW559" s="1"/>
      <c r="AX559" s="1"/>
      <c r="AY559" s="1"/>
      <c r="AZ559" s="1"/>
      <c r="BA559" s="1"/>
      <c r="BB559" s="1"/>
      <c r="BC559" s="1"/>
      <c r="BD559" s="2"/>
      <c r="BE559" s="1"/>
      <c r="BF559" s="1"/>
      <c r="BG559" s="1"/>
      <c r="BH559" s="1"/>
      <c r="BI559" s="1"/>
      <c r="BJ559" s="1"/>
      <c r="BK559" s="1"/>
      <c r="BL559" s="1"/>
      <c r="BM559" s="2"/>
      <c r="BN559" s="1"/>
      <c r="BO559" s="1"/>
      <c r="BP559" s="1"/>
      <c r="BQ559" s="1"/>
      <c r="BR559" s="1"/>
      <c r="BS559" s="1"/>
      <c r="BT559" s="1"/>
      <c r="BU559" s="1"/>
      <c r="BV559" s="2"/>
      <c r="BW559" s="1"/>
      <c r="BX559" s="1"/>
      <c r="BY559" s="1"/>
      <c r="BZ559" s="1"/>
      <c r="CA559" s="1"/>
      <c r="CB559" s="1"/>
      <c r="CC559" s="1"/>
      <c r="CD559" s="1"/>
      <c r="CE559" s="2"/>
      <c r="CF559" s="1"/>
      <c r="CG559" s="1"/>
      <c r="CH559" s="1"/>
      <c r="CI559" s="1"/>
      <c r="CJ559" s="1"/>
      <c r="CK559" s="1"/>
      <c r="CL559" s="1"/>
    </row>
    <row r="560" spans="1:90" ht="14.65" x14ac:dyDescent="0.4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2"/>
      <c r="L560" s="1"/>
      <c r="M560" s="1"/>
      <c r="N560" s="1"/>
      <c r="O560" s="1"/>
      <c r="P560" s="1"/>
      <c r="Q560" s="1"/>
      <c r="R560" s="1"/>
      <c r="S560" s="1"/>
      <c r="T560" s="2"/>
      <c r="U560" s="1"/>
      <c r="V560" s="1"/>
      <c r="W560" s="1"/>
      <c r="X560" s="1"/>
      <c r="Y560" s="1"/>
      <c r="Z560" s="1"/>
      <c r="AA560" s="1"/>
      <c r="AB560" s="1"/>
      <c r="AC560" s="2"/>
      <c r="AD560" s="1"/>
      <c r="AE560" s="1"/>
      <c r="AF560" s="1"/>
      <c r="AG560" s="1"/>
      <c r="AH560" s="1"/>
      <c r="AI560" s="1"/>
      <c r="AJ560" s="1"/>
      <c r="AK560" s="1"/>
      <c r="AL560" s="2"/>
      <c r="AM560" s="1"/>
      <c r="AN560" s="1"/>
      <c r="AO560" s="1"/>
      <c r="AP560" s="1"/>
      <c r="AQ560" s="1"/>
      <c r="AR560" s="1"/>
      <c r="AS560" s="1"/>
      <c r="AT560" s="1"/>
      <c r="AU560" s="2"/>
      <c r="AV560" s="1"/>
      <c r="AW560" s="1"/>
      <c r="AX560" s="1"/>
      <c r="AY560" s="1"/>
      <c r="AZ560" s="1"/>
      <c r="BA560" s="1"/>
      <c r="BB560" s="1"/>
      <c r="BC560" s="1"/>
      <c r="BD560" s="2"/>
      <c r="BE560" s="1"/>
      <c r="BF560" s="1"/>
      <c r="BG560" s="1"/>
      <c r="BH560" s="1"/>
      <c r="BI560" s="1"/>
      <c r="BJ560" s="1"/>
      <c r="BK560" s="1"/>
      <c r="BL560" s="1"/>
      <c r="BM560" s="2"/>
      <c r="BN560" s="1"/>
      <c r="BO560" s="1"/>
      <c r="BP560" s="1"/>
      <c r="BQ560" s="1"/>
      <c r="BR560" s="1"/>
      <c r="BS560" s="1"/>
      <c r="BT560" s="1"/>
      <c r="BU560" s="1"/>
      <c r="BV560" s="2"/>
      <c r="BW560" s="1"/>
      <c r="BX560" s="1"/>
      <c r="BY560" s="1"/>
      <c r="BZ560" s="1"/>
      <c r="CA560" s="1"/>
      <c r="CB560" s="1"/>
      <c r="CC560" s="1"/>
      <c r="CD560" s="1"/>
      <c r="CE560" s="2"/>
      <c r="CF560" s="1"/>
      <c r="CG560" s="1"/>
      <c r="CH560" s="1"/>
      <c r="CI560" s="1"/>
      <c r="CJ560" s="1"/>
      <c r="CK560" s="1"/>
      <c r="CL560" s="1"/>
    </row>
    <row r="561" spans="1:90" ht="14.65" x14ac:dyDescent="0.4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2"/>
      <c r="L561" s="1"/>
      <c r="M561" s="1"/>
      <c r="N561" s="1"/>
      <c r="O561" s="1"/>
      <c r="P561" s="1"/>
      <c r="Q561" s="1"/>
      <c r="R561" s="1"/>
      <c r="S561" s="1"/>
      <c r="T561" s="2"/>
      <c r="U561" s="1"/>
      <c r="V561" s="1"/>
      <c r="W561" s="1"/>
      <c r="X561" s="1"/>
      <c r="Y561" s="1"/>
      <c r="Z561" s="1"/>
      <c r="AA561" s="1"/>
      <c r="AB561" s="1"/>
      <c r="AC561" s="2"/>
      <c r="AD561" s="1"/>
      <c r="AE561" s="1"/>
      <c r="AF561" s="1"/>
      <c r="AG561" s="1"/>
      <c r="AH561" s="1"/>
      <c r="AI561" s="1"/>
      <c r="AJ561" s="1"/>
      <c r="AK561" s="1"/>
      <c r="AL561" s="2"/>
      <c r="AM561" s="1"/>
      <c r="AN561" s="1"/>
      <c r="AO561" s="1"/>
      <c r="AP561" s="1"/>
      <c r="AQ561" s="1"/>
      <c r="AR561" s="1"/>
      <c r="AS561" s="1"/>
      <c r="AT561" s="1"/>
      <c r="AU561" s="2"/>
      <c r="AV561" s="1"/>
      <c r="AW561" s="1"/>
      <c r="AX561" s="1"/>
      <c r="AY561" s="1"/>
      <c r="AZ561" s="1"/>
      <c r="BA561" s="1"/>
      <c r="BB561" s="1"/>
      <c r="BC561" s="1"/>
      <c r="BD561" s="2"/>
      <c r="BE561" s="1"/>
      <c r="BF561" s="1"/>
      <c r="BG561" s="1"/>
      <c r="BH561" s="1"/>
      <c r="BI561" s="1"/>
      <c r="BJ561" s="1"/>
      <c r="BK561" s="1"/>
      <c r="BL561" s="1"/>
      <c r="BM561" s="2"/>
      <c r="BN561" s="1"/>
      <c r="BO561" s="1"/>
      <c r="BP561" s="1"/>
      <c r="BQ561" s="1"/>
      <c r="BR561" s="1"/>
      <c r="BS561" s="1"/>
      <c r="BT561" s="1"/>
      <c r="BU561" s="1"/>
      <c r="BV561" s="2"/>
      <c r="BW561" s="1"/>
      <c r="BX561" s="1"/>
      <c r="BY561" s="1"/>
      <c r="BZ561" s="1"/>
      <c r="CA561" s="1"/>
      <c r="CB561" s="1"/>
      <c r="CC561" s="1"/>
      <c r="CD561" s="1"/>
      <c r="CE561" s="2"/>
      <c r="CF561" s="1"/>
      <c r="CG561" s="1"/>
      <c r="CH561" s="1"/>
      <c r="CI561" s="1"/>
      <c r="CJ561" s="1"/>
      <c r="CK561" s="1"/>
      <c r="CL561" s="1"/>
    </row>
    <row r="562" spans="1:90" ht="14.65" x14ac:dyDescent="0.4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2"/>
      <c r="L562" s="1"/>
      <c r="M562" s="1"/>
      <c r="N562" s="1"/>
      <c r="O562" s="1"/>
      <c r="P562" s="1"/>
      <c r="Q562" s="1"/>
      <c r="R562" s="1"/>
      <c r="S562" s="1"/>
      <c r="T562" s="2"/>
      <c r="U562" s="1"/>
      <c r="V562" s="1"/>
      <c r="W562" s="1"/>
      <c r="X562" s="1"/>
      <c r="Y562" s="1"/>
      <c r="Z562" s="1"/>
      <c r="AA562" s="1"/>
      <c r="AB562" s="1"/>
      <c r="AC562" s="2"/>
      <c r="AD562" s="1"/>
      <c r="AE562" s="1"/>
      <c r="AF562" s="1"/>
      <c r="AG562" s="1"/>
      <c r="AH562" s="1"/>
      <c r="AI562" s="1"/>
      <c r="AJ562" s="1"/>
      <c r="AK562" s="1"/>
      <c r="AL562" s="2"/>
      <c r="AM562" s="1"/>
      <c r="AN562" s="1"/>
      <c r="AO562" s="1"/>
      <c r="AP562" s="1"/>
      <c r="AQ562" s="1"/>
      <c r="AR562" s="1"/>
      <c r="AS562" s="1"/>
      <c r="AT562" s="1"/>
      <c r="AU562" s="2"/>
      <c r="AV562" s="1"/>
      <c r="AW562" s="1"/>
      <c r="AX562" s="1"/>
      <c r="AY562" s="1"/>
      <c r="AZ562" s="1"/>
      <c r="BA562" s="1"/>
      <c r="BB562" s="1"/>
      <c r="BC562" s="1"/>
      <c r="BD562" s="2"/>
      <c r="BE562" s="1"/>
      <c r="BF562" s="1"/>
      <c r="BG562" s="1"/>
      <c r="BH562" s="1"/>
      <c r="BI562" s="1"/>
      <c r="BJ562" s="1"/>
      <c r="BK562" s="1"/>
      <c r="BL562" s="1"/>
      <c r="BM562" s="2"/>
      <c r="BN562" s="1"/>
      <c r="BO562" s="1"/>
      <c r="BP562" s="1"/>
      <c r="BQ562" s="1"/>
      <c r="BR562" s="1"/>
      <c r="BS562" s="1"/>
      <c r="BT562" s="1"/>
      <c r="BU562" s="1"/>
      <c r="BV562" s="2"/>
      <c r="BW562" s="1"/>
      <c r="BX562" s="1"/>
      <c r="BY562" s="1"/>
      <c r="BZ562" s="1"/>
      <c r="CA562" s="1"/>
      <c r="CB562" s="1"/>
      <c r="CC562" s="1"/>
      <c r="CD562" s="1"/>
      <c r="CE562" s="2"/>
      <c r="CF562" s="1"/>
      <c r="CG562" s="1"/>
      <c r="CH562" s="1"/>
      <c r="CI562" s="1"/>
      <c r="CJ562" s="1"/>
      <c r="CK562" s="1"/>
      <c r="CL562" s="1"/>
    </row>
    <row r="563" spans="1:90" ht="14.65" x14ac:dyDescent="0.4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2"/>
      <c r="L563" s="1"/>
      <c r="M563" s="1"/>
      <c r="N563" s="1"/>
      <c r="O563" s="1"/>
      <c r="P563" s="1"/>
      <c r="Q563" s="1"/>
      <c r="R563" s="1"/>
      <c r="S563" s="1"/>
      <c r="T563" s="2"/>
      <c r="U563" s="1"/>
      <c r="V563" s="1"/>
      <c r="W563" s="1"/>
      <c r="X563" s="1"/>
      <c r="Y563" s="1"/>
      <c r="Z563" s="1"/>
      <c r="AA563" s="1"/>
      <c r="AB563" s="1"/>
      <c r="AC563" s="2"/>
      <c r="AD563" s="1"/>
      <c r="AE563" s="1"/>
      <c r="AF563" s="1"/>
      <c r="AG563" s="1"/>
      <c r="AH563" s="1"/>
      <c r="AI563" s="1"/>
      <c r="AJ563" s="1"/>
      <c r="AK563" s="1"/>
      <c r="AL563" s="2"/>
      <c r="AM563" s="1"/>
      <c r="AN563" s="1"/>
      <c r="AO563" s="1"/>
      <c r="AP563" s="1"/>
      <c r="AQ563" s="1"/>
      <c r="AR563" s="1"/>
      <c r="AS563" s="1"/>
      <c r="AT563" s="1"/>
      <c r="AU563" s="2"/>
      <c r="AV563" s="1"/>
      <c r="AW563" s="1"/>
      <c r="AX563" s="1"/>
      <c r="AY563" s="1"/>
      <c r="AZ563" s="1"/>
      <c r="BA563" s="1"/>
      <c r="BB563" s="1"/>
      <c r="BC563" s="1"/>
      <c r="BD563" s="2"/>
      <c r="BE563" s="1"/>
      <c r="BF563" s="1"/>
      <c r="BG563" s="1"/>
      <c r="BH563" s="1"/>
      <c r="BI563" s="1"/>
      <c r="BJ563" s="1"/>
      <c r="BK563" s="1"/>
      <c r="BL563" s="1"/>
      <c r="BM563" s="2"/>
      <c r="BN563" s="1"/>
      <c r="BO563" s="1"/>
      <c r="BP563" s="1"/>
      <c r="BQ563" s="1"/>
      <c r="BR563" s="1"/>
      <c r="BS563" s="1"/>
      <c r="BT563" s="1"/>
      <c r="BU563" s="1"/>
      <c r="BV563" s="2"/>
      <c r="BW563" s="1"/>
      <c r="BX563" s="1"/>
      <c r="BY563" s="1"/>
      <c r="BZ563" s="1"/>
      <c r="CA563" s="1"/>
      <c r="CB563" s="1"/>
      <c r="CC563" s="1"/>
      <c r="CD563" s="1"/>
      <c r="CE563" s="2"/>
      <c r="CF563" s="1"/>
      <c r="CG563" s="1"/>
      <c r="CH563" s="1"/>
      <c r="CI563" s="1"/>
      <c r="CJ563" s="1"/>
      <c r="CK563" s="1"/>
      <c r="CL563" s="1"/>
    </row>
    <row r="564" spans="1:90" ht="14.65" x14ac:dyDescent="0.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2"/>
      <c r="L564" s="1"/>
      <c r="M564" s="1"/>
      <c r="N564" s="1"/>
      <c r="O564" s="1"/>
      <c r="P564" s="1"/>
      <c r="Q564" s="1"/>
      <c r="R564" s="1"/>
      <c r="S564" s="1"/>
      <c r="T564" s="2"/>
      <c r="U564" s="1"/>
      <c r="V564" s="1"/>
      <c r="W564" s="1"/>
      <c r="X564" s="1"/>
      <c r="Y564" s="1"/>
      <c r="Z564" s="1"/>
      <c r="AA564" s="1"/>
      <c r="AB564" s="1"/>
      <c r="AC564" s="2"/>
      <c r="AD564" s="1"/>
      <c r="AE564" s="1"/>
      <c r="AF564" s="1"/>
      <c r="AG564" s="1"/>
      <c r="AH564" s="1"/>
      <c r="AI564" s="1"/>
      <c r="AJ564" s="1"/>
      <c r="AK564" s="1"/>
      <c r="AL564" s="2"/>
      <c r="AM564" s="1"/>
      <c r="AN564" s="1"/>
      <c r="AO564" s="1"/>
      <c r="AP564" s="1"/>
      <c r="AQ564" s="1"/>
      <c r="AR564" s="1"/>
      <c r="AS564" s="1"/>
      <c r="AT564" s="1"/>
      <c r="AU564" s="2"/>
      <c r="AV564" s="1"/>
      <c r="AW564" s="1"/>
      <c r="AX564" s="1"/>
      <c r="AY564" s="1"/>
      <c r="AZ564" s="1"/>
      <c r="BA564" s="1"/>
      <c r="BB564" s="1"/>
      <c r="BC564" s="1"/>
      <c r="BD564" s="2"/>
      <c r="BE564" s="1"/>
      <c r="BF564" s="1"/>
      <c r="BG564" s="1"/>
      <c r="BH564" s="1"/>
      <c r="BI564" s="1"/>
      <c r="BJ564" s="1"/>
      <c r="BK564" s="1"/>
      <c r="BL564" s="1"/>
      <c r="BM564" s="2"/>
      <c r="BN564" s="1"/>
      <c r="BO564" s="1"/>
      <c r="BP564" s="1"/>
      <c r="BQ564" s="1"/>
      <c r="BR564" s="1"/>
      <c r="BS564" s="1"/>
      <c r="BT564" s="1"/>
      <c r="BU564" s="1"/>
      <c r="BV564" s="2"/>
      <c r="BW564" s="1"/>
      <c r="BX564" s="1"/>
      <c r="BY564" s="1"/>
      <c r="BZ564" s="1"/>
      <c r="CA564" s="1"/>
      <c r="CB564" s="1"/>
      <c r="CC564" s="1"/>
      <c r="CD564" s="1"/>
      <c r="CE564" s="2"/>
      <c r="CF564" s="1"/>
      <c r="CG564" s="1"/>
      <c r="CH564" s="1"/>
      <c r="CI564" s="1"/>
      <c r="CJ564" s="1"/>
      <c r="CK564" s="1"/>
      <c r="CL564" s="1"/>
    </row>
    <row r="565" spans="1:90" ht="14.65" x14ac:dyDescent="0.4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2"/>
      <c r="L565" s="1"/>
      <c r="M565" s="1"/>
      <c r="N565" s="1"/>
      <c r="O565" s="1"/>
      <c r="P565" s="1"/>
      <c r="Q565" s="1"/>
      <c r="R565" s="1"/>
      <c r="S565" s="1"/>
      <c r="T565" s="2"/>
      <c r="U565" s="1"/>
      <c r="V565" s="1"/>
      <c r="W565" s="1"/>
      <c r="X565" s="1"/>
      <c r="Y565" s="1"/>
      <c r="Z565" s="1"/>
      <c r="AA565" s="1"/>
      <c r="AB565" s="1"/>
      <c r="AC565" s="2"/>
      <c r="AD565" s="1"/>
      <c r="AE565" s="1"/>
      <c r="AF565" s="1"/>
      <c r="AG565" s="1"/>
      <c r="AH565" s="1"/>
      <c r="AI565" s="1"/>
      <c r="AJ565" s="1"/>
      <c r="AK565" s="1"/>
      <c r="AL565" s="2"/>
      <c r="AM565" s="1"/>
      <c r="AN565" s="1"/>
      <c r="AO565" s="1"/>
      <c r="AP565" s="1"/>
      <c r="AQ565" s="1"/>
      <c r="AR565" s="1"/>
      <c r="AS565" s="1"/>
      <c r="AT565" s="1"/>
      <c r="AU565" s="2"/>
      <c r="AV565" s="1"/>
      <c r="AW565" s="1"/>
      <c r="AX565" s="1"/>
      <c r="AY565" s="1"/>
      <c r="AZ565" s="1"/>
      <c r="BA565" s="1"/>
      <c r="BB565" s="1"/>
      <c r="BC565" s="1"/>
      <c r="BD565" s="2"/>
      <c r="BE565" s="1"/>
      <c r="BF565" s="1"/>
      <c r="BG565" s="1"/>
      <c r="BH565" s="1"/>
      <c r="BI565" s="1"/>
      <c r="BJ565" s="1"/>
      <c r="BK565" s="1"/>
      <c r="BL565" s="1"/>
      <c r="BM565" s="2"/>
      <c r="BN565" s="1"/>
      <c r="BO565" s="1"/>
      <c r="BP565" s="1"/>
      <c r="BQ565" s="1"/>
      <c r="BR565" s="1"/>
      <c r="BS565" s="1"/>
      <c r="BT565" s="1"/>
      <c r="BU565" s="1"/>
      <c r="BV565" s="2"/>
      <c r="BW565" s="1"/>
      <c r="BX565" s="1"/>
      <c r="BY565" s="1"/>
      <c r="BZ565" s="1"/>
      <c r="CA565" s="1"/>
      <c r="CB565" s="1"/>
      <c r="CC565" s="1"/>
      <c r="CD565" s="1"/>
      <c r="CE565" s="2"/>
      <c r="CF565" s="1"/>
      <c r="CG565" s="1"/>
      <c r="CH565" s="1"/>
      <c r="CI565" s="1"/>
      <c r="CJ565" s="1"/>
      <c r="CK565" s="1"/>
      <c r="CL565" s="1"/>
    </row>
    <row r="566" spans="1:90" ht="14.65" x14ac:dyDescent="0.4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2"/>
      <c r="L566" s="1"/>
      <c r="M566" s="1"/>
      <c r="N566" s="1"/>
      <c r="O566" s="1"/>
      <c r="P566" s="1"/>
      <c r="Q566" s="1"/>
      <c r="R566" s="1"/>
      <c r="S566" s="1"/>
      <c r="T566" s="2"/>
      <c r="U566" s="1"/>
      <c r="V566" s="1"/>
      <c r="W566" s="1"/>
      <c r="X566" s="1"/>
      <c r="Y566" s="1"/>
      <c r="Z566" s="1"/>
      <c r="AA566" s="1"/>
      <c r="AB566" s="1"/>
      <c r="AC566" s="2"/>
      <c r="AD566" s="1"/>
      <c r="AE566" s="1"/>
      <c r="AF566" s="1"/>
      <c r="AG566" s="1"/>
      <c r="AH566" s="1"/>
      <c r="AI566" s="1"/>
      <c r="AJ566" s="1"/>
      <c r="AK566" s="1"/>
      <c r="AL566" s="2"/>
      <c r="AM566" s="1"/>
      <c r="AN566" s="1"/>
      <c r="AO566" s="1"/>
      <c r="AP566" s="1"/>
      <c r="AQ566" s="1"/>
      <c r="AR566" s="1"/>
      <c r="AS566" s="1"/>
      <c r="AT566" s="1"/>
      <c r="AU566" s="2"/>
      <c r="AV566" s="1"/>
      <c r="AW566" s="1"/>
      <c r="AX566" s="1"/>
      <c r="AY566" s="1"/>
      <c r="AZ566" s="1"/>
      <c r="BA566" s="1"/>
      <c r="BB566" s="1"/>
      <c r="BC566" s="1"/>
      <c r="BD566" s="2"/>
      <c r="BE566" s="1"/>
      <c r="BF566" s="1"/>
      <c r="BG566" s="1"/>
      <c r="BH566" s="1"/>
      <c r="BI566" s="1"/>
      <c r="BJ566" s="1"/>
      <c r="BK566" s="1"/>
      <c r="BL566" s="1"/>
      <c r="BM566" s="2"/>
      <c r="BN566" s="1"/>
      <c r="BO566" s="1"/>
      <c r="BP566" s="1"/>
      <c r="BQ566" s="1"/>
      <c r="BR566" s="1"/>
      <c r="BS566" s="1"/>
      <c r="BT566" s="1"/>
      <c r="BU566" s="1"/>
      <c r="BV566" s="2"/>
      <c r="BW566" s="1"/>
      <c r="BX566" s="1"/>
      <c r="BY566" s="1"/>
      <c r="BZ566" s="1"/>
      <c r="CA566" s="1"/>
      <c r="CB566" s="1"/>
      <c r="CC566" s="1"/>
      <c r="CD566" s="1"/>
      <c r="CE566" s="2"/>
      <c r="CF566" s="1"/>
      <c r="CG566" s="1"/>
      <c r="CH566" s="1"/>
      <c r="CI566" s="1"/>
      <c r="CJ566" s="1"/>
      <c r="CK566" s="1"/>
      <c r="CL566" s="1"/>
    </row>
    <row r="567" spans="1:90" ht="14.65" x14ac:dyDescent="0.4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2"/>
      <c r="L567" s="1"/>
      <c r="M567" s="1"/>
      <c r="N567" s="1"/>
      <c r="O567" s="1"/>
      <c r="P567" s="1"/>
      <c r="Q567" s="1"/>
      <c r="R567" s="1"/>
      <c r="S567" s="1"/>
      <c r="T567" s="2"/>
      <c r="U567" s="1"/>
      <c r="V567" s="1"/>
      <c r="W567" s="1"/>
      <c r="X567" s="1"/>
      <c r="Y567" s="1"/>
      <c r="Z567" s="1"/>
      <c r="AA567" s="1"/>
      <c r="AB567" s="1"/>
      <c r="AC567" s="2"/>
      <c r="AD567" s="1"/>
      <c r="AE567" s="1"/>
      <c r="AF567" s="1"/>
      <c r="AG567" s="1"/>
      <c r="AH567" s="1"/>
      <c r="AI567" s="1"/>
      <c r="AJ567" s="1"/>
      <c r="AK567" s="1"/>
      <c r="AL567" s="2"/>
      <c r="AM567" s="1"/>
      <c r="AN567" s="1"/>
      <c r="AO567" s="1"/>
      <c r="AP567" s="1"/>
      <c r="AQ567" s="1"/>
      <c r="AR567" s="1"/>
      <c r="AS567" s="1"/>
      <c r="AT567" s="1"/>
      <c r="AU567" s="2"/>
      <c r="AV567" s="1"/>
      <c r="AW567" s="1"/>
      <c r="AX567" s="1"/>
      <c r="AY567" s="1"/>
      <c r="AZ567" s="1"/>
      <c r="BA567" s="1"/>
      <c r="BB567" s="1"/>
      <c r="BC567" s="1"/>
      <c r="BD567" s="2"/>
      <c r="BE567" s="1"/>
      <c r="BF567" s="1"/>
      <c r="BG567" s="1"/>
      <c r="BH567" s="1"/>
      <c r="BI567" s="1"/>
      <c r="BJ567" s="1"/>
      <c r="BK567" s="1"/>
      <c r="BL567" s="1"/>
      <c r="BM567" s="2"/>
      <c r="BN567" s="1"/>
      <c r="BO567" s="1"/>
      <c r="BP567" s="1"/>
      <c r="BQ567" s="1"/>
      <c r="BR567" s="1"/>
      <c r="BS567" s="1"/>
      <c r="BT567" s="1"/>
      <c r="BU567" s="1"/>
      <c r="BV567" s="2"/>
      <c r="BW567" s="1"/>
      <c r="BX567" s="1"/>
      <c r="BY567" s="1"/>
      <c r="BZ567" s="1"/>
      <c r="CA567" s="1"/>
      <c r="CB567" s="1"/>
      <c r="CC567" s="1"/>
      <c r="CD567" s="1"/>
      <c r="CE567" s="2"/>
      <c r="CF567" s="1"/>
      <c r="CG567" s="1"/>
      <c r="CH567" s="1"/>
      <c r="CI567" s="1"/>
      <c r="CJ567" s="1"/>
      <c r="CK567" s="1"/>
      <c r="CL567" s="1"/>
    </row>
    <row r="568" spans="1:90" ht="14.65" x14ac:dyDescent="0.4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2"/>
      <c r="L568" s="1"/>
      <c r="M568" s="1"/>
      <c r="N568" s="1"/>
      <c r="O568" s="1"/>
      <c r="P568" s="1"/>
      <c r="Q568" s="1"/>
      <c r="R568" s="1"/>
      <c r="S568" s="1"/>
      <c r="T568" s="2"/>
      <c r="U568" s="1"/>
      <c r="V568" s="1"/>
      <c r="W568" s="1"/>
      <c r="X568" s="1"/>
      <c r="Y568" s="1"/>
      <c r="Z568" s="1"/>
      <c r="AA568" s="1"/>
      <c r="AB568" s="1"/>
      <c r="AC568" s="2"/>
      <c r="AD568" s="1"/>
      <c r="AE568" s="1"/>
      <c r="AF568" s="1"/>
      <c r="AG568" s="1"/>
      <c r="AH568" s="1"/>
      <c r="AI568" s="1"/>
      <c r="AJ568" s="1"/>
      <c r="AK568" s="1"/>
      <c r="AL568" s="2"/>
      <c r="AM568" s="1"/>
      <c r="AN568" s="1"/>
      <c r="AO568" s="1"/>
      <c r="AP568" s="1"/>
      <c r="AQ568" s="1"/>
      <c r="AR568" s="1"/>
      <c r="AS568" s="1"/>
      <c r="AT568" s="1"/>
      <c r="AU568" s="2"/>
      <c r="AV568" s="1"/>
      <c r="AW568" s="1"/>
      <c r="AX568" s="1"/>
      <c r="AY568" s="1"/>
      <c r="AZ568" s="1"/>
      <c r="BA568" s="1"/>
      <c r="BB568" s="1"/>
      <c r="BC568" s="1"/>
      <c r="BD568" s="2"/>
      <c r="BE568" s="1"/>
      <c r="BF568" s="1"/>
      <c r="BG568" s="1"/>
      <c r="BH568" s="1"/>
      <c r="BI568" s="1"/>
      <c r="BJ568" s="1"/>
      <c r="BK568" s="1"/>
      <c r="BL568" s="1"/>
      <c r="BM568" s="2"/>
      <c r="BN568" s="1"/>
      <c r="BO568" s="1"/>
      <c r="BP568" s="1"/>
      <c r="BQ568" s="1"/>
      <c r="BR568" s="1"/>
      <c r="BS568" s="1"/>
      <c r="BT568" s="1"/>
      <c r="BU568" s="1"/>
      <c r="BV568" s="2"/>
      <c r="BW568" s="1"/>
      <c r="BX568" s="1"/>
      <c r="BY568" s="1"/>
      <c r="BZ568" s="1"/>
      <c r="CA568" s="1"/>
      <c r="CB568" s="1"/>
      <c r="CC568" s="1"/>
      <c r="CD568" s="1"/>
      <c r="CE568" s="2"/>
      <c r="CF568" s="1"/>
      <c r="CG568" s="1"/>
      <c r="CH568" s="1"/>
      <c r="CI568" s="1"/>
      <c r="CJ568" s="1"/>
      <c r="CK568" s="1"/>
      <c r="CL568" s="1"/>
    </row>
    <row r="569" spans="1:90" ht="14.65" x14ac:dyDescent="0.4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2"/>
      <c r="L569" s="1"/>
      <c r="M569" s="1"/>
      <c r="N569" s="1"/>
      <c r="O569" s="1"/>
      <c r="P569" s="1"/>
      <c r="Q569" s="1"/>
      <c r="R569" s="1"/>
      <c r="S569" s="1"/>
      <c r="T569" s="2"/>
      <c r="U569" s="1"/>
      <c r="V569" s="1"/>
      <c r="W569" s="1"/>
      <c r="X569" s="1"/>
      <c r="Y569" s="1"/>
      <c r="Z569" s="1"/>
      <c r="AA569" s="1"/>
      <c r="AB569" s="1"/>
      <c r="AC569" s="2"/>
      <c r="AD569" s="1"/>
      <c r="AE569" s="1"/>
      <c r="AF569" s="1"/>
      <c r="AG569" s="1"/>
      <c r="AH569" s="1"/>
      <c r="AI569" s="1"/>
      <c r="AJ569" s="1"/>
      <c r="AK569" s="1"/>
      <c r="AL569" s="2"/>
      <c r="AM569" s="1"/>
      <c r="AN569" s="1"/>
      <c r="AO569" s="1"/>
      <c r="AP569" s="1"/>
      <c r="AQ569" s="1"/>
      <c r="AR569" s="1"/>
      <c r="AS569" s="1"/>
      <c r="AT569" s="1"/>
      <c r="AU569" s="2"/>
      <c r="AV569" s="1"/>
      <c r="AW569" s="1"/>
      <c r="AX569" s="1"/>
      <c r="AY569" s="1"/>
      <c r="AZ569" s="1"/>
      <c r="BA569" s="1"/>
      <c r="BB569" s="1"/>
      <c r="BC569" s="1"/>
      <c r="BD569" s="2"/>
      <c r="BE569" s="1"/>
      <c r="BF569" s="1"/>
      <c r="BG569" s="1"/>
      <c r="BH569" s="1"/>
      <c r="BI569" s="1"/>
      <c r="BJ569" s="1"/>
      <c r="BK569" s="1"/>
      <c r="BL569" s="1"/>
      <c r="BM569" s="2"/>
      <c r="BN569" s="1"/>
      <c r="BO569" s="1"/>
      <c r="BP569" s="1"/>
      <c r="BQ569" s="1"/>
      <c r="BR569" s="1"/>
      <c r="BS569" s="1"/>
      <c r="BT569" s="1"/>
      <c r="BU569" s="1"/>
      <c r="BV569" s="2"/>
      <c r="BW569" s="1"/>
      <c r="BX569" s="1"/>
      <c r="BY569" s="1"/>
      <c r="BZ569" s="1"/>
      <c r="CA569" s="1"/>
      <c r="CB569" s="1"/>
      <c r="CC569" s="1"/>
      <c r="CD569" s="1"/>
      <c r="CE569" s="2"/>
      <c r="CF569" s="1"/>
      <c r="CG569" s="1"/>
      <c r="CH569" s="1"/>
      <c r="CI569" s="1"/>
      <c r="CJ569" s="1"/>
      <c r="CK569" s="1"/>
      <c r="CL569" s="1"/>
    </row>
    <row r="570" spans="1:90" ht="14.65" x14ac:dyDescent="0.4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2"/>
      <c r="L570" s="1"/>
      <c r="M570" s="1"/>
      <c r="N570" s="1"/>
      <c r="O570" s="1"/>
      <c r="P570" s="1"/>
      <c r="Q570" s="1"/>
      <c r="R570" s="1"/>
      <c r="S570" s="1"/>
      <c r="T570" s="2"/>
      <c r="U570" s="1"/>
      <c r="V570" s="1"/>
      <c r="W570" s="1"/>
      <c r="X570" s="1"/>
      <c r="Y570" s="1"/>
      <c r="Z570" s="1"/>
      <c r="AA570" s="1"/>
      <c r="AB570" s="1"/>
      <c r="AC570" s="2"/>
      <c r="AD570" s="1"/>
      <c r="AE570" s="1"/>
      <c r="AF570" s="1"/>
      <c r="AG570" s="1"/>
      <c r="AH570" s="1"/>
      <c r="AI570" s="1"/>
      <c r="AJ570" s="1"/>
      <c r="AK570" s="1"/>
      <c r="AL570" s="2"/>
      <c r="AM570" s="1"/>
      <c r="AN570" s="1"/>
      <c r="AO570" s="1"/>
      <c r="AP570" s="1"/>
      <c r="AQ570" s="1"/>
      <c r="AR570" s="1"/>
      <c r="AS570" s="1"/>
      <c r="AT570" s="1"/>
      <c r="AU570" s="2"/>
      <c r="AV570" s="1"/>
      <c r="AW570" s="1"/>
      <c r="AX570" s="1"/>
      <c r="AY570" s="1"/>
      <c r="AZ570" s="1"/>
      <c r="BA570" s="1"/>
      <c r="BB570" s="1"/>
      <c r="BC570" s="1"/>
      <c r="BD570" s="2"/>
      <c r="BE570" s="1"/>
      <c r="BF570" s="1"/>
      <c r="BG570" s="1"/>
      <c r="BH570" s="1"/>
      <c r="BI570" s="1"/>
      <c r="BJ570" s="1"/>
      <c r="BK570" s="1"/>
      <c r="BL570" s="1"/>
      <c r="BM570" s="2"/>
      <c r="BN570" s="1"/>
      <c r="BO570" s="1"/>
      <c r="BP570" s="1"/>
      <c r="BQ570" s="1"/>
      <c r="BR570" s="1"/>
      <c r="BS570" s="1"/>
      <c r="BT570" s="1"/>
      <c r="BU570" s="1"/>
      <c r="BV570" s="2"/>
      <c r="BW570" s="1"/>
      <c r="BX570" s="1"/>
      <c r="BY570" s="1"/>
      <c r="BZ570" s="1"/>
      <c r="CA570" s="1"/>
      <c r="CB570" s="1"/>
      <c r="CC570" s="1"/>
      <c r="CD570" s="1"/>
      <c r="CE570" s="2"/>
      <c r="CF570" s="1"/>
      <c r="CG570" s="1"/>
      <c r="CH570" s="1"/>
      <c r="CI570" s="1"/>
      <c r="CJ570" s="1"/>
      <c r="CK570" s="1"/>
      <c r="CL570" s="1"/>
    </row>
    <row r="571" spans="1:90" ht="14.65" x14ac:dyDescent="0.4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2"/>
      <c r="L571" s="1"/>
      <c r="M571" s="1"/>
      <c r="N571" s="1"/>
      <c r="O571" s="1"/>
      <c r="P571" s="1"/>
      <c r="Q571" s="1"/>
      <c r="R571" s="1"/>
      <c r="S571" s="1"/>
      <c r="T571" s="2"/>
      <c r="U571" s="1"/>
      <c r="V571" s="1"/>
      <c r="W571" s="1"/>
      <c r="X571" s="1"/>
      <c r="Y571" s="1"/>
      <c r="Z571" s="1"/>
      <c r="AA571" s="1"/>
      <c r="AB571" s="1"/>
      <c r="AC571" s="2"/>
      <c r="AD571" s="1"/>
      <c r="AE571" s="1"/>
      <c r="AF571" s="1"/>
      <c r="AG571" s="1"/>
      <c r="AH571" s="1"/>
      <c r="AI571" s="1"/>
      <c r="AJ571" s="1"/>
      <c r="AK571" s="1"/>
      <c r="AL571" s="2"/>
      <c r="AM571" s="1"/>
      <c r="AN571" s="1"/>
      <c r="AO571" s="1"/>
      <c r="AP571" s="1"/>
      <c r="AQ571" s="1"/>
      <c r="AR571" s="1"/>
      <c r="AS571" s="1"/>
      <c r="AT571" s="1"/>
      <c r="AU571" s="2"/>
      <c r="AV571" s="1"/>
      <c r="AW571" s="1"/>
      <c r="AX571" s="1"/>
      <c r="AY571" s="1"/>
      <c r="AZ571" s="1"/>
      <c r="BA571" s="1"/>
      <c r="BB571" s="1"/>
      <c r="BC571" s="1"/>
      <c r="BD571" s="2"/>
      <c r="BE571" s="1"/>
      <c r="BF571" s="1"/>
      <c r="BG571" s="1"/>
      <c r="BH571" s="1"/>
      <c r="BI571" s="1"/>
      <c r="BJ571" s="1"/>
      <c r="BK571" s="1"/>
      <c r="BL571" s="1"/>
      <c r="BM571" s="2"/>
      <c r="BN571" s="1"/>
      <c r="BO571" s="1"/>
      <c r="BP571" s="1"/>
      <c r="BQ571" s="1"/>
      <c r="BR571" s="1"/>
      <c r="BS571" s="1"/>
      <c r="BT571" s="1"/>
      <c r="BU571" s="1"/>
      <c r="BV571" s="2"/>
      <c r="BW571" s="1"/>
      <c r="BX571" s="1"/>
      <c r="BY571" s="1"/>
      <c r="BZ571" s="1"/>
      <c r="CA571" s="1"/>
      <c r="CB571" s="1"/>
      <c r="CC571" s="1"/>
      <c r="CD571" s="1"/>
      <c r="CE571" s="2"/>
      <c r="CF571" s="1"/>
      <c r="CG571" s="1"/>
      <c r="CH571" s="1"/>
      <c r="CI571" s="1"/>
      <c r="CJ571" s="1"/>
      <c r="CK571" s="1"/>
      <c r="CL571" s="1"/>
    </row>
    <row r="572" spans="1:90" ht="14.65" x14ac:dyDescent="0.4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2"/>
      <c r="L572" s="1"/>
      <c r="M572" s="1"/>
      <c r="N572" s="1"/>
      <c r="O572" s="1"/>
      <c r="P572" s="1"/>
      <c r="Q572" s="1"/>
      <c r="R572" s="1"/>
      <c r="S572" s="1"/>
      <c r="T572" s="2"/>
      <c r="U572" s="1"/>
      <c r="V572" s="1"/>
      <c r="W572" s="1"/>
      <c r="X572" s="1"/>
      <c r="Y572" s="1"/>
      <c r="Z572" s="1"/>
      <c r="AA572" s="1"/>
      <c r="AB572" s="1"/>
      <c r="AC572" s="2"/>
      <c r="AD572" s="1"/>
      <c r="AE572" s="1"/>
      <c r="AF572" s="1"/>
      <c r="AG572" s="1"/>
      <c r="AH572" s="1"/>
      <c r="AI572" s="1"/>
      <c r="AJ572" s="1"/>
      <c r="AK572" s="1"/>
      <c r="AL572" s="2"/>
      <c r="AM572" s="1"/>
      <c r="AN572" s="1"/>
      <c r="AO572" s="1"/>
      <c r="AP572" s="1"/>
      <c r="AQ572" s="1"/>
      <c r="AR572" s="1"/>
      <c r="AS572" s="1"/>
      <c r="AT572" s="1"/>
      <c r="AU572" s="2"/>
      <c r="AV572" s="1"/>
      <c r="AW572" s="1"/>
      <c r="AX572" s="1"/>
      <c r="AY572" s="1"/>
      <c r="AZ572" s="1"/>
      <c r="BA572" s="1"/>
      <c r="BB572" s="1"/>
      <c r="BC572" s="1"/>
      <c r="BD572" s="2"/>
      <c r="BE572" s="1"/>
      <c r="BF572" s="1"/>
      <c r="BG572" s="1"/>
      <c r="BH572" s="1"/>
      <c r="BI572" s="1"/>
      <c r="BJ572" s="1"/>
      <c r="BK572" s="1"/>
      <c r="BL572" s="1"/>
      <c r="BM572" s="2"/>
      <c r="BN572" s="1"/>
      <c r="BO572" s="1"/>
      <c r="BP572" s="1"/>
      <c r="BQ572" s="1"/>
      <c r="BR572" s="1"/>
      <c r="BS572" s="1"/>
      <c r="BT572" s="1"/>
      <c r="BU572" s="1"/>
      <c r="BV572" s="2"/>
      <c r="BW572" s="1"/>
      <c r="BX572" s="1"/>
      <c r="BY572" s="1"/>
      <c r="BZ572" s="1"/>
      <c r="CA572" s="1"/>
      <c r="CB572" s="1"/>
      <c r="CC572" s="1"/>
      <c r="CD572" s="1"/>
      <c r="CE572" s="2"/>
      <c r="CF572" s="1"/>
      <c r="CG572" s="1"/>
      <c r="CH572" s="1"/>
      <c r="CI572" s="1"/>
      <c r="CJ572" s="1"/>
      <c r="CK572" s="1"/>
      <c r="CL572" s="1"/>
    </row>
    <row r="573" spans="1:90" ht="14.65" x14ac:dyDescent="0.4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2"/>
      <c r="L573" s="1"/>
      <c r="M573" s="1"/>
      <c r="N573" s="1"/>
      <c r="O573" s="1"/>
      <c r="P573" s="1"/>
      <c r="Q573" s="1"/>
      <c r="R573" s="1"/>
      <c r="S573" s="1"/>
      <c r="T573" s="2"/>
      <c r="U573" s="1"/>
      <c r="V573" s="1"/>
      <c r="W573" s="1"/>
      <c r="X573" s="1"/>
      <c r="Y573" s="1"/>
      <c r="Z573" s="1"/>
      <c r="AA573" s="1"/>
      <c r="AB573" s="1"/>
      <c r="AC573" s="2"/>
      <c r="AD573" s="1"/>
      <c r="AE573" s="1"/>
      <c r="AF573" s="1"/>
      <c r="AG573" s="1"/>
      <c r="AH573" s="1"/>
      <c r="AI573" s="1"/>
      <c r="AJ573" s="1"/>
      <c r="AK573" s="1"/>
      <c r="AL573" s="2"/>
      <c r="AM573" s="1"/>
      <c r="AN573" s="1"/>
      <c r="AO573" s="1"/>
      <c r="AP573" s="1"/>
      <c r="AQ573" s="1"/>
      <c r="AR573" s="1"/>
      <c r="AS573" s="1"/>
      <c r="AT573" s="1"/>
      <c r="AU573" s="2"/>
      <c r="AV573" s="1"/>
      <c r="AW573" s="1"/>
      <c r="AX573" s="1"/>
      <c r="AY573" s="1"/>
      <c r="AZ573" s="1"/>
      <c r="BA573" s="1"/>
      <c r="BB573" s="1"/>
      <c r="BC573" s="1"/>
      <c r="BD573" s="2"/>
      <c r="BE573" s="1"/>
      <c r="BF573" s="1"/>
      <c r="BG573" s="1"/>
      <c r="BH573" s="1"/>
      <c r="BI573" s="1"/>
      <c r="BJ573" s="1"/>
      <c r="BK573" s="1"/>
      <c r="BL573" s="1"/>
      <c r="BM573" s="2"/>
      <c r="BN573" s="1"/>
      <c r="BO573" s="1"/>
      <c r="BP573" s="1"/>
      <c r="BQ573" s="1"/>
      <c r="BR573" s="1"/>
      <c r="BS573" s="1"/>
      <c r="BT573" s="1"/>
      <c r="BU573" s="1"/>
      <c r="BV573" s="2"/>
      <c r="BW573" s="1"/>
      <c r="BX573" s="1"/>
      <c r="BY573" s="1"/>
      <c r="BZ573" s="1"/>
      <c r="CA573" s="1"/>
      <c r="CB573" s="1"/>
      <c r="CC573" s="1"/>
      <c r="CD573" s="1"/>
      <c r="CE573" s="2"/>
      <c r="CF573" s="1"/>
      <c r="CG573" s="1"/>
      <c r="CH573" s="1"/>
      <c r="CI573" s="1"/>
      <c r="CJ573" s="1"/>
      <c r="CK573" s="1"/>
      <c r="CL573" s="1"/>
    </row>
    <row r="574" spans="1:90" ht="14.65" x14ac:dyDescent="0.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2"/>
      <c r="L574" s="1"/>
      <c r="M574" s="1"/>
      <c r="N574" s="1"/>
      <c r="O574" s="1"/>
      <c r="P574" s="1"/>
      <c r="Q574" s="1"/>
      <c r="R574" s="1"/>
      <c r="S574" s="1"/>
      <c r="T574" s="2"/>
      <c r="U574" s="1"/>
      <c r="V574" s="1"/>
      <c r="W574" s="1"/>
      <c r="X574" s="1"/>
      <c r="Y574" s="1"/>
      <c r="Z574" s="1"/>
      <c r="AA574" s="1"/>
      <c r="AB574" s="1"/>
      <c r="AC574" s="2"/>
      <c r="AD574" s="1"/>
      <c r="AE574" s="1"/>
      <c r="AF574" s="1"/>
      <c r="AG574" s="1"/>
      <c r="AH574" s="1"/>
      <c r="AI574" s="1"/>
      <c r="AJ574" s="1"/>
      <c r="AK574" s="1"/>
      <c r="AL574" s="2"/>
      <c r="AM574" s="1"/>
      <c r="AN574" s="1"/>
      <c r="AO574" s="1"/>
      <c r="AP574" s="1"/>
      <c r="AQ574" s="1"/>
      <c r="AR574" s="1"/>
      <c r="AS574" s="1"/>
      <c r="AT574" s="1"/>
      <c r="AU574" s="2"/>
      <c r="AV574" s="1"/>
      <c r="AW574" s="1"/>
      <c r="AX574" s="1"/>
      <c r="AY574" s="1"/>
      <c r="AZ574" s="1"/>
      <c r="BA574" s="1"/>
      <c r="BB574" s="1"/>
      <c r="BC574" s="1"/>
      <c r="BD574" s="2"/>
      <c r="BE574" s="1"/>
      <c r="BF574" s="1"/>
      <c r="BG574" s="1"/>
      <c r="BH574" s="1"/>
      <c r="BI574" s="1"/>
      <c r="BJ574" s="1"/>
      <c r="BK574" s="1"/>
      <c r="BL574" s="1"/>
      <c r="BM574" s="2"/>
      <c r="BN574" s="1"/>
      <c r="BO574" s="1"/>
      <c r="BP574" s="1"/>
      <c r="BQ574" s="1"/>
      <c r="BR574" s="1"/>
      <c r="BS574" s="1"/>
      <c r="BT574" s="1"/>
      <c r="BU574" s="1"/>
      <c r="BV574" s="2"/>
      <c r="BW574" s="1"/>
      <c r="BX574" s="1"/>
      <c r="BY574" s="1"/>
      <c r="BZ574" s="1"/>
      <c r="CA574" s="1"/>
      <c r="CB574" s="1"/>
      <c r="CC574" s="1"/>
      <c r="CD574" s="1"/>
      <c r="CE574" s="2"/>
      <c r="CF574" s="1"/>
      <c r="CG574" s="1"/>
      <c r="CH574" s="1"/>
      <c r="CI574" s="1"/>
      <c r="CJ574" s="1"/>
      <c r="CK574" s="1"/>
      <c r="CL574" s="1"/>
    </row>
    <row r="575" spans="1:90" ht="14.65" x14ac:dyDescent="0.4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2"/>
      <c r="L575" s="1"/>
      <c r="M575" s="1"/>
      <c r="N575" s="1"/>
      <c r="O575" s="1"/>
      <c r="P575" s="1"/>
      <c r="Q575" s="1"/>
      <c r="R575" s="1"/>
      <c r="S575" s="1"/>
      <c r="T575" s="2"/>
      <c r="U575" s="1"/>
      <c r="V575" s="1"/>
      <c r="W575" s="1"/>
      <c r="X575" s="1"/>
      <c r="Y575" s="1"/>
      <c r="Z575" s="1"/>
      <c r="AA575" s="1"/>
      <c r="AB575" s="1"/>
      <c r="AC575" s="2"/>
      <c r="AD575" s="1"/>
      <c r="AE575" s="1"/>
      <c r="AF575" s="1"/>
      <c r="AG575" s="1"/>
      <c r="AH575" s="1"/>
      <c r="AI575" s="1"/>
      <c r="AJ575" s="1"/>
      <c r="AK575" s="1"/>
      <c r="AL575" s="2"/>
      <c r="AM575" s="1"/>
      <c r="AN575" s="1"/>
      <c r="AO575" s="1"/>
      <c r="AP575" s="1"/>
      <c r="AQ575" s="1"/>
      <c r="AR575" s="1"/>
      <c r="AS575" s="1"/>
      <c r="AT575" s="1"/>
      <c r="AU575" s="2"/>
      <c r="AV575" s="1"/>
      <c r="AW575" s="1"/>
      <c r="AX575" s="1"/>
      <c r="AY575" s="1"/>
      <c r="AZ575" s="1"/>
      <c r="BA575" s="1"/>
      <c r="BB575" s="1"/>
      <c r="BC575" s="1"/>
      <c r="BD575" s="2"/>
      <c r="BE575" s="1"/>
      <c r="BF575" s="1"/>
      <c r="BG575" s="1"/>
      <c r="BH575" s="1"/>
      <c r="BI575" s="1"/>
      <c r="BJ575" s="1"/>
      <c r="BK575" s="1"/>
      <c r="BL575" s="1"/>
      <c r="BM575" s="2"/>
      <c r="BN575" s="1"/>
      <c r="BO575" s="1"/>
      <c r="BP575" s="1"/>
      <c r="BQ575" s="1"/>
      <c r="BR575" s="1"/>
      <c r="BS575" s="1"/>
      <c r="BT575" s="1"/>
      <c r="BU575" s="1"/>
      <c r="BV575" s="2"/>
      <c r="BW575" s="1"/>
      <c r="BX575" s="1"/>
      <c r="BY575" s="1"/>
      <c r="BZ575" s="1"/>
      <c r="CA575" s="1"/>
      <c r="CB575" s="1"/>
      <c r="CC575" s="1"/>
      <c r="CD575" s="1"/>
      <c r="CE575" s="2"/>
      <c r="CF575" s="1"/>
      <c r="CG575" s="1"/>
      <c r="CH575" s="1"/>
      <c r="CI575" s="1"/>
      <c r="CJ575" s="1"/>
      <c r="CK575" s="1"/>
      <c r="CL575" s="1"/>
    </row>
    <row r="576" spans="1:90" ht="14.65" x14ac:dyDescent="0.4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2"/>
      <c r="L576" s="1"/>
      <c r="M576" s="1"/>
      <c r="N576" s="1"/>
      <c r="O576" s="1"/>
      <c r="P576" s="1"/>
      <c r="Q576" s="1"/>
      <c r="R576" s="1"/>
      <c r="S576" s="1"/>
      <c r="T576" s="2"/>
      <c r="U576" s="1"/>
      <c r="V576" s="1"/>
      <c r="W576" s="1"/>
      <c r="X576" s="1"/>
      <c r="Y576" s="1"/>
      <c r="Z576" s="1"/>
      <c r="AA576" s="1"/>
      <c r="AB576" s="1"/>
      <c r="AC576" s="2"/>
      <c r="AD576" s="1"/>
      <c r="AE576" s="1"/>
      <c r="AF576" s="1"/>
      <c r="AG576" s="1"/>
      <c r="AH576" s="1"/>
      <c r="AI576" s="1"/>
      <c r="AJ576" s="1"/>
      <c r="AK576" s="1"/>
      <c r="AL576" s="2"/>
      <c r="AM576" s="1"/>
      <c r="AN576" s="1"/>
      <c r="AO576" s="1"/>
      <c r="AP576" s="1"/>
      <c r="AQ576" s="1"/>
      <c r="AR576" s="1"/>
      <c r="AS576" s="1"/>
      <c r="AT576" s="1"/>
      <c r="AU576" s="2"/>
      <c r="AV576" s="1"/>
      <c r="AW576" s="1"/>
      <c r="AX576" s="1"/>
      <c r="AY576" s="1"/>
      <c r="AZ576" s="1"/>
      <c r="BA576" s="1"/>
      <c r="BB576" s="1"/>
      <c r="BC576" s="1"/>
      <c r="BD576" s="2"/>
      <c r="BE576" s="1"/>
      <c r="BF576" s="1"/>
      <c r="BG576" s="1"/>
      <c r="BH576" s="1"/>
      <c r="BI576" s="1"/>
      <c r="BJ576" s="1"/>
      <c r="BK576" s="1"/>
      <c r="BL576" s="1"/>
      <c r="BM576" s="2"/>
      <c r="BN576" s="1"/>
      <c r="BO576" s="1"/>
      <c r="BP576" s="1"/>
      <c r="BQ576" s="1"/>
      <c r="BR576" s="1"/>
      <c r="BS576" s="1"/>
      <c r="BT576" s="1"/>
      <c r="BU576" s="1"/>
      <c r="BV576" s="2"/>
      <c r="BW576" s="1"/>
      <c r="BX576" s="1"/>
      <c r="BY576" s="1"/>
      <c r="BZ576" s="1"/>
      <c r="CA576" s="1"/>
      <c r="CB576" s="1"/>
      <c r="CC576" s="1"/>
      <c r="CD576" s="1"/>
      <c r="CE576" s="2"/>
      <c r="CF576" s="1"/>
      <c r="CG576" s="1"/>
      <c r="CH576" s="1"/>
      <c r="CI576" s="1"/>
      <c r="CJ576" s="1"/>
      <c r="CK576" s="1"/>
      <c r="CL576" s="1"/>
    </row>
    <row r="577" spans="1:90" ht="14.65" x14ac:dyDescent="0.4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2"/>
      <c r="L577" s="1"/>
      <c r="M577" s="1"/>
      <c r="N577" s="1"/>
      <c r="O577" s="1"/>
      <c r="P577" s="1"/>
      <c r="Q577" s="1"/>
      <c r="R577" s="1"/>
      <c r="S577" s="1"/>
      <c r="T577" s="2"/>
      <c r="U577" s="1"/>
      <c r="V577" s="1"/>
      <c r="W577" s="1"/>
      <c r="X577" s="1"/>
      <c r="Y577" s="1"/>
      <c r="Z577" s="1"/>
      <c r="AA577" s="1"/>
      <c r="AB577" s="1"/>
      <c r="AC577" s="2"/>
      <c r="AD577" s="1"/>
      <c r="AE577" s="1"/>
      <c r="AF577" s="1"/>
      <c r="AG577" s="1"/>
      <c r="AH577" s="1"/>
      <c r="AI577" s="1"/>
      <c r="AJ577" s="1"/>
      <c r="AK577" s="1"/>
      <c r="AL577" s="2"/>
      <c r="AM577" s="1"/>
      <c r="AN577" s="1"/>
      <c r="AO577" s="1"/>
      <c r="AP577" s="1"/>
      <c r="AQ577" s="1"/>
      <c r="AR577" s="1"/>
      <c r="AS577" s="1"/>
      <c r="AT577" s="1"/>
      <c r="AU577" s="2"/>
      <c r="AV577" s="1"/>
      <c r="AW577" s="1"/>
      <c r="AX577" s="1"/>
      <c r="AY577" s="1"/>
      <c r="AZ577" s="1"/>
      <c r="BA577" s="1"/>
      <c r="BB577" s="1"/>
      <c r="BC577" s="1"/>
      <c r="BD577" s="2"/>
      <c r="BE577" s="1"/>
      <c r="BF577" s="1"/>
      <c r="BG577" s="1"/>
      <c r="BH577" s="1"/>
      <c r="BI577" s="1"/>
      <c r="BJ577" s="1"/>
      <c r="BK577" s="1"/>
      <c r="BL577" s="1"/>
      <c r="BM577" s="2"/>
      <c r="BN577" s="1"/>
      <c r="BO577" s="1"/>
      <c r="BP577" s="1"/>
      <c r="BQ577" s="1"/>
      <c r="BR577" s="1"/>
      <c r="BS577" s="1"/>
      <c r="BT577" s="1"/>
      <c r="BU577" s="1"/>
      <c r="BV577" s="2"/>
      <c r="BW577" s="1"/>
      <c r="BX577" s="1"/>
      <c r="BY577" s="1"/>
      <c r="BZ577" s="1"/>
      <c r="CA577" s="1"/>
      <c r="CB577" s="1"/>
      <c r="CC577" s="1"/>
      <c r="CD577" s="1"/>
      <c r="CE577" s="2"/>
      <c r="CF577" s="1"/>
      <c r="CG577" s="1"/>
      <c r="CH577" s="1"/>
      <c r="CI577" s="1"/>
      <c r="CJ577" s="1"/>
      <c r="CK577" s="1"/>
      <c r="CL577" s="1"/>
    </row>
    <row r="578" spans="1:90" ht="14.65" x14ac:dyDescent="0.4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2"/>
      <c r="L578" s="1"/>
      <c r="M578" s="1"/>
      <c r="N578" s="1"/>
      <c r="O578" s="1"/>
      <c r="P578" s="1"/>
      <c r="Q578" s="1"/>
      <c r="R578" s="1"/>
      <c r="S578" s="1"/>
      <c r="T578" s="2"/>
      <c r="U578" s="3"/>
      <c r="V578" s="1"/>
      <c r="W578" s="1"/>
      <c r="X578" s="1"/>
      <c r="Y578" s="1"/>
      <c r="Z578" s="1"/>
      <c r="AA578" s="1"/>
      <c r="AB578" s="1"/>
      <c r="AC578" s="2"/>
      <c r="AD578" s="1"/>
      <c r="AE578" s="1"/>
      <c r="AF578" s="1"/>
      <c r="AG578" s="1"/>
      <c r="AH578" s="1"/>
      <c r="AI578" s="1"/>
      <c r="AJ578" s="1"/>
      <c r="AK578" s="1"/>
      <c r="AL578" s="2"/>
      <c r="AM578" s="1"/>
      <c r="AN578" s="1"/>
      <c r="AO578" s="1"/>
      <c r="AP578" s="1"/>
      <c r="AQ578" s="1"/>
      <c r="AR578" s="1"/>
      <c r="AS578" s="1"/>
      <c r="AT578" s="1"/>
      <c r="AU578" s="2"/>
      <c r="AV578" s="1"/>
      <c r="AW578" s="1"/>
      <c r="AX578" s="1"/>
      <c r="AY578" s="1"/>
      <c r="AZ578" s="1"/>
      <c r="BA578" s="1"/>
      <c r="BB578" s="1"/>
      <c r="BC578" s="1"/>
      <c r="BD578" s="2"/>
      <c r="BE578" s="1"/>
      <c r="BF578" s="1"/>
      <c r="BG578" s="1"/>
      <c r="BH578" s="1"/>
      <c r="BI578" s="1"/>
      <c r="BJ578" s="1"/>
      <c r="BK578" s="1"/>
      <c r="BL578" s="1"/>
      <c r="BM578" s="2"/>
      <c r="BN578" s="1"/>
      <c r="BO578" s="1"/>
      <c r="BP578" s="1"/>
      <c r="BQ578" s="1"/>
      <c r="BR578" s="1"/>
      <c r="BS578" s="1"/>
      <c r="BT578" s="1"/>
      <c r="BU578" s="1"/>
      <c r="BV578" s="2"/>
      <c r="BW578" s="1"/>
      <c r="BX578" s="1"/>
      <c r="BY578" s="1"/>
      <c r="BZ578" s="1"/>
      <c r="CA578" s="1"/>
      <c r="CB578" s="1"/>
      <c r="CC578" s="1"/>
      <c r="CD578" s="1"/>
      <c r="CE578" s="2"/>
      <c r="CF578" s="1"/>
      <c r="CG578" s="1"/>
      <c r="CH578" s="1"/>
      <c r="CI578" s="1"/>
      <c r="CJ578" s="1"/>
      <c r="CK578" s="1"/>
      <c r="CL578" s="1"/>
    </row>
    <row r="579" spans="1:90" ht="14.65" x14ac:dyDescent="0.4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2"/>
      <c r="L579" s="1"/>
      <c r="M579" s="1"/>
      <c r="N579" s="1"/>
      <c r="O579" s="1"/>
      <c r="P579" s="1"/>
      <c r="Q579" s="1"/>
      <c r="R579" s="1"/>
      <c r="S579" s="1"/>
      <c r="T579" s="2"/>
      <c r="U579" s="3"/>
      <c r="V579" s="1"/>
      <c r="W579" s="1"/>
      <c r="X579" s="1"/>
      <c r="Y579" s="1"/>
      <c r="Z579" s="1"/>
      <c r="AA579" s="1"/>
      <c r="AB579" s="1"/>
      <c r="AC579" s="2"/>
      <c r="AD579" s="1"/>
      <c r="AE579" s="1"/>
      <c r="AF579" s="1"/>
      <c r="AG579" s="1"/>
      <c r="AH579" s="1"/>
      <c r="AI579" s="1"/>
      <c r="AJ579" s="1"/>
      <c r="AK579" s="1"/>
      <c r="AL579" s="2"/>
      <c r="AM579" s="1"/>
      <c r="AN579" s="1"/>
      <c r="AO579" s="1"/>
      <c r="AP579" s="1"/>
      <c r="AQ579" s="1"/>
      <c r="AR579" s="1"/>
      <c r="AS579" s="1"/>
      <c r="AT579" s="1"/>
      <c r="AU579" s="2"/>
      <c r="AV579" s="1"/>
      <c r="AW579" s="1"/>
      <c r="AX579" s="1"/>
      <c r="AY579" s="1"/>
      <c r="AZ579" s="1"/>
      <c r="BA579" s="1"/>
      <c r="BB579" s="1"/>
      <c r="BC579" s="1"/>
      <c r="BD579" s="2"/>
      <c r="BE579" s="1"/>
      <c r="BF579" s="1"/>
      <c r="BG579" s="1"/>
      <c r="BH579" s="1"/>
      <c r="BI579" s="1"/>
      <c r="BJ579" s="1"/>
      <c r="BK579" s="1"/>
      <c r="BL579" s="1"/>
      <c r="BM579" s="2"/>
      <c r="BN579" s="1"/>
      <c r="BO579" s="1"/>
      <c r="BP579" s="1"/>
      <c r="BQ579" s="1"/>
      <c r="BR579" s="1"/>
      <c r="BS579" s="1"/>
      <c r="BT579" s="1"/>
      <c r="BU579" s="1"/>
      <c r="BV579" s="2"/>
      <c r="BW579" s="1"/>
      <c r="BX579" s="1"/>
      <c r="BY579" s="1"/>
      <c r="BZ579" s="1"/>
      <c r="CA579" s="1"/>
      <c r="CB579" s="1"/>
      <c r="CC579" s="1"/>
      <c r="CD579" s="1"/>
      <c r="CE579" s="2"/>
      <c r="CF579" s="1"/>
      <c r="CG579" s="1"/>
      <c r="CH579" s="1"/>
      <c r="CI579" s="1"/>
      <c r="CJ579" s="1"/>
      <c r="CK579" s="1"/>
      <c r="CL579" s="1"/>
    </row>
    <row r="580" spans="1:90" ht="14.65" x14ac:dyDescent="0.4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2"/>
      <c r="L580" s="1"/>
      <c r="M580" s="1"/>
      <c r="N580" s="1"/>
      <c r="O580" s="1"/>
      <c r="P580" s="1"/>
      <c r="Q580" s="1"/>
      <c r="R580" s="1"/>
      <c r="S580" s="1"/>
      <c r="T580" s="2"/>
      <c r="U580" s="3"/>
      <c r="V580" s="1"/>
      <c r="W580" s="1"/>
      <c r="X580" s="1"/>
      <c r="Y580" s="1"/>
      <c r="Z580" s="1"/>
      <c r="AA580" s="1"/>
      <c r="AB580" s="1"/>
      <c r="AC580" s="2"/>
      <c r="AD580" s="1"/>
      <c r="AE580" s="1"/>
      <c r="AF580" s="1"/>
      <c r="AG580" s="1"/>
      <c r="AH580" s="1"/>
      <c r="AI580" s="1"/>
      <c r="AJ580" s="1"/>
      <c r="AK580" s="1"/>
      <c r="AL580" s="2"/>
      <c r="AM580" s="1"/>
      <c r="AN580" s="1"/>
      <c r="AO580" s="1"/>
      <c r="AP580" s="1"/>
      <c r="AQ580" s="1"/>
      <c r="AR580" s="1"/>
      <c r="AS580" s="1"/>
      <c r="AT580" s="1"/>
      <c r="AU580" s="2"/>
      <c r="AV580" s="1"/>
      <c r="AW580" s="1"/>
      <c r="AX580" s="1"/>
      <c r="AY580" s="1"/>
      <c r="AZ580" s="1"/>
      <c r="BA580" s="1"/>
      <c r="BB580" s="1"/>
      <c r="BC580" s="1"/>
      <c r="BD580" s="2"/>
      <c r="BE580" s="1"/>
      <c r="BF580" s="1"/>
      <c r="BG580" s="1"/>
      <c r="BH580" s="1"/>
      <c r="BI580" s="1"/>
      <c r="BJ580" s="1"/>
      <c r="BK580" s="1"/>
      <c r="BL580" s="1"/>
      <c r="BM580" s="2"/>
      <c r="BN580" s="1"/>
      <c r="BO580" s="1"/>
      <c r="BP580" s="1"/>
      <c r="BQ580" s="1"/>
      <c r="BR580" s="1"/>
      <c r="BS580" s="1"/>
      <c r="BT580" s="1"/>
      <c r="BU580" s="1"/>
      <c r="BV580" s="2"/>
      <c r="BW580" s="1"/>
      <c r="BX580" s="1"/>
      <c r="BY580" s="1"/>
      <c r="BZ580" s="1"/>
      <c r="CA580" s="1"/>
      <c r="CB580" s="1"/>
      <c r="CC580" s="1"/>
      <c r="CD580" s="1"/>
      <c r="CE580" s="2"/>
      <c r="CF580" s="1"/>
      <c r="CG580" s="1"/>
      <c r="CH580" s="1"/>
      <c r="CI580" s="1"/>
      <c r="CJ580" s="1"/>
      <c r="CK580" s="1"/>
      <c r="CL580" s="1"/>
    </row>
    <row r="581" spans="1:90" ht="14.65" x14ac:dyDescent="0.4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2"/>
      <c r="L581" s="1"/>
      <c r="M581" s="1"/>
      <c r="N581" s="1"/>
      <c r="O581" s="1"/>
      <c r="P581" s="1"/>
      <c r="Q581" s="1"/>
      <c r="R581" s="1"/>
      <c r="S581" s="1"/>
      <c r="T581" s="2"/>
      <c r="U581" s="3"/>
      <c r="V581" s="1"/>
      <c r="W581" s="1"/>
      <c r="X581" s="1"/>
      <c r="Y581" s="1"/>
      <c r="Z581" s="1"/>
      <c r="AA581" s="1"/>
      <c r="AB581" s="1"/>
      <c r="AC581" s="2"/>
      <c r="AD581" s="1"/>
      <c r="AE581" s="1"/>
      <c r="AF581" s="1"/>
      <c r="AG581" s="1"/>
      <c r="AH581" s="1"/>
      <c r="AI581" s="1"/>
      <c r="AJ581" s="1"/>
      <c r="AK581" s="1"/>
      <c r="AL581" s="2"/>
      <c r="AM581" s="1"/>
      <c r="AN581" s="1"/>
      <c r="AO581" s="1"/>
      <c r="AP581" s="1"/>
      <c r="AQ581" s="1"/>
      <c r="AR581" s="1"/>
      <c r="AS581" s="1"/>
      <c r="AT581" s="1"/>
      <c r="AU581" s="2"/>
      <c r="AV581" s="1"/>
      <c r="AW581" s="1"/>
      <c r="AX581" s="1"/>
      <c r="AY581" s="1"/>
      <c r="AZ581" s="1"/>
      <c r="BA581" s="1"/>
      <c r="BB581" s="1"/>
      <c r="BC581" s="1"/>
      <c r="BD581" s="2"/>
      <c r="BE581" s="1"/>
      <c r="BF581" s="1"/>
      <c r="BG581" s="1"/>
      <c r="BH581" s="1"/>
      <c r="BI581" s="1"/>
      <c r="BJ581" s="1"/>
      <c r="BK581" s="1"/>
      <c r="BL581" s="1"/>
      <c r="BM581" s="2"/>
      <c r="BN581" s="1"/>
      <c r="BO581" s="1"/>
      <c r="BP581" s="1"/>
      <c r="BQ581" s="1"/>
      <c r="BR581" s="1"/>
      <c r="BS581" s="1"/>
      <c r="BT581" s="1"/>
      <c r="BU581" s="1"/>
      <c r="BV581" s="2"/>
      <c r="BW581" s="1"/>
      <c r="BX581" s="1"/>
      <c r="BY581" s="1"/>
      <c r="BZ581" s="1"/>
      <c r="CA581" s="1"/>
      <c r="CB581" s="1"/>
      <c r="CC581" s="1"/>
      <c r="CD581" s="1"/>
      <c r="CE581" s="2"/>
      <c r="CF581" s="1"/>
      <c r="CG581" s="1"/>
      <c r="CH581" s="1"/>
      <c r="CI581" s="1"/>
      <c r="CJ581" s="1"/>
      <c r="CK581" s="1"/>
      <c r="CL581" s="1"/>
    </row>
    <row r="582" spans="1:90" ht="14.65" x14ac:dyDescent="0.4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2"/>
      <c r="L582" s="1"/>
      <c r="M582" s="1"/>
      <c r="N582" s="1"/>
      <c r="O582" s="1"/>
      <c r="P582" s="1"/>
      <c r="Q582" s="1"/>
      <c r="R582" s="1"/>
      <c r="S582" s="1"/>
      <c r="T582" s="2"/>
      <c r="U582" s="3"/>
      <c r="V582" s="1"/>
      <c r="W582" s="1"/>
      <c r="X582" s="1"/>
      <c r="Y582" s="1"/>
      <c r="Z582" s="1"/>
      <c r="AA582" s="1"/>
      <c r="AB582" s="1"/>
      <c r="AC582" s="2"/>
      <c r="AD582" s="1"/>
      <c r="AE582" s="1"/>
      <c r="AF582" s="1"/>
      <c r="AG582" s="1"/>
      <c r="AH582" s="1"/>
      <c r="AI582" s="1"/>
      <c r="AJ582" s="1"/>
      <c r="AK582" s="1"/>
      <c r="AL582" s="2"/>
      <c r="AM582" s="1"/>
      <c r="AN582" s="1"/>
      <c r="AO582" s="1"/>
      <c r="AP582" s="1"/>
      <c r="AQ582" s="1"/>
      <c r="AR582" s="1"/>
      <c r="AS582" s="1"/>
      <c r="AT582" s="1"/>
      <c r="AU582" s="2"/>
      <c r="AV582" s="1"/>
      <c r="AW582" s="1"/>
      <c r="AX582" s="1"/>
      <c r="AY582" s="1"/>
      <c r="AZ582" s="1"/>
      <c r="BA582" s="1"/>
      <c r="BB582" s="1"/>
      <c r="BC582" s="1"/>
      <c r="BD582" s="2"/>
      <c r="BE582" s="1"/>
      <c r="BF582" s="1"/>
      <c r="BG582" s="1"/>
      <c r="BH582" s="1"/>
      <c r="BI582" s="1"/>
      <c r="BJ582" s="1"/>
      <c r="BK582" s="1"/>
      <c r="BL582" s="1"/>
      <c r="BM582" s="2"/>
      <c r="BN582" s="1"/>
      <c r="BO582" s="1"/>
      <c r="BP582" s="1"/>
      <c r="BQ582" s="1"/>
      <c r="BR582" s="1"/>
      <c r="BS582" s="1"/>
      <c r="BT582" s="1"/>
      <c r="BU582" s="1"/>
      <c r="BV582" s="2"/>
      <c r="BW582" s="1"/>
      <c r="BX582" s="1"/>
      <c r="BY582" s="1"/>
      <c r="BZ582" s="1"/>
      <c r="CA582" s="1"/>
      <c r="CB582" s="1"/>
      <c r="CC582" s="1"/>
      <c r="CD582" s="1"/>
      <c r="CE582" s="2"/>
      <c r="CF582" s="1"/>
      <c r="CG582" s="1"/>
      <c r="CH582" s="1"/>
      <c r="CI582" s="1"/>
      <c r="CJ582" s="1"/>
      <c r="CK582" s="1"/>
      <c r="CL582" s="1"/>
    </row>
    <row r="583" spans="1:90" ht="14.65" x14ac:dyDescent="0.4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2"/>
      <c r="L583" s="1"/>
      <c r="M583" s="1"/>
      <c r="N583" s="1"/>
      <c r="O583" s="1"/>
      <c r="P583" s="1"/>
      <c r="Q583" s="1"/>
      <c r="R583" s="1"/>
      <c r="S583" s="1"/>
      <c r="T583" s="2"/>
      <c r="U583" s="3"/>
      <c r="V583" s="1"/>
      <c r="W583" s="1"/>
      <c r="X583" s="1"/>
      <c r="Y583" s="1"/>
      <c r="Z583" s="1"/>
      <c r="AA583" s="1"/>
      <c r="AB583" s="1"/>
      <c r="AC583" s="2"/>
      <c r="AD583" s="1"/>
      <c r="AE583" s="1"/>
      <c r="AF583" s="1"/>
      <c r="AG583" s="1"/>
      <c r="AH583" s="1"/>
      <c r="AI583" s="1"/>
      <c r="AJ583" s="1"/>
      <c r="AK583" s="1"/>
      <c r="AL583" s="2"/>
      <c r="AM583" s="1"/>
      <c r="AN583" s="1"/>
      <c r="AO583" s="1"/>
      <c r="AP583" s="1"/>
      <c r="AQ583" s="1"/>
      <c r="AR583" s="1"/>
      <c r="AS583" s="1"/>
      <c r="AT583" s="1"/>
      <c r="AU583" s="2"/>
      <c r="AV583" s="1"/>
      <c r="AW583" s="1"/>
      <c r="AX583" s="1"/>
      <c r="AY583" s="1"/>
      <c r="AZ583" s="1"/>
      <c r="BA583" s="1"/>
      <c r="BB583" s="1"/>
      <c r="BC583" s="1"/>
      <c r="BD583" s="2"/>
      <c r="BE583" s="1"/>
      <c r="BF583" s="1"/>
      <c r="BG583" s="1"/>
      <c r="BH583" s="1"/>
      <c r="BI583" s="1"/>
      <c r="BJ583" s="1"/>
      <c r="BK583" s="1"/>
      <c r="BL583" s="1"/>
      <c r="BM583" s="2"/>
      <c r="BN583" s="1"/>
      <c r="BO583" s="1"/>
      <c r="BP583" s="1"/>
      <c r="BQ583" s="1"/>
      <c r="BR583" s="1"/>
      <c r="BS583" s="1"/>
      <c r="BT583" s="1"/>
      <c r="BU583" s="1"/>
      <c r="BV583" s="2"/>
      <c r="BW583" s="1"/>
      <c r="BX583" s="1"/>
      <c r="BY583" s="1"/>
      <c r="BZ583" s="1"/>
      <c r="CA583" s="1"/>
      <c r="CB583" s="1"/>
      <c r="CC583" s="1"/>
      <c r="CD583" s="1"/>
      <c r="CE583" s="2"/>
      <c r="CF583" s="1"/>
      <c r="CG583" s="1"/>
      <c r="CH583" s="1"/>
      <c r="CI583" s="1"/>
      <c r="CJ583" s="1"/>
      <c r="CK583" s="1"/>
      <c r="CL583" s="1"/>
    </row>
    <row r="584" spans="1:90" ht="14.65" x14ac:dyDescent="0.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2"/>
      <c r="L584" s="1"/>
      <c r="M584" s="1"/>
      <c r="N584" s="1"/>
      <c r="O584" s="1"/>
      <c r="P584" s="1"/>
      <c r="Q584" s="1"/>
      <c r="R584" s="1"/>
      <c r="S584" s="1"/>
      <c r="T584" s="2"/>
      <c r="U584" s="1"/>
      <c r="V584" s="1"/>
      <c r="W584" s="1"/>
      <c r="X584" s="1"/>
      <c r="Y584" s="1"/>
      <c r="Z584" s="1"/>
      <c r="AA584" s="1"/>
      <c r="AB584" s="1"/>
      <c r="AC584" s="2"/>
      <c r="AD584" s="1"/>
      <c r="AE584" s="1"/>
      <c r="AF584" s="1"/>
      <c r="AG584" s="1"/>
      <c r="AH584" s="1"/>
      <c r="AI584" s="1"/>
      <c r="AJ584" s="1"/>
      <c r="AK584" s="1"/>
      <c r="AL584" s="2"/>
      <c r="AM584" s="1"/>
      <c r="AN584" s="1"/>
      <c r="AO584" s="1"/>
      <c r="AP584" s="1"/>
      <c r="AQ584" s="1"/>
      <c r="AR584" s="1"/>
      <c r="AS584" s="1"/>
      <c r="AT584" s="1"/>
      <c r="AU584" s="2"/>
      <c r="AV584" s="1"/>
      <c r="AW584" s="1"/>
      <c r="AX584" s="1"/>
      <c r="AY584" s="1"/>
      <c r="AZ584" s="1"/>
      <c r="BA584" s="1"/>
      <c r="BB584" s="1"/>
      <c r="BC584" s="1"/>
      <c r="BD584" s="2"/>
      <c r="BE584" s="1"/>
      <c r="BF584" s="1"/>
      <c r="BG584" s="1"/>
      <c r="BH584" s="1"/>
      <c r="BI584" s="1"/>
      <c r="BJ584" s="1"/>
      <c r="BK584" s="1"/>
      <c r="BL584" s="1"/>
      <c r="BM584" s="2"/>
      <c r="BN584" s="1"/>
      <c r="BO584" s="1"/>
      <c r="BP584" s="1"/>
      <c r="BQ584" s="1"/>
      <c r="BR584" s="1"/>
      <c r="BS584" s="1"/>
      <c r="BT584" s="1"/>
      <c r="BU584" s="1"/>
      <c r="BV584" s="2"/>
      <c r="BW584" s="1"/>
      <c r="BX584" s="1"/>
      <c r="BY584" s="1"/>
      <c r="BZ584" s="1"/>
      <c r="CA584" s="1"/>
      <c r="CB584" s="1"/>
      <c r="CC584" s="1"/>
      <c r="CD584" s="1"/>
      <c r="CE584" s="2"/>
      <c r="CF584" s="1"/>
      <c r="CG584" s="1"/>
      <c r="CH584" s="1"/>
      <c r="CI584" s="1"/>
      <c r="CJ584" s="1"/>
      <c r="CK584" s="1"/>
      <c r="CL584" s="1"/>
    </row>
    <row r="585" spans="1:90" ht="14.65" x14ac:dyDescent="0.4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2"/>
      <c r="L585" s="1"/>
      <c r="M585" s="1"/>
      <c r="N585" s="1"/>
      <c r="O585" s="1"/>
      <c r="P585" s="1"/>
      <c r="Q585" s="1"/>
      <c r="R585" s="1"/>
      <c r="S585" s="1"/>
      <c r="T585" s="2"/>
      <c r="U585" s="1"/>
      <c r="V585" s="1"/>
      <c r="W585" s="1"/>
      <c r="X585" s="1"/>
      <c r="Y585" s="1"/>
      <c r="Z585" s="1"/>
      <c r="AA585" s="1"/>
      <c r="AB585" s="1"/>
      <c r="AC585" s="2"/>
      <c r="AD585" s="1"/>
      <c r="AE585" s="1"/>
      <c r="AF585" s="1"/>
      <c r="AG585" s="1"/>
      <c r="AH585" s="1"/>
      <c r="AI585" s="1"/>
      <c r="AJ585" s="1"/>
      <c r="AK585" s="1"/>
      <c r="AL585" s="2"/>
      <c r="AM585" s="1"/>
      <c r="AN585" s="1"/>
      <c r="AO585" s="1"/>
      <c r="AP585" s="1"/>
      <c r="AQ585" s="1"/>
      <c r="AR585" s="1"/>
      <c r="AS585" s="1"/>
      <c r="AT585" s="1"/>
      <c r="AU585" s="2"/>
      <c r="AV585" s="1"/>
      <c r="AW585" s="1"/>
      <c r="AX585" s="1"/>
      <c r="AY585" s="1"/>
      <c r="AZ585" s="1"/>
      <c r="BA585" s="1"/>
      <c r="BB585" s="1"/>
      <c r="BC585" s="1"/>
      <c r="BD585" s="2"/>
      <c r="BE585" s="1"/>
      <c r="BF585" s="1"/>
      <c r="BG585" s="1"/>
      <c r="BH585" s="1"/>
      <c r="BI585" s="1"/>
      <c r="BJ585" s="1"/>
      <c r="BK585" s="1"/>
      <c r="BL585" s="1"/>
      <c r="BM585" s="2"/>
      <c r="BN585" s="1"/>
      <c r="BO585" s="1"/>
      <c r="BP585" s="1"/>
      <c r="BQ585" s="1"/>
      <c r="BR585" s="1"/>
      <c r="BS585" s="1"/>
      <c r="BT585" s="1"/>
      <c r="BU585" s="1"/>
      <c r="BV585" s="2"/>
      <c r="BW585" s="1"/>
      <c r="BX585" s="1"/>
      <c r="BY585" s="1"/>
      <c r="BZ585" s="1"/>
      <c r="CA585" s="1"/>
      <c r="CB585" s="1"/>
      <c r="CC585" s="1"/>
      <c r="CD585" s="1"/>
      <c r="CE585" s="2"/>
      <c r="CF585" s="1"/>
      <c r="CG585" s="1"/>
      <c r="CH585" s="1"/>
      <c r="CI585" s="1"/>
      <c r="CJ585" s="1"/>
      <c r="CK585" s="1"/>
      <c r="CL585" s="1"/>
    </row>
    <row r="586" spans="1:90" ht="14.65" x14ac:dyDescent="0.4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2"/>
      <c r="L586" s="1"/>
      <c r="M586" s="1"/>
      <c r="N586" s="1"/>
      <c r="O586" s="1"/>
      <c r="P586" s="1"/>
      <c r="Q586" s="1"/>
      <c r="R586" s="1"/>
      <c r="S586" s="1"/>
      <c r="T586" s="2"/>
      <c r="U586" s="1"/>
      <c r="V586" s="1"/>
      <c r="W586" s="1"/>
      <c r="X586" s="1"/>
      <c r="Y586" s="1"/>
      <c r="Z586" s="1"/>
      <c r="AA586" s="1"/>
      <c r="AB586" s="1"/>
      <c r="AC586" s="2"/>
      <c r="AD586" s="1"/>
      <c r="AE586" s="1"/>
      <c r="AF586" s="1"/>
      <c r="AG586" s="1"/>
      <c r="AH586" s="1"/>
      <c r="AI586" s="1"/>
      <c r="AJ586" s="1"/>
      <c r="AK586" s="1"/>
      <c r="AL586" s="2"/>
      <c r="AM586" s="1"/>
      <c r="AN586" s="1"/>
      <c r="AO586" s="1"/>
      <c r="AP586" s="1"/>
      <c r="AQ586" s="1"/>
      <c r="AR586" s="1"/>
      <c r="AS586" s="1"/>
      <c r="AT586" s="1"/>
      <c r="AU586" s="2"/>
      <c r="AV586" s="1"/>
      <c r="AW586" s="1"/>
      <c r="AX586" s="1"/>
      <c r="AY586" s="1"/>
      <c r="AZ586" s="1"/>
      <c r="BA586" s="1"/>
      <c r="BB586" s="1"/>
      <c r="BC586" s="1"/>
      <c r="BD586" s="2"/>
      <c r="BE586" s="1"/>
      <c r="BF586" s="1"/>
      <c r="BG586" s="1"/>
      <c r="BH586" s="1"/>
      <c r="BI586" s="1"/>
      <c r="BJ586" s="1"/>
      <c r="BK586" s="1"/>
      <c r="BL586" s="1"/>
      <c r="BM586" s="2"/>
      <c r="BN586" s="1"/>
      <c r="BO586" s="1"/>
      <c r="BP586" s="1"/>
      <c r="BQ586" s="1"/>
      <c r="BR586" s="1"/>
      <c r="BS586" s="1"/>
      <c r="BT586" s="1"/>
      <c r="BU586" s="1"/>
      <c r="BV586" s="2"/>
      <c r="BW586" s="1"/>
      <c r="BX586" s="1"/>
      <c r="BY586" s="1"/>
      <c r="BZ586" s="1"/>
      <c r="CA586" s="1"/>
      <c r="CB586" s="1"/>
      <c r="CC586" s="1"/>
      <c r="CD586" s="1"/>
      <c r="CE586" s="2"/>
      <c r="CF586" s="1"/>
      <c r="CG586" s="1"/>
      <c r="CH586" s="1"/>
      <c r="CI586" s="1"/>
      <c r="CJ586" s="1"/>
      <c r="CK586" s="1"/>
      <c r="CL586" s="1"/>
    </row>
    <row r="587" spans="1:90" ht="14.65" x14ac:dyDescent="0.4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2"/>
      <c r="L587" s="1"/>
      <c r="M587" s="1"/>
      <c r="N587" s="1"/>
      <c r="O587" s="1"/>
      <c r="P587" s="1"/>
      <c r="Q587" s="1"/>
      <c r="R587" s="1"/>
      <c r="S587" s="1"/>
      <c r="T587" s="2"/>
      <c r="U587" s="1"/>
      <c r="V587" s="1"/>
      <c r="W587" s="1"/>
      <c r="X587" s="1"/>
      <c r="Y587" s="1"/>
      <c r="Z587" s="1"/>
      <c r="AA587" s="1"/>
      <c r="AB587" s="1"/>
      <c r="AC587" s="2"/>
      <c r="AD587" s="1"/>
      <c r="AE587" s="1"/>
      <c r="AF587" s="1"/>
      <c r="AG587" s="1"/>
      <c r="AH587" s="1"/>
      <c r="AI587" s="1"/>
      <c r="AJ587" s="1"/>
      <c r="AK587" s="1"/>
      <c r="AL587" s="2"/>
      <c r="AM587" s="1"/>
      <c r="AN587" s="1"/>
      <c r="AO587" s="1"/>
      <c r="AP587" s="1"/>
      <c r="AQ587" s="1"/>
      <c r="AR587" s="1"/>
      <c r="AS587" s="1"/>
      <c r="AT587" s="1"/>
      <c r="AU587" s="2"/>
      <c r="AV587" s="1"/>
      <c r="AW587" s="1"/>
      <c r="AX587" s="1"/>
      <c r="AY587" s="1"/>
      <c r="AZ587" s="1"/>
      <c r="BA587" s="1"/>
      <c r="BB587" s="1"/>
      <c r="BC587" s="1"/>
      <c r="BD587" s="2"/>
      <c r="BE587" s="1"/>
      <c r="BF587" s="1"/>
      <c r="BG587" s="1"/>
      <c r="BH587" s="1"/>
      <c r="BI587" s="1"/>
      <c r="BJ587" s="1"/>
      <c r="BK587" s="1"/>
      <c r="BL587" s="1"/>
      <c r="BM587" s="2"/>
      <c r="BN587" s="1"/>
      <c r="BO587" s="1"/>
      <c r="BP587" s="1"/>
      <c r="BQ587" s="1"/>
      <c r="BR587" s="1"/>
      <c r="BS587" s="1"/>
      <c r="BT587" s="1"/>
      <c r="BU587" s="1"/>
      <c r="BV587" s="2"/>
      <c r="BW587" s="1"/>
      <c r="BX587" s="1"/>
      <c r="BY587" s="1"/>
      <c r="BZ587" s="1"/>
      <c r="CA587" s="1"/>
      <c r="CB587" s="1"/>
      <c r="CC587" s="1"/>
      <c r="CD587" s="1"/>
      <c r="CE587" s="2"/>
      <c r="CF587" s="1"/>
      <c r="CG587" s="1"/>
      <c r="CH587" s="1"/>
      <c r="CI587" s="1"/>
      <c r="CJ587" s="1"/>
      <c r="CK587" s="1"/>
      <c r="CL587" s="1"/>
    </row>
    <row r="588" spans="1:90" ht="14.65" x14ac:dyDescent="0.4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2"/>
      <c r="L588" s="1"/>
      <c r="M588" s="1"/>
      <c r="N588" s="1"/>
      <c r="O588" s="1"/>
      <c r="P588" s="1"/>
      <c r="Q588" s="1"/>
      <c r="R588" s="1"/>
      <c r="S588" s="1"/>
      <c r="T588" s="2"/>
      <c r="U588" s="1"/>
      <c r="V588" s="1"/>
      <c r="W588" s="1"/>
      <c r="X588" s="1"/>
      <c r="Y588" s="1"/>
      <c r="Z588" s="1"/>
      <c r="AA588" s="1"/>
      <c r="AB588" s="1"/>
      <c r="AC588" s="2"/>
      <c r="AD588" s="1"/>
      <c r="AE588" s="1"/>
      <c r="AF588" s="1"/>
      <c r="AG588" s="1"/>
      <c r="AH588" s="1"/>
      <c r="AI588" s="1"/>
      <c r="AJ588" s="1"/>
      <c r="AK588" s="1"/>
      <c r="AL588" s="2"/>
      <c r="AM588" s="1"/>
      <c r="AN588" s="1"/>
      <c r="AO588" s="1"/>
      <c r="AP588" s="1"/>
      <c r="AQ588" s="1"/>
      <c r="AR588" s="1"/>
      <c r="AS588" s="1"/>
      <c r="AT588" s="1"/>
      <c r="AU588" s="2"/>
      <c r="AV588" s="1"/>
      <c r="AW588" s="1"/>
      <c r="AX588" s="1"/>
      <c r="AY588" s="1"/>
      <c r="AZ588" s="1"/>
      <c r="BA588" s="1"/>
      <c r="BB588" s="1"/>
      <c r="BC588" s="1"/>
      <c r="BD588" s="2"/>
      <c r="BE588" s="1"/>
      <c r="BF588" s="1"/>
      <c r="BG588" s="1"/>
      <c r="BH588" s="1"/>
      <c r="BI588" s="1"/>
      <c r="BJ588" s="1"/>
      <c r="BK588" s="1"/>
      <c r="BL588" s="1"/>
      <c r="BM588" s="2"/>
      <c r="BN588" s="1"/>
      <c r="BO588" s="1"/>
      <c r="BP588" s="1"/>
      <c r="BQ588" s="1"/>
      <c r="BR588" s="1"/>
      <c r="BS588" s="1"/>
      <c r="BT588" s="1"/>
      <c r="BU588" s="1"/>
      <c r="BV588" s="2"/>
      <c r="BW588" s="1"/>
      <c r="BX588" s="1"/>
      <c r="BY588" s="1"/>
      <c r="BZ588" s="1"/>
      <c r="CA588" s="1"/>
      <c r="CB588" s="1"/>
      <c r="CC588" s="1"/>
      <c r="CD588" s="1"/>
      <c r="CE588" s="2"/>
      <c r="CF588" s="1"/>
      <c r="CG588" s="1"/>
      <c r="CH588" s="1"/>
      <c r="CI588" s="1"/>
      <c r="CJ588" s="1"/>
      <c r="CK588" s="1"/>
      <c r="CL588" s="1"/>
    </row>
    <row r="589" spans="1:90" ht="14.65" x14ac:dyDescent="0.4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2"/>
      <c r="L589" s="1"/>
      <c r="M589" s="1"/>
      <c r="N589" s="1"/>
      <c r="O589" s="1"/>
      <c r="P589" s="1"/>
      <c r="Q589" s="1"/>
      <c r="R589" s="1"/>
      <c r="S589" s="1"/>
      <c r="T589" s="2"/>
      <c r="U589" s="1"/>
      <c r="V589" s="1"/>
      <c r="W589" s="1"/>
      <c r="X589" s="1"/>
      <c r="Y589" s="1"/>
      <c r="Z589" s="1"/>
      <c r="AA589" s="1"/>
      <c r="AB589" s="1"/>
      <c r="AC589" s="2"/>
      <c r="AD589" s="1"/>
      <c r="AE589" s="1"/>
      <c r="AF589" s="1"/>
      <c r="AG589" s="1"/>
      <c r="AH589" s="1"/>
      <c r="AI589" s="1"/>
      <c r="AJ589" s="1"/>
      <c r="AK589" s="1"/>
      <c r="AL589" s="2"/>
      <c r="AM589" s="1"/>
      <c r="AN589" s="1"/>
      <c r="AO589" s="1"/>
      <c r="AP589" s="1"/>
      <c r="AQ589" s="1"/>
      <c r="AR589" s="1"/>
      <c r="AS589" s="1"/>
      <c r="AT589" s="1"/>
      <c r="AU589" s="2"/>
      <c r="AV589" s="1"/>
      <c r="AW589" s="1"/>
      <c r="AX589" s="1"/>
      <c r="AY589" s="1"/>
      <c r="AZ589" s="1"/>
      <c r="BA589" s="1"/>
      <c r="BB589" s="1"/>
      <c r="BC589" s="1"/>
      <c r="BD589" s="2"/>
      <c r="BE589" s="1"/>
      <c r="BF589" s="1"/>
      <c r="BG589" s="1"/>
      <c r="BH589" s="1"/>
      <c r="BI589" s="1"/>
      <c r="BJ589" s="1"/>
      <c r="BK589" s="1"/>
      <c r="BL589" s="1"/>
      <c r="BM589" s="2"/>
      <c r="BN589" s="1"/>
      <c r="BO589" s="1"/>
      <c r="BP589" s="1"/>
      <c r="BQ589" s="1"/>
      <c r="BR589" s="1"/>
      <c r="BS589" s="1"/>
      <c r="BT589" s="1"/>
      <c r="BU589" s="1"/>
      <c r="BV589" s="2"/>
      <c r="BW589" s="1"/>
      <c r="BX589" s="1"/>
      <c r="BY589" s="1"/>
      <c r="BZ589" s="1"/>
      <c r="CA589" s="1"/>
      <c r="CB589" s="1"/>
      <c r="CC589" s="1"/>
      <c r="CD589" s="1"/>
      <c r="CE589" s="2"/>
      <c r="CF589" s="1"/>
      <c r="CG589" s="1"/>
      <c r="CH589" s="1"/>
      <c r="CI589" s="1"/>
      <c r="CJ589" s="1"/>
      <c r="CK589" s="1"/>
      <c r="CL589" s="1"/>
    </row>
    <row r="590" spans="1:90" ht="14.65" x14ac:dyDescent="0.4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2"/>
      <c r="L590" s="1"/>
      <c r="M590" s="1"/>
      <c r="N590" s="1"/>
      <c r="O590" s="1"/>
      <c r="P590" s="1"/>
      <c r="Q590" s="1"/>
      <c r="R590" s="1"/>
      <c r="S590" s="1"/>
      <c r="T590" s="2"/>
      <c r="U590" s="1"/>
      <c r="V590" s="1"/>
      <c r="W590" s="1"/>
      <c r="X590" s="1"/>
      <c r="Y590" s="1"/>
      <c r="Z590" s="1"/>
      <c r="AA590" s="1"/>
      <c r="AB590" s="1"/>
      <c r="AC590" s="2"/>
      <c r="AD590" s="1"/>
      <c r="AE590" s="1"/>
      <c r="AF590" s="1"/>
      <c r="AG590" s="1"/>
      <c r="AH590" s="1"/>
      <c r="AI590" s="1"/>
      <c r="AJ590" s="1"/>
      <c r="AK590" s="1"/>
      <c r="AL590" s="2"/>
      <c r="AM590" s="1"/>
      <c r="AN590" s="1"/>
      <c r="AO590" s="1"/>
      <c r="AP590" s="1"/>
      <c r="AQ590" s="1"/>
      <c r="AR590" s="1"/>
      <c r="AS590" s="1"/>
      <c r="AT590" s="1"/>
      <c r="AU590" s="2"/>
      <c r="AV590" s="1"/>
      <c r="AW590" s="1"/>
      <c r="AX590" s="1"/>
      <c r="AY590" s="1"/>
      <c r="AZ590" s="1"/>
      <c r="BA590" s="1"/>
      <c r="BB590" s="1"/>
      <c r="BC590" s="1"/>
      <c r="BD590" s="2"/>
      <c r="BE590" s="1"/>
      <c r="BF590" s="1"/>
      <c r="BG590" s="1"/>
      <c r="BH590" s="1"/>
      <c r="BI590" s="1"/>
      <c r="BJ590" s="1"/>
      <c r="BK590" s="1"/>
      <c r="BL590" s="1"/>
      <c r="BM590" s="2"/>
      <c r="BN590" s="1"/>
      <c r="BO590" s="1"/>
      <c r="BP590" s="1"/>
      <c r="BQ590" s="1"/>
      <c r="BR590" s="1"/>
      <c r="BS590" s="1"/>
      <c r="BT590" s="1"/>
      <c r="BU590" s="1"/>
      <c r="BV590" s="2"/>
      <c r="BW590" s="1"/>
      <c r="BX590" s="1"/>
      <c r="BY590" s="1"/>
      <c r="BZ590" s="1"/>
      <c r="CA590" s="1"/>
      <c r="CB590" s="1"/>
      <c r="CC590" s="1"/>
      <c r="CD590" s="1"/>
      <c r="CE590" s="2"/>
      <c r="CF590" s="1"/>
      <c r="CG590" s="1"/>
      <c r="CH590" s="1"/>
      <c r="CI590" s="1"/>
      <c r="CJ590" s="1"/>
      <c r="CK590" s="1"/>
      <c r="CL590" s="1"/>
    </row>
    <row r="591" spans="1:90" ht="14.65" x14ac:dyDescent="0.4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2"/>
      <c r="L591" s="1"/>
      <c r="M591" s="1"/>
      <c r="N591" s="1"/>
      <c r="O591" s="1"/>
      <c r="P591" s="1"/>
      <c r="Q591" s="1"/>
      <c r="R591" s="1"/>
      <c r="S591" s="1"/>
      <c r="T591" s="2"/>
      <c r="U591" s="1"/>
      <c r="V591" s="1"/>
      <c r="W591" s="1"/>
      <c r="X591" s="1"/>
      <c r="Y591" s="1"/>
      <c r="Z591" s="1"/>
      <c r="AA591" s="1"/>
      <c r="AB591" s="1"/>
      <c r="AC591" s="2"/>
      <c r="AD591" s="1"/>
      <c r="AE591" s="1"/>
      <c r="AF591" s="1"/>
      <c r="AG591" s="1"/>
      <c r="AH591" s="1"/>
      <c r="AI591" s="1"/>
      <c r="AJ591" s="1"/>
      <c r="AK591" s="1"/>
      <c r="AL591" s="2"/>
      <c r="AM591" s="1"/>
      <c r="AN591" s="1"/>
      <c r="AO591" s="1"/>
      <c r="AP591" s="1"/>
      <c r="AQ591" s="1"/>
      <c r="AR591" s="1"/>
      <c r="AS591" s="1"/>
      <c r="AT591" s="1"/>
      <c r="AU591" s="2"/>
      <c r="AV591" s="1"/>
      <c r="AW591" s="1"/>
      <c r="AX591" s="1"/>
      <c r="AY591" s="1"/>
      <c r="AZ591" s="1"/>
      <c r="BA591" s="1"/>
      <c r="BB591" s="1"/>
      <c r="BC591" s="1"/>
      <c r="BD591" s="2"/>
      <c r="BE591" s="1"/>
      <c r="BF591" s="1"/>
      <c r="BG591" s="1"/>
      <c r="BH591" s="1"/>
      <c r="BI591" s="1"/>
      <c r="BJ591" s="1"/>
      <c r="BK591" s="1"/>
      <c r="BL591" s="1"/>
      <c r="BM591" s="2"/>
      <c r="BN591" s="1"/>
      <c r="BO591" s="1"/>
      <c r="BP591" s="1"/>
      <c r="BQ591" s="1"/>
      <c r="BR591" s="1"/>
      <c r="BS591" s="1"/>
      <c r="BT591" s="1"/>
      <c r="BU591" s="1"/>
      <c r="BV591" s="2"/>
      <c r="BW591" s="1"/>
      <c r="BX591" s="1"/>
      <c r="BY591" s="1"/>
      <c r="BZ591" s="1"/>
      <c r="CA591" s="1"/>
      <c r="CB591" s="1"/>
      <c r="CC591" s="1"/>
      <c r="CD591" s="1"/>
      <c r="CE591" s="2"/>
      <c r="CF591" s="1"/>
      <c r="CG591" s="1"/>
      <c r="CH591" s="1"/>
      <c r="CI591" s="1"/>
      <c r="CJ591" s="1"/>
      <c r="CK591" s="1"/>
      <c r="CL591" s="1"/>
    </row>
    <row r="592" spans="1:90" ht="14.65" x14ac:dyDescent="0.4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2"/>
      <c r="L592" s="1"/>
      <c r="M592" s="1"/>
      <c r="N592" s="1"/>
      <c r="O592" s="1"/>
      <c r="P592" s="1"/>
      <c r="Q592" s="1"/>
      <c r="R592" s="1"/>
      <c r="S592" s="1"/>
      <c r="T592" s="2"/>
      <c r="U592" s="1"/>
      <c r="V592" s="1"/>
      <c r="W592" s="1"/>
      <c r="X592" s="1"/>
      <c r="Y592" s="1"/>
      <c r="Z592" s="1"/>
      <c r="AA592" s="1"/>
      <c r="AB592" s="1"/>
      <c r="AC592" s="2"/>
      <c r="AD592" s="1"/>
      <c r="AE592" s="1"/>
      <c r="AF592" s="1"/>
      <c r="AG592" s="1"/>
      <c r="AH592" s="1"/>
      <c r="AI592" s="1"/>
      <c r="AJ592" s="1"/>
      <c r="AK592" s="1"/>
      <c r="AL592" s="2"/>
      <c r="AM592" s="1"/>
      <c r="AN592" s="1"/>
      <c r="AO592" s="1"/>
      <c r="AP592" s="1"/>
      <c r="AQ592" s="1"/>
      <c r="AR592" s="1"/>
      <c r="AS592" s="1"/>
      <c r="AT592" s="1"/>
      <c r="AU592" s="2"/>
      <c r="AV592" s="1"/>
      <c r="AW592" s="1"/>
      <c r="AX592" s="1"/>
      <c r="AY592" s="1"/>
      <c r="AZ592" s="1"/>
      <c r="BA592" s="1"/>
      <c r="BB592" s="1"/>
      <c r="BC592" s="1"/>
      <c r="BD592" s="2"/>
      <c r="BE592" s="1"/>
      <c r="BF592" s="1"/>
      <c r="BG592" s="1"/>
      <c r="BH592" s="1"/>
      <c r="BI592" s="1"/>
      <c r="BJ592" s="1"/>
      <c r="BK592" s="1"/>
      <c r="BL592" s="1"/>
      <c r="BM592" s="2"/>
      <c r="BN592" s="1"/>
      <c r="BO592" s="1"/>
      <c r="BP592" s="1"/>
      <c r="BQ592" s="1"/>
      <c r="BR592" s="1"/>
      <c r="BS592" s="1"/>
      <c r="BT592" s="1"/>
      <c r="BU592" s="1"/>
      <c r="BV592" s="2"/>
      <c r="BW592" s="1"/>
      <c r="BX592" s="1"/>
      <c r="BY592" s="1"/>
      <c r="BZ592" s="1"/>
      <c r="CA592" s="1"/>
      <c r="CB592" s="1"/>
      <c r="CC592" s="1"/>
      <c r="CD592" s="1"/>
      <c r="CE592" s="2"/>
      <c r="CF592" s="1"/>
      <c r="CG592" s="1"/>
      <c r="CH592" s="1"/>
      <c r="CI592" s="1"/>
      <c r="CJ592" s="1"/>
      <c r="CK592" s="1"/>
      <c r="CL592" s="1"/>
    </row>
    <row r="593" spans="1:90" ht="14.65" x14ac:dyDescent="0.4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2"/>
      <c r="L593" s="1"/>
      <c r="M593" s="1"/>
      <c r="N593" s="1"/>
      <c r="O593" s="1"/>
      <c r="P593" s="1"/>
      <c r="Q593" s="1"/>
      <c r="R593" s="1"/>
      <c r="S593" s="1"/>
      <c r="T593" s="2"/>
      <c r="U593" s="1"/>
      <c r="V593" s="1"/>
      <c r="W593" s="1"/>
      <c r="X593" s="1"/>
      <c r="Y593" s="1"/>
      <c r="Z593" s="1"/>
      <c r="AA593" s="1"/>
      <c r="AB593" s="1"/>
      <c r="AC593" s="2"/>
      <c r="AD593" s="1"/>
      <c r="AE593" s="1"/>
      <c r="AF593" s="1"/>
      <c r="AG593" s="1"/>
      <c r="AH593" s="1"/>
      <c r="AI593" s="1"/>
      <c r="AJ593" s="1"/>
      <c r="AK593" s="1"/>
      <c r="AL593" s="2"/>
      <c r="AM593" s="1"/>
      <c r="AN593" s="1"/>
      <c r="AO593" s="1"/>
      <c r="AP593" s="1"/>
      <c r="AQ593" s="1"/>
      <c r="AR593" s="1"/>
      <c r="AS593" s="1"/>
      <c r="AT593" s="1"/>
      <c r="AU593" s="2"/>
      <c r="AV593" s="1"/>
      <c r="AW593" s="1"/>
      <c r="AX593" s="1"/>
      <c r="AY593" s="1"/>
      <c r="AZ593" s="1"/>
      <c r="BA593" s="1"/>
      <c r="BB593" s="1"/>
      <c r="BC593" s="1"/>
      <c r="BD593" s="2"/>
      <c r="BE593" s="1"/>
      <c r="BF593" s="1"/>
      <c r="BG593" s="1"/>
      <c r="BH593" s="1"/>
      <c r="BI593" s="1"/>
      <c r="BJ593" s="1"/>
      <c r="BK593" s="1"/>
      <c r="BL593" s="1"/>
      <c r="BM593" s="2"/>
      <c r="BN593" s="1"/>
      <c r="BO593" s="1"/>
      <c r="BP593" s="1"/>
      <c r="BQ593" s="1"/>
      <c r="BR593" s="1"/>
      <c r="BS593" s="1"/>
      <c r="BT593" s="1"/>
      <c r="BU593" s="1"/>
      <c r="BV593" s="2"/>
      <c r="BW593" s="1"/>
      <c r="BX593" s="1"/>
      <c r="BY593" s="1"/>
      <c r="BZ593" s="1"/>
      <c r="CA593" s="1"/>
      <c r="CB593" s="1"/>
      <c r="CC593" s="1"/>
      <c r="CD593" s="1"/>
      <c r="CE593" s="2"/>
      <c r="CF593" s="1"/>
      <c r="CG593" s="1"/>
      <c r="CH593" s="1"/>
      <c r="CI593" s="1"/>
      <c r="CJ593" s="1"/>
      <c r="CK593" s="1"/>
      <c r="CL593" s="1"/>
    </row>
    <row r="594" spans="1:90" ht="14.65" x14ac:dyDescent="0.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2"/>
      <c r="L594" s="1"/>
      <c r="M594" s="1"/>
      <c r="N594" s="1"/>
      <c r="O594" s="1"/>
      <c r="P594" s="1"/>
      <c r="Q594" s="1"/>
      <c r="R594" s="1"/>
      <c r="S594" s="1"/>
      <c r="T594" s="2"/>
      <c r="U594" s="1"/>
      <c r="V594" s="1"/>
      <c r="W594" s="1"/>
      <c r="X594" s="1"/>
      <c r="Y594" s="1"/>
      <c r="Z594" s="1"/>
      <c r="AA594" s="1"/>
      <c r="AB594" s="1"/>
      <c r="AC594" s="2"/>
      <c r="AD594" s="1"/>
      <c r="AE594" s="1"/>
      <c r="AF594" s="1"/>
      <c r="AG594" s="1"/>
      <c r="AH594" s="1"/>
      <c r="AI594" s="1"/>
      <c r="AJ594" s="1"/>
      <c r="AK594" s="1"/>
      <c r="AL594" s="2"/>
      <c r="AM594" s="1"/>
      <c r="AN594" s="1"/>
      <c r="AO594" s="1"/>
      <c r="AP594" s="1"/>
      <c r="AQ594" s="1"/>
      <c r="AR594" s="1"/>
      <c r="AS594" s="1"/>
      <c r="AT594" s="1"/>
      <c r="AU594" s="2"/>
      <c r="AV594" s="1"/>
      <c r="AW594" s="1"/>
      <c r="AX594" s="1"/>
      <c r="AY594" s="1"/>
      <c r="AZ594" s="1"/>
      <c r="BA594" s="1"/>
      <c r="BB594" s="1"/>
      <c r="BC594" s="1"/>
      <c r="BD594" s="2"/>
      <c r="BE594" s="1"/>
      <c r="BF594" s="1"/>
      <c r="BG594" s="1"/>
      <c r="BH594" s="1"/>
      <c r="BI594" s="1"/>
      <c r="BJ594" s="1"/>
      <c r="BK594" s="1"/>
      <c r="BL594" s="1"/>
      <c r="BM594" s="2"/>
      <c r="BN594" s="1"/>
      <c r="BO594" s="1"/>
      <c r="BP594" s="1"/>
      <c r="BQ594" s="1"/>
      <c r="BR594" s="1"/>
      <c r="BS594" s="1"/>
      <c r="BT594" s="1"/>
      <c r="BU594" s="1"/>
      <c r="BV594" s="2"/>
      <c r="BW594" s="1"/>
      <c r="BX594" s="1"/>
      <c r="BY594" s="1"/>
      <c r="BZ594" s="1"/>
      <c r="CA594" s="1"/>
      <c r="CB594" s="1"/>
      <c r="CC594" s="1"/>
      <c r="CD594" s="1"/>
      <c r="CE594" s="2"/>
      <c r="CF594" s="1"/>
      <c r="CG594" s="1"/>
      <c r="CH594" s="1"/>
      <c r="CI594" s="1"/>
      <c r="CJ594" s="1"/>
      <c r="CK594" s="1"/>
      <c r="CL594" s="1"/>
    </row>
    <row r="595" spans="1:90" ht="14.65" x14ac:dyDescent="0.4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2"/>
      <c r="L595" s="1"/>
      <c r="M595" s="1"/>
      <c r="N595" s="1"/>
      <c r="O595" s="1"/>
      <c r="P595" s="1"/>
      <c r="Q595" s="1"/>
      <c r="R595" s="1"/>
      <c r="S595" s="1"/>
      <c r="T595" s="2"/>
      <c r="U595" s="1"/>
      <c r="V595" s="1"/>
      <c r="W595" s="1"/>
      <c r="X595" s="1"/>
      <c r="Y595" s="1"/>
      <c r="Z595" s="1"/>
      <c r="AA595" s="1"/>
      <c r="AB595" s="1"/>
      <c r="AC595" s="2"/>
      <c r="AD595" s="1"/>
      <c r="AE595" s="1"/>
      <c r="AF595" s="1"/>
      <c r="AG595" s="1"/>
      <c r="AH595" s="1"/>
      <c r="AI595" s="1"/>
      <c r="AJ595" s="1"/>
      <c r="AK595" s="1"/>
      <c r="AL595" s="2"/>
      <c r="AM595" s="1"/>
      <c r="AN595" s="1"/>
      <c r="AO595" s="1"/>
      <c r="AP595" s="1"/>
      <c r="AQ595" s="1"/>
      <c r="AR595" s="1"/>
      <c r="AS595" s="1"/>
      <c r="AT595" s="1"/>
      <c r="AU595" s="2"/>
      <c r="AV595" s="1"/>
      <c r="AW595" s="1"/>
      <c r="AX595" s="1"/>
      <c r="AY595" s="1"/>
      <c r="AZ595" s="1"/>
      <c r="BA595" s="1"/>
      <c r="BB595" s="1"/>
      <c r="BC595" s="1"/>
      <c r="BD595" s="2"/>
      <c r="BE595" s="1"/>
      <c r="BF595" s="1"/>
      <c r="BG595" s="1"/>
      <c r="BH595" s="1"/>
      <c r="BI595" s="1"/>
      <c r="BJ595" s="1"/>
      <c r="BK595" s="1"/>
      <c r="BL595" s="1"/>
      <c r="BM595" s="2"/>
      <c r="BN595" s="1"/>
      <c r="BO595" s="1"/>
      <c r="BP595" s="1"/>
      <c r="BQ595" s="1"/>
      <c r="BR595" s="1"/>
      <c r="BS595" s="1"/>
      <c r="BT595" s="1"/>
      <c r="BU595" s="1"/>
      <c r="BV595" s="2"/>
      <c r="BW595" s="1"/>
      <c r="BX595" s="1"/>
      <c r="BY595" s="1"/>
      <c r="BZ595" s="1"/>
      <c r="CA595" s="1"/>
      <c r="CB595" s="1"/>
      <c r="CC595" s="1"/>
      <c r="CD595" s="1"/>
      <c r="CE595" s="2"/>
      <c r="CF595" s="1"/>
      <c r="CG595" s="1"/>
      <c r="CH595" s="1"/>
      <c r="CI595" s="1"/>
      <c r="CJ595" s="1"/>
      <c r="CK595" s="1"/>
      <c r="CL595" s="1"/>
    </row>
    <row r="596" spans="1:90" ht="14.65" x14ac:dyDescent="0.4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2"/>
      <c r="L596" s="1"/>
      <c r="M596" s="1"/>
      <c r="N596" s="1"/>
      <c r="O596" s="1"/>
      <c r="P596" s="1"/>
      <c r="Q596" s="1"/>
      <c r="R596" s="1"/>
      <c r="S596" s="1"/>
      <c r="T596" s="2"/>
      <c r="U596" s="1"/>
      <c r="V596" s="1"/>
      <c r="W596" s="1"/>
      <c r="X596" s="1"/>
      <c r="Y596" s="1"/>
      <c r="Z596" s="1"/>
      <c r="AA596" s="1"/>
      <c r="AB596" s="1"/>
      <c r="AC596" s="2"/>
      <c r="AD596" s="1"/>
      <c r="AE596" s="1"/>
      <c r="AF596" s="1"/>
      <c r="AG596" s="1"/>
      <c r="AH596" s="1"/>
      <c r="AI596" s="1"/>
      <c r="AJ596" s="1"/>
      <c r="AK596" s="1"/>
      <c r="AL596" s="2"/>
      <c r="AM596" s="1"/>
      <c r="AN596" s="1"/>
      <c r="AO596" s="1"/>
      <c r="AP596" s="1"/>
      <c r="AQ596" s="1"/>
      <c r="AR596" s="1"/>
      <c r="AS596" s="1"/>
      <c r="AT596" s="1"/>
      <c r="AU596" s="2"/>
      <c r="AV596" s="1"/>
      <c r="AW596" s="1"/>
      <c r="AX596" s="1"/>
      <c r="AY596" s="1"/>
      <c r="AZ596" s="1"/>
      <c r="BA596" s="1"/>
      <c r="BB596" s="1"/>
      <c r="BC596" s="1"/>
      <c r="BD596" s="2"/>
      <c r="BE596" s="1"/>
      <c r="BF596" s="1"/>
      <c r="BG596" s="1"/>
      <c r="BH596" s="1"/>
      <c r="BI596" s="1"/>
      <c r="BJ596" s="1"/>
      <c r="BK596" s="1"/>
      <c r="BL596" s="1"/>
      <c r="BM596" s="2"/>
      <c r="BN596" s="1"/>
      <c r="BO596" s="1"/>
      <c r="BP596" s="1"/>
      <c r="BQ596" s="1"/>
      <c r="BR596" s="1"/>
      <c r="BS596" s="1"/>
      <c r="BT596" s="1"/>
      <c r="BU596" s="1"/>
      <c r="BV596" s="2"/>
      <c r="BW596" s="1"/>
      <c r="BX596" s="1"/>
      <c r="BY596" s="1"/>
      <c r="BZ596" s="1"/>
      <c r="CA596" s="1"/>
      <c r="CB596" s="1"/>
      <c r="CC596" s="1"/>
      <c r="CD596" s="1"/>
      <c r="CE596" s="2"/>
      <c r="CF596" s="1"/>
      <c r="CG596" s="1"/>
      <c r="CH596" s="1"/>
      <c r="CI596" s="1"/>
      <c r="CJ596" s="1"/>
      <c r="CK596" s="1"/>
      <c r="CL596" s="1"/>
    </row>
    <row r="597" spans="1:90" ht="14.65" x14ac:dyDescent="0.4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2"/>
      <c r="L597" s="1"/>
      <c r="M597" s="1"/>
      <c r="N597" s="1"/>
      <c r="O597" s="1"/>
      <c r="P597" s="1"/>
      <c r="Q597" s="1"/>
      <c r="R597" s="1"/>
      <c r="S597" s="1"/>
      <c r="T597" s="2"/>
      <c r="U597" s="1"/>
      <c r="V597" s="1"/>
      <c r="W597" s="1"/>
      <c r="X597" s="1"/>
      <c r="Y597" s="1"/>
      <c r="Z597" s="1"/>
      <c r="AA597" s="1"/>
      <c r="AB597" s="1"/>
      <c r="AC597" s="2"/>
      <c r="AD597" s="1"/>
      <c r="AE597" s="1"/>
      <c r="AF597" s="1"/>
      <c r="AG597" s="1"/>
      <c r="AH597" s="1"/>
      <c r="AI597" s="1"/>
      <c r="AJ597" s="1"/>
      <c r="AK597" s="1"/>
      <c r="AL597" s="2"/>
      <c r="AM597" s="1"/>
      <c r="AN597" s="1"/>
      <c r="AO597" s="1"/>
      <c r="AP597" s="1"/>
      <c r="AQ597" s="1"/>
      <c r="AR597" s="1"/>
      <c r="AS597" s="1"/>
      <c r="AT597" s="1"/>
      <c r="AU597" s="2"/>
      <c r="AV597" s="1"/>
      <c r="AW597" s="1"/>
      <c r="AX597" s="1"/>
      <c r="AY597" s="1"/>
      <c r="AZ597" s="1"/>
      <c r="BA597" s="1"/>
      <c r="BB597" s="1"/>
      <c r="BC597" s="1"/>
      <c r="BD597" s="2"/>
      <c r="BE597" s="1"/>
      <c r="BF597" s="1"/>
      <c r="BG597" s="1"/>
      <c r="BH597" s="1"/>
      <c r="BI597" s="1"/>
      <c r="BJ597" s="1"/>
      <c r="BK597" s="1"/>
      <c r="BL597" s="1"/>
      <c r="BM597" s="2"/>
      <c r="BN597" s="1"/>
      <c r="BO597" s="1"/>
      <c r="BP597" s="1"/>
      <c r="BQ597" s="1"/>
      <c r="BR597" s="1"/>
      <c r="BS597" s="1"/>
      <c r="BT597" s="1"/>
      <c r="BU597" s="1"/>
      <c r="BV597" s="2"/>
      <c r="BW597" s="1"/>
      <c r="BX597" s="1"/>
      <c r="BY597" s="1"/>
      <c r="BZ597" s="1"/>
      <c r="CA597" s="1"/>
      <c r="CB597" s="1"/>
      <c r="CC597" s="1"/>
      <c r="CD597" s="1"/>
      <c r="CE597" s="2"/>
      <c r="CF597" s="1"/>
      <c r="CG597" s="1"/>
      <c r="CH597" s="1"/>
      <c r="CI597" s="1"/>
      <c r="CJ597" s="1"/>
      <c r="CK597" s="1"/>
      <c r="CL597" s="1"/>
    </row>
    <row r="598" spans="1:90" ht="14.65" x14ac:dyDescent="0.4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2"/>
      <c r="L598" s="1"/>
      <c r="M598" s="1"/>
      <c r="N598" s="1"/>
      <c r="O598" s="1"/>
      <c r="P598" s="1"/>
      <c r="Q598" s="1"/>
      <c r="R598" s="1"/>
      <c r="S598" s="1"/>
      <c r="T598" s="2"/>
      <c r="U598" s="1"/>
      <c r="V598" s="1"/>
      <c r="W598" s="1"/>
      <c r="X598" s="1"/>
      <c r="Y598" s="1"/>
      <c r="Z598" s="1"/>
      <c r="AA598" s="1"/>
      <c r="AB598" s="1"/>
      <c r="AC598" s="2"/>
      <c r="AD598" s="1"/>
      <c r="AE598" s="1"/>
      <c r="AF598" s="1"/>
      <c r="AG598" s="1"/>
      <c r="AH598" s="1"/>
      <c r="AI598" s="1"/>
      <c r="AJ598" s="1"/>
      <c r="AK598" s="1"/>
      <c r="AL598" s="2"/>
      <c r="AM598" s="1"/>
      <c r="AN598" s="1"/>
      <c r="AO598" s="1"/>
      <c r="AP598" s="1"/>
      <c r="AQ598" s="1"/>
      <c r="AR598" s="1"/>
      <c r="AS598" s="1"/>
      <c r="AT598" s="1"/>
      <c r="AU598" s="2"/>
      <c r="AV598" s="1"/>
      <c r="AW598" s="1"/>
      <c r="AX598" s="1"/>
      <c r="AY598" s="1"/>
      <c r="AZ598" s="1"/>
      <c r="BA598" s="1"/>
      <c r="BB598" s="1"/>
      <c r="BC598" s="1"/>
      <c r="BD598" s="2"/>
      <c r="BE598" s="1"/>
      <c r="BF598" s="1"/>
      <c r="BG598" s="1"/>
      <c r="BH598" s="1"/>
      <c r="BI598" s="1"/>
      <c r="BJ598" s="1"/>
      <c r="BK598" s="1"/>
      <c r="BL598" s="1"/>
      <c r="BM598" s="2"/>
      <c r="BN598" s="1"/>
      <c r="BO598" s="1"/>
      <c r="BP598" s="1"/>
      <c r="BQ598" s="1"/>
      <c r="BR598" s="1"/>
      <c r="BS598" s="1"/>
      <c r="BT598" s="1"/>
      <c r="BU598" s="1"/>
      <c r="BV598" s="2"/>
      <c r="BW598" s="1"/>
      <c r="BX598" s="1"/>
      <c r="BY598" s="1"/>
      <c r="BZ598" s="1"/>
      <c r="CA598" s="1"/>
      <c r="CB598" s="1"/>
      <c r="CC598" s="1"/>
      <c r="CD598" s="1"/>
      <c r="CE598" s="2"/>
      <c r="CF598" s="1"/>
      <c r="CG598" s="1"/>
      <c r="CH598" s="1"/>
      <c r="CI598" s="1"/>
      <c r="CJ598" s="1"/>
      <c r="CK598" s="1"/>
      <c r="CL598" s="1"/>
    </row>
    <row r="599" spans="1:90" ht="14.65" x14ac:dyDescent="0.4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2"/>
      <c r="L599" s="1"/>
      <c r="M599" s="1"/>
      <c r="N599" s="1"/>
      <c r="O599" s="1"/>
      <c r="P599" s="1"/>
      <c r="Q599" s="1"/>
      <c r="R599" s="1"/>
      <c r="S599" s="1"/>
      <c r="T599" s="2"/>
      <c r="U599" s="1"/>
      <c r="V599" s="1"/>
      <c r="W599" s="1"/>
      <c r="X599" s="1"/>
      <c r="Y599" s="1"/>
      <c r="Z599" s="1"/>
      <c r="AA599" s="1"/>
      <c r="AB599" s="1"/>
      <c r="AC599" s="2"/>
      <c r="AD599" s="1"/>
      <c r="AE599" s="1"/>
      <c r="AF599" s="1"/>
      <c r="AG599" s="1"/>
      <c r="AH599" s="1"/>
      <c r="AI599" s="1"/>
      <c r="AJ599" s="1"/>
      <c r="AK599" s="1"/>
      <c r="AL599" s="2"/>
      <c r="AM599" s="1"/>
      <c r="AN599" s="1"/>
      <c r="AO599" s="1"/>
      <c r="AP599" s="1"/>
      <c r="AQ599" s="1"/>
      <c r="AR599" s="1"/>
      <c r="AS599" s="1"/>
      <c r="AT599" s="1"/>
      <c r="AU599" s="2"/>
      <c r="AV599" s="1"/>
      <c r="AW599" s="1"/>
      <c r="AX599" s="1"/>
      <c r="AY599" s="1"/>
      <c r="AZ599" s="1"/>
      <c r="BA599" s="1"/>
      <c r="BB599" s="1"/>
      <c r="BC599" s="1"/>
      <c r="BD599" s="2"/>
      <c r="BE599" s="1"/>
      <c r="BF599" s="1"/>
      <c r="BG599" s="1"/>
      <c r="BH599" s="1"/>
      <c r="BI599" s="1"/>
      <c r="BJ599" s="1"/>
      <c r="BK599" s="1"/>
      <c r="BL599" s="1"/>
      <c r="BM599" s="2"/>
      <c r="BN599" s="1"/>
      <c r="BO599" s="1"/>
      <c r="BP599" s="1"/>
      <c r="BQ599" s="1"/>
      <c r="BR599" s="1"/>
      <c r="BS599" s="1"/>
      <c r="BT599" s="1"/>
      <c r="BU599" s="1"/>
      <c r="BV599" s="2"/>
      <c r="BW599" s="1"/>
      <c r="BX599" s="1"/>
      <c r="BY599" s="1"/>
      <c r="BZ599" s="1"/>
      <c r="CA599" s="1"/>
      <c r="CB599" s="1"/>
      <c r="CC599" s="1"/>
      <c r="CD599" s="1"/>
      <c r="CE599" s="2"/>
      <c r="CF599" s="1"/>
      <c r="CG599" s="1"/>
      <c r="CH599" s="1"/>
      <c r="CI599" s="1"/>
      <c r="CJ599" s="1"/>
      <c r="CK599" s="1"/>
      <c r="CL599" s="1"/>
    </row>
    <row r="600" spans="1:90" ht="14.65" x14ac:dyDescent="0.4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2"/>
      <c r="L600" s="1"/>
      <c r="M600" s="1"/>
      <c r="N600" s="1"/>
      <c r="O600" s="1"/>
      <c r="P600" s="1"/>
      <c r="Q600" s="1"/>
      <c r="R600" s="1"/>
      <c r="S600" s="1"/>
      <c r="T600" s="2"/>
      <c r="U600" s="1"/>
      <c r="V600" s="1"/>
      <c r="W600" s="1"/>
      <c r="X600" s="1"/>
      <c r="Y600" s="1"/>
      <c r="Z600" s="1"/>
      <c r="AA600" s="1"/>
      <c r="AB600" s="1"/>
      <c r="AC600" s="2"/>
      <c r="AD600" s="1"/>
      <c r="AE600" s="1"/>
      <c r="AF600" s="1"/>
      <c r="AG600" s="1"/>
      <c r="AH600" s="1"/>
      <c r="AI600" s="1"/>
      <c r="AJ600" s="1"/>
      <c r="AK600" s="1"/>
      <c r="AL600" s="2"/>
      <c r="AM600" s="1"/>
      <c r="AN600" s="1"/>
      <c r="AO600" s="1"/>
      <c r="AP600" s="1"/>
      <c r="AQ600" s="1"/>
      <c r="AR600" s="1"/>
      <c r="AS600" s="1"/>
      <c r="AT600" s="1"/>
      <c r="AU600" s="2"/>
      <c r="AV600" s="1"/>
      <c r="AW600" s="1"/>
      <c r="AX600" s="1"/>
      <c r="AY600" s="1"/>
      <c r="AZ600" s="1"/>
      <c r="BA600" s="1"/>
      <c r="BB600" s="1"/>
      <c r="BC600" s="1"/>
      <c r="BD600" s="2"/>
      <c r="BE600" s="1"/>
      <c r="BF600" s="1"/>
      <c r="BG600" s="1"/>
      <c r="BH600" s="1"/>
      <c r="BI600" s="1"/>
      <c r="BJ600" s="1"/>
      <c r="BK600" s="1"/>
      <c r="BL600" s="1"/>
      <c r="BM600" s="2"/>
      <c r="BN600" s="1"/>
      <c r="BO600" s="1"/>
      <c r="BP600" s="1"/>
      <c r="BQ600" s="1"/>
      <c r="BR600" s="1"/>
      <c r="BS600" s="1"/>
      <c r="BT600" s="1"/>
      <c r="BU600" s="1"/>
      <c r="BV600" s="2"/>
      <c r="BW600" s="1"/>
      <c r="BX600" s="1"/>
      <c r="BY600" s="1"/>
      <c r="BZ600" s="1"/>
      <c r="CA600" s="1"/>
      <c r="CB600" s="1"/>
      <c r="CC600" s="1"/>
      <c r="CD600" s="1"/>
      <c r="CE600" s="2"/>
      <c r="CF600" s="1"/>
      <c r="CG600" s="1"/>
      <c r="CH600" s="1"/>
      <c r="CI600" s="1"/>
      <c r="CJ600" s="1"/>
      <c r="CK600" s="1"/>
      <c r="CL600" s="1"/>
    </row>
    <row r="601" spans="1:90" ht="14.65" x14ac:dyDescent="0.4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2"/>
      <c r="L601" s="1"/>
      <c r="M601" s="1"/>
      <c r="N601" s="1"/>
      <c r="O601" s="1"/>
      <c r="P601" s="1"/>
      <c r="Q601" s="1"/>
      <c r="R601" s="1"/>
      <c r="S601" s="1"/>
      <c r="T601" s="2"/>
      <c r="U601" s="1"/>
      <c r="V601" s="1"/>
      <c r="W601" s="1"/>
      <c r="X601" s="1"/>
      <c r="Y601" s="1"/>
      <c r="Z601" s="1"/>
      <c r="AA601" s="1"/>
      <c r="AB601" s="1"/>
      <c r="AC601" s="2"/>
      <c r="AD601" s="1"/>
      <c r="AE601" s="1"/>
      <c r="AF601" s="1"/>
      <c r="AG601" s="1"/>
      <c r="AH601" s="1"/>
      <c r="AI601" s="1"/>
      <c r="AJ601" s="1"/>
      <c r="AK601" s="1"/>
      <c r="AL601" s="2"/>
      <c r="AM601" s="1"/>
      <c r="AN601" s="1"/>
      <c r="AO601" s="1"/>
      <c r="AP601" s="1"/>
      <c r="AQ601" s="1"/>
      <c r="AR601" s="1"/>
      <c r="AS601" s="1"/>
      <c r="AT601" s="1"/>
      <c r="AU601" s="2"/>
      <c r="AV601" s="1"/>
      <c r="AW601" s="1"/>
      <c r="AX601" s="1"/>
      <c r="AY601" s="1"/>
      <c r="AZ601" s="1"/>
      <c r="BA601" s="1"/>
      <c r="BB601" s="1"/>
      <c r="BC601" s="1"/>
      <c r="BD601" s="2"/>
      <c r="BE601" s="1"/>
      <c r="BF601" s="1"/>
      <c r="BG601" s="1"/>
      <c r="BH601" s="1"/>
      <c r="BI601" s="1"/>
      <c r="BJ601" s="1"/>
      <c r="BK601" s="1"/>
      <c r="BL601" s="1"/>
      <c r="BM601" s="2"/>
      <c r="BN601" s="1"/>
      <c r="BO601" s="1"/>
      <c r="BP601" s="1"/>
      <c r="BQ601" s="1"/>
      <c r="BR601" s="1"/>
      <c r="BS601" s="1"/>
      <c r="BT601" s="1"/>
      <c r="BU601" s="1"/>
      <c r="BV601" s="2"/>
      <c r="BW601" s="1"/>
      <c r="BX601" s="1"/>
      <c r="BY601" s="1"/>
      <c r="BZ601" s="1"/>
      <c r="CA601" s="1"/>
      <c r="CB601" s="1"/>
      <c r="CC601" s="1"/>
      <c r="CD601" s="1"/>
      <c r="CE601" s="2"/>
      <c r="CF601" s="1"/>
      <c r="CG601" s="1"/>
      <c r="CH601" s="1"/>
      <c r="CI601" s="1"/>
      <c r="CJ601" s="1"/>
      <c r="CK601" s="1"/>
      <c r="CL601" s="1"/>
    </row>
    <row r="602" spans="1:90" ht="14.65" x14ac:dyDescent="0.4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2"/>
      <c r="L602" s="1"/>
      <c r="M602" s="1"/>
      <c r="N602" s="1"/>
      <c r="O602" s="1"/>
      <c r="P602" s="1"/>
      <c r="Q602" s="1"/>
      <c r="R602" s="1"/>
      <c r="S602" s="1"/>
      <c r="T602" s="2"/>
      <c r="U602" s="1"/>
      <c r="V602" s="1"/>
      <c r="W602" s="1"/>
      <c r="X602" s="1"/>
      <c r="Y602" s="1"/>
      <c r="Z602" s="1"/>
      <c r="AA602" s="1"/>
      <c r="AB602" s="1"/>
      <c r="AC602" s="2"/>
      <c r="AD602" s="1"/>
      <c r="AE602" s="1"/>
      <c r="AF602" s="1"/>
      <c r="AG602" s="1"/>
      <c r="AH602" s="1"/>
      <c r="AI602" s="1"/>
      <c r="AJ602" s="1"/>
      <c r="AK602" s="1"/>
      <c r="AL602" s="2"/>
      <c r="AM602" s="1"/>
      <c r="AN602" s="1"/>
      <c r="AO602" s="1"/>
      <c r="AP602" s="1"/>
      <c r="AQ602" s="1"/>
      <c r="AR602" s="1"/>
      <c r="AS602" s="1"/>
      <c r="AT602" s="1"/>
      <c r="AU602" s="2"/>
      <c r="AV602" s="1"/>
      <c r="AW602" s="1"/>
      <c r="AX602" s="1"/>
      <c r="AY602" s="1"/>
      <c r="AZ602" s="1"/>
      <c r="BA602" s="1"/>
      <c r="BB602" s="1"/>
      <c r="BC602" s="1"/>
      <c r="BD602" s="2"/>
      <c r="BE602" s="1"/>
      <c r="BF602" s="1"/>
      <c r="BG602" s="1"/>
      <c r="BH602" s="1"/>
      <c r="BI602" s="1"/>
      <c r="BJ602" s="1"/>
      <c r="BK602" s="1"/>
      <c r="BL602" s="1"/>
      <c r="BM602" s="2"/>
      <c r="BN602" s="1"/>
      <c r="BO602" s="1"/>
      <c r="BP602" s="1"/>
      <c r="BQ602" s="1"/>
      <c r="BR602" s="1"/>
      <c r="BS602" s="1"/>
      <c r="BT602" s="1"/>
      <c r="BU602" s="1"/>
      <c r="BV602" s="2"/>
      <c r="BW602" s="1"/>
      <c r="BX602" s="1"/>
      <c r="BY602" s="1"/>
      <c r="BZ602" s="1"/>
      <c r="CA602" s="1"/>
      <c r="CB602" s="1"/>
      <c r="CC602" s="1"/>
      <c r="CD602" s="1"/>
      <c r="CE602" s="2"/>
      <c r="CF602" s="1"/>
      <c r="CG602" s="1"/>
      <c r="CH602" s="1"/>
      <c r="CI602" s="1"/>
      <c r="CJ602" s="1"/>
      <c r="CK602" s="1"/>
      <c r="CL602" s="1"/>
    </row>
    <row r="603" spans="1:90" ht="14.65" x14ac:dyDescent="0.4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2"/>
      <c r="L603" s="1"/>
      <c r="M603" s="1"/>
      <c r="N603" s="1"/>
      <c r="O603" s="1"/>
      <c r="P603" s="1"/>
      <c r="Q603" s="1"/>
      <c r="R603" s="1"/>
      <c r="S603" s="1"/>
      <c r="T603" s="2"/>
      <c r="U603" s="1"/>
      <c r="V603" s="1"/>
      <c r="W603" s="1"/>
      <c r="X603" s="1"/>
      <c r="Y603" s="1"/>
      <c r="Z603" s="1"/>
      <c r="AA603" s="1"/>
      <c r="AB603" s="1"/>
      <c r="AC603" s="2"/>
      <c r="AD603" s="1"/>
      <c r="AE603" s="1"/>
      <c r="AF603" s="1"/>
      <c r="AG603" s="1"/>
      <c r="AH603" s="1"/>
      <c r="AI603" s="1"/>
      <c r="AJ603" s="1"/>
      <c r="AK603" s="1"/>
      <c r="AL603" s="2"/>
      <c r="AM603" s="1"/>
      <c r="AN603" s="1"/>
      <c r="AO603" s="1"/>
      <c r="AP603" s="1"/>
      <c r="AQ603" s="1"/>
      <c r="AR603" s="1"/>
      <c r="AS603" s="1"/>
      <c r="AT603" s="1"/>
      <c r="AU603" s="2"/>
      <c r="AV603" s="1"/>
      <c r="AW603" s="1"/>
      <c r="AX603" s="1"/>
      <c r="AY603" s="1"/>
      <c r="AZ603" s="1"/>
      <c r="BA603" s="1"/>
      <c r="BB603" s="1"/>
      <c r="BC603" s="1"/>
      <c r="BD603" s="2"/>
      <c r="BE603" s="1"/>
      <c r="BF603" s="1"/>
      <c r="BG603" s="1"/>
      <c r="BH603" s="1"/>
      <c r="BI603" s="1"/>
      <c r="BJ603" s="1"/>
      <c r="BK603" s="1"/>
      <c r="BL603" s="1"/>
      <c r="BM603" s="2"/>
      <c r="BN603" s="1"/>
      <c r="BO603" s="1"/>
      <c r="BP603" s="1"/>
      <c r="BQ603" s="1"/>
      <c r="BR603" s="1"/>
      <c r="BS603" s="1"/>
      <c r="BT603" s="1"/>
      <c r="BU603" s="1"/>
      <c r="BV603" s="2"/>
      <c r="BW603" s="1"/>
      <c r="BX603" s="1"/>
      <c r="BY603" s="1"/>
      <c r="BZ603" s="1"/>
      <c r="CA603" s="1"/>
      <c r="CB603" s="1"/>
      <c r="CC603" s="1"/>
      <c r="CD603" s="1"/>
      <c r="CE603" s="2"/>
      <c r="CF603" s="1"/>
      <c r="CG603" s="1"/>
      <c r="CH603" s="1"/>
      <c r="CI603" s="1"/>
      <c r="CJ603" s="1"/>
      <c r="CK603" s="1"/>
      <c r="CL603" s="1"/>
    </row>
    <row r="604" spans="1:90" ht="14.65" x14ac:dyDescent="0.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2"/>
      <c r="L604" s="1"/>
      <c r="M604" s="1"/>
      <c r="N604" s="1"/>
      <c r="O604" s="1"/>
      <c r="P604" s="1"/>
      <c r="Q604" s="1"/>
      <c r="R604" s="1"/>
      <c r="S604" s="1"/>
      <c r="T604" s="2"/>
      <c r="U604" s="1"/>
      <c r="V604" s="1"/>
      <c r="W604" s="1"/>
      <c r="X604" s="1"/>
      <c r="Y604" s="1"/>
      <c r="Z604" s="1"/>
      <c r="AA604" s="1"/>
      <c r="AB604" s="1"/>
      <c r="AC604" s="2"/>
      <c r="AD604" s="1"/>
      <c r="AE604" s="1"/>
      <c r="AF604" s="1"/>
      <c r="AG604" s="1"/>
      <c r="AH604" s="1"/>
      <c r="AI604" s="1"/>
      <c r="AJ604" s="1"/>
      <c r="AK604" s="1"/>
      <c r="AL604" s="2"/>
      <c r="AM604" s="1"/>
      <c r="AN604" s="1"/>
      <c r="AO604" s="1"/>
      <c r="AP604" s="1"/>
      <c r="AQ604" s="1"/>
      <c r="AR604" s="1"/>
      <c r="AS604" s="1"/>
      <c r="AT604" s="1"/>
      <c r="AU604" s="2"/>
      <c r="AV604" s="1"/>
      <c r="AW604" s="1"/>
      <c r="AX604" s="1"/>
      <c r="AY604" s="1"/>
      <c r="AZ604" s="1"/>
      <c r="BA604" s="1"/>
      <c r="BB604" s="1"/>
      <c r="BC604" s="1"/>
      <c r="BD604" s="2"/>
      <c r="BE604" s="1"/>
      <c r="BF604" s="1"/>
      <c r="BG604" s="1"/>
      <c r="BH604" s="1"/>
      <c r="BI604" s="1"/>
      <c r="BJ604" s="1"/>
      <c r="BK604" s="1"/>
      <c r="BL604" s="1"/>
      <c r="BM604" s="2"/>
      <c r="BN604" s="1"/>
      <c r="BO604" s="1"/>
      <c r="BP604" s="1"/>
      <c r="BQ604" s="1"/>
      <c r="BR604" s="1"/>
      <c r="BS604" s="1"/>
      <c r="BT604" s="1"/>
      <c r="BU604" s="1"/>
      <c r="BV604" s="2"/>
      <c r="BW604" s="1"/>
      <c r="BX604" s="1"/>
      <c r="BY604" s="1"/>
      <c r="BZ604" s="1"/>
      <c r="CA604" s="1"/>
      <c r="CB604" s="1"/>
      <c r="CC604" s="1"/>
      <c r="CD604" s="1"/>
      <c r="CE604" s="2"/>
      <c r="CF604" s="1"/>
      <c r="CG604" s="1"/>
      <c r="CH604" s="1"/>
      <c r="CI604" s="1"/>
      <c r="CJ604" s="1"/>
      <c r="CK604" s="1"/>
      <c r="CL604" s="1"/>
    </row>
    <row r="605" spans="1:90" ht="14.65" x14ac:dyDescent="0.4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2"/>
      <c r="L605" s="1"/>
      <c r="M605" s="1"/>
      <c r="N605" s="1"/>
      <c r="O605" s="1"/>
      <c r="P605" s="1"/>
      <c r="Q605" s="1"/>
      <c r="R605" s="1"/>
      <c r="S605" s="1"/>
      <c r="T605" s="2"/>
      <c r="U605" s="1"/>
      <c r="V605" s="1"/>
      <c r="W605" s="1"/>
      <c r="X605" s="1"/>
      <c r="Y605" s="1"/>
      <c r="Z605" s="1"/>
      <c r="AA605" s="1"/>
      <c r="AB605" s="1"/>
      <c r="AC605" s="2"/>
      <c r="AD605" s="1"/>
      <c r="AE605" s="1"/>
      <c r="AF605" s="1"/>
      <c r="AG605" s="1"/>
      <c r="AH605" s="1"/>
      <c r="AI605" s="1"/>
      <c r="AJ605" s="1"/>
      <c r="AK605" s="1"/>
      <c r="AL605" s="2"/>
      <c r="AM605" s="1"/>
      <c r="AN605" s="1"/>
      <c r="AO605" s="1"/>
      <c r="AP605" s="1"/>
      <c r="AQ605" s="1"/>
      <c r="AR605" s="1"/>
      <c r="AS605" s="1"/>
      <c r="AT605" s="1"/>
      <c r="AU605" s="2"/>
      <c r="AV605" s="1"/>
      <c r="AW605" s="1"/>
      <c r="AX605" s="1"/>
      <c r="AY605" s="1"/>
      <c r="AZ605" s="1"/>
      <c r="BA605" s="1"/>
      <c r="BB605" s="1"/>
      <c r="BC605" s="1"/>
      <c r="BD605" s="2"/>
      <c r="BE605" s="1"/>
      <c r="BF605" s="1"/>
      <c r="BG605" s="1"/>
      <c r="BH605" s="1"/>
      <c r="BI605" s="1"/>
      <c r="BJ605" s="1"/>
      <c r="BK605" s="1"/>
      <c r="BL605" s="1"/>
      <c r="BM605" s="2"/>
      <c r="BN605" s="1"/>
      <c r="BO605" s="1"/>
      <c r="BP605" s="1"/>
      <c r="BQ605" s="1"/>
      <c r="BR605" s="1"/>
      <c r="BS605" s="1"/>
      <c r="BT605" s="1"/>
      <c r="BU605" s="1"/>
      <c r="BV605" s="2"/>
      <c r="BW605" s="1"/>
      <c r="BX605" s="1"/>
      <c r="BY605" s="1"/>
      <c r="BZ605" s="1"/>
      <c r="CA605" s="1"/>
      <c r="CB605" s="1"/>
      <c r="CC605" s="1"/>
      <c r="CD605" s="1"/>
      <c r="CE605" s="2"/>
      <c r="CF605" s="1"/>
      <c r="CG605" s="1"/>
      <c r="CH605" s="1"/>
      <c r="CI605" s="1"/>
      <c r="CJ605" s="1"/>
      <c r="CK605" s="1"/>
      <c r="CL605" s="1"/>
    </row>
    <row r="606" spans="1:90" ht="14.65" x14ac:dyDescent="0.4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2"/>
      <c r="L606" s="1"/>
      <c r="M606" s="1"/>
      <c r="N606" s="1"/>
      <c r="O606" s="1"/>
      <c r="P606" s="1"/>
      <c r="Q606" s="1"/>
      <c r="R606" s="1"/>
      <c r="S606" s="1"/>
      <c r="T606" s="2"/>
      <c r="U606" s="1"/>
      <c r="V606" s="1"/>
      <c r="W606" s="1"/>
      <c r="X606" s="1"/>
      <c r="Y606" s="1"/>
      <c r="Z606" s="1"/>
      <c r="AA606" s="1"/>
      <c r="AB606" s="1"/>
      <c r="AC606" s="2"/>
      <c r="AD606" s="1"/>
      <c r="AE606" s="1"/>
      <c r="AF606" s="1"/>
      <c r="AG606" s="1"/>
      <c r="AH606" s="1"/>
      <c r="AI606" s="1"/>
      <c r="AJ606" s="1"/>
      <c r="AK606" s="1"/>
      <c r="AL606" s="2"/>
      <c r="AM606" s="1"/>
      <c r="AN606" s="1"/>
      <c r="AO606" s="1"/>
      <c r="AP606" s="1"/>
      <c r="AQ606" s="1"/>
      <c r="AR606" s="1"/>
      <c r="AS606" s="1"/>
      <c r="AT606" s="1"/>
      <c r="AU606" s="2"/>
      <c r="AV606" s="1"/>
      <c r="AW606" s="1"/>
      <c r="AX606" s="1"/>
      <c r="AY606" s="1"/>
      <c r="AZ606" s="1"/>
      <c r="BA606" s="1"/>
      <c r="BB606" s="1"/>
      <c r="BC606" s="1"/>
      <c r="BD606" s="2"/>
      <c r="BE606" s="1"/>
      <c r="BF606" s="1"/>
      <c r="BG606" s="1"/>
      <c r="BH606" s="1"/>
      <c r="BI606" s="1"/>
      <c r="BJ606" s="1"/>
      <c r="BK606" s="1"/>
      <c r="BL606" s="1"/>
      <c r="BM606" s="2"/>
      <c r="BN606" s="1"/>
      <c r="BO606" s="1"/>
      <c r="BP606" s="1"/>
      <c r="BQ606" s="1"/>
      <c r="BR606" s="1"/>
      <c r="BS606" s="1"/>
      <c r="BT606" s="1"/>
      <c r="BU606" s="1"/>
      <c r="BV606" s="2"/>
      <c r="BW606" s="1"/>
      <c r="BX606" s="1"/>
      <c r="BY606" s="1"/>
      <c r="BZ606" s="1"/>
      <c r="CA606" s="1"/>
      <c r="CB606" s="1"/>
      <c r="CC606" s="1"/>
      <c r="CD606" s="1"/>
      <c r="CE606" s="2"/>
      <c r="CF606" s="1"/>
      <c r="CG606" s="1"/>
      <c r="CH606" s="1"/>
      <c r="CI606" s="1"/>
      <c r="CJ606" s="1"/>
      <c r="CK606" s="1"/>
      <c r="CL606" s="1"/>
    </row>
    <row r="607" spans="1:90" ht="14.65" x14ac:dyDescent="0.4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2"/>
      <c r="L607" s="1"/>
      <c r="M607" s="1"/>
      <c r="N607" s="1"/>
      <c r="O607" s="1"/>
      <c r="P607" s="1"/>
      <c r="Q607" s="1"/>
      <c r="R607" s="1"/>
      <c r="S607" s="1"/>
      <c r="T607" s="2"/>
      <c r="U607" s="1"/>
      <c r="V607" s="1"/>
      <c r="W607" s="1"/>
      <c r="X607" s="1"/>
      <c r="Y607" s="1"/>
      <c r="Z607" s="1"/>
      <c r="AA607" s="1"/>
      <c r="AB607" s="1"/>
      <c r="AC607" s="2"/>
      <c r="AD607" s="1"/>
      <c r="AE607" s="1"/>
      <c r="AF607" s="1"/>
      <c r="AG607" s="1"/>
      <c r="AH607" s="1"/>
      <c r="AI607" s="1"/>
      <c r="AJ607" s="1"/>
      <c r="AK607" s="1"/>
      <c r="AL607" s="2"/>
      <c r="AM607" s="1"/>
      <c r="AN607" s="1"/>
      <c r="AO607" s="1"/>
      <c r="AP607" s="1"/>
      <c r="AQ607" s="1"/>
      <c r="AR607" s="1"/>
      <c r="AS607" s="1"/>
      <c r="AT607" s="1"/>
      <c r="AU607" s="2"/>
      <c r="AV607" s="1"/>
      <c r="AW607" s="1"/>
      <c r="AX607" s="1"/>
      <c r="AY607" s="1"/>
      <c r="AZ607" s="1"/>
      <c r="BA607" s="1"/>
      <c r="BB607" s="1"/>
      <c r="BC607" s="1"/>
      <c r="BD607" s="2"/>
      <c r="BE607" s="1"/>
      <c r="BF607" s="1"/>
      <c r="BG607" s="1"/>
      <c r="BH607" s="1"/>
      <c r="BI607" s="1"/>
      <c r="BJ607" s="1"/>
      <c r="BK607" s="1"/>
      <c r="BL607" s="1"/>
      <c r="BM607" s="2"/>
      <c r="BN607" s="1"/>
      <c r="BO607" s="1"/>
      <c r="BP607" s="1"/>
      <c r="BQ607" s="1"/>
      <c r="BR607" s="1"/>
      <c r="BS607" s="1"/>
      <c r="BT607" s="1"/>
      <c r="BU607" s="1"/>
      <c r="BV607" s="2"/>
      <c r="BW607" s="1"/>
      <c r="BX607" s="1"/>
      <c r="BY607" s="1"/>
      <c r="BZ607" s="1"/>
      <c r="CA607" s="1"/>
      <c r="CB607" s="1"/>
      <c r="CC607" s="1"/>
      <c r="CD607" s="1"/>
      <c r="CE607" s="2"/>
      <c r="CF607" s="1"/>
      <c r="CG607" s="1"/>
      <c r="CH607" s="1"/>
      <c r="CI607" s="1"/>
      <c r="CJ607" s="1"/>
      <c r="CK607" s="1"/>
      <c r="CL607" s="1"/>
    </row>
    <row r="608" spans="1:90" ht="14.65" x14ac:dyDescent="0.4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2"/>
      <c r="L608" s="1"/>
      <c r="M608" s="1"/>
      <c r="N608" s="1"/>
      <c r="O608" s="1"/>
      <c r="P608" s="1"/>
      <c r="Q608" s="1"/>
      <c r="R608" s="1"/>
      <c r="S608" s="1"/>
      <c r="T608" s="2"/>
      <c r="U608" s="1"/>
      <c r="V608" s="1"/>
      <c r="W608" s="1"/>
      <c r="X608" s="1"/>
      <c r="Y608" s="1"/>
      <c r="Z608" s="1"/>
      <c r="AA608" s="1"/>
      <c r="AB608" s="1"/>
      <c r="AC608" s="2"/>
      <c r="AD608" s="1"/>
      <c r="AE608" s="1"/>
      <c r="AF608" s="1"/>
      <c r="AG608" s="1"/>
      <c r="AH608" s="1"/>
      <c r="AI608" s="1"/>
      <c r="AJ608" s="1"/>
      <c r="AK608" s="1"/>
      <c r="AL608" s="2"/>
      <c r="AM608" s="1"/>
      <c r="AN608" s="1"/>
      <c r="AO608" s="1"/>
      <c r="AP608" s="1"/>
      <c r="AQ608" s="1"/>
      <c r="AR608" s="1"/>
      <c r="AS608" s="1"/>
      <c r="AT608" s="1"/>
      <c r="AU608" s="2"/>
      <c r="AV608" s="1"/>
      <c r="AW608" s="1"/>
      <c r="AX608" s="1"/>
      <c r="AY608" s="1"/>
      <c r="AZ608" s="1"/>
      <c r="BA608" s="1"/>
      <c r="BB608" s="1"/>
      <c r="BC608" s="1"/>
      <c r="BD608" s="2"/>
      <c r="BE608" s="1"/>
      <c r="BF608" s="1"/>
      <c r="BG608" s="1"/>
      <c r="BH608" s="1"/>
      <c r="BI608" s="1"/>
      <c r="BJ608" s="1"/>
      <c r="BK608" s="1"/>
      <c r="BL608" s="1"/>
      <c r="BM608" s="2"/>
      <c r="BN608" s="1"/>
      <c r="BO608" s="1"/>
      <c r="BP608" s="1"/>
      <c r="BQ608" s="1"/>
      <c r="BR608" s="1"/>
      <c r="BS608" s="1"/>
      <c r="BT608" s="1"/>
      <c r="BU608" s="1"/>
      <c r="BV608" s="2"/>
      <c r="BW608" s="1"/>
      <c r="BX608" s="1"/>
      <c r="BY608" s="1"/>
      <c r="BZ608" s="1"/>
      <c r="CA608" s="1"/>
      <c r="CB608" s="1"/>
      <c r="CC608" s="1"/>
      <c r="CD608" s="1"/>
      <c r="CE608" s="2"/>
      <c r="CF608" s="1"/>
      <c r="CG608" s="1"/>
      <c r="CH608" s="1"/>
      <c r="CI608" s="1"/>
      <c r="CJ608" s="1"/>
      <c r="CK608" s="1"/>
      <c r="CL608" s="1"/>
    </row>
    <row r="609" spans="1:90" ht="14.65" x14ac:dyDescent="0.4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2"/>
      <c r="L609" s="1"/>
      <c r="M609" s="1"/>
      <c r="N609" s="1"/>
      <c r="O609" s="1"/>
      <c r="P609" s="1"/>
      <c r="Q609" s="1"/>
      <c r="R609" s="1"/>
      <c r="S609" s="1"/>
      <c r="T609" s="2"/>
      <c r="U609" s="1"/>
      <c r="V609" s="1"/>
      <c r="W609" s="1"/>
      <c r="X609" s="1"/>
      <c r="Y609" s="1"/>
      <c r="Z609" s="1"/>
      <c r="AA609" s="1"/>
      <c r="AB609" s="1"/>
      <c r="AC609" s="2"/>
      <c r="AD609" s="1"/>
      <c r="AE609" s="1"/>
      <c r="AF609" s="1"/>
      <c r="AG609" s="1"/>
      <c r="AH609" s="1"/>
      <c r="AI609" s="1"/>
      <c r="AJ609" s="1"/>
      <c r="AK609" s="1"/>
      <c r="AL609" s="2"/>
      <c r="AM609" s="1"/>
      <c r="AN609" s="1"/>
      <c r="AO609" s="1"/>
      <c r="AP609" s="1"/>
      <c r="AQ609" s="1"/>
      <c r="AR609" s="1"/>
      <c r="AS609" s="1"/>
      <c r="AT609" s="1"/>
      <c r="AU609" s="2"/>
      <c r="AV609" s="1"/>
      <c r="AW609" s="1"/>
      <c r="AX609" s="1"/>
      <c r="AY609" s="1"/>
      <c r="AZ609" s="1"/>
      <c r="BA609" s="1"/>
      <c r="BB609" s="1"/>
      <c r="BC609" s="1"/>
      <c r="BD609" s="2"/>
      <c r="BE609" s="1"/>
      <c r="BF609" s="1"/>
      <c r="BG609" s="1"/>
      <c r="BH609" s="1"/>
      <c r="BI609" s="1"/>
      <c r="BJ609" s="1"/>
      <c r="BK609" s="1"/>
      <c r="BL609" s="1"/>
      <c r="BM609" s="2"/>
      <c r="BN609" s="1"/>
      <c r="BO609" s="1"/>
      <c r="BP609" s="1"/>
      <c r="BQ609" s="1"/>
      <c r="BR609" s="1"/>
      <c r="BS609" s="1"/>
      <c r="BT609" s="1"/>
      <c r="BU609" s="1"/>
      <c r="BV609" s="2"/>
      <c r="BW609" s="1"/>
      <c r="BX609" s="1"/>
      <c r="BY609" s="1"/>
      <c r="BZ609" s="1"/>
      <c r="CA609" s="1"/>
      <c r="CB609" s="1"/>
      <c r="CC609" s="1"/>
      <c r="CD609" s="1"/>
      <c r="CE609" s="2"/>
      <c r="CF609" s="1"/>
      <c r="CG609" s="1"/>
      <c r="CH609" s="1"/>
      <c r="CI609" s="1"/>
      <c r="CJ609" s="1"/>
      <c r="CK609" s="1"/>
      <c r="CL609" s="1"/>
    </row>
    <row r="610" spans="1:90" ht="14.65" x14ac:dyDescent="0.4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2"/>
      <c r="L610" s="1"/>
      <c r="M610" s="1"/>
      <c r="N610" s="1"/>
      <c r="O610" s="1"/>
      <c r="P610" s="1"/>
      <c r="Q610" s="1"/>
      <c r="R610" s="1"/>
      <c r="S610" s="1"/>
      <c r="T610" s="2"/>
      <c r="U610" s="1"/>
      <c r="V610" s="1"/>
      <c r="W610" s="1"/>
      <c r="X610" s="1"/>
      <c r="Y610" s="1"/>
      <c r="Z610" s="1"/>
      <c r="AA610" s="1"/>
      <c r="AB610" s="1"/>
      <c r="AC610" s="2"/>
      <c r="AD610" s="1"/>
      <c r="AE610" s="1"/>
      <c r="AF610" s="1"/>
      <c r="AG610" s="1"/>
      <c r="AH610" s="1"/>
      <c r="AI610" s="1"/>
      <c r="AJ610" s="1"/>
      <c r="AK610" s="1"/>
      <c r="AL610" s="2"/>
      <c r="AM610" s="1"/>
      <c r="AN610" s="1"/>
      <c r="AO610" s="1"/>
      <c r="AP610" s="1"/>
      <c r="AQ610" s="1"/>
      <c r="AR610" s="1"/>
      <c r="AS610" s="1"/>
      <c r="AT610" s="1"/>
      <c r="AU610" s="2"/>
      <c r="AV610" s="1"/>
      <c r="AW610" s="1"/>
      <c r="AX610" s="1"/>
      <c r="AY610" s="1"/>
      <c r="AZ610" s="1"/>
      <c r="BA610" s="1"/>
      <c r="BB610" s="1"/>
      <c r="BC610" s="1"/>
      <c r="BD610" s="2"/>
      <c r="BE610" s="1"/>
      <c r="BF610" s="1"/>
      <c r="BG610" s="1"/>
      <c r="BH610" s="1"/>
      <c r="BI610" s="1"/>
      <c r="BJ610" s="1"/>
      <c r="BK610" s="1"/>
      <c r="BL610" s="1"/>
      <c r="BM610" s="2"/>
      <c r="BN610" s="1"/>
      <c r="BO610" s="1"/>
      <c r="BP610" s="1"/>
      <c r="BQ610" s="1"/>
      <c r="BR610" s="1"/>
      <c r="BS610" s="1"/>
      <c r="BT610" s="1"/>
      <c r="BU610" s="1"/>
      <c r="BV610" s="2"/>
      <c r="BW610" s="1"/>
      <c r="BX610" s="1"/>
      <c r="BY610" s="1"/>
      <c r="BZ610" s="1"/>
      <c r="CA610" s="1"/>
      <c r="CB610" s="1"/>
      <c r="CC610" s="1"/>
      <c r="CD610" s="1"/>
      <c r="CE610" s="2"/>
      <c r="CF610" s="1"/>
      <c r="CG610" s="1"/>
      <c r="CH610" s="1"/>
      <c r="CI610" s="1"/>
      <c r="CJ610" s="1"/>
      <c r="CK610" s="1"/>
      <c r="CL610" s="1"/>
    </row>
    <row r="611" spans="1:90" ht="14.65" x14ac:dyDescent="0.4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2"/>
      <c r="L611" s="1"/>
      <c r="M611" s="1"/>
      <c r="N611" s="1"/>
      <c r="O611" s="1"/>
      <c r="P611" s="1"/>
      <c r="Q611" s="1"/>
      <c r="R611" s="1"/>
      <c r="S611" s="1"/>
      <c r="T611" s="2"/>
      <c r="U611" s="1"/>
      <c r="V611" s="1"/>
      <c r="W611" s="1"/>
      <c r="X611" s="1"/>
      <c r="Y611" s="1"/>
      <c r="Z611" s="1"/>
      <c r="AA611" s="1"/>
      <c r="AB611" s="1"/>
      <c r="AC611" s="2"/>
      <c r="AD611" s="1"/>
      <c r="AE611" s="1"/>
      <c r="AF611" s="1"/>
      <c r="AG611" s="1"/>
      <c r="AH611" s="1"/>
      <c r="AI611" s="1"/>
      <c r="AJ611" s="1"/>
      <c r="AK611" s="1"/>
      <c r="AL611" s="2"/>
      <c r="AM611" s="1"/>
      <c r="AN611" s="1"/>
      <c r="AO611" s="1"/>
      <c r="AP611" s="1"/>
      <c r="AQ611" s="1"/>
      <c r="AR611" s="1"/>
      <c r="AS611" s="1"/>
      <c r="AT611" s="1"/>
      <c r="AU611" s="2"/>
      <c r="AV611" s="1"/>
      <c r="AW611" s="1"/>
      <c r="AX611" s="1"/>
      <c r="AY611" s="1"/>
      <c r="AZ611" s="1"/>
      <c r="BA611" s="1"/>
      <c r="BB611" s="1"/>
      <c r="BC611" s="1"/>
      <c r="BD611" s="2"/>
      <c r="BE611" s="1"/>
      <c r="BF611" s="1"/>
      <c r="BG611" s="1"/>
      <c r="BH611" s="1"/>
      <c r="BI611" s="1"/>
      <c r="BJ611" s="1"/>
      <c r="BK611" s="1"/>
      <c r="BL611" s="1"/>
      <c r="BM611" s="2"/>
      <c r="BN611" s="1"/>
      <c r="BO611" s="1"/>
      <c r="BP611" s="1"/>
      <c r="BQ611" s="1"/>
      <c r="BR611" s="1"/>
      <c r="BS611" s="1"/>
      <c r="BT611" s="1"/>
      <c r="BU611" s="1"/>
      <c r="BV611" s="2"/>
      <c r="BW611" s="1"/>
      <c r="BX611" s="1"/>
      <c r="BY611" s="1"/>
      <c r="BZ611" s="1"/>
      <c r="CA611" s="1"/>
      <c r="CB611" s="1"/>
      <c r="CC611" s="1"/>
      <c r="CD611" s="1"/>
      <c r="CE611" s="2"/>
      <c r="CF611" s="1"/>
      <c r="CG611" s="1"/>
      <c r="CH611" s="1"/>
      <c r="CI611" s="1"/>
      <c r="CJ611" s="1"/>
      <c r="CK611" s="1"/>
      <c r="CL611" s="1"/>
    </row>
    <row r="612" spans="1:90" ht="14.65" x14ac:dyDescent="0.4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2"/>
      <c r="L612" s="1"/>
      <c r="M612" s="1"/>
      <c r="N612" s="1"/>
      <c r="O612" s="1"/>
      <c r="P612" s="1"/>
      <c r="Q612" s="1"/>
      <c r="R612" s="1"/>
      <c r="S612" s="1"/>
      <c r="T612" s="2"/>
      <c r="U612" s="1"/>
      <c r="V612" s="1"/>
      <c r="W612" s="1"/>
      <c r="X612" s="1"/>
      <c r="Y612" s="1"/>
      <c r="Z612" s="1"/>
      <c r="AA612" s="1"/>
      <c r="AB612" s="1"/>
      <c r="AC612" s="2"/>
      <c r="AD612" s="1"/>
      <c r="AE612" s="1"/>
      <c r="AF612" s="1"/>
      <c r="AG612" s="1"/>
      <c r="AH612" s="1"/>
      <c r="AI612" s="1"/>
      <c r="AJ612" s="1"/>
      <c r="AK612" s="1"/>
      <c r="AL612" s="2"/>
      <c r="AM612" s="1"/>
      <c r="AN612" s="1"/>
      <c r="AO612" s="1"/>
      <c r="AP612" s="1"/>
      <c r="AQ612" s="1"/>
      <c r="AR612" s="1"/>
      <c r="AS612" s="1"/>
      <c r="AT612" s="1"/>
      <c r="AU612" s="2"/>
      <c r="AV612" s="1"/>
      <c r="AW612" s="1"/>
      <c r="AX612" s="1"/>
      <c r="AY612" s="1"/>
      <c r="AZ612" s="1"/>
      <c r="BA612" s="1"/>
      <c r="BB612" s="1"/>
      <c r="BC612" s="1"/>
      <c r="BD612" s="2"/>
      <c r="BE612" s="1"/>
      <c r="BF612" s="1"/>
      <c r="BG612" s="1"/>
      <c r="BH612" s="1"/>
      <c r="BI612" s="1"/>
      <c r="BJ612" s="1"/>
      <c r="BK612" s="1"/>
      <c r="BL612" s="1"/>
      <c r="BM612" s="2"/>
      <c r="BN612" s="1"/>
      <c r="BO612" s="1"/>
      <c r="BP612" s="1"/>
      <c r="BQ612" s="1"/>
      <c r="BR612" s="1"/>
      <c r="BS612" s="1"/>
      <c r="BT612" s="1"/>
      <c r="BU612" s="1"/>
      <c r="BV612" s="2"/>
      <c r="BW612" s="1"/>
      <c r="BX612" s="1"/>
      <c r="BY612" s="1"/>
      <c r="BZ612" s="1"/>
      <c r="CA612" s="1"/>
      <c r="CB612" s="1"/>
      <c r="CC612" s="1"/>
      <c r="CD612" s="1"/>
      <c r="CE612" s="2"/>
      <c r="CF612" s="1"/>
      <c r="CG612" s="1"/>
      <c r="CH612" s="1"/>
      <c r="CI612" s="1"/>
      <c r="CJ612" s="1"/>
      <c r="CK612" s="1"/>
      <c r="CL612" s="1"/>
    </row>
    <row r="613" spans="1:90" ht="14.65" x14ac:dyDescent="0.4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2"/>
      <c r="L613" s="1"/>
      <c r="M613" s="1"/>
      <c r="N613" s="1"/>
      <c r="O613" s="1"/>
      <c r="P613" s="1"/>
      <c r="Q613" s="1"/>
      <c r="R613" s="1"/>
      <c r="S613" s="1"/>
      <c r="T613" s="2"/>
      <c r="U613" s="1"/>
      <c r="V613" s="1"/>
      <c r="W613" s="1"/>
      <c r="X613" s="1"/>
      <c r="Y613" s="1"/>
      <c r="Z613" s="1"/>
      <c r="AA613" s="1"/>
      <c r="AB613" s="1"/>
      <c r="AC613" s="2"/>
      <c r="AD613" s="1"/>
      <c r="AE613" s="1"/>
      <c r="AF613" s="1"/>
      <c r="AG613" s="1"/>
      <c r="AH613" s="1"/>
      <c r="AI613" s="1"/>
      <c r="AJ613" s="1"/>
      <c r="AK613" s="1"/>
      <c r="AL613" s="2"/>
      <c r="AM613" s="1"/>
      <c r="AN613" s="1"/>
      <c r="AO613" s="1"/>
      <c r="AP613" s="1"/>
      <c r="AQ613" s="1"/>
      <c r="AR613" s="1"/>
      <c r="AS613" s="1"/>
      <c r="AT613" s="1"/>
      <c r="AU613" s="2"/>
      <c r="AV613" s="1"/>
      <c r="AW613" s="1"/>
      <c r="AX613" s="1"/>
      <c r="AY613" s="1"/>
      <c r="AZ613" s="1"/>
      <c r="BA613" s="1"/>
      <c r="BB613" s="1"/>
      <c r="BC613" s="1"/>
      <c r="BD613" s="2"/>
      <c r="BE613" s="1"/>
      <c r="BF613" s="1"/>
      <c r="BG613" s="1"/>
      <c r="BH613" s="1"/>
      <c r="BI613" s="1"/>
      <c r="BJ613" s="1"/>
      <c r="BK613" s="1"/>
      <c r="BL613" s="1"/>
      <c r="BM613" s="2"/>
      <c r="BN613" s="1"/>
      <c r="BO613" s="1"/>
      <c r="BP613" s="1"/>
      <c r="BQ613" s="1"/>
      <c r="BR613" s="1"/>
      <c r="BS613" s="1"/>
      <c r="BT613" s="1"/>
      <c r="BU613" s="1"/>
      <c r="BV613" s="2"/>
      <c r="BW613" s="1"/>
      <c r="BX613" s="1"/>
      <c r="BY613" s="1"/>
      <c r="BZ613" s="1"/>
      <c r="CA613" s="1"/>
      <c r="CB613" s="1"/>
      <c r="CC613" s="1"/>
      <c r="CD613" s="1"/>
      <c r="CE613" s="2"/>
      <c r="CF613" s="1"/>
      <c r="CG613" s="1"/>
      <c r="CH613" s="1"/>
      <c r="CI613" s="1"/>
      <c r="CJ613" s="1"/>
      <c r="CK613" s="1"/>
      <c r="CL613" s="1"/>
    </row>
    <row r="614" spans="1:90" ht="14.65" x14ac:dyDescent="0.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2"/>
      <c r="L614" s="1"/>
      <c r="M614" s="1"/>
      <c r="N614" s="1"/>
      <c r="O614" s="1"/>
      <c r="P614" s="1"/>
      <c r="Q614" s="1"/>
      <c r="R614" s="1"/>
      <c r="S614" s="1"/>
      <c r="T614" s="2"/>
      <c r="U614" s="1"/>
      <c r="V614" s="1"/>
      <c r="W614" s="1"/>
      <c r="X614" s="1"/>
      <c r="Y614" s="1"/>
      <c r="Z614" s="1"/>
      <c r="AA614" s="1"/>
      <c r="AB614" s="1"/>
      <c r="AC614" s="2"/>
      <c r="AD614" s="1"/>
      <c r="AE614" s="1"/>
      <c r="AF614" s="1"/>
      <c r="AG614" s="1"/>
      <c r="AH614" s="1"/>
      <c r="AI614" s="1"/>
      <c r="AJ614" s="1"/>
      <c r="AK614" s="1"/>
      <c r="AL614" s="2"/>
      <c r="AM614" s="1"/>
      <c r="AN614" s="1"/>
      <c r="AO614" s="1"/>
      <c r="AP614" s="1"/>
      <c r="AQ614" s="1"/>
      <c r="AR614" s="1"/>
      <c r="AS614" s="1"/>
      <c r="AT614" s="1"/>
      <c r="AU614" s="2"/>
      <c r="AV614" s="1"/>
      <c r="AW614" s="1"/>
      <c r="AX614" s="1"/>
      <c r="AY614" s="1"/>
      <c r="AZ614" s="1"/>
      <c r="BA614" s="1"/>
      <c r="BB614" s="1"/>
      <c r="BC614" s="1"/>
      <c r="BD614" s="2"/>
      <c r="BE614" s="1"/>
      <c r="BF614" s="1"/>
      <c r="BG614" s="1"/>
      <c r="BH614" s="1"/>
      <c r="BI614" s="1"/>
      <c r="BJ614" s="1"/>
      <c r="BK614" s="1"/>
      <c r="BL614" s="1"/>
      <c r="BM614" s="2"/>
      <c r="BN614" s="1"/>
      <c r="BO614" s="1"/>
      <c r="BP614" s="1"/>
      <c r="BQ614" s="1"/>
      <c r="BR614" s="1"/>
      <c r="BS614" s="1"/>
      <c r="BT614" s="1"/>
      <c r="BU614" s="1"/>
      <c r="BV614" s="2"/>
      <c r="BW614" s="1"/>
      <c r="BX614" s="1"/>
      <c r="BY614" s="1"/>
      <c r="BZ614" s="1"/>
      <c r="CA614" s="1"/>
      <c r="CB614" s="1"/>
      <c r="CC614" s="1"/>
      <c r="CD614" s="1"/>
      <c r="CE614" s="2"/>
      <c r="CF614" s="1"/>
      <c r="CG614" s="1"/>
      <c r="CH614" s="1"/>
      <c r="CI614" s="1"/>
      <c r="CJ614" s="1"/>
      <c r="CK614" s="1"/>
      <c r="CL614" s="1"/>
    </row>
    <row r="615" spans="1:90" ht="14.65" x14ac:dyDescent="0.4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2"/>
      <c r="L615" s="1"/>
      <c r="M615" s="1"/>
      <c r="N615" s="1"/>
      <c r="O615" s="1"/>
      <c r="P615" s="1"/>
      <c r="Q615" s="1"/>
      <c r="R615" s="1"/>
      <c r="S615" s="1"/>
      <c r="T615" s="2"/>
      <c r="U615" s="1"/>
      <c r="V615" s="1"/>
      <c r="W615" s="1"/>
      <c r="X615" s="1"/>
      <c r="Y615" s="1"/>
      <c r="Z615" s="1"/>
      <c r="AA615" s="1"/>
      <c r="AB615" s="1"/>
      <c r="AC615" s="2"/>
      <c r="AD615" s="1"/>
      <c r="AE615" s="1"/>
      <c r="AF615" s="1"/>
      <c r="AG615" s="1"/>
      <c r="AH615" s="1"/>
      <c r="AI615" s="1"/>
      <c r="AJ615" s="1"/>
      <c r="AK615" s="1"/>
      <c r="AL615" s="2"/>
      <c r="AM615" s="1"/>
      <c r="AN615" s="1"/>
      <c r="AO615" s="1"/>
      <c r="AP615" s="1"/>
      <c r="AQ615" s="1"/>
      <c r="AR615" s="1"/>
      <c r="AS615" s="1"/>
      <c r="AT615" s="1"/>
      <c r="AU615" s="2"/>
      <c r="AV615" s="1"/>
      <c r="AW615" s="1"/>
      <c r="AX615" s="1"/>
      <c r="AY615" s="1"/>
      <c r="AZ615" s="1"/>
      <c r="BA615" s="1"/>
      <c r="BB615" s="1"/>
      <c r="BC615" s="1"/>
      <c r="BD615" s="2"/>
      <c r="BE615" s="1"/>
      <c r="BF615" s="1"/>
      <c r="BG615" s="1"/>
      <c r="BH615" s="1"/>
      <c r="BI615" s="1"/>
      <c r="BJ615" s="1"/>
      <c r="BK615" s="1"/>
      <c r="BL615" s="1"/>
      <c r="BM615" s="2"/>
      <c r="BN615" s="1"/>
      <c r="BO615" s="1"/>
      <c r="BP615" s="1"/>
      <c r="BQ615" s="1"/>
      <c r="BR615" s="1"/>
      <c r="BS615" s="1"/>
      <c r="BT615" s="1"/>
      <c r="BU615" s="1"/>
      <c r="BV615" s="2"/>
      <c r="BW615" s="1"/>
      <c r="BX615" s="1"/>
      <c r="BY615" s="1"/>
      <c r="BZ615" s="1"/>
      <c r="CA615" s="1"/>
      <c r="CB615" s="1"/>
      <c r="CC615" s="1"/>
      <c r="CD615" s="1"/>
      <c r="CE615" s="2"/>
      <c r="CF615" s="1"/>
      <c r="CG615" s="1"/>
      <c r="CH615" s="1"/>
      <c r="CI615" s="1"/>
      <c r="CJ615" s="1"/>
      <c r="CK615" s="1"/>
      <c r="CL615" s="1"/>
    </row>
    <row r="616" spans="1:90" ht="14.65" x14ac:dyDescent="0.4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2"/>
      <c r="L616" s="1"/>
      <c r="M616" s="1"/>
      <c r="N616" s="1"/>
      <c r="O616" s="1"/>
      <c r="P616" s="1"/>
      <c r="Q616" s="1"/>
      <c r="R616" s="1"/>
      <c r="S616" s="1"/>
      <c r="T616" s="2"/>
      <c r="U616" s="1"/>
      <c r="V616" s="1"/>
      <c r="W616" s="1"/>
      <c r="X616" s="1"/>
      <c r="Y616" s="1"/>
      <c r="Z616" s="1"/>
      <c r="AA616" s="1"/>
      <c r="AB616" s="1"/>
      <c r="AC616" s="2"/>
      <c r="AD616" s="1"/>
      <c r="AE616" s="1"/>
      <c r="AF616" s="1"/>
      <c r="AG616" s="1"/>
      <c r="AH616" s="1"/>
      <c r="AI616" s="1"/>
      <c r="AJ616" s="1"/>
      <c r="AK616" s="1"/>
      <c r="AL616" s="2"/>
      <c r="AM616" s="1"/>
      <c r="AN616" s="1"/>
      <c r="AO616" s="1"/>
      <c r="AP616" s="1"/>
      <c r="AQ616" s="1"/>
      <c r="AR616" s="1"/>
      <c r="AS616" s="1"/>
      <c r="AT616" s="1"/>
      <c r="AU616" s="2"/>
      <c r="AV616" s="1"/>
      <c r="AW616" s="1"/>
      <c r="AX616" s="1"/>
      <c r="AY616" s="1"/>
      <c r="AZ616" s="1"/>
      <c r="BA616" s="1"/>
      <c r="BB616" s="1"/>
      <c r="BC616" s="1"/>
      <c r="BD616" s="2"/>
      <c r="BE616" s="1"/>
      <c r="BF616" s="1"/>
      <c r="BG616" s="1"/>
      <c r="BH616" s="1"/>
      <c r="BI616" s="1"/>
      <c r="BJ616" s="1"/>
      <c r="BK616" s="1"/>
      <c r="BL616" s="1"/>
      <c r="BM616" s="2"/>
      <c r="BN616" s="1"/>
      <c r="BO616" s="1"/>
      <c r="BP616" s="1"/>
      <c r="BQ616" s="1"/>
      <c r="BR616" s="1"/>
      <c r="BS616" s="1"/>
      <c r="BT616" s="1"/>
      <c r="BU616" s="1"/>
      <c r="BV616" s="2"/>
      <c r="BW616" s="1"/>
      <c r="BX616" s="1"/>
      <c r="BY616" s="1"/>
      <c r="BZ616" s="1"/>
      <c r="CA616" s="1"/>
      <c r="CB616" s="1"/>
      <c r="CC616" s="1"/>
      <c r="CD616" s="1"/>
      <c r="CE616" s="2"/>
      <c r="CF616" s="1"/>
      <c r="CG616" s="1"/>
      <c r="CH616" s="1"/>
      <c r="CI616" s="1"/>
      <c r="CJ616" s="1"/>
      <c r="CK616" s="1"/>
      <c r="CL616" s="1"/>
    </row>
    <row r="617" spans="1:90" ht="14.65" x14ac:dyDescent="0.4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2"/>
      <c r="L617" s="1"/>
      <c r="M617" s="1"/>
      <c r="N617" s="1"/>
      <c r="O617" s="1"/>
      <c r="P617" s="1"/>
      <c r="Q617" s="1"/>
      <c r="R617" s="1"/>
      <c r="S617" s="1"/>
      <c r="T617" s="2"/>
      <c r="U617" s="1"/>
      <c r="V617" s="1"/>
      <c r="W617" s="1"/>
      <c r="X617" s="1"/>
      <c r="Y617" s="1"/>
      <c r="Z617" s="1"/>
      <c r="AA617" s="1"/>
      <c r="AB617" s="1"/>
      <c r="AC617" s="2"/>
      <c r="AD617" s="1"/>
      <c r="AE617" s="1"/>
      <c r="AF617" s="1"/>
      <c r="AG617" s="1"/>
      <c r="AH617" s="1"/>
      <c r="AI617" s="1"/>
      <c r="AJ617" s="1"/>
      <c r="AK617" s="1"/>
      <c r="AL617" s="2"/>
      <c r="AM617" s="1"/>
      <c r="AN617" s="1"/>
      <c r="AO617" s="1"/>
      <c r="AP617" s="1"/>
      <c r="AQ617" s="1"/>
      <c r="AR617" s="1"/>
      <c r="AS617" s="1"/>
      <c r="AT617" s="1"/>
      <c r="AU617" s="2"/>
      <c r="AV617" s="1"/>
      <c r="AW617" s="1"/>
      <c r="AX617" s="1"/>
      <c r="AY617" s="1"/>
      <c r="AZ617" s="1"/>
      <c r="BA617" s="1"/>
      <c r="BB617" s="1"/>
      <c r="BC617" s="1"/>
      <c r="BD617" s="2"/>
      <c r="BE617" s="1"/>
      <c r="BF617" s="1"/>
      <c r="BG617" s="1"/>
      <c r="BH617" s="1"/>
      <c r="BI617" s="1"/>
      <c r="BJ617" s="1"/>
      <c r="BK617" s="1"/>
      <c r="BL617" s="1"/>
      <c r="BM617" s="2"/>
      <c r="BN617" s="1"/>
      <c r="BO617" s="1"/>
      <c r="BP617" s="1"/>
      <c r="BQ617" s="1"/>
      <c r="BR617" s="1"/>
      <c r="BS617" s="1"/>
      <c r="BT617" s="1"/>
      <c r="BU617" s="1"/>
      <c r="BV617" s="2"/>
      <c r="BW617" s="1"/>
      <c r="BX617" s="1"/>
      <c r="BY617" s="1"/>
      <c r="BZ617" s="1"/>
      <c r="CA617" s="1"/>
      <c r="CB617" s="1"/>
      <c r="CC617" s="1"/>
      <c r="CD617" s="1"/>
      <c r="CE617" s="2"/>
      <c r="CF617" s="1"/>
      <c r="CG617" s="1"/>
      <c r="CH617" s="1"/>
      <c r="CI617" s="1"/>
      <c r="CJ617" s="1"/>
      <c r="CK617" s="1"/>
      <c r="CL617" s="1"/>
    </row>
    <row r="618" spans="1:90" ht="14.65" x14ac:dyDescent="0.4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2"/>
      <c r="L618" s="1"/>
      <c r="M618" s="1"/>
      <c r="N618" s="1"/>
      <c r="O618" s="1"/>
      <c r="P618" s="1"/>
      <c r="Q618" s="1"/>
      <c r="R618" s="1"/>
      <c r="S618" s="1"/>
      <c r="T618" s="2"/>
      <c r="U618" s="1"/>
      <c r="V618" s="1"/>
      <c r="W618" s="1"/>
      <c r="X618" s="1"/>
      <c r="Y618" s="1"/>
      <c r="Z618" s="1"/>
      <c r="AA618" s="1"/>
      <c r="AB618" s="1"/>
      <c r="AC618" s="2"/>
      <c r="AD618" s="1"/>
      <c r="AE618" s="1"/>
      <c r="AF618" s="1"/>
      <c r="AG618" s="1"/>
      <c r="AH618" s="1"/>
      <c r="AI618" s="1"/>
      <c r="AJ618" s="1"/>
      <c r="AK618" s="1"/>
      <c r="AL618" s="2"/>
      <c r="AM618" s="1"/>
      <c r="AN618" s="1"/>
      <c r="AO618" s="1"/>
      <c r="AP618" s="1"/>
      <c r="AQ618" s="1"/>
      <c r="AR618" s="1"/>
      <c r="AS618" s="1"/>
      <c r="AT618" s="1"/>
      <c r="AU618" s="2"/>
      <c r="AV618" s="1"/>
      <c r="AW618" s="1"/>
      <c r="AX618" s="1"/>
      <c r="AY618" s="1"/>
      <c r="AZ618" s="1"/>
      <c r="BA618" s="1"/>
      <c r="BB618" s="1"/>
      <c r="BC618" s="1"/>
      <c r="BD618" s="2"/>
      <c r="BE618" s="1"/>
      <c r="BF618" s="1"/>
      <c r="BG618" s="1"/>
      <c r="BH618" s="1"/>
      <c r="BI618" s="1"/>
      <c r="BJ618" s="1"/>
      <c r="BK618" s="1"/>
      <c r="BL618" s="1"/>
      <c r="BM618" s="2"/>
      <c r="BN618" s="1"/>
      <c r="BO618" s="1"/>
      <c r="BP618" s="1"/>
      <c r="BQ618" s="1"/>
      <c r="BR618" s="1"/>
      <c r="BS618" s="1"/>
      <c r="BT618" s="1"/>
      <c r="BU618" s="1"/>
      <c r="BV618" s="2"/>
      <c r="BW618" s="1"/>
      <c r="BX618" s="1"/>
      <c r="BY618" s="1"/>
      <c r="BZ618" s="1"/>
      <c r="CA618" s="1"/>
      <c r="CB618" s="1"/>
      <c r="CC618" s="1"/>
      <c r="CD618" s="1"/>
      <c r="CE618" s="2"/>
      <c r="CF618" s="1"/>
      <c r="CG618" s="1"/>
      <c r="CH618" s="1"/>
      <c r="CI618" s="1"/>
      <c r="CJ618" s="1"/>
      <c r="CK618" s="1"/>
      <c r="CL618" s="1"/>
    </row>
    <row r="619" spans="1:90" ht="14.65" x14ac:dyDescent="0.4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2"/>
      <c r="L619" s="1"/>
      <c r="M619" s="1"/>
      <c r="N619" s="1"/>
      <c r="O619" s="1"/>
      <c r="P619" s="1"/>
      <c r="Q619" s="1"/>
      <c r="R619" s="1"/>
      <c r="S619" s="1"/>
      <c r="T619" s="2"/>
      <c r="U619" s="1"/>
      <c r="V619" s="1"/>
      <c r="W619" s="1"/>
      <c r="X619" s="1"/>
      <c r="Y619" s="1"/>
      <c r="Z619" s="1"/>
      <c r="AA619" s="1"/>
      <c r="AB619" s="1"/>
      <c r="AC619" s="2"/>
      <c r="AD619" s="1"/>
      <c r="AE619" s="1"/>
      <c r="AF619" s="1"/>
      <c r="AG619" s="1"/>
      <c r="AH619" s="1"/>
      <c r="AI619" s="1"/>
      <c r="AJ619" s="1"/>
      <c r="AK619" s="1"/>
      <c r="AL619" s="2"/>
      <c r="AM619" s="1"/>
      <c r="AN619" s="1"/>
      <c r="AO619" s="1"/>
      <c r="AP619" s="1"/>
      <c r="AQ619" s="1"/>
      <c r="AR619" s="1"/>
      <c r="AS619" s="1"/>
      <c r="AT619" s="1"/>
      <c r="AU619" s="2"/>
      <c r="AV619" s="1"/>
      <c r="AW619" s="1"/>
      <c r="AX619" s="1"/>
      <c r="AY619" s="1"/>
      <c r="AZ619" s="1"/>
      <c r="BA619" s="1"/>
      <c r="BB619" s="1"/>
      <c r="BC619" s="1"/>
      <c r="BD619" s="2"/>
      <c r="BE619" s="1"/>
      <c r="BF619" s="1"/>
      <c r="BG619" s="1"/>
      <c r="BH619" s="1"/>
      <c r="BI619" s="1"/>
      <c r="BJ619" s="1"/>
      <c r="BK619" s="1"/>
      <c r="BL619" s="1"/>
      <c r="BM619" s="2"/>
      <c r="BN619" s="1"/>
      <c r="BO619" s="1"/>
      <c r="BP619" s="1"/>
      <c r="BQ619" s="1"/>
      <c r="BR619" s="1"/>
      <c r="BS619" s="1"/>
      <c r="BT619" s="1"/>
      <c r="BU619" s="1"/>
      <c r="BV619" s="2"/>
      <c r="BW619" s="1"/>
      <c r="BX619" s="1"/>
      <c r="BY619" s="1"/>
      <c r="BZ619" s="1"/>
      <c r="CA619" s="1"/>
      <c r="CB619" s="1"/>
      <c r="CC619" s="1"/>
      <c r="CD619" s="1"/>
      <c r="CE619" s="2"/>
      <c r="CF619" s="1"/>
      <c r="CG619" s="1"/>
      <c r="CH619" s="1"/>
      <c r="CI619" s="1"/>
      <c r="CJ619" s="1"/>
      <c r="CK619" s="1"/>
      <c r="CL619" s="1"/>
    </row>
    <row r="620" spans="1:90" ht="14.65" x14ac:dyDescent="0.4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2"/>
      <c r="L620" s="1"/>
      <c r="M620" s="3"/>
      <c r="N620" s="1"/>
      <c r="O620" s="1"/>
      <c r="P620" s="1"/>
      <c r="Q620" s="1"/>
      <c r="R620" s="1"/>
      <c r="S620" s="1"/>
      <c r="T620" s="2"/>
      <c r="U620" s="1"/>
      <c r="V620" s="1"/>
      <c r="W620" s="1"/>
      <c r="X620" s="1"/>
      <c r="Y620" s="1"/>
      <c r="Z620" s="1"/>
      <c r="AA620" s="1"/>
      <c r="AB620" s="1"/>
      <c r="AC620" s="2"/>
      <c r="AD620" s="1"/>
      <c r="AE620" s="1"/>
      <c r="AF620" s="1"/>
      <c r="AG620" s="1"/>
      <c r="AH620" s="1"/>
      <c r="AI620" s="1"/>
      <c r="AJ620" s="1"/>
      <c r="AK620" s="1"/>
      <c r="AL620" s="2"/>
      <c r="AM620" s="1"/>
      <c r="AN620" s="1"/>
      <c r="AO620" s="1"/>
      <c r="AP620" s="1"/>
      <c r="AQ620" s="1"/>
      <c r="AR620" s="1"/>
      <c r="AS620" s="1"/>
      <c r="AT620" s="1"/>
      <c r="AU620" s="2"/>
      <c r="AV620" s="1"/>
      <c r="AW620" s="1"/>
      <c r="AX620" s="1"/>
      <c r="AY620" s="1"/>
      <c r="AZ620" s="1"/>
      <c r="BA620" s="1"/>
      <c r="BB620" s="1"/>
      <c r="BC620" s="1"/>
      <c r="BD620" s="2"/>
      <c r="BE620" s="1"/>
      <c r="BF620" s="1"/>
      <c r="BG620" s="1"/>
      <c r="BH620" s="1"/>
      <c r="BI620" s="1"/>
      <c r="BJ620" s="1"/>
      <c r="BK620" s="1"/>
      <c r="BL620" s="1"/>
      <c r="BM620" s="2"/>
      <c r="BN620" s="1"/>
      <c r="BO620" s="1"/>
      <c r="BP620" s="1"/>
      <c r="BQ620" s="1"/>
      <c r="BR620" s="1"/>
      <c r="BS620" s="1"/>
      <c r="BT620" s="1"/>
      <c r="BU620" s="1"/>
      <c r="BV620" s="2"/>
      <c r="BW620" s="1"/>
      <c r="BX620" s="1"/>
      <c r="BY620" s="1"/>
      <c r="BZ620" s="1"/>
      <c r="CA620" s="1"/>
      <c r="CB620" s="1"/>
      <c r="CC620" s="1"/>
      <c r="CD620" s="1"/>
      <c r="CE620" s="2"/>
      <c r="CF620" s="1"/>
      <c r="CG620" s="1"/>
      <c r="CH620" s="1"/>
      <c r="CI620" s="1"/>
      <c r="CJ620" s="1"/>
      <c r="CK620" s="1"/>
      <c r="CL620" s="1"/>
    </row>
    <row r="621" spans="1:90" ht="14.65" x14ac:dyDescent="0.4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2"/>
      <c r="L621" s="1"/>
      <c r="M621" s="3"/>
      <c r="N621" s="1"/>
      <c r="O621" s="1"/>
      <c r="P621" s="1"/>
      <c r="Q621" s="1"/>
      <c r="R621" s="1"/>
      <c r="S621" s="1"/>
      <c r="T621" s="2"/>
      <c r="U621" s="1"/>
      <c r="V621" s="1"/>
      <c r="W621" s="1"/>
      <c r="X621" s="1"/>
      <c r="Y621" s="1"/>
      <c r="Z621" s="1"/>
      <c r="AA621" s="1"/>
      <c r="AB621" s="1"/>
      <c r="AC621" s="2"/>
      <c r="AD621" s="1"/>
      <c r="AE621" s="1"/>
      <c r="AF621" s="1"/>
      <c r="AG621" s="1"/>
      <c r="AH621" s="1"/>
      <c r="AI621" s="1"/>
      <c r="AJ621" s="1"/>
      <c r="AK621" s="1"/>
      <c r="AL621" s="2"/>
      <c r="AM621" s="1"/>
      <c r="AN621" s="1"/>
      <c r="AO621" s="1"/>
      <c r="AP621" s="1"/>
      <c r="AQ621" s="1"/>
      <c r="AR621" s="1"/>
      <c r="AS621" s="1"/>
      <c r="AT621" s="1"/>
      <c r="AU621" s="2"/>
      <c r="AV621" s="1"/>
      <c r="AW621" s="1"/>
      <c r="AX621" s="1"/>
      <c r="AY621" s="1"/>
      <c r="AZ621" s="1"/>
      <c r="BA621" s="1"/>
      <c r="BB621" s="1"/>
      <c r="BC621" s="1"/>
      <c r="BD621" s="2"/>
      <c r="BE621" s="1"/>
      <c r="BF621" s="1"/>
      <c r="BG621" s="1"/>
      <c r="BH621" s="1"/>
      <c r="BI621" s="1"/>
      <c r="BJ621" s="1"/>
      <c r="BK621" s="1"/>
      <c r="BL621" s="1"/>
      <c r="BM621" s="2"/>
      <c r="BN621" s="1"/>
      <c r="BO621" s="1"/>
      <c r="BP621" s="1"/>
      <c r="BQ621" s="1"/>
      <c r="BR621" s="1"/>
      <c r="BS621" s="1"/>
      <c r="BT621" s="1"/>
      <c r="BU621" s="1"/>
      <c r="BV621" s="2"/>
      <c r="BW621" s="1"/>
      <c r="BX621" s="1"/>
      <c r="BY621" s="1"/>
      <c r="BZ621" s="1"/>
      <c r="CA621" s="1"/>
      <c r="CB621" s="1"/>
      <c r="CC621" s="1"/>
      <c r="CD621" s="1"/>
      <c r="CE621" s="2"/>
      <c r="CF621" s="1"/>
      <c r="CG621" s="1"/>
      <c r="CH621" s="1"/>
      <c r="CI621" s="1"/>
      <c r="CJ621" s="1"/>
      <c r="CK621" s="1"/>
      <c r="CL621" s="1"/>
    </row>
    <row r="622" spans="1:90" ht="14.65" x14ac:dyDescent="0.4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2"/>
      <c r="L622" s="1"/>
      <c r="M622" s="1"/>
      <c r="N622" s="1"/>
      <c r="O622" s="1"/>
      <c r="P622" s="1"/>
      <c r="Q622" s="1"/>
      <c r="R622" s="1"/>
      <c r="S622" s="1"/>
      <c r="T622" s="2"/>
      <c r="U622" s="1"/>
      <c r="V622" s="1"/>
      <c r="W622" s="1"/>
      <c r="X622" s="1"/>
      <c r="Y622" s="1"/>
      <c r="Z622" s="1"/>
      <c r="AA622" s="1"/>
      <c r="AB622" s="1"/>
      <c r="AC622" s="2"/>
      <c r="AD622" s="1"/>
      <c r="AE622" s="1"/>
      <c r="AF622" s="1"/>
      <c r="AG622" s="1"/>
      <c r="AH622" s="1"/>
      <c r="AI622" s="1"/>
      <c r="AJ622" s="1"/>
      <c r="AK622" s="1"/>
      <c r="AL622" s="2"/>
      <c r="AM622" s="1"/>
      <c r="AN622" s="1"/>
      <c r="AO622" s="1"/>
      <c r="AP622" s="1"/>
      <c r="AQ622" s="1"/>
      <c r="AR622" s="1"/>
      <c r="AS622" s="1"/>
      <c r="AT622" s="1"/>
      <c r="AU622" s="2"/>
      <c r="AV622" s="1"/>
      <c r="AW622" s="1"/>
      <c r="AX622" s="1"/>
      <c r="AY622" s="1"/>
      <c r="AZ622" s="1"/>
      <c r="BA622" s="1"/>
      <c r="BB622" s="1"/>
      <c r="BC622" s="1"/>
      <c r="BD622" s="2"/>
      <c r="BE622" s="1"/>
      <c r="BF622" s="1"/>
      <c r="BG622" s="1"/>
      <c r="BH622" s="1"/>
      <c r="BI622" s="1"/>
      <c r="BJ622" s="1"/>
      <c r="BK622" s="1"/>
      <c r="BL622" s="1"/>
      <c r="BM622" s="2"/>
      <c r="BN622" s="1"/>
      <c r="BO622" s="1"/>
      <c r="BP622" s="1"/>
      <c r="BQ622" s="1"/>
      <c r="BR622" s="1"/>
      <c r="BS622" s="1"/>
      <c r="BT622" s="1"/>
      <c r="BU622" s="1"/>
      <c r="BV622" s="2"/>
      <c r="BW622" s="1"/>
      <c r="BX622" s="1"/>
      <c r="BY622" s="1"/>
      <c r="BZ622" s="1"/>
      <c r="CA622" s="1"/>
      <c r="CB622" s="1"/>
      <c r="CC622" s="1"/>
      <c r="CD622" s="1"/>
      <c r="CE622" s="2"/>
      <c r="CF622" s="1"/>
      <c r="CG622" s="1"/>
      <c r="CH622" s="1"/>
      <c r="CI622" s="1"/>
      <c r="CJ622" s="1"/>
      <c r="CK622" s="1"/>
      <c r="CL622" s="1"/>
    </row>
    <row r="623" spans="1:90" ht="14.65" x14ac:dyDescent="0.4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2"/>
      <c r="L623" s="1"/>
      <c r="M623" s="1"/>
      <c r="N623" s="1"/>
      <c r="O623" s="1"/>
      <c r="P623" s="1"/>
      <c r="Q623" s="1"/>
      <c r="R623" s="1"/>
      <c r="S623" s="1"/>
      <c r="T623" s="2"/>
      <c r="U623" s="1"/>
      <c r="V623" s="1"/>
      <c r="W623" s="1"/>
      <c r="X623" s="1"/>
      <c r="Y623" s="1"/>
      <c r="Z623" s="1"/>
      <c r="AA623" s="1"/>
      <c r="AB623" s="1"/>
      <c r="AC623" s="2"/>
      <c r="AD623" s="1"/>
      <c r="AE623" s="1"/>
      <c r="AF623" s="1"/>
      <c r="AG623" s="1"/>
      <c r="AH623" s="1"/>
      <c r="AI623" s="1"/>
      <c r="AJ623" s="1"/>
      <c r="AK623" s="1"/>
      <c r="AL623" s="2"/>
      <c r="AM623" s="1"/>
      <c r="AN623" s="1"/>
      <c r="AO623" s="1"/>
      <c r="AP623" s="1"/>
      <c r="AQ623" s="1"/>
      <c r="AR623" s="1"/>
      <c r="AS623" s="1"/>
      <c r="AT623" s="1"/>
      <c r="AU623" s="2"/>
      <c r="AV623" s="1"/>
      <c r="AW623" s="1"/>
      <c r="AX623" s="1"/>
      <c r="AY623" s="1"/>
      <c r="AZ623" s="1"/>
      <c r="BA623" s="1"/>
      <c r="BB623" s="1"/>
      <c r="BC623" s="1"/>
      <c r="BD623" s="2"/>
      <c r="BE623" s="1"/>
      <c r="BF623" s="1"/>
      <c r="BG623" s="1"/>
      <c r="BH623" s="1"/>
      <c r="BI623" s="1"/>
      <c r="BJ623" s="1"/>
      <c r="BK623" s="1"/>
      <c r="BL623" s="1"/>
      <c r="BM623" s="2"/>
      <c r="BN623" s="1"/>
      <c r="BO623" s="1"/>
      <c r="BP623" s="1"/>
      <c r="BQ623" s="1"/>
      <c r="BR623" s="1"/>
      <c r="BS623" s="1"/>
      <c r="BT623" s="1"/>
      <c r="BU623" s="1"/>
      <c r="BV623" s="2"/>
      <c r="BW623" s="1"/>
      <c r="BX623" s="1"/>
      <c r="BY623" s="1"/>
      <c r="BZ623" s="1"/>
      <c r="CA623" s="1"/>
      <c r="CB623" s="1"/>
      <c r="CC623" s="1"/>
      <c r="CD623" s="1"/>
      <c r="CE623" s="2"/>
      <c r="CF623" s="1"/>
      <c r="CG623" s="1"/>
      <c r="CH623" s="1"/>
      <c r="CI623" s="1"/>
      <c r="CJ623" s="1"/>
      <c r="CK623" s="1"/>
      <c r="CL623" s="1"/>
    </row>
    <row r="624" spans="1:90" ht="14.65" x14ac:dyDescent="0.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2"/>
      <c r="L624" s="1"/>
      <c r="M624" s="1"/>
      <c r="N624" s="1"/>
      <c r="O624" s="1"/>
      <c r="P624" s="1"/>
      <c r="Q624" s="1"/>
      <c r="R624" s="1"/>
      <c r="S624" s="1"/>
      <c r="T624" s="2"/>
      <c r="U624" s="1"/>
      <c r="V624" s="1"/>
      <c r="W624" s="1"/>
      <c r="X624" s="1"/>
      <c r="Y624" s="1"/>
      <c r="Z624" s="1"/>
      <c r="AA624" s="1"/>
      <c r="AB624" s="1"/>
      <c r="AC624" s="2"/>
      <c r="AD624" s="1"/>
      <c r="AE624" s="1"/>
      <c r="AF624" s="1"/>
      <c r="AG624" s="1"/>
      <c r="AH624" s="1"/>
      <c r="AI624" s="1"/>
      <c r="AJ624" s="1"/>
      <c r="AK624" s="1"/>
      <c r="AL624" s="2"/>
      <c r="AM624" s="1"/>
      <c r="AN624" s="1"/>
      <c r="AO624" s="1"/>
      <c r="AP624" s="1"/>
      <c r="AQ624" s="1"/>
      <c r="AR624" s="1"/>
      <c r="AS624" s="1"/>
      <c r="AT624" s="1"/>
      <c r="AU624" s="2"/>
      <c r="AV624" s="1"/>
      <c r="AW624" s="1"/>
      <c r="AX624" s="1"/>
      <c r="AY624" s="1"/>
      <c r="AZ624" s="1"/>
      <c r="BA624" s="1"/>
      <c r="BB624" s="1"/>
      <c r="BC624" s="1"/>
      <c r="BD624" s="2"/>
      <c r="BE624" s="1"/>
      <c r="BF624" s="1"/>
      <c r="BG624" s="1"/>
      <c r="BH624" s="1"/>
      <c r="BI624" s="1"/>
      <c r="BJ624" s="1"/>
      <c r="BK624" s="1"/>
      <c r="BL624" s="1"/>
      <c r="BM624" s="2"/>
      <c r="BN624" s="1"/>
      <c r="BO624" s="1"/>
      <c r="BP624" s="1"/>
      <c r="BQ624" s="1"/>
      <c r="BR624" s="1"/>
      <c r="BS624" s="1"/>
      <c r="BT624" s="1"/>
      <c r="BU624" s="1"/>
      <c r="BV624" s="2"/>
      <c r="BW624" s="1"/>
      <c r="BX624" s="1"/>
      <c r="BY624" s="1"/>
      <c r="BZ624" s="1"/>
      <c r="CA624" s="1"/>
      <c r="CB624" s="1"/>
      <c r="CC624" s="1"/>
      <c r="CD624" s="1"/>
      <c r="CE624" s="2"/>
      <c r="CF624" s="1"/>
      <c r="CG624" s="1"/>
      <c r="CH624" s="1"/>
      <c r="CI624" s="1"/>
      <c r="CJ624" s="1"/>
      <c r="CK624" s="1"/>
      <c r="CL624" s="1"/>
    </row>
    <row r="625" spans="1:90" ht="14.65" x14ac:dyDescent="0.4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2"/>
      <c r="L625" s="1"/>
      <c r="M625" s="1"/>
      <c r="N625" s="1"/>
      <c r="O625" s="1"/>
      <c r="P625" s="1"/>
      <c r="Q625" s="1"/>
      <c r="R625" s="1"/>
      <c r="S625" s="1"/>
      <c r="T625" s="2"/>
      <c r="U625" s="1"/>
      <c r="V625" s="1"/>
      <c r="W625" s="1"/>
      <c r="X625" s="1"/>
      <c r="Y625" s="1"/>
      <c r="Z625" s="1"/>
      <c r="AA625" s="1"/>
      <c r="AB625" s="1"/>
      <c r="AC625" s="2"/>
      <c r="AD625" s="1"/>
      <c r="AE625" s="1"/>
      <c r="AF625" s="1"/>
      <c r="AG625" s="1"/>
      <c r="AH625" s="1"/>
      <c r="AI625" s="1"/>
      <c r="AJ625" s="1"/>
      <c r="AK625" s="1"/>
      <c r="AL625" s="2"/>
      <c r="AM625" s="1"/>
      <c r="AN625" s="1"/>
      <c r="AO625" s="1"/>
      <c r="AP625" s="1"/>
      <c r="AQ625" s="1"/>
      <c r="AR625" s="1"/>
      <c r="AS625" s="1"/>
      <c r="AT625" s="1"/>
      <c r="AU625" s="2"/>
      <c r="AV625" s="1"/>
      <c r="AW625" s="1"/>
      <c r="AX625" s="1"/>
      <c r="AY625" s="1"/>
      <c r="AZ625" s="1"/>
      <c r="BA625" s="1"/>
      <c r="BB625" s="1"/>
      <c r="BC625" s="1"/>
      <c r="BD625" s="2"/>
      <c r="BE625" s="1"/>
      <c r="BF625" s="1"/>
      <c r="BG625" s="1"/>
      <c r="BH625" s="1"/>
      <c r="BI625" s="1"/>
      <c r="BJ625" s="1"/>
      <c r="BK625" s="1"/>
      <c r="BL625" s="1"/>
      <c r="BM625" s="2"/>
      <c r="BN625" s="1"/>
      <c r="BO625" s="1"/>
      <c r="BP625" s="1"/>
      <c r="BQ625" s="1"/>
      <c r="BR625" s="1"/>
      <c r="BS625" s="1"/>
      <c r="BT625" s="1"/>
      <c r="BU625" s="1"/>
      <c r="BV625" s="2"/>
      <c r="BW625" s="1"/>
      <c r="BX625" s="1"/>
      <c r="BY625" s="1"/>
      <c r="BZ625" s="1"/>
      <c r="CA625" s="1"/>
      <c r="CB625" s="1"/>
      <c r="CC625" s="1"/>
      <c r="CD625" s="1"/>
      <c r="CE625" s="2"/>
      <c r="CF625" s="1"/>
      <c r="CG625" s="1"/>
      <c r="CH625" s="1"/>
      <c r="CI625" s="1"/>
      <c r="CJ625" s="1"/>
      <c r="CK625" s="1"/>
      <c r="CL625" s="1"/>
    </row>
    <row r="626" spans="1:90" ht="14.65" x14ac:dyDescent="0.4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2"/>
      <c r="L626" s="1"/>
      <c r="M626" s="1"/>
      <c r="N626" s="1"/>
      <c r="O626" s="1"/>
      <c r="P626" s="1"/>
      <c r="Q626" s="1"/>
      <c r="R626" s="1"/>
      <c r="S626" s="1"/>
      <c r="T626" s="2"/>
      <c r="U626" s="1"/>
      <c r="V626" s="1"/>
      <c r="W626" s="1"/>
      <c r="X626" s="1"/>
      <c r="Y626" s="1"/>
      <c r="Z626" s="1"/>
      <c r="AA626" s="1"/>
      <c r="AB626" s="1"/>
      <c r="AC626" s="2"/>
      <c r="AD626" s="1"/>
      <c r="AE626" s="1"/>
      <c r="AF626" s="1"/>
      <c r="AG626" s="1"/>
      <c r="AH626" s="1"/>
      <c r="AI626" s="1"/>
      <c r="AJ626" s="1"/>
      <c r="AK626" s="1"/>
      <c r="AL626" s="2"/>
      <c r="AM626" s="1"/>
      <c r="AN626" s="1"/>
      <c r="AO626" s="1"/>
      <c r="AP626" s="1"/>
      <c r="AQ626" s="1"/>
      <c r="AR626" s="1"/>
      <c r="AS626" s="1"/>
      <c r="AT626" s="1"/>
      <c r="AU626" s="2"/>
      <c r="AV626" s="1"/>
      <c r="AW626" s="1"/>
      <c r="AX626" s="1"/>
      <c r="AY626" s="1"/>
      <c r="AZ626" s="1"/>
      <c r="BA626" s="1"/>
      <c r="BB626" s="1"/>
      <c r="BC626" s="1"/>
      <c r="BD626" s="2"/>
      <c r="BE626" s="1"/>
      <c r="BF626" s="1"/>
      <c r="BG626" s="1"/>
      <c r="BH626" s="1"/>
      <c r="BI626" s="1"/>
      <c r="BJ626" s="1"/>
      <c r="BK626" s="1"/>
      <c r="BL626" s="1"/>
      <c r="BM626" s="2"/>
      <c r="BN626" s="1"/>
      <c r="BO626" s="1"/>
      <c r="BP626" s="1"/>
      <c r="BQ626" s="1"/>
      <c r="BR626" s="1"/>
      <c r="BS626" s="1"/>
      <c r="BT626" s="1"/>
      <c r="BU626" s="1"/>
      <c r="BV626" s="2"/>
      <c r="BW626" s="1"/>
      <c r="BX626" s="1"/>
      <c r="BY626" s="1"/>
      <c r="BZ626" s="1"/>
      <c r="CA626" s="1"/>
      <c r="CB626" s="1"/>
      <c r="CC626" s="1"/>
      <c r="CD626" s="1"/>
      <c r="CE626" s="2"/>
      <c r="CF626" s="1"/>
      <c r="CG626" s="1"/>
      <c r="CH626" s="1"/>
      <c r="CI626" s="1"/>
      <c r="CJ626" s="1"/>
      <c r="CK626" s="1"/>
      <c r="CL626" s="1"/>
    </row>
    <row r="627" spans="1:90" ht="14.65" x14ac:dyDescent="0.4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2"/>
      <c r="L627" s="1"/>
      <c r="M627" s="1"/>
      <c r="N627" s="1"/>
      <c r="O627" s="1"/>
      <c r="P627" s="1"/>
      <c r="Q627" s="1"/>
      <c r="R627" s="1"/>
      <c r="S627" s="1"/>
      <c r="T627" s="2"/>
      <c r="U627" s="1"/>
      <c r="V627" s="1"/>
      <c r="W627" s="1"/>
      <c r="X627" s="1"/>
      <c r="Y627" s="1"/>
      <c r="Z627" s="1"/>
      <c r="AA627" s="1"/>
      <c r="AB627" s="1"/>
      <c r="AC627" s="2"/>
      <c r="AD627" s="1"/>
      <c r="AE627" s="1"/>
      <c r="AF627" s="1"/>
      <c r="AG627" s="1"/>
      <c r="AH627" s="1"/>
      <c r="AI627" s="1"/>
      <c r="AJ627" s="1"/>
      <c r="AK627" s="1"/>
      <c r="AL627" s="2"/>
      <c r="AM627" s="1"/>
      <c r="AN627" s="1"/>
      <c r="AO627" s="1"/>
      <c r="AP627" s="1"/>
      <c r="AQ627" s="1"/>
      <c r="AR627" s="1"/>
      <c r="AS627" s="1"/>
      <c r="AT627" s="1"/>
      <c r="AU627" s="2"/>
      <c r="AV627" s="1"/>
      <c r="AW627" s="1"/>
      <c r="AX627" s="1"/>
      <c r="AY627" s="1"/>
      <c r="AZ627" s="1"/>
      <c r="BA627" s="1"/>
      <c r="BB627" s="1"/>
      <c r="BC627" s="1"/>
      <c r="BD627" s="2"/>
      <c r="BE627" s="1"/>
      <c r="BF627" s="1"/>
      <c r="BG627" s="1"/>
      <c r="BH627" s="1"/>
      <c r="BI627" s="1"/>
      <c r="BJ627" s="1"/>
      <c r="BK627" s="1"/>
      <c r="BL627" s="1"/>
      <c r="BM627" s="2"/>
      <c r="BN627" s="1"/>
      <c r="BO627" s="1"/>
      <c r="BP627" s="1"/>
      <c r="BQ627" s="1"/>
      <c r="BR627" s="1"/>
      <c r="BS627" s="1"/>
      <c r="BT627" s="1"/>
      <c r="BU627" s="1"/>
      <c r="BV627" s="2"/>
      <c r="BW627" s="1"/>
      <c r="BX627" s="1"/>
      <c r="BY627" s="1"/>
      <c r="BZ627" s="1"/>
      <c r="CA627" s="1"/>
      <c r="CB627" s="1"/>
      <c r="CC627" s="1"/>
      <c r="CD627" s="1"/>
      <c r="CE627" s="2"/>
      <c r="CF627" s="1"/>
      <c r="CG627" s="1"/>
      <c r="CH627" s="1"/>
      <c r="CI627" s="1"/>
      <c r="CJ627" s="1"/>
      <c r="CK627" s="1"/>
      <c r="CL627" s="1"/>
    </row>
    <row r="628" spans="1:90" ht="14.65" x14ac:dyDescent="0.4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2"/>
      <c r="L628" s="1"/>
      <c r="M628" s="1"/>
      <c r="N628" s="1"/>
      <c r="O628" s="1"/>
      <c r="P628" s="1"/>
      <c r="Q628" s="1"/>
      <c r="R628" s="1"/>
      <c r="S628" s="1"/>
      <c r="T628" s="2"/>
      <c r="U628" s="1"/>
      <c r="V628" s="1"/>
      <c r="W628" s="1"/>
      <c r="X628" s="1"/>
      <c r="Y628" s="1"/>
      <c r="Z628" s="1"/>
      <c r="AA628" s="1"/>
      <c r="AB628" s="1"/>
      <c r="AC628" s="2"/>
      <c r="AD628" s="1"/>
      <c r="AE628" s="1"/>
      <c r="AF628" s="1"/>
      <c r="AG628" s="1"/>
      <c r="AH628" s="1"/>
      <c r="AI628" s="1"/>
      <c r="AJ628" s="1"/>
      <c r="AK628" s="1"/>
      <c r="AL628" s="2"/>
      <c r="AM628" s="1"/>
      <c r="AN628" s="1"/>
      <c r="AO628" s="1"/>
      <c r="AP628" s="1"/>
      <c r="AQ628" s="1"/>
      <c r="AR628" s="1"/>
      <c r="AS628" s="1"/>
      <c r="AT628" s="1"/>
      <c r="AU628" s="2"/>
      <c r="AV628" s="1"/>
      <c r="AW628" s="1"/>
      <c r="AX628" s="1"/>
      <c r="AY628" s="1"/>
      <c r="AZ628" s="1"/>
      <c r="BA628" s="1"/>
      <c r="BB628" s="1"/>
      <c r="BC628" s="1"/>
      <c r="BD628" s="2"/>
      <c r="BE628" s="1"/>
      <c r="BF628" s="1"/>
      <c r="BG628" s="1"/>
      <c r="BH628" s="1"/>
      <c r="BI628" s="1"/>
      <c r="BJ628" s="1"/>
      <c r="BK628" s="1"/>
      <c r="BL628" s="1"/>
      <c r="BM628" s="2"/>
      <c r="BN628" s="1"/>
      <c r="BO628" s="1"/>
      <c r="BP628" s="1"/>
      <c r="BQ628" s="1"/>
      <c r="BR628" s="1"/>
      <c r="BS628" s="1"/>
      <c r="BT628" s="1"/>
      <c r="BU628" s="1"/>
      <c r="BV628" s="2"/>
      <c r="BW628" s="1"/>
      <c r="BX628" s="1"/>
      <c r="BY628" s="1"/>
      <c r="BZ628" s="1"/>
      <c r="CA628" s="1"/>
      <c r="CB628" s="1"/>
      <c r="CC628" s="1"/>
      <c r="CD628" s="1"/>
      <c r="CE628" s="2"/>
      <c r="CF628" s="1"/>
      <c r="CG628" s="1"/>
      <c r="CH628" s="1"/>
      <c r="CI628" s="1"/>
      <c r="CJ628" s="1"/>
      <c r="CK628" s="1"/>
      <c r="CL628" s="1"/>
    </row>
    <row r="629" spans="1:90" ht="14.65" x14ac:dyDescent="0.4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2"/>
      <c r="L629" s="1"/>
      <c r="M629" s="1"/>
      <c r="N629" s="1"/>
      <c r="O629" s="1"/>
      <c r="P629" s="1"/>
      <c r="Q629" s="1"/>
      <c r="R629" s="1"/>
      <c r="S629" s="1"/>
      <c r="T629" s="2"/>
      <c r="U629" s="1"/>
      <c r="V629" s="1"/>
      <c r="W629" s="1"/>
      <c r="X629" s="1"/>
      <c r="Y629" s="1"/>
      <c r="Z629" s="1"/>
      <c r="AA629" s="1"/>
      <c r="AB629" s="1"/>
      <c r="AC629" s="2"/>
      <c r="AD629" s="1"/>
      <c r="AE629" s="1"/>
      <c r="AF629" s="1"/>
      <c r="AG629" s="1"/>
      <c r="AH629" s="1"/>
      <c r="AI629" s="1"/>
      <c r="AJ629" s="1"/>
      <c r="AK629" s="1"/>
      <c r="AL629" s="2"/>
      <c r="AM629" s="1"/>
      <c r="AN629" s="1"/>
      <c r="AO629" s="1"/>
      <c r="AP629" s="1"/>
      <c r="AQ629" s="1"/>
      <c r="AR629" s="1"/>
      <c r="AS629" s="1"/>
      <c r="AT629" s="1"/>
      <c r="AU629" s="2"/>
      <c r="AV629" s="1"/>
      <c r="AW629" s="1"/>
      <c r="AX629" s="1"/>
      <c r="AY629" s="1"/>
      <c r="AZ629" s="1"/>
      <c r="BA629" s="1"/>
      <c r="BB629" s="1"/>
      <c r="BC629" s="1"/>
      <c r="BD629" s="2"/>
      <c r="BE629" s="1"/>
      <c r="BF629" s="1"/>
      <c r="BG629" s="1"/>
      <c r="BH629" s="1"/>
      <c r="BI629" s="1"/>
      <c r="BJ629" s="1"/>
      <c r="BK629" s="1"/>
      <c r="BL629" s="1"/>
      <c r="BM629" s="2"/>
      <c r="BN629" s="1"/>
      <c r="BO629" s="1"/>
      <c r="BP629" s="1"/>
      <c r="BQ629" s="1"/>
      <c r="BR629" s="1"/>
      <c r="BS629" s="1"/>
      <c r="BT629" s="1"/>
      <c r="BU629" s="1"/>
      <c r="BV629" s="2"/>
      <c r="BW629" s="1"/>
      <c r="BX629" s="1"/>
      <c r="BY629" s="1"/>
      <c r="BZ629" s="1"/>
      <c r="CA629" s="1"/>
      <c r="CB629" s="1"/>
      <c r="CC629" s="1"/>
      <c r="CD629" s="1"/>
      <c r="CE629" s="2"/>
      <c r="CF629" s="1"/>
      <c r="CG629" s="1"/>
      <c r="CH629" s="1"/>
      <c r="CI629" s="1"/>
      <c r="CJ629" s="1"/>
      <c r="CK629" s="1"/>
      <c r="CL629" s="1"/>
    </row>
    <row r="630" spans="1:90" ht="14.65" x14ac:dyDescent="0.4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2"/>
      <c r="L630" s="1"/>
      <c r="M630" s="1"/>
      <c r="N630" s="1"/>
      <c r="O630" s="1"/>
      <c r="P630" s="1"/>
      <c r="Q630" s="1"/>
      <c r="R630" s="1"/>
      <c r="S630" s="1"/>
      <c r="T630" s="2"/>
      <c r="U630" s="1"/>
      <c r="V630" s="3"/>
      <c r="W630" s="1"/>
      <c r="X630" s="1"/>
      <c r="Y630" s="1"/>
      <c r="Z630" s="1"/>
      <c r="AA630" s="1"/>
      <c r="AB630" s="1"/>
      <c r="AC630" s="2"/>
      <c r="AD630" s="1"/>
      <c r="AE630" s="1"/>
      <c r="AF630" s="1"/>
      <c r="AG630" s="1"/>
      <c r="AH630" s="1"/>
      <c r="AI630" s="1"/>
      <c r="AJ630" s="1"/>
      <c r="AK630" s="1"/>
      <c r="AL630" s="2"/>
      <c r="AM630" s="1"/>
      <c r="AN630" s="1"/>
      <c r="AO630" s="1"/>
      <c r="AP630" s="1"/>
      <c r="AQ630" s="1"/>
      <c r="AR630" s="1"/>
      <c r="AS630" s="1"/>
      <c r="AT630" s="1"/>
      <c r="AU630" s="2"/>
      <c r="AV630" s="1"/>
      <c r="AW630" s="1"/>
      <c r="AX630" s="1"/>
      <c r="AY630" s="1"/>
      <c r="AZ630" s="1"/>
      <c r="BA630" s="1"/>
      <c r="BB630" s="1"/>
      <c r="BC630" s="1"/>
      <c r="BD630" s="2"/>
      <c r="BE630" s="1"/>
      <c r="BF630" s="1"/>
      <c r="BG630" s="1"/>
      <c r="BH630" s="1"/>
      <c r="BI630" s="1"/>
      <c r="BJ630" s="1"/>
      <c r="BK630" s="1"/>
      <c r="BL630" s="1"/>
      <c r="BM630" s="2"/>
      <c r="BN630" s="1"/>
      <c r="BO630" s="1"/>
      <c r="BP630" s="1"/>
      <c r="BQ630" s="1"/>
      <c r="BR630" s="1"/>
      <c r="BS630" s="1"/>
      <c r="BT630" s="1"/>
      <c r="BU630" s="1"/>
      <c r="BV630" s="2"/>
      <c r="BW630" s="1"/>
      <c r="BX630" s="1"/>
      <c r="BY630" s="1"/>
      <c r="BZ630" s="1"/>
      <c r="CA630" s="1"/>
      <c r="CB630" s="1"/>
      <c r="CC630" s="1"/>
      <c r="CD630" s="1"/>
      <c r="CE630" s="2"/>
      <c r="CF630" s="1"/>
      <c r="CG630" s="1"/>
      <c r="CH630" s="1"/>
      <c r="CI630" s="1"/>
      <c r="CJ630" s="1"/>
      <c r="CK630" s="1"/>
      <c r="CL630" s="1"/>
    </row>
    <row r="631" spans="1:90" ht="14.65" x14ac:dyDescent="0.4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2"/>
      <c r="L631" s="1"/>
      <c r="M631" s="1"/>
      <c r="N631" s="1"/>
      <c r="O631" s="1"/>
      <c r="P631" s="1"/>
      <c r="Q631" s="1"/>
      <c r="R631" s="1"/>
      <c r="S631" s="1"/>
      <c r="T631" s="2"/>
      <c r="U631" s="1"/>
      <c r="V631" s="1"/>
      <c r="W631" s="1"/>
      <c r="X631" s="1"/>
      <c r="Y631" s="1"/>
      <c r="Z631" s="1"/>
      <c r="AA631" s="1"/>
      <c r="AB631" s="1"/>
      <c r="AC631" s="2"/>
      <c r="AD631" s="1"/>
      <c r="AE631" s="1"/>
      <c r="AF631" s="1"/>
      <c r="AG631" s="1"/>
      <c r="AH631" s="1"/>
      <c r="AI631" s="1"/>
      <c r="AJ631" s="1"/>
      <c r="AK631" s="1"/>
      <c r="AL631" s="2"/>
      <c r="AM631" s="1"/>
      <c r="AN631" s="1"/>
      <c r="AO631" s="1"/>
      <c r="AP631" s="1"/>
      <c r="AQ631" s="1"/>
      <c r="AR631" s="1"/>
      <c r="AS631" s="1"/>
      <c r="AT631" s="1"/>
      <c r="AU631" s="2"/>
      <c r="AV631" s="1"/>
      <c r="AW631" s="1"/>
      <c r="AX631" s="1"/>
      <c r="AY631" s="1"/>
      <c r="AZ631" s="1"/>
      <c r="BA631" s="1"/>
      <c r="BB631" s="1"/>
      <c r="BC631" s="1"/>
      <c r="BD631" s="2"/>
      <c r="BE631" s="1"/>
      <c r="BF631" s="1"/>
      <c r="BG631" s="1"/>
      <c r="BH631" s="1"/>
      <c r="BI631" s="1"/>
      <c r="BJ631" s="1"/>
      <c r="BK631" s="1"/>
      <c r="BL631" s="1"/>
      <c r="BM631" s="2"/>
      <c r="BN631" s="1"/>
      <c r="BO631" s="1"/>
      <c r="BP631" s="1"/>
      <c r="BQ631" s="1"/>
      <c r="BR631" s="1"/>
      <c r="BS631" s="1"/>
      <c r="BT631" s="1"/>
      <c r="BU631" s="1"/>
      <c r="BV631" s="2"/>
      <c r="BW631" s="1"/>
      <c r="BX631" s="1"/>
      <c r="BY631" s="1"/>
      <c r="BZ631" s="1"/>
      <c r="CA631" s="1"/>
      <c r="CB631" s="1"/>
      <c r="CC631" s="1"/>
      <c r="CD631" s="1"/>
      <c r="CE631" s="2"/>
      <c r="CF631" s="1"/>
      <c r="CG631" s="1"/>
      <c r="CH631" s="1"/>
      <c r="CI631" s="1"/>
      <c r="CJ631" s="1"/>
      <c r="CK631" s="1"/>
      <c r="CL631" s="1"/>
    </row>
    <row r="632" spans="1:90" ht="14.65" x14ac:dyDescent="0.4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2"/>
      <c r="L632" s="1"/>
      <c r="M632" s="1"/>
      <c r="N632" s="1"/>
      <c r="O632" s="1"/>
      <c r="P632" s="1"/>
      <c r="Q632" s="1"/>
      <c r="R632" s="1"/>
      <c r="S632" s="1"/>
      <c r="T632" s="2"/>
      <c r="U632" s="1"/>
      <c r="V632" s="1"/>
      <c r="W632" s="1"/>
      <c r="X632" s="1"/>
      <c r="Y632" s="1"/>
      <c r="Z632" s="1"/>
      <c r="AA632" s="1"/>
      <c r="AB632" s="1"/>
      <c r="AC632" s="2"/>
      <c r="AD632" s="1"/>
      <c r="AE632" s="1"/>
      <c r="AF632" s="1"/>
      <c r="AG632" s="1"/>
      <c r="AH632" s="1"/>
      <c r="AI632" s="1"/>
      <c r="AJ632" s="1"/>
      <c r="AK632" s="1"/>
      <c r="AL632" s="2"/>
      <c r="AM632" s="1"/>
      <c r="AN632" s="1"/>
      <c r="AO632" s="1"/>
      <c r="AP632" s="1"/>
      <c r="AQ632" s="1"/>
      <c r="AR632" s="1"/>
      <c r="AS632" s="1"/>
      <c r="AT632" s="1"/>
      <c r="AU632" s="2"/>
      <c r="AV632" s="1"/>
      <c r="AW632" s="1"/>
      <c r="AX632" s="1"/>
      <c r="AY632" s="1"/>
      <c r="AZ632" s="1"/>
      <c r="BA632" s="1"/>
      <c r="BB632" s="1"/>
      <c r="BC632" s="1"/>
      <c r="BD632" s="2"/>
      <c r="BE632" s="1"/>
      <c r="BF632" s="1"/>
      <c r="BG632" s="1"/>
      <c r="BH632" s="1"/>
      <c r="BI632" s="1"/>
      <c r="BJ632" s="1"/>
      <c r="BK632" s="1"/>
      <c r="BL632" s="1"/>
      <c r="BM632" s="2"/>
      <c r="BN632" s="1"/>
      <c r="BO632" s="1"/>
      <c r="BP632" s="1"/>
      <c r="BQ632" s="1"/>
      <c r="BR632" s="1"/>
      <c r="BS632" s="1"/>
      <c r="BT632" s="1"/>
      <c r="BU632" s="1"/>
      <c r="BV632" s="2"/>
      <c r="BW632" s="1"/>
      <c r="BX632" s="1"/>
      <c r="BY632" s="1"/>
      <c r="BZ632" s="1"/>
      <c r="CA632" s="1"/>
      <c r="CB632" s="1"/>
      <c r="CC632" s="1"/>
      <c r="CD632" s="1"/>
      <c r="CE632" s="2"/>
      <c r="CF632" s="1"/>
      <c r="CG632" s="1"/>
      <c r="CH632" s="1"/>
      <c r="CI632" s="1"/>
      <c r="CJ632" s="1"/>
      <c r="CK632" s="1"/>
      <c r="CL632" s="1"/>
    </row>
    <row r="633" spans="1:90" ht="14.65" x14ac:dyDescent="0.4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2"/>
      <c r="L633" s="1"/>
      <c r="M633" s="1"/>
      <c r="N633" s="1"/>
      <c r="O633" s="1"/>
      <c r="P633" s="1"/>
      <c r="Q633" s="1"/>
      <c r="R633" s="1"/>
      <c r="S633" s="1"/>
      <c r="T633" s="2"/>
      <c r="U633" s="1"/>
      <c r="V633" s="1"/>
      <c r="W633" s="1"/>
      <c r="X633" s="1"/>
      <c r="Y633" s="1"/>
      <c r="Z633" s="1"/>
      <c r="AA633" s="1"/>
      <c r="AB633" s="1"/>
      <c r="AC633" s="2"/>
      <c r="AD633" s="1"/>
      <c r="AE633" s="1"/>
      <c r="AF633" s="1"/>
      <c r="AG633" s="1"/>
      <c r="AH633" s="1"/>
      <c r="AI633" s="1"/>
      <c r="AJ633" s="1"/>
      <c r="AK633" s="1"/>
      <c r="AL633" s="2"/>
      <c r="AM633" s="1"/>
      <c r="AN633" s="1"/>
      <c r="AO633" s="1"/>
      <c r="AP633" s="1"/>
      <c r="AQ633" s="1"/>
      <c r="AR633" s="1"/>
      <c r="AS633" s="1"/>
      <c r="AT633" s="1"/>
      <c r="AU633" s="2"/>
      <c r="AV633" s="1"/>
      <c r="AW633" s="1"/>
      <c r="AX633" s="1"/>
      <c r="AY633" s="1"/>
      <c r="AZ633" s="1"/>
      <c r="BA633" s="1"/>
      <c r="BB633" s="1"/>
      <c r="BC633" s="1"/>
      <c r="BD633" s="2"/>
      <c r="BE633" s="1"/>
      <c r="BF633" s="1"/>
      <c r="BG633" s="1"/>
      <c r="BH633" s="1"/>
      <c r="BI633" s="1"/>
      <c r="BJ633" s="1"/>
      <c r="BK633" s="1"/>
      <c r="BL633" s="1"/>
      <c r="BM633" s="2"/>
      <c r="BN633" s="1"/>
      <c r="BO633" s="1"/>
      <c r="BP633" s="1"/>
      <c r="BQ633" s="1"/>
      <c r="BR633" s="1"/>
      <c r="BS633" s="1"/>
      <c r="BT633" s="1"/>
      <c r="BU633" s="1"/>
      <c r="BV633" s="2"/>
      <c r="BW633" s="1"/>
      <c r="BX633" s="1"/>
      <c r="BY633" s="1"/>
      <c r="BZ633" s="1"/>
      <c r="CA633" s="1"/>
      <c r="CB633" s="1"/>
      <c r="CC633" s="1"/>
      <c r="CD633" s="1"/>
      <c r="CE633" s="2"/>
      <c r="CF633" s="1"/>
      <c r="CG633" s="1"/>
      <c r="CH633" s="1"/>
      <c r="CI633" s="1"/>
      <c r="CJ633" s="1"/>
      <c r="CK633" s="1"/>
      <c r="CL633" s="1"/>
    </row>
    <row r="634" spans="1:90" ht="14.65" x14ac:dyDescent="0.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2"/>
      <c r="L634" s="1"/>
      <c r="M634" s="1"/>
      <c r="N634" s="1"/>
      <c r="O634" s="1"/>
      <c r="P634" s="1"/>
      <c r="Q634" s="1"/>
      <c r="R634" s="1"/>
      <c r="S634" s="1"/>
      <c r="T634" s="2"/>
      <c r="U634" s="1"/>
      <c r="V634" s="1"/>
      <c r="W634" s="1"/>
      <c r="X634" s="1"/>
      <c r="Y634" s="1"/>
      <c r="Z634" s="1"/>
      <c r="AA634" s="1"/>
      <c r="AB634" s="1"/>
      <c r="AC634" s="2"/>
      <c r="AD634" s="1"/>
      <c r="AE634" s="1"/>
      <c r="AF634" s="1"/>
      <c r="AG634" s="1"/>
      <c r="AH634" s="1"/>
      <c r="AI634" s="1"/>
      <c r="AJ634" s="1"/>
      <c r="AK634" s="1"/>
      <c r="AL634" s="2"/>
      <c r="AM634" s="1"/>
      <c r="AN634" s="1"/>
      <c r="AO634" s="1"/>
      <c r="AP634" s="1"/>
      <c r="AQ634" s="1"/>
      <c r="AR634" s="1"/>
      <c r="AS634" s="1"/>
      <c r="AT634" s="1"/>
      <c r="AU634" s="2"/>
      <c r="AV634" s="1"/>
      <c r="AW634" s="1"/>
      <c r="AX634" s="1"/>
      <c r="AY634" s="1"/>
      <c r="AZ634" s="1"/>
      <c r="BA634" s="1"/>
      <c r="BB634" s="1"/>
      <c r="BC634" s="1"/>
      <c r="BD634" s="2"/>
      <c r="BE634" s="1"/>
      <c r="BF634" s="1"/>
      <c r="BG634" s="1"/>
      <c r="BH634" s="1"/>
      <c r="BI634" s="1"/>
      <c r="BJ634" s="1"/>
      <c r="BK634" s="1"/>
      <c r="BL634" s="1"/>
      <c r="BM634" s="2"/>
      <c r="BN634" s="1"/>
      <c r="BO634" s="1"/>
      <c r="BP634" s="1"/>
      <c r="BQ634" s="1"/>
      <c r="BR634" s="1"/>
      <c r="BS634" s="1"/>
      <c r="BT634" s="1"/>
      <c r="BU634" s="1"/>
      <c r="BV634" s="2"/>
      <c r="BW634" s="1"/>
      <c r="BX634" s="1"/>
      <c r="BY634" s="1"/>
      <c r="BZ634" s="1"/>
      <c r="CA634" s="1"/>
      <c r="CB634" s="1"/>
      <c r="CC634" s="1"/>
      <c r="CD634" s="1"/>
      <c r="CE634" s="2"/>
      <c r="CF634" s="1"/>
      <c r="CG634" s="1"/>
      <c r="CH634" s="1"/>
      <c r="CI634" s="1"/>
      <c r="CJ634" s="1"/>
      <c r="CK634" s="1"/>
      <c r="CL634" s="1"/>
    </row>
    <row r="635" spans="1:90" ht="14.65" x14ac:dyDescent="0.4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2"/>
      <c r="L635" s="1"/>
      <c r="M635" s="1"/>
      <c r="N635" s="1"/>
      <c r="O635" s="1"/>
      <c r="P635" s="1"/>
      <c r="Q635" s="1"/>
      <c r="R635" s="1"/>
      <c r="S635" s="1"/>
      <c r="T635" s="2"/>
      <c r="U635" s="1"/>
      <c r="V635" s="1"/>
      <c r="W635" s="1"/>
      <c r="X635" s="1"/>
      <c r="Y635" s="1"/>
      <c r="Z635" s="1"/>
      <c r="AA635" s="1"/>
      <c r="AB635" s="1"/>
      <c r="AC635" s="2"/>
      <c r="AD635" s="1"/>
      <c r="AE635" s="1"/>
      <c r="AF635" s="1"/>
      <c r="AG635" s="1"/>
      <c r="AH635" s="1"/>
      <c r="AI635" s="1"/>
      <c r="AJ635" s="1"/>
      <c r="AK635" s="1"/>
      <c r="AL635" s="2"/>
      <c r="AM635" s="1"/>
      <c r="AN635" s="1"/>
      <c r="AO635" s="1"/>
      <c r="AP635" s="1"/>
      <c r="AQ635" s="1"/>
      <c r="AR635" s="1"/>
      <c r="AS635" s="1"/>
      <c r="AT635" s="1"/>
      <c r="AU635" s="2"/>
      <c r="AV635" s="1"/>
      <c r="AW635" s="1"/>
      <c r="AX635" s="1"/>
      <c r="AY635" s="1"/>
      <c r="AZ635" s="1"/>
      <c r="BA635" s="1"/>
      <c r="BB635" s="1"/>
      <c r="BC635" s="1"/>
      <c r="BD635" s="2"/>
      <c r="BE635" s="1"/>
      <c r="BF635" s="1"/>
      <c r="BG635" s="1"/>
      <c r="BH635" s="1"/>
      <c r="BI635" s="1"/>
      <c r="BJ635" s="1"/>
      <c r="BK635" s="1"/>
      <c r="BL635" s="1"/>
      <c r="BM635" s="2"/>
      <c r="BN635" s="1"/>
      <c r="BO635" s="1"/>
      <c r="BP635" s="1"/>
      <c r="BQ635" s="1"/>
      <c r="BR635" s="1"/>
      <c r="BS635" s="1"/>
      <c r="BT635" s="1"/>
      <c r="BU635" s="1"/>
      <c r="BV635" s="2"/>
      <c r="BW635" s="1"/>
      <c r="BX635" s="1"/>
      <c r="BY635" s="1"/>
      <c r="BZ635" s="1"/>
      <c r="CA635" s="1"/>
      <c r="CB635" s="1"/>
      <c r="CC635" s="1"/>
      <c r="CD635" s="1"/>
      <c r="CE635" s="2"/>
      <c r="CF635" s="1"/>
      <c r="CG635" s="1"/>
      <c r="CH635" s="1"/>
      <c r="CI635" s="1"/>
      <c r="CJ635" s="1"/>
      <c r="CK635" s="1"/>
      <c r="CL635" s="1"/>
    </row>
    <row r="636" spans="1:90" ht="14.65" x14ac:dyDescent="0.4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2"/>
      <c r="L636" s="1"/>
      <c r="M636" s="1"/>
      <c r="N636" s="1"/>
      <c r="O636" s="1"/>
      <c r="P636" s="1"/>
      <c r="Q636" s="1"/>
      <c r="R636" s="1"/>
      <c r="S636" s="1"/>
      <c r="T636" s="2"/>
      <c r="U636" s="1"/>
      <c r="V636" s="1"/>
      <c r="W636" s="1"/>
      <c r="X636" s="1"/>
      <c r="Y636" s="1"/>
      <c r="Z636" s="1"/>
      <c r="AA636" s="1"/>
      <c r="AB636" s="1"/>
      <c r="AC636" s="2"/>
      <c r="AD636" s="1"/>
      <c r="AE636" s="1"/>
      <c r="AF636" s="1"/>
      <c r="AG636" s="1"/>
      <c r="AH636" s="1"/>
      <c r="AI636" s="1"/>
      <c r="AJ636" s="1"/>
      <c r="AK636" s="1"/>
      <c r="AL636" s="2"/>
      <c r="AM636" s="1"/>
      <c r="AN636" s="1"/>
      <c r="AO636" s="1"/>
      <c r="AP636" s="1"/>
      <c r="AQ636" s="1"/>
      <c r="AR636" s="1"/>
      <c r="AS636" s="1"/>
      <c r="AT636" s="1"/>
      <c r="AU636" s="2"/>
      <c r="AV636" s="1"/>
      <c r="AW636" s="1"/>
      <c r="AX636" s="1"/>
      <c r="AY636" s="1"/>
      <c r="AZ636" s="1"/>
      <c r="BA636" s="1"/>
      <c r="BB636" s="1"/>
      <c r="BC636" s="1"/>
      <c r="BD636" s="2"/>
      <c r="BE636" s="1"/>
      <c r="BF636" s="1"/>
      <c r="BG636" s="1"/>
      <c r="BH636" s="1"/>
      <c r="BI636" s="1"/>
      <c r="BJ636" s="1"/>
      <c r="BK636" s="1"/>
      <c r="BL636" s="1"/>
      <c r="BM636" s="2"/>
      <c r="BN636" s="1"/>
      <c r="BO636" s="1"/>
      <c r="BP636" s="1"/>
      <c r="BQ636" s="1"/>
      <c r="BR636" s="1"/>
      <c r="BS636" s="1"/>
      <c r="BT636" s="1"/>
      <c r="BU636" s="1"/>
      <c r="BV636" s="2"/>
      <c r="BW636" s="1"/>
      <c r="BX636" s="1"/>
      <c r="BY636" s="1"/>
      <c r="BZ636" s="1"/>
      <c r="CA636" s="1"/>
      <c r="CB636" s="1"/>
      <c r="CC636" s="1"/>
      <c r="CD636" s="1"/>
      <c r="CE636" s="2"/>
      <c r="CF636" s="1"/>
      <c r="CG636" s="1"/>
      <c r="CH636" s="1"/>
      <c r="CI636" s="1"/>
      <c r="CJ636" s="1"/>
      <c r="CK636" s="1"/>
      <c r="CL636" s="1"/>
    </row>
    <row r="637" spans="1:90" ht="14.65" x14ac:dyDescent="0.4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2"/>
      <c r="L637" s="1"/>
      <c r="M637" s="1"/>
      <c r="N637" s="1"/>
      <c r="O637" s="1"/>
      <c r="P637" s="1"/>
      <c r="Q637" s="1"/>
      <c r="R637" s="1"/>
      <c r="S637" s="1"/>
      <c r="T637" s="2"/>
      <c r="U637" s="1"/>
      <c r="V637" s="1"/>
      <c r="W637" s="1"/>
      <c r="X637" s="1"/>
      <c r="Y637" s="1"/>
      <c r="Z637" s="1"/>
      <c r="AA637" s="1"/>
      <c r="AB637" s="1"/>
      <c r="AC637" s="2"/>
      <c r="AD637" s="1"/>
      <c r="AE637" s="1"/>
      <c r="AF637" s="1"/>
      <c r="AG637" s="1"/>
      <c r="AH637" s="1"/>
      <c r="AI637" s="1"/>
      <c r="AJ637" s="1"/>
      <c r="AK637" s="1"/>
      <c r="AL637" s="2"/>
      <c r="AM637" s="1"/>
      <c r="AN637" s="1"/>
      <c r="AO637" s="1"/>
      <c r="AP637" s="1"/>
      <c r="AQ637" s="1"/>
      <c r="AR637" s="1"/>
      <c r="AS637" s="1"/>
      <c r="AT637" s="1"/>
      <c r="AU637" s="2"/>
      <c r="AV637" s="1"/>
      <c r="AW637" s="1"/>
      <c r="AX637" s="1"/>
      <c r="AY637" s="1"/>
      <c r="AZ637" s="1"/>
      <c r="BA637" s="1"/>
      <c r="BB637" s="1"/>
      <c r="BC637" s="1"/>
      <c r="BD637" s="2"/>
      <c r="BE637" s="1"/>
      <c r="BF637" s="1"/>
      <c r="BG637" s="1"/>
      <c r="BH637" s="1"/>
      <c r="BI637" s="1"/>
      <c r="BJ637" s="1"/>
      <c r="BK637" s="1"/>
      <c r="BL637" s="1"/>
      <c r="BM637" s="2"/>
      <c r="BN637" s="1"/>
      <c r="BO637" s="1"/>
      <c r="BP637" s="1"/>
      <c r="BQ637" s="1"/>
      <c r="BR637" s="1"/>
      <c r="BS637" s="1"/>
      <c r="BT637" s="1"/>
      <c r="BU637" s="1"/>
      <c r="BV637" s="2"/>
      <c r="BW637" s="1"/>
      <c r="BX637" s="1"/>
      <c r="BY637" s="1"/>
      <c r="BZ637" s="1"/>
      <c r="CA637" s="1"/>
      <c r="CB637" s="1"/>
      <c r="CC637" s="1"/>
      <c r="CD637" s="1"/>
      <c r="CE637" s="2"/>
      <c r="CF637" s="1"/>
      <c r="CG637" s="1"/>
      <c r="CH637" s="1"/>
      <c r="CI637" s="1"/>
      <c r="CJ637" s="1"/>
      <c r="CK637" s="1"/>
      <c r="CL637" s="1"/>
    </row>
    <row r="638" spans="1:90" ht="14.65" x14ac:dyDescent="0.4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2"/>
      <c r="L638" s="1"/>
      <c r="M638" s="1"/>
      <c r="N638" s="1"/>
      <c r="O638" s="1"/>
      <c r="P638" s="1"/>
      <c r="Q638" s="1"/>
      <c r="R638" s="1"/>
      <c r="S638" s="1"/>
      <c r="T638" s="2"/>
      <c r="U638" s="1"/>
      <c r="V638" s="1"/>
      <c r="W638" s="1"/>
      <c r="X638" s="1"/>
      <c r="Y638" s="1"/>
      <c r="Z638" s="1"/>
      <c r="AA638" s="1"/>
      <c r="AB638" s="1"/>
      <c r="AC638" s="2"/>
      <c r="AD638" s="1"/>
      <c r="AE638" s="1"/>
      <c r="AF638" s="1"/>
      <c r="AG638" s="1"/>
      <c r="AH638" s="1"/>
      <c r="AI638" s="1"/>
      <c r="AJ638" s="1"/>
      <c r="AK638" s="1"/>
      <c r="AL638" s="2"/>
      <c r="AM638" s="1"/>
      <c r="AN638" s="1"/>
      <c r="AO638" s="1"/>
      <c r="AP638" s="1"/>
      <c r="AQ638" s="1"/>
      <c r="AR638" s="1"/>
      <c r="AS638" s="1"/>
      <c r="AT638" s="1"/>
      <c r="AU638" s="2"/>
      <c r="AV638" s="1"/>
      <c r="AW638" s="1"/>
      <c r="AX638" s="1"/>
      <c r="AY638" s="1"/>
      <c r="AZ638" s="1"/>
      <c r="BA638" s="1"/>
      <c r="BB638" s="1"/>
      <c r="BC638" s="1"/>
      <c r="BD638" s="2"/>
      <c r="BE638" s="1"/>
      <c r="BF638" s="1"/>
      <c r="BG638" s="1"/>
      <c r="BH638" s="1"/>
      <c r="BI638" s="1"/>
      <c r="BJ638" s="1"/>
      <c r="BK638" s="1"/>
      <c r="BL638" s="1"/>
      <c r="BM638" s="2"/>
      <c r="BN638" s="1"/>
      <c r="BO638" s="1"/>
      <c r="BP638" s="1"/>
      <c r="BQ638" s="1"/>
      <c r="BR638" s="1"/>
      <c r="BS638" s="1"/>
      <c r="BT638" s="1"/>
      <c r="BU638" s="1"/>
      <c r="BV638" s="2"/>
      <c r="BW638" s="1"/>
      <c r="BX638" s="1"/>
      <c r="BY638" s="1"/>
      <c r="BZ638" s="1"/>
      <c r="CA638" s="1"/>
      <c r="CB638" s="1"/>
      <c r="CC638" s="1"/>
      <c r="CD638" s="1"/>
      <c r="CE638" s="2"/>
      <c r="CF638" s="1"/>
      <c r="CG638" s="1"/>
      <c r="CH638" s="1"/>
      <c r="CI638" s="1"/>
      <c r="CJ638" s="1"/>
      <c r="CK638" s="1"/>
      <c r="CL638" s="1"/>
    </row>
    <row r="639" spans="1:90" ht="14.65" x14ac:dyDescent="0.4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2"/>
      <c r="L639" s="1"/>
      <c r="M639" s="1"/>
      <c r="N639" s="1"/>
      <c r="O639" s="1"/>
      <c r="P639" s="1"/>
      <c r="Q639" s="1"/>
      <c r="R639" s="1"/>
      <c r="S639" s="1"/>
      <c r="T639" s="2"/>
      <c r="U639" s="1"/>
      <c r="V639" s="1"/>
      <c r="W639" s="1"/>
      <c r="X639" s="1"/>
      <c r="Y639" s="1"/>
      <c r="Z639" s="1"/>
      <c r="AA639" s="1"/>
      <c r="AB639" s="1"/>
      <c r="AC639" s="2"/>
      <c r="AD639" s="1"/>
      <c r="AE639" s="1"/>
      <c r="AF639" s="1"/>
      <c r="AG639" s="1"/>
      <c r="AH639" s="1"/>
      <c r="AI639" s="1"/>
      <c r="AJ639" s="1"/>
      <c r="AK639" s="1"/>
      <c r="AL639" s="2"/>
      <c r="AM639" s="1"/>
      <c r="AN639" s="1"/>
      <c r="AO639" s="1"/>
      <c r="AP639" s="1"/>
      <c r="AQ639" s="1"/>
      <c r="AR639" s="1"/>
      <c r="AS639" s="1"/>
      <c r="AT639" s="1"/>
      <c r="AU639" s="2"/>
      <c r="AV639" s="1"/>
      <c r="AW639" s="1"/>
      <c r="AX639" s="1"/>
      <c r="AY639" s="1"/>
      <c r="AZ639" s="1"/>
      <c r="BA639" s="1"/>
      <c r="BB639" s="1"/>
      <c r="BC639" s="1"/>
      <c r="BD639" s="2"/>
      <c r="BE639" s="1"/>
      <c r="BF639" s="1"/>
      <c r="BG639" s="1"/>
      <c r="BH639" s="1"/>
      <c r="BI639" s="1"/>
      <c r="BJ639" s="1"/>
      <c r="BK639" s="1"/>
      <c r="BL639" s="1"/>
      <c r="BM639" s="2"/>
      <c r="BN639" s="1"/>
      <c r="BO639" s="1"/>
      <c r="BP639" s="1"/>
      <c r="BQ639" s="1"/>
      <c r="BR639" s="1"/>
      <c r="BS639" s="1"/>
      <c r="BT639" s="1"/>
      <c r="BU639" s="1"/>
      <c r="BV639" s="2"/>
      <c r="BW639" s="1"/>
      <c r="BX639" s="1"/>
      <c r="BY639" s="1"/>
      <c r="BZ639" s="1"/>
      <c r="CA639" s="1"/>
      <c r="CB639" s="1"/>
      <c r="CC639" s="1"/>
      <c r="CD639" s="1"/>
      <c r="CE639" s="2"/>
      <c r="CF639" s="1"/>
      <c r="CG639" s="1"/>
      <c r="CH639" s="1"/>
      <c r="CI639" s="1"/>
      <c r="CJ639" s="1"/>
      <c r="CK639" s="1"/>
      <c r="CL639" s="1"/>
    </row>
    <row r="640" spans="1:90" ht="14.65" x14ac:dyDescent="0.4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2"/>
      <c r="L640" s="1"/>
      <c r="M640" s="1"/>
      <c r="N640" s="1"/>
      <c r="O640" s="1"/>
      <c r="P640" s="1"/>
      <c r="Q640" s="1"/>
      <c r="R640" s="1"/>
      <c r="S640" s="1"/>
      <c r="T640" s="2"/>
      <c r="U640" s="1"/>
      <c r="V640" s="1"/>
      <c r="W640" s="1"/>
      <c r="X640" s="1"/>
      <c r="Y640" s="1"/>
      <c r="Z640" s="1"/>
      <c r="AA640" s="1"/>
      <c r="AB640" s="1"/>
      <c r="AC640" s="2"/>
      <c r="AD640" s="1"/>
      <c r="AE640" s="1"/>
      <c r="AF640" s="1"/>
      <c r="AG640" s="1"/>
      <c r="AH640" s="1"/>
      <c r="AI640" s="1"/>
      <c r="AJ640" s="1"/>
      <c r="AK640" s="1"/>
      <c r="AL640" s="2"/>
      <c r="AM640" s="1"/>
      <c r="AN640" s="1"/>
      <c r="AO640" s="1"/>
      <c r="AP640" s="1"/>
      <c r="AQ640" s="1"/>
      <c r="AR640" s="1"/>
      <c r="AS640" s="1"/>
      <c r="AT640" s="1"/>
      <c r="AU640" s="2"/>
      <c r="AV640" s="1"/>
      <c r="AW640" s="1"/>
      <c r="AX640" s="1"/>
      <c r="AY640" s="1"/>
      <c r="AZ640" s="1"/>
      <c r="BA640" s="1"/>
      <c r="BB640" s="1"/>
      <c r="BC640" s="1"/>
      <c r="BD640" s="2"/>
      <c r="BE640" s="1"/>
      <c r="BF640" s="1"/>
      <c r="BG640" s="1"/>
      <c r="BH640" s="1"/>
      <c r="BI640" s="1"/>
      <c r="BJ640" s="1"/>
      <c r="BK640" s="1"/>
      <c r="BL640" s="1"/>
      <c r="BM640" s="2"/>
      <c r="BN640" s="1"/>
      <c r="BO640" s="1"/>
      <c r="BP640" s="1"/>
      <c r="BQ640" s="1"/>
      <c r="BR640" s="1"/>
      <c r="BS640" s="1"/>
      <c r="BT640" s="1"/>
      <c r="BU640" s="1"/>
      <c r="BV640" s="2"/>
      <c r="BW640" s="1"/>
      <c r="BX640" s="1"/>
      <c r="BY640" s="1"/>
      <c r="BZ640" s="1"/>
      <c r="CA640" s="1"/>
      <c r="CB640" s="1"/>
      <c r="CC640" s="1"/>
      <c r="CD640" s="1"/>
      <c r="CE640" s="2"/>
      <c r="CF640" s="1"/>
      <c r="CG640" s="1"/>
      <c r="CH640" s="1"/>
      <c r="CI640" s="1"/>
      <c r="CJ640" s="1"/>
      <c r="CK640" s="1"/>
      <c r="CL640" s="1"/>
    </row>
    <row r="641" spans="1:90" ht="14.65" x14ac:dyDescent="0.4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2"/>
      <c r="L641" s="1"/>
      <c r="M641" s="1"/>
      <c r="N641" s="1"/>
      <c r="O641" s="1"/>
      <c r="P641" s="1"/>
      <c r="Q641" s="1"/>
      <c r="R641" s="1"/>
      <c r="S641" s="1"/>
      <c r="T641" s="2"/>
      <c r="U641" s="1"/>
      <c r="V641" s="1"/>
      <c r="W641" s="1"/>
      <c r="X641" s="1"/>
      <c r="Y641" s="1"/>
      <c r="Z641" s="1"/>
      <c r="AA641" s="1"/>
      <c r="AB641" s="1"/>
      <c r="AC641" s="2"/>
      <c r="AD641" s="1"/>
      <c r="AE641" s="1"/>
      <c r="AF641" s="1"/>
      <c r="AG641" s="1"/>
      <c r="AH641" s="1"/>
      <c r="AI641" s="1"/>
      <c r="AJ641" s="1"/>
      <c r="AK641" s="1"/>
      <c r="AL641" s="2"/>
      <c r="AM641" s="1"/>
      <c r="AN641" s="1"/>
      <c r="AO641" s="1"/>
      <c r="AP641" s="1"/>
      <c r="AQ641" s="1"/>
      <c r="AR641" s="1"/>
      <c r="AS641" s="1"/>
      <c r="AT641" s="1"/>
      <c r="AU641" s="2"/>
      <c r="AV641" s="1"/>
      <c r="AW641" s="1"/>
      <c r="AX641" s="1"/>
      <c r="AY641" s="1"/>
      <c r="AZ641" s="1"/>
      <c r="BA641" s="1"/>
      <c r="BB641" s="1"/>
      <c r="BC641" s="1"/>
      <c r="BD641" s="2"/>
      <c r="BE641" s="1"/>
      <c r="BF641" s="1"/>
      <c r="BG641" s="1"/>
      <c r="BH641" s="1"/>
      <c r="BI641" s="1"/>
      <c r="BJ641" s="1"/>
      <c r="BK641" s="1"/>
      <c r="BL641" s="1"/>
      <c r="BM641" s="2"/>
      <c r="BN641" s="1"/>
      <c r="BO641" s="1"/>
      <c r="BP641" s="1"/>
      <c r="BQ641" s="1"/>
      <c r="BR641" s="1"/>
      <c r="BS641" s="1"/>
      <c r="BT641" s="1"/>
      <c r="BU641" s="1"/>
      <c r="BV641" s="2"/>
      <c r="BW641" s="1"/>
      <c r="BX641" s="1"/>
      <c r="BY641" s="1"/>
      <c r="BZ641" s="1"/>
      <c r="CA641" s="1"/>
      <c r="CB641" s="1"/>
      <c r="CC641" s="1"/>
      <c r="CD641" s="1"/>
      <c r="CE641" s="2"/>
      <c r="CF641" s="1"/>
      <c r="CG641" s="1"/>
      <c r="CH641" s="1"/>
      <c r="CI641" s="1"/>
      <c r="CJ641" s="1"/>
      <c r="CK641" s="1"/>
      <c r="CL641" s="1"/>
    </row>
    <row r="642" spans="1:90" ht="14.65" x14ac:dyDescent="0.4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2"/>
      <c r="L642" s="1"/>
      <c r="M642" s="1"/>
      <c r="N642" s="1"/>
      <c r="O642" s="1"/>
      <c r="P642" s="1"/>
      <c r="Q642" s="1"/>
      <c r="R642" s="1"/>
      <c r="S642" s="1"/>
      <c r="T642" s="2"/>
      <c r="U642" s="1"/>
      <c r="V642" s="1"/>
      <c r="W642" s="1"/>
      <c r="X642" s="1"/>
      <c r="Y642" s="1"/>
      <c r="Z642" s="1"/>
      <c r="AA642" s="1"/>
      <c r="AB642" s="1"/>
      <c r="AC642" s="2"/>
      <c r="AD642" s="1"/>
      <c r="AE642" s="1"/>
      <c r="AF642" s="1"/>
      <c r="AG642" s="1"/>
      <c r="AH642" s="1"/>
      <c r="AI642" s="1"/>
      <c r="AJ642" s="1"/>
      <c r="AK642" s="1"/>
      <c r="AL642" s="2"/>
      <c r="AM642" s="1"/>
      <c r="AN642" s="1"/>
      <c r="AO642" s="1"/>
      <c r="AP642" s="1"/>
      <c r="AQ642" s="1"/>
      <c r="AR642" s="1"/>
      <c r="AS642" s="1"/>
      <c r="AT642" s="1"/>
      <c r="AU642" s="2"/>
      <c r="AV642" s="1"/>
      <c r="AW642" s="1"/>
      <c r="AX642" s="1"/>
      <c r="AY642" s="1"/>
      <c r="AZ642" s="1"/>
      <c r="BA642" s="1"/>
      <c r="BB642" s="1"/>
      <c r="BC642" s="1"/>
      <c r="BD642" s="2"/>
      <c r="BE642" s="1"/>
      <c r="BF642" s="1"/>
      <c r="BG642" s="1"/>
      <c r="BH642" s="1"/>
      <c r="BI642" s="1"/>
      <c r="BJ642" s="1"/>
      <c r="BK642" s="1"/>
      <c r="BL642" s="1"/>
      <c r="BM642" s="2"/>
      <c r="BN642" s="1"/>
      <c r="BO642" s="1"/>
      <c r="BP642" s="1"/>
      <c r="BQ642" s="1"/>
      <c r="BR642" s="1"/>
      <c r="BS642" s="1"/>
      <c r="BT642" s="1"/>
      <c r="BU642" s="1"/>
      <c r="BV642" s="2"/>
      <c r="BW642" s="1"/>
      <c r="BX642" s="1"/>
      <c r="BY642" s="1"/>
      <c r="BZ642" s="1"/>
      <c r="CA642" s="1"/>
      <c r="CB642" s="1"/>
      <c r="CC642" s="1"/>
      <c r="CD642" s="1"/>
      <c r="CE642" s="2"/>
      <c r="CF642" s="1"/>
      <c r="CG642" s="1"/>
      <c r="CH642" s="1"/>
      <c r="CI642" s="1"/>
      <c r="CJ642" s="1"/>
      <c r="CK642" s="1"/>
      <c r="CL642" s="1"/>
    </row>
    <row r="643" spans="1:90" ht="14.65" x14ac:dyDescent="0.4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2"/>
      <c r="L643" s="1"/>
      <c r="M643" s="1"/>
      <c r="N643" s="1"/>
      <c r="O643" s="1"/>
      <c r="P643" s="1"/>
      <c r="Q643" s="1"/>
      <c r="R643" s="1"/>
      <c r="S643" s="1"/>
      <c r="T643" s="2"/>
      <c r="U643" s="1"/>
      <c r="V643" s="1"/>
      <c r="W643" s="1"/>
      <c r="X643" s="1"/>
      <c r="Y643" s="1"/>
      <c r="Z643" s="1"/>
      <c r="AA643" s="1"/>
      <c r="AB643" s="1"/>
      <c r="AC643" s="2"/>
      <c r="AD643" s="1"/>
      <c r="AE643" s="1"/>
      <c r="AF643" s="1"/>
      <c r="AG643" s="1"/>
      <c r="AH643" s="1"/>
      <c r="AI643" s="1"/>
      <c r="AJ643" s="1"/>
      <c r="AK643" s="1"/>
      <c r="AL643" s="2"/>
      <c r="AM643" s="1"/>
      <c r="AN643" s="1"/>
      <c r="AO643" s="1"/>
      <c r="AP643" s="1"/>
      <c r="AQ643" s="1"/>
      <c r="AR643" s="1"/>
      <c r="AS643" s="1"/>
      <c r="AT643" s="1"/>
      <c r="AU643" s="2"/>
      <c r="AV643" s="1"/>
      <c r="AW643" s="1"/>
      <c r="AX643" s="1"/>
      <c r="AY643" s="1"/>
      <c r="AZ643" s="1"/>
      <c r="BA643" s="1"/>
      <c r="BB643" s="1"/>
      <c r="BC643" s="1"/>
      <c r="BD643" s="2"/>
      <c r="BE643" s="1"/>
      <c r="BF643" s="1"/>
      <c r="BG643" s="1"/>
      <c r="BH643" s="1"/>
      <c r="BI643" s="1"/>
      <c r="BJ643" s="1"/>
      <c r="BK643" s="1"/>
      <c r="BL643" s="1"/>
      <c r="BM643" s="2"/>
      <c r="BN643" s="1"/>
      <c r="BO643" s="1"/>
      <c r="BP643" s="1"/>
      <c r="BQ643" s="1"/>
      <c r="BR643" s="1"/>
      <c r="BS643" s="1"/>
      <c r="BT643" s="1"/>
      <c r="BU643" s="1"/>
      <c r="BV643" s="2"/>
      <c r="BW643" s="1"/>
      <c r="BX643" s="1"/>
      <c r="BY643" s="1"/>
      <c r="BZ643" s="1"/>
      <c r="CA643" s="1"/>
      <c r="CB643" s="1"/>
      <c r="CC643" s="1"/>
      <c r="CD643" s="1"/>
      <c r="CE643" s="2"/>
      <c r="CF643" s="1"/>
      <c r="CG643" s="1"/>
      <c r="CH643" s="1"/>
      <c r="CI643" s="1"/>
      <c r="CJ643" s="1"/>
      <c r="CK643" s="1"/>
      <c r="CL643" s="1"/>
    </row>
    <row r="644" spans="1:90" ht="14.65" x14ac:dyDescent="0.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2"/>
      <c r="L644" s="1"/>
      <c r="M644" s="1"/>
      <c r="N644" s="1"/>
      <c r="O644" s="1"/>
      <c r="P644" s="1"/>
      <c r="Q644" s="1"/>
      <c r="R644" s="1"/>
      <c r="S644" s="1"/>
      <c r="T644" s="2"/>
      <c r="U644" s="1"/>
      <c r="V644" s="1"/>
      <c r="W644" s="1"/>
      <c r="X644" s="1"/>
      <c r="Y644" s="1"/>
      <c r="Z644" s="1"/>
      <c r="AA644" s="1"/>
      <c r="AB644" s="1"/>
      <c r="AC644" s="2"/>
      <c r="AD644" s="1"/>
      <c r="AE644" s="1"/>
      <c r="AF644" s="1"/>
      <c r="AG644" s="1"/>
      <c r="AH644" s="1"/>
      <c r="AI644" s="1"/>
      <c r="AJ644" s="1"/>
      <c r="AK644" s="1"/>
      <c r="AL644" s="2"/>
      <c r="AM644" s="1"/>
      <c r="AN644" s="1"/>
      <c r="AO644" s="1"/>
      <c r="AP644" s="1"/>
      <c r="AQ644" s="1"/>
      <c r="AR644" s="1"/>
      <c r="AS644" s="1"/>
      <c r="AT644" s="1"/>
      <c r="AU644" s="2"/>
      <c r="AV644" s="1"/>
      <c r="AW644" s="1"/>
      <c r="AX644" s="1"/>
      <c r="AY644" s="1"/>
      <c r="AZ644" s="1"/>
      <c r="BA644" s="1"/>
      <c r="BB644" s="1"/>
      <c r="BC644" s="1"/>
      <c r="BD644" s="2"/>
      <c r="BE644" s="1"/>
      <c r="BF644" s="1"/>
      <c r="BG644" s="1"/>
      <c r="BH644" s="1"/>
      <c r="BI644" s="1"/>
      <c r="BJ644" s="1"/>
      <c r="BK644" s="1"/>
      <c r="BL644" s="1"/>
      <c r="BM644" s="2"/>
      <c r="BN644" s="1"/>
      <c r="BO644" s="1"/>
      <c r="BP644" s="1"/>
      <c r="BQ644" s="1"/>
      <c r="BR644" s="1"/>
      <c r="BS644" s="1"/>
      <c r="BT644" s="1"/>
      <c r="BU644" s="1"/>
      <c r="BV644" s="2"/>
      <c r="BW644" s="1"/>
      <c r="BX644" s="1"/>
      <c r="BY644" s="1"/>
      <c r="BZ644" s="1"/>
      <c r="CA644" s="1"/>
      <c r="CB644" s="1"/>
      <c r="CC644" s="1"/>
      <c r="CD644" s="1"/>
      <c r="CE644" s="2"/>
      <c r="CF644" s="1"/>
      <c r="CG644" s="1"/>
      <c r="CH644" s="1"/>
      <c r="CI644" s="1"/>
      <c r="CJ644" s="1"/>
      <c r="CK644" s="1"/>
      <c r="CL644" s="1"/>
    </row>
    <row r="645" spans="1:90" ht="14.65" x14ac:dyDescent="0.4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2"/>
      <c r="L645" s="1"/>
      <c r="M645" s="1"/>
      <c r="N645" s="1"/>
      <c r="O645" s="1"/>
      <c r="P645" s="1"/>
      <c r="Q645" s="1"/>
      <c r="R645" s="1"/>
      <c r="S645" s="1"/>
      <c r="T645" s="2"/>
      <c r="U645" s="1"/>
      <c r="V645" s="1"/>
      <c r="W645" s="1"/>
      <c r="X645" s="1"/>
      <c r="Y645" s="1"/>
      <c r="Z645" s="1"/>
      <c r="AA645" s="1"/>
      <c r="AB645" s="1"/>
      <c r="AC645" s="2"/>
      <c r="AD645" s="1"/>
      <c r="AE645" s="1"/>
      <c r="AF645" s="1"/>
      <c r="AG645" s="1"/>
      <c r="AH645" s="1"/>
      <c r="AI645" s="1"/>
      <c r="AJ645" s="1"/>
      <c r="AK645" s="1"/>
      <c r="AL645" s="2"/>
      <c r="AM645" s="1"/>
      <c r="AN645" s="1"/>
      <c r="AO645" s="1"/>
      <c r="AP645" s="1"/>
      <c r="AQ645" s="1"/>
      <c r="AR645" s="1"/>
      <c r="AS645" s="1"/>
      <c r="AT645" s="1"/>
      <c r="AU645" s="2"/>
      <c r="AV645" s="1"/>
      <c r="AW645" s="1"/>
      <c r="AX645" s="1"/>
      <c r="AY645" s="1"/>
      <c r="AZ645" s="1"/>
      <c r="BA645" s="1"/>
      <c r="BB645" s="1"/>
      <c r="BC645" s="1"/>
      <c r="BD645" s="2"/>
      <c r="BE645" s="1"/>
      <c r="BF645" s="1"/>
      <c r="BG645" s="1"/>
      <c r="BH645" s="1"/>
      <c r="BI645" s="1"/>
      <c r="BJ645" s="1"/>
      <c r="BK645" s="1"/>
      <c r="BL645" s="1"/>
      <c r="BM645" s="2"/>
      <c r="BN645" s="1"/>
      <c r="BO645" s="1"/>
      <c r="BP645" s="1"/>
      <c r="BQ645" s="1"/>
      <c r="BR645" s="1"/>
      <c r="BS645" s="1"/>
      <c r="BT645" s="1"/>
      <c r="BU645" s="1"/>
      <c r="BV645" s="2"/>
      <c r="BW645" s="1"/>
      <c r="BX645" s="1"/>
      <c r="BY645" s="1"/>
      <c r="BZ645" s="1"/>
      <c r="CA645" s="1"/>
      <c r="CB645" s="1"/>
      <c r="CC645" s="1"/>
      <c r="CD645" s="1"/>
      <c r="CE645" s="2"/>
      <c r="CF645" s="1"/>
      <c r="CG645" s="1"/>
      <c r="CH645" s="1"/>
      <c r="CI645" s="1"/>
      <c r="CJ645" s="1"/>
      <c r="CK645" s="1"/>
      <c r="CL645" s="1"/>
    </row>
    <row r="646" spans="1:90" ht="14.65" x14ac:dyDescent="0.4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2"/>
      <c r="L646" s="1"/>
      <c r="M646" s="1"/>
      <c r="N646" s="1"/>
      <c r="O646" s="1"/>
      <c r="P646" s="1"/>
      <c r="Q646" s="1"/>
      <c r="R646" s="1"/>
      <c r="S646" s="1"/>
      <c r="T646" s="2"/>
      <c r="U646" s="1"/>
      <c r="V646" s="1"/>
      <c r="W646" s="1"/>
      <c r="X646" s="1"/>
      <c r="Y646" s="1"/>
      <c r="Z646" s="1"/>
      <c r="AA646" s="1"/>
      <c r="AB646" s="1"/>
      <c r="AC646" s="2"/>
      <c r="AD646" s="1"/>
      <c r="AE646" s="1"/>
      <c r="AF646" s="1"/>
      <c r="AG646" s="1"/>
      <c r="AH646" s="1"/>
      <c r="AI646" s="1"/>
      <c r="AJ646" s="1"/>
      <c r="AK646" s="1"/>
      <c r="AL646" s="2"/>
      <c r="AM646" s="1"/>
      <c r="AN646" s="1"/>
      <c r="AO646" s="1"/>
      <c r="AP646" s="1"/>
      <c r="AQ646" s="1"/>
      <c r="AR646" s="1"/>
      <c r="AS646" s="1"/>
      <c r="AT646" s="1"/>
      <c r="AU646" s="2"/>
      <c r="AV646" s="1"/>
      <c r="AW646" s="1"/>
      <c r="AX646" s="1"/>
      <c r="AY646" s="1"/>
      <c r="AZ646" s="1"/>
      <c r="BA646" s="1"/>
      <c r="BB646" s="1"/>
      <c r="BC646" s="1"/>
      <c r="BD646" s="2"/>
      <c r="BE646" s="1"/>
      <c r="BF646" s="1"/>
      <c r="BG646" s="1"/>
      <c r="BH646" s="1"/>
      <c r="BI646" s="1"/>
      <c r="BJ646" s="1"/>
      <c r="BK646" s="1"/>
      <c r="BL646" s="1"/>
      <c r="BM646" s="2"/>
      <c r="BN646" s="1"/>
      <c r="BO646" s="1"/>
      <c r="BP646" s="1"/>
      <c r="BQ646" s="1"/>
      <c r="BR646" s="1"/>
      <c r="BS646" s="1"/>
      <c r="BT646" s="1"/>
      <c r="BU646" s="1"/>
      <c r="BV646" s="2"/>
      <c r="BW646" s="1"/>
      <c r="BX646" s="1"/>
      <c r="BY646" s="1"/>
      <c r="BZ646" s="1"/>
      <c r="CA646" s="1"/>
      <c r="CB646" s="1"/>
      <c r="CC646" s="1"/>
      <c r="CD646" s="1"/>
      <c r="CE646" s="2"/>
      <c r="CF646" s="1"/>
      <c r="CG646" s="1"/>
      <c r="CH646" s="1"/>
      <c r="CI646" s="1"/>
      <c r="CJ646" s="1"/>
      <c r="CK646" s="1"/>
      <c r="CL646" s="1"/>
    </row>
    <row r="647" spans="1:90" ht="14.65" x14ac:dyDescent="0.4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2"/>
      <c r="L647" s="1"/>
      <c r="M647" s="1"/>
      <c r="N647" s="1"/>
      <c r="O647" s="1"/>
      <c r="P647" s="1"/>
      <c r="Q647" s="1"/>
      <c r="R647" s="1"/>
      <c r="S647" s="1"/>
      <c r="T647" s="2"/>
      <c r="U647" s="1"/>
      <c r="V647" s="1"/>
      <c r="W647" s="1"/>
      <c r="X647" s="1"/>
      <c r="Y647" s="1"/>
      <c r="Z647" s="1"/>
      <c r="AA647" s="1"/>
      <c r="AB647" s="1"/>
      <c r="AC647" s="2"/>
      <c r="AD647" s="1"/>
      <c r="AE647" s="1"/>
      <c r="AF647" s="1"/>
      <c r="AG647" s="1"/>
      <c r="AH647" s="1"/>
      <c r="AI647" s="1"/>
      <c r="AJ647" s="1"/>
      <c r="AK647" s="1"/>
      <c r="AL647" s="2"/>
      <c r="AM647" s="1"/>
      <c r="AN647" s="1"/>
      <c r="AO647" s="1"/>
      <c r="AP647" s="1"/>
      <c r="AQ647" s="1"/>
      <c r="AR647" s="1"/>
      <c r="AS647" s="1"/>
      <c r="AT647" s="1"/>
      <c r="AU647" s="2"/>
      <c r="AV647" s="1"/>
      <c r="AW647" s="1"/>
      <c r="AX647" s="1"/>
      <c r="AY647" s="1"/>
      <c r="AZ647" s="1"/>
      <c r="BA647" s="1"/>
      <c r="BB647" s="1"/>
      <c r="BC647" s="1"/>
      <c r="BD647" s="2"/>
      <c r="BE647" s="1"/>
      <c r="BF647" s="1"/>
      <c r="BG647" s="1"/>
      <c r="BH647" s="1"/>
      <c r="BI647" s="1"/>
      <c r="BJ647" s="1"/>
      <c r="BK647" s="1"/>
      <c r="BL647" s="1"/>
      <c r="BM647" s="2"/>
      <c r="BN647" s="1"/>
      <c r="BO647" s="1"/>
      <c r="BP647" s="1"/>
      <c r="BQ647" s="1"/>
      <c r="BR647" s="1"/>
      <c r="BS647" s="1"/>
      <c r="BT647" s="1"/>
      <c r="BU647" s="1"/>
      <c r="BV647" s="2"/>
      <c r="BW647" s="1"/>
      <c r="BX647" s="1"/>
      <c r="BY647" s="1"/>
      <c r="BZ647" s="1"/>
      <c r="CA647" s="1"/>
      <c r="CB647" s="1"/>
      <c r="CC647" s="1"/>
      <c r="CD647" s="1"/>
      <c r="CE647" s="2"/>
      <c r="CF647" s="1"/>
      <c r="CG647" s="1"/>
      <c r="CH647" s="1"/>
      <c r="CI647" s="1"/>
      <c r="CJ647" s="1"/>
      <c r="CK647" s="1"/>
      <c r="CL647" s="1"/>
    </row>
    <row r="648" spans="1:90" ht="14.65" x14ac:dyDescent="0.4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2"/>
      <c r="L648" s="1"/>
      <c r="M648" s="1"/>
      <c r="N648" s="1"/>
      <c r="O648" s="1"/>
      <c r="P648" s="1"/>
      <c r="Q648" s="1"/>
      <c r="R648" s="1"/>
      <c r="S648" s="1"/>
      <c r="T648" s="2"/>
      <c r="U648" s="1"/>
      <c r="V648" s="1"/>
      <c r="W648" s="1"/>
      <c r="X648" s="1"/>
      <c r="Y648" s="1"/>
      <c r="Z648" s="1"/>
      <c r="AA648" s="1"/>
      <c r="AB648" s="1"/>
      <c r="AC648" s="2"/>
      <c r="AD648" s="1"/>
      <c r="AE648" s="1"/>
      <c r="AF648" s="1"/>
      <c r="AG648" s="1"/>
      <c r="AH648" s="1"/>
      <c r="AI648" s="1"/>
      <c r="AJ648" s="1"/>
      <c r="AK648" s="1"/>
      <c r="AL648" s="2"/>
      <c r="AM648" s="1"/>
      <c r="AN648" s="1"/>
      <c r="AO648" s="1"/>
      <c r="AP648" s="1"/>
      <c r="AQ648" s="1"/>
      <c r="AR648" s="1"/>
      <c r="AS648" s="1"/>
      <c r="AT648" s="1"/>
      <c r="AU648" s="2"/>
      <c r="AV648" s="1"/>
      <c r="AW648" s="1"/>
      <c r="AX648" s="1"/>
      <c r="AY648" s="1"/>
      <c r="AZ648" s="1"/>
      <c r="BA648" s="1"/>
      <c r="BB648" s="1"/>
      <c r="BC648" s="1"/>
      <c r="BD648" s="2"/>
      <c r="BE648" s="1"/>
      <c r="BF648" s="1"/>
      <c r="BG648" s="1"/>
      <c r="BH648" s="1"/>
      <c r="BI648" s="1"/>
      <c r="BJ648" s="1"/>
      <c r="BK648" s="1"/>
      <c r="BL648" s="1"/>
      <c r="BM648" s="2"/>
      <c r="BN648" s="1"/>
      <c r="BO648" s="1"/>
      <c r="BP648" s="1"/>
      <c r="BQ648" s="1"/>
      <c r="BR648" s="1"/>
      <c r="BS648" s="1"/>
      <c r="BT648" s="1"/>
      <c r="BU648" s="1"/>
      <c r="BV648" s="2"/>
      <c r="BW648" s="1"/>
      <c r="BX648" s="1"/>
      <c r="BY648" s="1"/>
      <c r="BZ648" s="1"/>
      <c r="CA648" s="1"/>
      <c r="CB648" s="1"/>
      <c r="CC648" s="1"/>
      <c r="CD648" s="1"/>
      <c r="CE648" s="2"/>
      <c r="CF648" s="1"/>
      <c r="CG648" s="1"/>
      <c r="CH648" s="1"/>
      <c r="CI648" s="1"/>
      <c r="CJ648" s="1"/>
      <c r="CK648" s="1"/>
      <c r="CL648" s="1"/>
    </row>
    <row r="649" spans="1:90" ht="14.65" x14ac:dyDescent="0.4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2"/>
      <c r="L649" s="1"/>
      <c r="M649" s="1"/>
      <c r="N649" s="1"/>
      <c r="O649" s="1"/>
      <c r="P649" s="1"/>
      <c r="Q649" s="1"/>
      <c r="R649" s="1"/>
      <c r="S649" s="1"/>
      <c r="T649" s="2"/>
      <c r="U649" s="1"/>
      <c r="V649" s="1"/>
      <c r="W649" s="1"/>
      <c r="X649" s="1"/>
      <c r="Y649" s="1"/>
      <c r="Z649" s="1"/>
      <c r="AA649" s="1"/>
      <c r="AB649" s="1"/>
      <c r="AC649" s="2"/>
      <c r="AD649" s="1"/>
      <c r="AE649" s="1"/>
      <c r="AF649" s="1"/>
      <c r="AG649" s="1"/>
      <c r="AH649" s="1"/>
      <c r="AI649" s="1"/>
      <c r="AJ649" s="1"/>
      <c r="AK649" s="1"/>
      <c r="AL649" s="2"/>
      <c r="AM649" s="1"/>
      <c r="AN649" s="1"/>
      <c r="AO649" s="1"/>
      <c r="AP649" s="1"/>
      <c r="AQ649" s="1"/>
      <c r="AR649" s="1"/>
      <c r="AS649" s="1"/>
      <c r="AT649" s="1"/>
      <c r="AU649" s="2"/>
      <c r="AV649" s="1"/>
      <c r="AW649" s="1"/>
      <c r="AX649" s="1"/>
      <c r="AY649" s="1"/>
      <c r="AZ649" s="1"/>
      <c r="BA649" s="1"/>
      <c r="BB649" s="1"/>
      <c r="BC649" s="1"/>
      <c r="BD649" s="2"/>
      <c r="BE649" s="1"/>
      <c r="BF649" s="1"/>
      <c r="BG649" s="1"/>
      <c r="BH649" s="1"/>
      <c r="BI649" s="1"/>
      <c r="BJ649" s="1"/>
      <c r="BK649" s="1"/>
      <c r="BL649" s="1"/>
      <c r="BM649" s="2"/>
      <c r="BN649" s="1"/>
      <c r="BO649" s="1"/>
      <c r="BP649" s="1"/>
      <c r="BQ649" s="1"/>
      <c r="BR649" s="1"/>
      <c r="BS649" s="1"/>
      <c r="BT649" s="1"/>
      <c r="BU649" s="1"/>
      <c r="BV649" s="2"/>
      <c r="BW649" s="1"/>
      <c r="BX649" s="1"/>
      <c r="BY649" s="1"/>
      <c r="BZ649" s="1"/>
      <c r="CA649" s="1"/>
      <c r="CB649" s="1"/>
      <c r="CC649" s="1"/>
      <c r="CD649" s="1"/>
      <c r="CE649" s="2"/>
      <c r="CF649" s="1"/>
      <c r="CG649" s="1"/>
      <c r="CH649" s="1"/>
      <c r="CI649" s="1"/>
      <c r="CJ649" s="1"/>
      <c r="CK649" s="1"/>
      <c r="CL649" s="1"/>
    </row>
    <row r="650" spans="1:90" ht="14.65" x14ac:dyDescent="0.4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2"/>
      <c r="L650" s="1"/>
      <c r="M650" s="1"/>
      <c r="N650" s="1"/>
      <c r="O650" s="1"/>
      <c r="P650" s="1"/>
      <c r="Q650" s="1"/>
      <c r="R650" s="1"/>
      <c r="S650" s="1"/>
      <c r="T650" s="2"/>
      <c r="U650" s="1"/>
      <c r="V650" s="1"/>
      <c r="W650" s="1"/>
      <c r="X650" s="1"/>
      <c r="Y650" s="1"/>
      <c r="Z650" s="1"/>
      <c r="AA650" s="1"/>
      <c r="AB650" s="1"/>
      <c r="AC650" s="2"/>
      <c r="AD650" s="1"/>
      <c r="AE650" s="1"/>
      <c r="AF650" s="1"/>
      <c r="AG650" s="1"/>
      <c r="AH650" s="1"/>
      <c r="AI650" s="1"/>
      <c r="AJ650" s="1"/>
      <c r="AK650" s="1"/>
      <c r="AL650" s="2"/>
      <c r="AM650" s="1"/>
      <c r="AN650" s="1"/>
      <c r="AO650" s="1"/>
      <c r="AP650" s="1"/>
      <c r="AQ650" s="1"/>
      <c r="AR650" s="1"/>
      <c r="AS650" s="1"/>
      <c r="AT650" s="1"/>
      <c r="AU650" s="2"/>
      <c r="AV650" s="1"/>
      <c r="AW650" s="1"/>
      <c r="AX650" s="1"/>
      <c r="AY650" s="1"/>
      <c r="AZ650" s="1"/>
      <c r="BA650" s="1"/>
      <c r="BB650" s="1"/>
      <c r="BC650" s="1"/>
      <c r="BD650" s="2"/>
      <c r="BE650" s="1"/>
      <c r="BF650" s="1"/>
      <c r="BG650" s="1"/>
      <c r="BH650" s="1"/>
      <c r="BI650" s="1"/>
      <c r="BJ650" s="1"/>
      <c r="BK650" s="1"/>
      <c r="BL650" s="1"/>
      <c r="BM650" s="2"/>
      <c r="BN650" s="1"/>
      <c r="BO650" s="1"/>
      <c r="BP650" s="1"/>
      <c r="BQ650" s="1"/>
      <c r="BR650" s="1"/>
      <c r="BS650" s="1"/>
      <c r="BT650" s="1"/>
      <c r="BU650" s="1"/>
      <c r="BV650" s="2"/>
      <c r="BW650" s="1"/>
      <c r="BX650" s="1"/>
      <c r="BY650" s="1"/>
      <c r="BZ650" s="1"/>
      <c r="CA650" s="1"/>
      <c r="CB650" s="1"/>
      <c r="CC650" s="1"/>
      <c r="CD650" s="1"/>
      <c r="CE650" s="2"/>
      <c r="CF650" s="1"/>
      <c r="CG650" s="1"/>
      <c r="CH650" s="1"/>
      <c r="CI650" s="1"/>
      <c r="CJ650" s="1"/>
      <c r="CK650" s="1"/>
      <c r="CL650" s="1"/>
    </row>
    <row r="651" spans="1:90" ht="14.65" x14ac:dyDescent="0.4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2"/>
      <c r="L651" s="1"/>
      <c r="M651" s="1"/>
      <c r="N651" s="1"/>
      <c r="O651" s="1"/>
      <c r="P651" s="1"/>
      <c r="Q651" s="1"/>
      <c r="R651" s="1"/>
      <c r="S651" s="1"/>
      <c r="T651" s="2"/>
      <c r="U651" s="1"/>
      <c r="V651" s="1"/>
      <c r="W651" s="1"/>
      <c r="X651" s="1"/>
      <c r="Y651" s="1"/>
      <c r="Z651" s="1"/>
      <c r="AA651" s="1"/>
      <c r="AB651" s="1"/>
      <c r="AC651" s="2"/>
      <c r="AD651" s="1"/>
      <c r="AE651" s="1"/>
      <c r="AF651" s="1"/>
      <c r="AG651" s="1"/>
      <c r="AH651" s="1"/>
      <c r="AI651" s="1"/>
      <c r="AJ651" s="1"/>
      <c r="AK651" s="1"/>
      <c r="AL651" s="2"/>
      <c r="AM651" s="1"/>
      <c r="AN651" s="1"/>
      <c r="AO651" s="1"/>
      <c r="AP651" s="1"/>
      <c r="AQ651" s="1"/>
      <c r="AR651" s="1"/>
      <c r="AS651" s="1"/>
      <c r="AT651" s="1"/>
      <c r="AU651" s="2"/>
      <c r="AV651" s="1"/>
      <c r="AW651" s="1"/>
      <c r="AX651" s="1"/>
      <c r="AY651" s="1"/>
      <c r="AZ651" s="1"/>
      <c r="BA651" s="1"/>
      <c r="BB651" s="1"/>
      <c r="BC651" s="1"/>
      <c r="BD651" s="2"/>
      <c r="BE651" s="1"/>
      <c r="BF651" s="1"/>
      <c r="BG651" s="1"/>
      <c r="BH651" s="1"/>
      <c r="BI651" s="1"/>
      <c r="BJ651" s="1"/>
      <c r="BK651" s="1"/>
      <c r="BL651" s="1"/>
      <c r="BM651" s="2"/>
      <c r="BN651" s="1"/>
      <c r="BO651" s="1"/>
      <c r="BP651" s="1"/>
      <c r="BQ651" s="1"/>
      <c r="BR651" s="1"/>
      <c r="BS651" s="1"/>
      <c r="BT651" s="1"/>
      <c r="BU651" s="1"/>
      <c r="BV651" s="2"/>
      <c r="BW651" s="1"/>
      <c r="BX651" s="1"/>
      <c r="BY651" s="1"/>
      <c r="BZ651" s="1"/>
      <c r="CA651" s="1"/>
      <c r="CB651" s="1"/>
      <c r="CC651" s="1"/>
      <c r="CD651" s="1"/>
      <c r="CE651" s="2"/>
      <c r="CF651" s="1"/>
      <c r="CG651" s="1"/>
      <c r="CH651" s="1"/>
      <c r="CI651" s="1"/>
      <c r="CJ651" s="1"/>
      <c r="CK651" s="1"/>
      <c r="CL651" s="1"/>
    </row>
    <row r="652" spans="1:90" ht="14.65" x14ac:dyDescent="0.4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2"/>
      <c r="L652" s="1"/>
      <c r="M652" s="1"/>
      <c r="N652" s="1"/>
      <c r="O652" s="1"/>
      <c r="P652" s="1"/>
      <c r="Q652" s="1"/>
      <c r="R652" s="1"/>
      <c r="S652" s="1"/>
      <c r="T652" s="2"/>
      <c r="U652" s="1"/>
      <c r="V652" s="1"/>
      <c r="W652" s="1"/>
      <c r="X652" s="1"/>
      <c r="Y652" s="1"/>
      <c r="Z652" s="1"/>
      <c r="AA652" s="1"/>
      <c r="AB652" s="1"/>
      <c r="AC652" s="2"/>
      <c r="AD652" s="1"/>
      <c r="AE652" s="1"/>
      <c r="AF652" s="1"/>
      <c r="AG652" s="1"/>
      <c r="AH652" s="1"/>
      <c r="AI652" s="1"/>
      <c r="AJ652" s="1"/>
      <c r="AK652" s="1"/>
      <c r="AL652" s="2"/>
      <c r="AM652" s="1"/>
      <c r="AN652" s="1"/>
      <c r="AO652" s="1"/>
      <c r="AP652" s="1"/>
      <c r="AQ652" s="1"/>
      <c r="AR652" s="1"/>
      <c r="AS652" s="1"/>
      <c r="AT652" s="1"/>
      <c r="AU652" s="2"/>
      <c r="AV652" s="1"/>
      <c r="AW652" s="1"/>
      <c r="AX652" s="1"/>
      <c r="AY652" s="1"/>
      <c r="AZ652" s="1"/>
      <c r="BA652" s="1"/>
      <c r="BB652" s="1"/>
      <c r="BC652" s="1"/>
      <c r="BD652" s="2"/>
      <c r="BE652" s="1"/>
      <c r="BF652" s="1"/>
      <c r="BG652" s="1"/>
      <c r="BH652" s="1"/>
      <c r="BI652" s="1"/>
      <c r="BJ652" s="1"/>
      <c r="BK652" s="1"/>
      <c r="BL652" s="1"/>
      <c r="BM652" s="2"/>
      <c r="BN652" s="1"/>
      <c r="BO652" s="1"/>
      <c r="BP652" s="1"/>
      <c r="BQ652" s="1"/>
      <c r="BR652" s="1"/>
      <c r="BS652" s="1"/>
      <c r="BT652" s="1"/>
      <c r="BU652" s="1"/>
      <c r="BV652" s="2"/>
      <c r="BW652" s="1"/>
      <c r="BX652" s="1"/>
      <c r="BY652" s="1"/>
      <c r="BZ652" s="1"/>
      <c r="CA652" s="1"/>
      <c r="CB652" s="1"/>
      <c r="CC652" s="1"/>
      <c r="CD652" s="1"/>
      <c r="CE652" s="2"/>
      <c r="CF652" s="1"/>
      <c r="CG652" s="1"/>
      <c r="CH652" s="1"/>
      <c r="CI652" s="1"/>
      <c r="CJ652" s="1"/>
      <c r="CK652" s="1"/>
      <c r="CL652" s="1"/>
    </row>
    <row r="653" spans="1:90" ht="14.65" x14ac:dyDescent="0.4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2"/>
      <c r="L653" s="1"/>
      <c r="M653" s="1"/>
      <c r="N653" s="1"/>
      <c r="O653" s="1"/>
      <c r="P653" s="1"/>
      <c r="Q653" s="1"/>
      <c r="R653" s="1"/>
      <c r="S653" s="1"/>
      <c r="T653" s="2"/>
      <c r="U653" s="1"/>
      <c r="V653" s="1"/>
      <c r="W653" s="1"/>
      <c r="X653" s="1"/>
      <c r="Y653" s="1"/>
      <c r="Z653" s="1"/>
      <c r="AA653" s="1"/>
      <c r="AB653" s="1"/>
      <c r="AC653" s="2"/>
      <c r="AD653" s="1"/>
      <c r="AE653" s="1"/>
      <c r="AF653" s="1"/>
      <c r="AG653" s="1"/>
      <c r="AH653" s="1"/>
      <c r="AI653" s="1"/>
      <c r="AJ653" s="1"/>
      <c r="AK653" s="1"/>
      <c r="AL653" s="2"/>
      <c r="AM653" s="1"/>
      <c r="AN653" s="1"/>
      <c r="AO653" s="1"/>
      <c r="AP653" s="1"/>
      <c r="AQ653" s="1"/>
      <c r="AR653" s="1"/>
      <c r="AS653" s="1"/>
      <c r="AT653" s="1"/>
      <c r="AU653" s="2"/>
      <c r="AV653" s="1"/>
      <c r="AW653" s="1"/>
      <c r="AX653" s="1"/>
      <c r="AY653" s="1"/>
      <c r="AZ653" s="1"/>
      <c r="BA653" s="1"/>
      <c r="BB653" s="1"/>
      <c r="BC653" s="1"/>
      <c r="BD653" s="2"/>
      <c r="BE653" s="1"/>
      <c r="BF653" s="1"/>
      <c r="BG653" s="1"/>
      <c r="BH653" s="1"/>
      <c r="BI653" s="1"/>
      <c r="BJ653" s="1"/>
      <c r="BK653" s="1"/>
      <c r="BL653" s="1"/>
      <c r="BM653" s="2"/>
      <c r="BN653" s="1"/>
      <c r="BO653" s="1"/>
      <c r="BP653" s="1"/>
      <c r="BQ653" s="1"/>
      <c r="BR653" s="1"/>
      <c r="BS653" s="1"/>
      <c r="BT653" s="1"/>
      <c r="BU653" s="1"/>
      <c r="BV653" s="2"/>
      <c r="BW653" s="1"/>
      <c r="BX653" s="1"/>
      <c r="BY653" s="1"/>
      <c r="BZ653" s="1"/>
      <c r="CA653" s="1"/>
      <c r="CB653" s="1"/>
      <c r="CC653" s="1"/>
      <c r="CD653" s="1"/>
      <c r="CE653" s="2"/>
      <c r="CF653" s="1"/>
      <c r="CG653" s="1"/>
      <c r="CH653" s="1"/>
      <c r="CI653" s="1"/>
      <c r="CJ653" s="1"/>
      <c r="CK653" s="1"/>
      <c r="CL653" s="1"/>
    </row>
    <row r="654" spans="1:90" ht="14.65" x14ac:dyDescent="0.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2"/>
      <c r="L654" s="1"/>
      <c r="M654" s="1"/>
      <c r="N654" s="1"/>
      <c r="O654" s="1"/>
      <c r="P654" s="1"/>
      <c r="Q654" s="1"/>
      <c r="R654" s="1"/>
      <c r="S654" s="1"/>
      <c r="T654" s="2"/>
      <c r="U654" s="1"/>
      <c r="V654" s="1"/>
      <c r="W654" s="1"/>
      <c r="X654" s="1"/>
      <c r="Y654" s="1"/>
      <c r="Z654" s="1"/>
      <c r="AA654" s="1"/>
      <c r="AB654" s="1"/>
      <c r="AC654" s="2"/>
      <c r="AD654" s="1"/>
      <c r="AE654" s="1"/>
      <c r="AF654" s="1"/>
      <c r="AG654" s="1"/>
      <c r="AH654" s="1"/>
      <c r="AI654" s="1"/>
      <c r="AJ654" s="1"/>
      <c r="AK654" s="1"/>
      <c r="AL654" s="2"/>
      <c r="AM654" s="1"/>
      <c r="AN654" s="1"/>
      <c r="AO654" s="1"/>
      <c r="AP654" s="1"/>
      <c r="AQ654" s="1"/>
      <c r="AR654" s="1"/>
      <c r="AS654" s="1"/>
      <c r="AT654" s="1"/>
      <c r="AU654" s="2"/>
      <c r="AV654" s="1"/>
      <c r="AW654" s="1"/>
      <c r="AX654" s="1"/>
      <c r="AY654" s="1"/>
      <c r="AZ654" s="1"/>
      <c r="BA654" s="1"/>
      <c r="BB654" s="1"/>
      <c r="BC654" s="1"/>
      <c r="BD654" s="2"/>
      <c r="BE654" s="1"/>
      <c r="BF654" s="1"/>
      <c r="BG654" s="1"/>
      <c r="BH654" s="1"/>
      <c r="BI654" s="1"/>
      <c r="BJ654" s="1"/>
      <c r="BK654" s="1"/>
      <c r="BL654" s="1"/>
      <c r="BM654" s="2"/>
      <c r="BN654" s="1"/>
      <c r="BO654" s="1"/>
      <c r="BP654" s="1"/>
      <c r="BQ654" s="1"/>
      <c r="BR654" s="1"/>
      <c r="BS654" s="1"/>
      <c r="BT654" s="1"/>
      <c r="BU654" s="1"/>
      <c r="BV654" s="2"/>
      <c r="BW654" s="1"/>
      <c r="BX654" s="1"/>
      <c r="BY654" s="1"/>
      <c r="BZ654" s="1"/>
      <c r="CA654" s="1"/>
      <c r="CB654" s="1"/>
      <c r="CC654" s="1"/>
      <c r="CD654" s="1"/>
      <c r="CE654" s="2"/>
      <c r="CF654" s="1"/>
      <c r="CG654" s="1"/>
      <c r="CH654" s="1"/>
      <c r="CI654" s="1"/>
      <c r="CJ654" s="1"/>
      <c r="CK654" s="1"/>
      <c r="CL654" s="1"/>
    </row>
    <row r="655" spans="1:90" ht="14.65" x14ac:dyDescent="0.4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2"/>
      <c r="L655" s="1"/>
      <c r="M655" s="1"/>
      <c r="N655" s="1"/>
      <c r="O655" s="1"/>
      <c r="P655" s="1"/>
      <c r="Q655" s="1"/>
      <c r="R655" s="1"/>
      <c r="S655" s="1"/>
      <c r="T655" s="2"/>
      <c r="U655" s="1"/>
      <c r="V655" s="1"/>
      <c r="W655" s="1"/>
      <c r="X655" s="1"/>
      <c r="Y655" s="1"/>
      <c r="Z655" s="1"/>
      <c r="AA655" s="1"/>
      <c r="AB655" s="1"/>
      <c r="AC655" s="2"/>
      <c r="AD655" s="1"/>
      <c r="AE655" s="1"/>
      <c r="AF655" s="1"/>
      <c r="AG655" s="1"/>
      <c r="AH655" s="1"/>
      <c r="AI655" s="1"/>
      <c r="AJ655" s="1"/>
      <c r="AK655" s="1"/>
      <c r="AL655" s="2"/>
      <c r="AM655" s="1"/>
      <c r="AN655" s="1"/>
      <c r="AO655" s="1"/>
      <c r="AP655" s="1"/>
      <c r="AQ655" s="1"/>
      <c r="AR655" s="1"/>
      <c r="AS655" s="1"/>
      <c r="AT655" s="1"/>
      <c r="AU655" s="2"/>
      <c r="AV655" s="1"/>
      <c r="AW655" s="1"/>
      <c r="AX655" s="1"/>
      <c r="AY655" s="1"/>
      <c r="AZ655" s="1"/>
      <c r="BA655" s="1"/>
      <c r="BB655" s="1"/>
      <c r="BC655" s="1"/>
      <c r="BD655" s="2"/>
      <c r="BE655" s="1"/>
      <c r="BF655" s="1"/>
      <c r="BG655" s="1"/>
      <c r="BH655" s="1"/>
      <c r="BI655" s="1"/>
      <c r="BJ655" s="1"/>
      <c r="BK655" s="1"/>
      <c r="BL655" s="1"/>
      <c r="BM655" s="2"/>
      <c r="BN655" s="1"/>
      <c r="BO655" s="1"/>
      <c r="BP655" s="1"/>
      <c r="BQ655" s="1"/>
      <c r="BR655" s="1"/>
      <c r="BS655" s="1"/>
      <c r="BT655" s="1"/>
      <c r="BU655" s="1"/>
      <c r="BV655" s="2"/>
      <c r="BW655" s="1"/>
      <c r="BX655" s="1"/>
      <c r="BY655" s="1"/>
      <c r="BZ655" s="1"/>
      <c r="CA655" s="1"/>
      <c r="CB655" s="1"/>
      <c r="CC655" s="1"/>
      <c r="CD655" s="1"/>
      <c r="CE655" s="2"/>
      <c r="CF655" s="1"/>
      <c r="CG655" s="1"/>
      <c r="CH655" s="1"/>
      <c r="CI655" s="1"/>
      <c r="CJ655" s="1"/>
      <c r="CK655" s="1"/>
      <c r="CL655" s="1"/>
    </row>
    <row r="656" spans="1:90" ht="14.65" x14ac:dyDescent="0.4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2"/>
      <c r="L656" s="1"/>
      <c r="M656" s="1"/>
      <c r="N656" s="1"/>
      <c r="O656" s="1"/>
      <c r="P656" s="1"/>
      <c r="Q656" s="1"/>
      <c r="R656" s="1"/>
      <c r="S656" s="1"/>
      <c r="T656" s="2"/>
      <c r="U656" s="1"/>
      <c r="V656" s="1"/>
      <c r="W656" s="1"/>
      <c r="X656" s="1"/>
      <c r="Y656" s="1"/>
      <c r="Z656" s="1"/>
      <c r="AA656" s="1"/>
      <c r="AB656" s="1"/>
      <c r="AC656" s="2"/>
      <c r="AD656" s="1"/>
      <c r="AE656" s="1"/>
      <c r="AF656" s="1"/>
      <c r="AG656" s="1"/>
      <c r="AH656" s="1"/>
      <c r="AI656" s="1"/>
      <c r="AJ656" s="1"/>
      <c r="AK656" s="1"/>
      <c r="AL656" s="2"/>
      <c r="AM656" s="1"/>
      <c r="AN656" s="1"/>
      <c r="AO656" s="1"/>
      <c r="AP656" s="1"/>
      <c r="AQ656" s="1"/>
      <c r="AR656" s="1"/>
      <c r="AS656" s="1"/>
      <c r="AT656" s="1"/>
      <c r="AU656" s="2"/>
      <c r="AV656" s="1"/>
      <c r="AW656" s="1"/>
      <c r="AX656" s="1"/>
      <c r="AY656" s="1"/>
      <c r="AZ656" s="1"/>
      <c r="BA656" s="1"/>
      <c r="BB656" s="1"/>
      <c r="BC656" s="1"/>
      <c r="BD656" s="2"/>
      <c r="BE656" s="1"/>
      <c r="BF656" s="1"/>
      <c r="BG656" s="1"/>
      <c r="BH656" s="1"/>
      <c r="BI656" s="1"/>
      <c r="BJ656" s="1"/>
      <c r="BK656" s="1"/>
      <c r="BL656" s="1"/>
      <c r="BM656" s="2"/>
      <c r="BN656" s="1"/>
      <c r="BO656" s="1"/>
      <c r="BP656" s="1"/>
      <c r="BQ656" s="1"/>
      <c r="BR656" s="1"/>
      <c r="BS656" s="1"/>
      <c r="BT656" s="1"/>
      <c r="BU656" s="1"/>
      <c r="BV656" s="2"/>
      <c r="BW656" s="1"/>
      <c r="BX656" s="1"/>
      <c r="BY656" s="1"/>
      <c r="BZ656" s="1"/>
      <c r="CA656" s="1"/>
      <c r="CB656" s="1"/>
      <c r="CC656" s="1"/>
      <c r="CD656" s="1"/>
      <c r="CE656" s="2"/>
      <c r="CF656" s="1"/>
      <c r="CG656" s="1"/>
      <c r="CH656" s="1"/>
      <c r="CI656" s="1"/>
      <c r="CJ656" s="1"/>
      <c r="CK656" s="1"/>
      <c r="CL656" s="1"/>
    </row>
    <row r="657" spans="1:90" ht="14.65" x14ac:dyDescent="0.4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2"/>
      <c r="L657" s="1"/>
      <c r="M657" s="1"/>
      <c r="N657" s="1"/>
      <c r="O657" s="1"/>
      <c r="P657" s="1"/>
      <c r="Q657" s="1"/>
      <c r="R657" s="1"/>
      <c r="S657" s="1"/>
      <c r="T657" s="2"/>
      <c r="U657" s="1"/>
      <c r="V657" s="1"/>
      <c r="W657" s="1"/>
      <c r="X657" s="1"/>
      <c r="Y657" s="1"/>
      <c r="Z657" s="1"/>
      <c r="AA657" s="1"/>
      <c r="AB657" s="1"/>
      <c r="AC657" s="2"/>
      <c r="AD657" s="1"/>
      <c r="AE657" s="1"/>
      <c r="AF657" s="1"/>
      <c r="AG657" s="1"/>
      <c r="AH657" s="1"/>
      <c r="AI657" s="1"/>
      <c r="AJ657" s="1"/>
      <c r="AK657" s="1"/>
      <c r="AL657" s="2"/>
      <c r="AM657" s="1"/>
      <c r="AN657" s="1"/>
      <c r="AO657" s="1"/>
      <c r="AP657" s="1"/>
      <c r="AQ657" s="1"/>
      <c r="AR657" s="1"/>
      <c r="AS657" s="1"/>
      <c r="AT657" s="1"/>
      <c r="AU657" s="2"/>
      <c r="AV657" s="1"/>
      <c r="AW657" s="1"/>
      <c r="AX657" s="1"/>
      <c r="AY657" s="1"/>
      <c r="AZ657" s="1"/>
      <c r="BA657" s="1"/>
      <c r="BB657" s="1"/>
      <c r="BC657" s="1"/>
      <c r="BD657" s="2"/>
      <c r="BE657" s="1"/>
      <c r="BF657" s="1"/>
      <c r="BG657" s="1"/>
      <c r="BH657" s="1"/>
      <c r="BI657" s="1"/>
      <c r="BJ657" s="1"/>
      <c r="BK657" s="1"/>
      <c r="BL657" s="1"/>
      <c r="BM657" s="2"/>
      <c r="BN657" s="1"/>
      <c r="BO657" s="1"/>
      <c r="BP657" s="1"/>
      <c r="BQ657" s="1"/>
      <c r="BR657" s="1"/>
      <c r="BS657" s="1"/>
      <c r="BT657" s="1"/>
      <c r="BU657" s="1"/>
      <c r="BV657" s="2"/>
      <c r="BW657" s="1"/>
      <c r="BX657" s="1"/>
      <c r="BY657" s="1"/>
      <c r="BZ657" s="1"/>
      <c r="CA657" s="1"/>
      <c r="CB657" s="1"/>
      <c r="CC657" s="1"/>
      <c r="CD657" s="1"/>
      <c r="CE657" s="2"/>
      <c r="CF657" s="1"/>
      <c r="CG657" s="1"/>
      <c r="CH657" s="1"/>
      <c r="CI657" s="1"/>
      <c r="CJ657" s="1"/>
      <c r="CK657" s="1"/>
      <c r="CL657" s="1"/>
    </row>
    <row r="658" spans="1:90" ht="14.65" x14ac:dyDescent="0.4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2"/>
      <c r="L658" s="1"/>
      <c r="M658" s="1"/>
      <c r="N658" s="1"/>
      <c r="O658" s="1"/>
      <c r="P658" s="1"/>
      <c r="Q658" s="1"/>
      <c r="R658" s="1"/>
      <c r="S658" s="1"/>
      <c r="T658" s="2"/>
      <c r="U658" s="1"/>
      <c r="V658" s="1"/>
      <c r="W658" s="1"/>
      <c r="X658" s="1"/>
      <c r="Y658" s="1"/>
      <c r="Z658" s="1"/>
      <c r="AA658" s="1"/>
      <c r="AB658" s="1"/>
      <c r="AC658" s="2"/>
      <c r="AD658" s="1"/>
      <c r="AE658" s="1"/>
      <c r="AF658" s="1"/>
      <c r="AG658" s="1"/>
      <c r="AH658" s="1"/>
      <c r="AI658" s="1"/>
      <c r="AJ658" s="1"/>
      <c r="AK658" s="1"/>
      <c r="AL658" s="2"/>
      <c r="AM658" s="1"/>
      <c r="AN658" s="1"/>
      <c r="AO658" s="1"/>
      <c r="AP658" s="1"/>
      <c r="AQ658" s="1"/>
      <c r="AR658" s="1"/>
      <c r="AS658" s="1"/>
      <c r="AT658" s="1"/>
      <c r="AU658" s="2"/>
      <c r="AV658" s="1"/>
      <c r="AW658" s="1"/>
      <c r="AX658" s="1"/>
      <c r="AY658" s="1"/>
      <c r="AZ658" s="1"/>
      <c r="BA658" s="1"/>
      <c r="BB658" s="1"/>
      <c r="BC658" s="1"/>
      <c r="BD658" s="2"/>
      <c r="BE658" s="1"/>
      <c r="BF658" s="1"/>
      <c r="BG658" s="1"/>
      <c r="BH658" s="1"/>
      <c r="BI658" s="1"/>
      <c r="BJ658" s="1"/>
      <c r="BK658" s="1"/>
      <c r="BL658" s="1"/>
      <c r="BM658" s="2"/>
      <c r="BN658" s="1"/>
      <c r="BO658" s="1"/>
      <c r="BP658" s="1"/>
      <c r="BQ658" s="1"/>
      <c r="BR658" s="1"/>
      <c r="BS658" s="1"/>
      <c r="BT658" s="1"/>
      <c r="BU658" s="1"/>
      <c r="BV658" s="2"/>
      <c r="BW658" s="1"/>
      <c r="BX658" s="1"/>
      <c r="BY658" s="1"/>
      <c r="BZ658" s="1"/>
      <c r="CA658" s="1"/>
      <c r="CB658" s="1"/>
      <c r="CC658" s="1"/>
      <c r="CD658" s="1"/>
      <c r="CE658" s="2"/>
      <c r="CF658" s="1"/>
      <c r="CG658" s="1"/>
      <c r="CH658" s="1"/>
      <c r="CI658" s="1"/>
      <c r="CJ658" s="1"/>
      <c r="CK658" s="1"/>
      <c r="CL658" s="1"/>
    </row>
    <row r="659" spans="1:90" ht="14.65" x14ac:dyDescent="0.4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2"/>
      <c r="L659" s="1"/>
      <c r="M659" s="1"/>
      <c r="N659" s="1"/>
      <c r="O659" s="1"/>
      <c r="P659" s="1"/>
      <c r="Q659" s="1"/>
      <c r="R659" s="1"/>
      <c r="S659" s="1"/>
      <c r="T659" s="2"/>
      <c r="U659" s="1"/>
      <c r="V659" s="1"/>
      <c r="W659" s="1"/>
      <c r="X659" s="1"/>
      <c r="Y659" s="1"/>
      <c r="Z659" s="1"/>
      <c r="AA659" s="1"/>
      <c r="AB659" s="1"/>
      <c r="AC659" s="2"/>
      <c r="AD659" s="1"/>
      <c r="AE659" s="1"/>
      <c r="AF659" s="1"/>
      <c r="AG659" s="1"/>
      <c r="AH659" s="1"/>
      <c r="AI659" s="1"/>
      <c r="AJ659" s="1"/>
      <c r="AK659" s="1"/>
      <c r="AL659" s="2"/>
      <c r="AM659" s="1"/>
      <c r="AN659" s="1"/>
      <c r="AO659" s="1"/>
      <c r="AP659" s="1"/>
      <c r="AQ659" s="1"/>
      <c r="AR659" s="1"/>
      <c r="AS659" s="1"/>
      <c r="AT659" s="1"/>
      <c r="AU659" s="2"/>
      <c r="AV659" s="1"/>
      <c r="AW659" s="1"/>
      <c r="AX659" s="1"/>
      <c r="AY659" s="1"/>
      <c r="AZ659" s="1"/>
      <c r="BA659" s="1"/>
      <c r="BB659" s="1"/>
      <c r="BC659" s="1"/>
      <c r="BD659" s="2"/>
      <c r="BE659" s="1"/>
      <c r="BF659" s="1"/>
      <c r="BG659" s="1"/>
      <c r="BH659" s="1"/>
      <c r="BI659" s="1"/>
      <c r="BJ659" s="1"/>
      <c r="BK659" s="1"/>
      <c r="BL659" s="1"/>
      <c r="BM659" s="2"/>
      <c r="BN659" s="1"/>
      <c r="BO659" s="1"/>
      <c r="BP659" s="1"/>
      <c r="BQ659" s="1"/>
      <c r="BR659" s="1"/>
      <c r="BS659" s="1"/>
      <c r="BT659" s="1"/>
      <c r="BU659" s="1"/>
      <c r="BV659" s="2"/>
      <c r="BW659" s="1"/>
      <c r="BX659" s="1"/>
      <c r="BY659" s="1"/>
      <c r="BZ659" s="1"/>
      <c r="CA659" s="1"/>
      <c r="CB659" s="1"/>
      <c r="CC659" s="1"/>
      <c r="CD659" s="1"/>
      <c r="CE659" s="2"/>
      <c r="CF659" s="1"/>
      <c r="CG659" s="1"/>
      <c r="CH659" s="1"/>
      <c r="CI659" s="1"/>
      <c r="CJ659" s="1"/>
      <c r="CK659" s="1"/>
      <c r="CL659" s="1"/>
    </row>
    <row r="660" spans="1:90" ht="14.65" x14ac:dyDescent="0.4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2"/>
      <c r="L660" s="1"/>
      <c r="M660" s="1"/>
      <c r="N660" s="1"/>
      <c r="O660" s="1"/>
      <c r="P660" s="1"/>
      <c r="Q660" s="1"/>
      <c r="R660" s="1"/>
      <c r="S660" s="1"/>
      <c r="T660" s="2"/>
      <c r="U660" s="1"/>
      <c r="V660" s="1"/>
      <c r="W660" s="1"/>
      <c r="X660" s="1"/>
      <c r="Y660" s="1"/>
      <c r="Z660" s="1"/>
      <c r="AA660" s="1"/>
      <c r="AB660" s="1"/>
      <c r="AC660" s="2"/>
      <c r="AD660" s="1"/>
      <c r="AE660" s="1"/>
      <c r="AF660" s="1"/>
      <c r="AG660" s="1"/>
      <c r="AH660" s="1"/>
      <c r="AI660" s="1"/>
      <c r="AJ660" s="1"/>
      <c r="AK660" s="1"/>
      <c r="AL660" s="2"/>
      <c r="AM660" s="1"/>
      <c r="AN660" s="1"/>
      <c r="AO660" s="1"/>
      <c r="AP660" s="1"/>
      <c r="AQ660" s="1"/>
      <c r="AR660" s="1"/>
      <c r="AS660" s="1"/>
      <c r="AT660" s="1"/>
      <c r="AU660" s="2"/>
      <c r="AV660" s="1"/>
      <c r="AW660" s="1"/>
      <c r="AX660" s="1"/>
      <c r="AY660" s="1"/>
      <c r="AZ660" s="1"/>
      <c r="BA660" s="1"/>
      <c r="BB660" s="1"/>
      <c r="BC660" s="1"/>
      <c r="BD660" s="2"/>
      <c r="BE660" s="1"/>
      <c r="BF660" s="1"/>
      <c r="BG660" s="1"/>
      <c r="BH660" s="1"/>
      <c r="BI660" s="1"/>
      <c r="BJ660" s="1"/>
      <c r="BK660" s="1"/>
      <c r="BL660" s="1"/>
      <c r="BM660" s="2"/>
      <c r="BN660" s="1"/>
      <c r="BO660" s="1"/>
      <c r="BP660" s="1"/>
      <c r="BQ660" s="1"/>
      <c r="BR660" s="1"/>
      <c r="BS660" s="1"/>
      <c r="BT660" s="1"/>
      <c r="BU660" s="1"/>
      <c r="BV660" s="2"/>
      <c r="BW660" s="1"/>
      <c r="BX660" s="1"/>
      <c r="BY660" s="1"/>
      <c r="BZ660" s="1"/>
      <c r="CA660" s="1"/>
      <c r="CB660" s="1"/>
      <c r="CC660" s="1"/>
      <c r="CD660" s="1"/>
      <c r="CE660" s="2"/>
      <c r="CF660" s="1"/>
      <c r="CG660" s="1"/>
      <c r="CH660" s="1"/>
      <c r="CI660" s="1"/>
      <c r="CJ660" s="1"/>
      <c r="CK660" s="1"/>
      <c r="CL660" s="1"/>
    </row>
    <row r="661" spans="1:90" ht="14.65" x14ac:dyDescent="0.4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2"/>
      <c r="L661" s="1"/>
      <c r="M661" s="1"/>
      <c r="N661" s="1"/>
      <c r="O661" s="1"/>
      <c r="P661" s="1"/>
      <c r="Q661" s="1"/>
      <c r="R661" s="1"/>
      <c r="S661" s="1"/>
      <c r="T661" s="2"/>
      <c r="U661" s="1"/>
      <c r="V661" s="1"/>
      <c r="W661" s="1"/>
      <c r="X661" s="1"/>
      <c r="Y661" s="1"/>
      <c r="Z661" s="1"/>
      <c r="AA661" s="1"/>
      <c r="AB661" s="1"/>
      <c r="AC661" s="2"/>
      <c r="AD661" s="1"/>
      <c r="AE661" s="6"/>
      <c r="AF661" s="1"/>
      <c r="AG661" s="1"/>
      <c r="AH661" s="1"/>
      <c r="AI661" s="1"/>
      <c r="AJ661" s="1"/>
      <c r="AK661" s="1"/>
      <c r="AL661" s="2"/>
      <c r="AM661" s="1"/>
      <c r="AN661" s="1"/>
      <c r="AO661" s="1"/>
      <c r="AP661" s="1"/>
      <c r="AQ661" s="1"/>
      <c r="AR661" s="1"/>
      <c r="AS661" s="1"/>
      <c r="AT661" s="1"/>
      <c r="AU661" s="2"/>
      <c r="AV661" s="1"/>
      <c r="AW661" s="1"/>
      <c r="AX661" s="1"/>
      <c r="AY661" s="1"/>
      <c r="AZ661" s="1"/>
      <c r="BA661" s="1"/>
      <c r="BB661" s="1"/>
      <c r="BC661" s="1"/>
      <c r="BD661" s="2"/>
      <c r="BE661" s="1"/>
      <c r="BF661" s="1"/>
      <c r="BG661" s="1"/>
      <c r="BH661" s="1"/>
      <c r="BI661" s="1"/>
      <c r="BJ661" s="1"/>
      <c r="BK661" s="1"/>
      <c r="BL661" s="1"/>
      <c r="BM661" s="2"/>
      <c r="BN661" s="1"/>
      <c r="BO661" s="1"/>
      <c r="BP661" s="1"/>
      <c r="BQ661" s="1"/>
      <c r="BR661" s="1"/>
      <c r="BS661" s="1"/>
      <c r="BT661" s="1"/>
      <c r="BU661" s="1"/>
      <c r="BV661" s="2"/>
      <c r="BW661" s="1"/>
      <c r="BX661" s="1"/>
      <c r="BY661" s="1"/>
      <c r="BZ661" s="1"/>
      <c r="CA661" s="1"/>
      <c r="CB661" s="1"/>
      <c r="CC661" s="1"/>
      <c r="CD661" s="1"/>
      <c r="CE661" s="2"/>
      <c r="CF661" s="1"/>
      <c r="CG661" s="1"/>
      <c r="CH661" s="1"/>
      <c r="CI661" s="1"/>
      <c r="CJ661" s="1"/>
      <c r="CK661" s="1"/>
      <c r="CL661" s="1"/>
    </row>
    <row r="662" spans="1:90" ht="14.65" x14ac:dyDescent="0.4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2"/>
      <c r="L662" s="1"/>
      <c r="M662" s="1"/>
      <c r="N662" s="1"/>
      <c r="O662" s="1"/>
      <c r="P662" s="1"/>
      <c r="Q662" s="1"/>
      <c r="R662" s="1"/>
      <c r="S662" s="1"/>
      <c r="T662" s="2"/>
      <c r="U662" s="1"/>
      <c r="V662" s="1"/>
      <c r="W662" s="1"/>
      <c r="X662" s="1"/>
      <c r="Y662" s="1"/>
      <c r="Z662" s="1"/>
      <c r="AA662" s="1"/>
      <c r="AB662" s="1"/>
      <c r="AC662" s="2"/>
      <c r="AD662" s="1"/>
      <c r="AE662" s="6"/>
      <c r="AF662" s="1"/>
      <c r="AG662" s="1"/>
      <c r="AH662" s="1"/>
      <c r="AI662" s="1"/>
      <c r="AJ662" s="1"/>
      <c r="AK662" s="1"/>
      <c r="AL662" s="2"/>
      <c r="AM662" s="1"/>
      <c r="AN662" s="1"/>
      <c r="AO662" s="1"/>
      <c r="AP662" s="1"/>
      <c r="AQ662" s="1"/>
      <c r="AR662" s="1"/>
      <c r="AS662" s="1"/>
      <c r="AT662" s="1"/>
      <c r="AU662" s="2"/>
      <c r="AV662" s="1"/>
      <c r="AW662" s="1"/>
      <c r="AX662" s="1"/>
      <c r="AY662" s="1"/>
      <c r="AZ662" s="1"/>
      <c r="BA662" s="1"/>
      <c r="BB662" s="1"/>
      <c r="BC662" s="1"/>
      <c r="BD662" s="2"/>
      <c r="BE662" s="1"/>
      <c r="BF662" s="1"/>
      <c r="BG662" s="1"/>
      <c r="BH662" s="1"/>
      <c r="BI662" s="1"/>
      <c r="BJ662" s="1"/>
      <c r="BK662" s="1"/>
      <c r="BL662" s="1"/>
      <c r="BM662" s="2"/>
      <c r="BN662" s="1"/>
      <c r="BO662" s="1"/>
      <c r="BP662" s="1"/>
      <c r="BQ662" s="1"/>
      <c r="BR662" s="1"/>
      <c r="BS662" s="1"/>
      <c r="BT662" s="1"/>
      <c r="BU662" s="1"/>
      <c r="BV662" s="2"/>
      <c r="BW662" s="1"/>
      <c r="BX662" s="1"/>
      <c r="BY662" s="1"/>
      <c r="BZ662" s="1"/>
      <c r="CA662" s="1"/>
      <c r="CB662" s="1"/>
      <c r="CC662" s="1"/>
      <c r="CD662" s="1"/>
      <c r="CE662" s="2"/>
      <c r="CF662" s="1"/>
      <c r="CG662" s="1"/>
      <c r="CH662" s="1"/>
      <c r="CI662" s="1"/>
      <c r="CJ662" s="1"/>
      <c r="CK662" s="1"/>
      <c r="CL662" s="1"/>
    </row>
    <row r="663" spans="1:90" ht="14.65" x14ac:dyDescent="0.4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2"/>
      <c r="L663" s="1"/>
      <c r="M663" s="1"/>
      <c r="N663" s="1"/>
      <c r="O663" s="1"/>
      <c r="P663" s="1"/>
      <c r="Q663" s="1"/>
      <c r="R663" s="1"/>
      <c r="S663" s="1"/>
      <c r="T663" s="2"/>
      <c r="U663" s="1"/>
      <c r="V663" s="1"/>
      <c r="W663" s="1"/>
      <c r="X663" s="1"/>
      <c r="Y663" s="1"/>
      <c r="Z663" s="1"/>
      <c r="AA663" s="1"/>
      <c r="AB663" s="1"/>
      <c r="AC663" s="2"/>
      <c r="AD663" s="1"/>
      <c r="AE663" s="1"/>
      <c r="AF663" s="1"/>
      <c r="AG663" s="1"/>
      <c r="AH663" s="1"/>
      <c r="AI663" s="1"/>
      <c r="AJ663" s="1"/>
      <c r="AK663" s="1"/>
      <c r="AL663" s="2"/>
      <c r="AM663" s="1"/>
      <c r="AN663" s="1"/>
      <c r="AO663" s="1"/>
      <c r="AP663" s="1"/>
      <c r="AQ663" s="1"/>
      <c r="AR663" s="1"/>
      <c r="AS663" s="1"/>
      <c r="AT663" s="1"/>
      <c r="AU663" s="2"/>
      <c r="AV663" s="1"/>
      <c r="AW663" s="1"/>
      <c r="AX663" s="1"/>
      <c r="AY663" s="1"/>
      <c r="AZ663" s="1"/>
      <c r="BA663" s="1"/>
      <c r="BB663" s="1"/>
      <c r="BC663" s="1"/>
      <c r="BD663" s="2"/>
      <c r="BE663" s="1"/>
      <c r="BF663" s="1"/>
      <c r="BG663" s="1"/>
      <c r="BH663" s="1"/>
      <c r="BI663" s="1"/>
      <c r="BJ663" s="1"/>
      <c r="BK663" s="1"/>
      <c r="BL663" s="1"/>
      <c r="BM663" s="2"/>
      <c r="BN663" s="1"/>
      <c r="BO663" s="1"/>
      <c r="BP663" s="1"/>
      <c r="BQ663" s="1"/>
      <c r="BR663" s="1"/>
      <c r="BS663" s="1"/>
      <c r="BT663" s="1"/>
      <c r="BU663" s="1"/>
      <c r="BV663" s="2"/>
      <c r="BW663" s="1"/>
      <c r="BX663" s="1"/>
      <c r="BY663" s="1"/>
      <c r="BZ663" s="1"/>
      <c r="CA663" s="1"/>
      <c r="CB663" s="1"/>
      <c r="CC663" s="1"/>
      <c r="CD663" s="1"/>
      <c r="CE663" s="2"/>
      <c r="CF663" s="1"/>
      <c r="CG663" s="1"/>
      <c r="CH663" s="1"/>
      <c r="CI663" s="1"/>
      <c r="CJ663" s="1"/>
      <c r="CK663" s="1"/>
      <c r="CL663" s="1"/>
    </row>
    <row r="664" spans="1:90" ht="14.65" x14ac:dyDescent="0.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2"/>
      <c r="L664" s="1"/>
      <c r="M664" s="1"/>
      <c r="N664" s="1"/>
      <c r="O664" s="1"/>
      <c r="P664" s="1"/>
      <c r="Q664" s="1"/>
      <c r="R664" s="1"/>
      <c r="S664" s="1"/>
      <c r="T664" s="2"/>
      <c r="U664" s="1"/>
      <c r="V664" s="1"/>
      <c r="W664" s="1"/>
      <c r="X664" s="1"/>
      <c r="Y664" s="1"/>
      <c r="Z664" s="1"/>
      <c r="AA664" s="1"/>
      <c r="AB664" s="1"/>
      <c r="AC664" s="2"/>
      <c r="AD664" s="1"/>
      <c r="AE664" s="1"/>
      <c r="AF664" s="1"/>
      <c r="AG664" s="1"/>
      <c r="AH664" s="1"/>
      <c r="AI664" s="1"/>
      <c r="AJ664" s="1"/>
      <c r="AK664" s="1"/>
      <c r="AL664" s="2"/>
      <c r="AM664" s="1"/>
      <c r="AN664" s="1"/>
      <c r="AO664" s="1"/>
      <c r="AP664" s="1"/>
      <c r="AQ664" s="1"/>
      <c r="AR664" s="1"/>
      <c r="AS664" s="1"/>
      <c r="AT664" s="1"/>
      <c r="AU664" s="2"/>
      <c r="AV664" s="1"/>
      <c r="AW664" s="1"/>
      <c r="AX664" s="1"/>
      <c r="AY664" s="1"/>
      <c r="AZ664" s="1"/>
      <c r="BA664" s="1"/>
      <c r="BB664" s="1"/>
      <c r="BC664" s="1"/>
      <c r="BD664" s="2"/>
      <c r="BE664" s="1"/>
      <c r="BF664" s="1"/>
      <c r="BG664" s="1"/>
      <c r="BH664" s="1"/>
      <c r="BI664" s="1"/>
      <c r="BJ664" s="1"/>
      <c r="BK664" s="1"/>
      <c r="BL664" s="1"/>
      <c r="BM664" s="2"/>
      <c r="BN664" s="1"/>
      <c r="BO664" s="1"/>
      <c r="BP664" s="1"/>
      <c r="BQ664" s="1"/>
      <c r="BR664" s="1"/>
      <c r="BS664" s="1"/>
      <c r="BT664" s="1"/>
      <c r="BU664" s="1"/>
      <c r="BV664" s="2"/>
      <c r="BW664" s="1"/>
      <c r="BX664" s="1"/>
      <c r="BY664" s="1"/>
      <c r="BZ664" s="1"/>
      <c r="CA664" s="1"/>
      <c r="CB664" s="1"/>
      <c r="CC664" s="1"/>
      <c r="CD664" s="1"/>
      <c r="CE664" s="2"/>
      <c r="CF664" s="1"/>
      <c r="CG664" s="1"/>
      <c r="CH664" s="1"/>
      <c r="CI664" s="1"/>
      <c r="CJ664" s="1"/>
      <c r="CK664" s="1"/>
      <c r="CL664" s="1"/>
    </row>
    <row r="665" spans="1:90" ht="14.65" x14ac:dyDescent="0.4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2"/>
      <c r="L665" s="1"/>
      <c r="M665" s="1"/>
      <c r="N665" s="1"/>
      <c r="O665" s="1"/>
      <c r="P665" s="1"/>
      <c r="Q665" s="1"/>
      <c r="R665" s="1"/>
      <c r="S665" s="1"/>
      <c r="T665" s="2"/>
      <c r="U665" s="1"/>
      <c r="V665" s="1"/>
      <c r="W665" s="1"/>
      <c r="X665" s="1"/>
      <c r="Y665" s="1"/>
      <c r="Z665" s="1"/>
      <c r="AA665" s="1"/>
      <c r="AB665" s="1"/>
      <c r="AC665" s="2"/>
      <c r="AD665" s="1"/>
      <c r="AE665" s="1"/>
      <c r="AF665" s="1"/>
      <c r="AG665" s="1"/>
      <c r="AH665" s="1"/>
      <c r="AI665" s="1"/>
      <c r="AJ665" s="1"/>
      <c r="AK665" s="1"/>
      <c r="AL665" s="2"/>
      <c r="AM665" s="1"/>
      <c r="AN665" s="1"/>
      <c r="AO665" s="1"/>
      <c r="AP665" s="1"/>
      <c r="AQ665" s="1"/>
      <c r="AR665" s="1"/>
      <c r="AS665" s="1"/>
      <c r="AT665" s="1"/>
      <c r="AU665" s="2"/>
      <c r="AV665" s="1"/>
      <c r="AW665" s="1"/>
      <c r="AX665" s="1"/>
      <c r="AY665" s="1"/>
      <c r="AZ665" s="1"/>
      <c r="BA665" s="1"/>
      <c r="BB665" s="1"/>
      <c r="BC665" s="1"/>
      <c r="BD665" s="2"/>
      <c r="BE665" s="1"/>
      <c r="BF665" s="1"/>
      <c r="BG665" s="1"/>
      <c r="BH665" s="1"/>
      <c r="BI665" s="1"/>
      <c r="BJ665" s="1"/>
      <c r="BK665" s="1"/>
      <c r="BL665" s="1"/>
      <c r="BM665" s="2"/>
      <c r="BN665" s="1"/>
      <c r="BO665" s="1"/>
      <c r="BP665" s="1"/>
      <c r="BQ665" s="1"/>
      <c r="BR665" s="1"/>
      <c r="BS665" s="1"/>
      <c r="BT665" s="1"/>
      <c r="BU665" s="1"/>
      <c r="BV665" s="2"/>
      <c r="BW665" s="1"/>
      <c r="BX665" s="1"/>
      <c r="BY665" s="1"/>
      <c r="BZ665" s="1"/>
      <c r="CA665" s="1"/>
      <c r="CB665" s="1"/>
      <c r="CC665" s="1"/>
      <c r="CD665" s="1"/>
      <c r="CE665" s="2"/>
      <c r="CF665" s="1"/>
      <c r="CG665" s="1"/>
      <c r="CH665" s="1"/>
      <c r="CI665" s="1"/>
      <c r="CJ665" s="1"/>
      <c r="CK665" s="1"/>
      <c r="CL665" s="1"/>
    </row>
    <row r="666" spans="1:90" ht="14.65" x14ac:dyDescent="0.4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2"/>
      <c r="L666" s="1"/>
      <c r="M666" s="1"/>
      <c r="N666" s="1"/>
      <c r="O666" s="1"/>
      <c r="P666" s="1"/>
      <c r="Q666" s="1"/>
      <c r="R666" s="1"/>
      <c r="S666" s="1"/>
      <c r="T666" s="2"/>
      <c r="U666" s="1"/>
      <c r="V666" s="1"/>
      <c r="W666" s="1"/>
      <c r="X666" s="1"/>
      <c r="Y666" s="1"/>
      <c r="Z666" s="1"/>
      <c r="AA666" s="1"/>
      <c r="AB666" s="1"/>
      <c r="AC666" s="2"/>
      <c r="AD666" s="1"/>
      <c r="AE666" s="1"/>
      <c r="AF666" s="1"/>
      <c r="AG666" s="1"/>
      <c r="AH666" s="1"/>
      <c r="AI666" s="1"/>
      <c r="AJ666" s="1"/>
      <c r="AK666" s="1"/>
      <c r="AL666" s="2"/>
      <c r="AM666" s="1"/>
      <c r="AN666" s="1"/>
      <c r="AO666" s="1"/>
      <c r="AP666" s="1"/>
      <c r="AQ666" s="1"/>
      <c r="AR666" s="1"/>
      <c r="AS666" s="1"/>
      <c r="AT666" s="1"/>
      <c r="AU666" s="2"/>
      <c r="AV666" s="1"/>
      <c r="AW666" s="1"/>
      <c r="AX666" s="1"/>
      <c r="AY666" s="1"/>
      <c r="AZ666" s="1"/>
      <c r="BA666" s="1"/>
      <c r="BB666" s="1"/>
      <c r="BC666" s="1"/>
      <c r="BD666" s="2"/>
      <c r="BE666" s="1"/>
      <c r="BF666" s="1"/>
      <c r="BG666" s="1"/>
      <c r="BH666" s="1"/>
      <c r="BI666" s="1"/>
      <c r="BJ666" s="1"/>
      <c r="BK666" s="1"/>
      <c r="BL666" s="1"/>
      <c r="BM666" s="2"/>
      <c r="BN666" s="1"/>
      <c r="BO666" s="1"/>
      <c r="BP666" s="1"/>
      <c r="BQ666" s="1"/>
      <c r="BR666" s="1"/>
      <c r="BS666" s="1"/>
      <c r="BT666" s="1"/>
      <c r="BU666" s="1"/>
      <c r="BV666" s="2"/>
      <c r="BW666" s="1"/>
      <c r="BX666" s="1"/>
      <c r="BY666" s="1"/>
      <c r="BZ666" s="1"/>
      <c r="CA666" s="1"/>
      <c r="CB666" s="1"/>
      <c r="CC666" s="1"/>
      <c r="CD666" s="1"/>
      <c r="CE666" s="2"/>
      <c r="CF666" s="1"/>
      <c r="CG666" s="1"/>
      <c r="CH666" s="1"/>
      <c r="CI666" s="1"/>
      <c r="CJ666" s="1"/>
      <c r="CK666" s="1"/>
      <c r="CL666" s="1"/>
    </row>
    <row r="667" spans="1:90" ht="14.65" x14ac:dyDescent="0.4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2"/>
      <c r="L667" s="1"/>
      <c r="M667" s="1"/>
      <c r="N667" s="1"/>
      <c r="O667" s="1"/>
      <c r="P667" s="1"/>
      <c r="Q667" s="1"/>
      <c r="R667" s="1"/>
      <c r="S667" s="1"/>
      <c r="T667" s="2"/>
      <c r="U667" s="1"/>
      <c r="V667" s="1"/>
      <c r="W667" s="1"/>
      <c r="X667" s="1"/>
      <c r="Y667" s="1"/>
      <c r="Z667" s="1"/>
      <c r="AA667" s="1"/>
      <c r="AB667" s="1"/>
      <c r="AC667" s="2"/>
      <c r="AD667" s="1"/>
      <c r="AE667" s="1"/>
      <c r="AF667" s="1"/>
      <c r="AG667" s="1"/>
      <c r="AH667" s="1"/>
      <c r="AI667" s="1"/>
      <c r="AJ667" s="1"/>
      <c r="AK667" s="1"/>
      <c r="AL667" s="2"/>
      <c r="AM667" s="1"/>
      <c r="AN667" s="1"/>
      <c r="AO667" s="1"/>
      <c r="AP667" s="1"/>
      <c r="AQ667" s="1"/>
      <c r="AR667" s="1"/>
      <c r="AS667" s="1"/>
      <c r="AT667" s="1"/>
      <c r="AU667" s="2"/>
      <c r="AV667" s="1"/>
      <c r="AW667" s="1"/>
      <c r="AX667" s="1"/>
      <c r="AY667" s="1"/>
      <c r="AZ667" s="1"/>
      <c r="BA667" s="1"/>
      <c r="BB667" s="1"/>
      <c r="BC667" s="1"/>
      <c r="BD667" s="2"/>
      <c r="BE667" s="1"/>
      <c r="BF667" s="1"/>
      <c r="BG667" s="1"/>
      <c r="BH667" s="1"/>
      <c r="BI667" s="1"/>
      <c r="BJ667" s="1"/>
      <c r="BK667" s="1"/>
      <c r="BL667" s="1"/>
      <c r="BM667" s="2"/>
      <c r="BN667" s="1"/>
      <c r="BO667" s="1"/>
      <c r="BP667" s="1"/>
      <c r="BQ667" s="1"/>
      <c r="BR667" s="1"/>
      <c r="BS667" s="1"/>
      <c r="BT667" s="1"/>
      <c r="BU667" s="1"/>
      <c r="BV667" s="2"/>
      <c r="BW667" s="1"/>
      <c r="BX667" s="1"/>
      <c r="BY667" s="1"/>
      <c r="BZ667" s="1"/>
      <c r="CA667" s="1"/>
      <c r="CB667" s="1"/>
      <c r="CC667" s="1"/>
      <c r="CD667" s="1"/>
      <c r="CE667" s="2"/>
      <c r="CF667" s="1"/>
      <c r="CG667" s="1"/>
      <c r="CH667" s="1"/>
      <c r="CI667" s="1"/>
      <c r="CJ667" s="1"/>
      <c r="CK667" s="1"/>
      <c r="CL667" s="1"/>
    </row>
    <row r="668" spans="1:90" ht="14.65" x14ac:dyDescent="0.4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2"/>
      <c r="L668" s="1"/>
      <c r="M668" s="1"/>
      <c r="N668" s="1"/>
      <c r="O668" s="1"/>
      <c r="P668" s="1"/>
      <c r="Q668" s="1"/>
      <c r="R668" s="1"/>
      <c r="S668" s="1"/>
      <c r="T668" s="2"/>
      <c r="U668" s="1"/>
      <c r="V668" s="1"/>
      <c r="W668" s="1"/>
      <c r="X668" s="1"/>
      <c r="Y668" s="1"/>
      <c r="Z668" s="1"/>
      <c r="AA668" s="1"/>
      <c r="AB668" s="1"/>
      <c r="AC668" s="2"/>
      <c r="AD668" s="1"/>
      <c r="AE668" s="1"/>
      <c r="AF668" s="1"/>
      <c r="AG668" s="1"/>
      <c r="AH668" s="1"/>
      <c r="AI668" s="1"/>
      <c r="AJ668" s="1"/>
      <c r="AK668" s="1"/>
      <c r="AL668" s="2"/>
      <c r="AM668" s="1"/>
      <c r="AN668" s="1"/>
      <c r="AO668" s="1"/>
      <c r="AP668" s="1"/>
      <c r="AQ668" s="1"/>
      <c r="AR668" s="1"/>
      <c r="AS668" s="1"/>
      <c r="AT668" s="1"/>
      <c r="AU668" s="2"/>
      <c r="AV668" s="1"/>
      <c r="AW668" s="1"/>
      <c r="AX668" s="1"/>
      <c r="AY668" s="1"/>
      <c r="AZ668" s="1"/>
      <c r="BA668" s="1"/>
      <c r="BB668" s="1"/>
      <c r="BC668" s="1"/>
      <c r="BD668" s="2"/>
      <c r="BE668" s="1"/>
      <c r="BF668" s="1"/>
      <c r="BG668" s="1"/>
      <c r="BH668" s="1"/>
      <c r="BI668" s="1"/>
      <c r="BJ668" s="1"/>
      <c r="BK668" s="1"/>
      <c r="BL668" s="1"/>
      <c r="BM668" s="2"/>
      <c r="BN668" s="1"/>
      <c r="BO668" s="1"/>
      <c r="BP668" s="1"/>
      <c r="BQ668" s="1"/>
      <c r="BR668" s="1"/>
      <c r="BS668" s="1"/>
      <c r="BT668" s="1"/>
      <c r="BU668" s="1"/>
      <c r="BV668" s="2"/>
      <c r="BW668" s="1"/>
      <c r="BX668" s="1"/>
      <c r="BY668" s="1"/>
      <c r="BZ668" s="1"/>
      <c r="CA668" s="1"/>
      <c r="CB668" s="1"/>
      <c r="CC668" s="1"/>
      <c r="CD668" s="1"/>
      <c r="CE668" s="2"/>
      <c r="CF668" s="1"/>
      <c r="CG668" s="1"/>
      <c r="CH668" s="1"/>
      <c r="CI668" s="1"/>
      <c r="CJ668" s="1"/>
      <c r="CK668" s="1"/>
      <c r="CL668" s="1"/>
    </row>
    <row r="669" spans="1:90" ht="14.65" x14ac:dyDescent="0.4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2"/>
      <c r="L669" s="1"/>
      <c r="M669" s="1"/>
      <c r="N669" s="1"/>
      <c r="O669" s="1"/>
      <c r="P669" s="1"/>
      <c r="Q669" s="1"/>
      <c r="R669" s="1"/>
      <c r="S669" s="1"/>
      <c r="T669" s="2"/>
      <c r="U669" s="1"/>
      <c r="V669" s="1"/>
      <c r="W669" s="1"/>
      <c r="X669" s="1"/>
      <c r="Y669" s="1"/>
      <c r="Z669" s="1"/>
      <c r="AA669" s="1"/>
      <c r="AB669" s="1"/>
      <c r="AC669" s="2"/>
      <c r="AD669" s="1"/>
      <c r="AE669" s="1"/>
      <c r="AF669" s="1"/>
      <c r="AG669" s="1"/>
      <c r="AH669" s="1"/>
      <c r="AI669" s="1"/>
      <c r="AJ669" s="1"/>
      <c r="AK669" s="1"/>
      <c r="AL669" s="2"/>
      <c r="AM669" s="1"/>
      <c r="AN669" s="1"/>
      <c r="AO669" s="1"/>
      <c r="AP669" s="1"/>
      <c r="AQ669" s="1"/>
      <c r="AR669" s="1"/>
      <c r="AS669" s="1"/>
      <c r="AT669" s="1"/>
      <c r="AU669" s="2"/>
      <c r="AV669" s="1"/>
      <c r="AW669" s="1"/>
      <c r="AX669" s="1"/>
      <c r="AY669" s="1"/>
      <c r="AZ669" s="1"/>
      <c r="BA669" s="1"/>
      <c r="BB669" s="1"/>
      <c r="BC669" s="1"/>
      <c r="BD669" s="2"/>
      <c r="BE669" s="1"/>
      <c r="BF669" s="1"/>
      <c r="BG669" s="1"/>
      <c r="BH669" s="1"/>
      <c r="BI669" s="1"/>
      <c r="BJ669" s="1"/>
      <c r="BK669" s="1"/>
      <c r="BL669" s="1"/>
      <c r="BM669" s="2"/>
      <c r="BN669" s="1"/>
      <c r="BO669" s="1"/>
      <c r="BP669" s="1"/>
      <c r="BQ669" s="1"/>
      <c r="BR669" s="1"/>
      <c r="BS669" s="1"/>
      <c r="BT669" s="1"/>
      <c r="BU669" s="1"/>
      <c r="BV669" s="2"/>
      <c r="BW669" s="1"/>
      <c r="BX669" s="1"/>
      <c r="BY669" s="1"/>
      <c r="BZ669" s="1"/>
      <c r="CA669" s="1"/>
      <c r="CB669" s="1"/>
      <c r="CC669" s="1"/>
      <c r="CD669" s="1"/>
      <c r="CE669" s="2"/>
      <c r="CF669" s="1"/>
      <c r="CG669" s="1"/>
      <c r="CH669" s="1"/>
      <c r="CI669" s="1"/>
      <c r="CJ669" s="1"/>
      <c r="CK669" s="1"/>
      <c r="CL669" s="1"/>
    </row>
    <row r="670" spans="1:90" ht="14.65" x14ac:dyDescent="0.4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2"/>
      <c r="L670" s="1"/>
      <c r="M670" s="1"/>
      <c r="N670" s="1"/>
      <c r="O670" s="1"/>
      <c r="P670" s="1"/>
      <c r="Q670" s="1"/>
      <c r="R670" s="1"/>
      <c r="S670" s="1"/>
      <c r="T670" s="2"/>
      <c r="U670" s="1"/>
      <c r="V670" s="1"/>
      <c r="W670" s="1"/>
      <c r="X670" s="1"/>
      <c r="Y670" s="1"/>
      <c r="Z670" s="1"/>
      <c r="AA670" s="1"/>
      <c r="AB670" s="1"/>
      <c r="AC670" s="2"/>
      <c r="AD670" s="1"/>
      <c r="AE670" s="1"/>
      <c r="AF670" s="1"/>
      <c r="AG670" s="1"/>
      <c r="AH670" s="1"/>
      <c r="AI670" s="1"/>
      <c r="AJ670" s="1"/>
      <c r="AK670" s="1"/>
      <c r="AL670" s="2"/>
      <c r="AM670" s="1"/>
      <c r="AN670" s="1"/>
      <c r="AO670" s="1"/>
      <c r="AP670" s="1"/>
      <c r="AQ670" s="1"/>
      <c r="AR670" s="1"/>
      <c r="AS670" s="1"/>
      <c r="AT670" s="1"/>
      <c r="AU670" s="2"/>
      <c r="AV670" s="1"/>
      <c r="AW670" s="1"/>
      <c r="AX670" s="1"/>
      <c r="AY670" s="1"/>
      <c r="AZ670" s="1"/>
      <c r="BA670" s="1"/>
      <c r="BB670" s="1"/>
      <c r="BC670" s="1"/>
      <c r="BD670" s="2"/>
      <c r="BE670" s="1"/>
      <c r="BF670" s="1"/>
      <c r="BG670" s="1"/>
      <c r="BH670" s="1"/>
      <c r="BI670" s="1"/>
      <c r="BJ670" s="1"/>
      <c r="BK670" s="1"/>
      <c r="BL670" s="1"/>
      <c r="BM670" s="2"/>
      <c r="BN670" s="1"/>
      <c r="BO670" s="1"/>
      <c r="BP670" s="1"/>
      <c r="BQ670" s="1"/>
      <c r="BR670" s="1"/>
      <c r="BS670" s="1"/>
      <c r="BT670" s="1"/>
      <c r="BU670" s="1"/>
      <c r="BV670" s="2"/>
      <c r="BW670" s="1"/>
      <c r="BX670" s="1"/>
      <c r="BY670" s="1"/>
      <c r="BZ670" s="1"/>
      <c r="CA670" s="1"/>
      <c r="CB670" s="1"/>
      <c r="CC670" s="1"/>
      <c r="CD670" s="1"/>
      <c r="CE670" s="2"/>
      <c r="CF670" s="1"/>
      <c r="CG670" s="1"/>
      <c r="CH670" s="1"/>
      <c r="CI670" s="1"/>
      <c r="CJ670" s="1"/>
      <c r="CK670" s="1"/>
      <c r="CL670" s="1"/>
    </row>
    <row r="671" spans="1:90" ht="14.65" x14ac:dyDescent="0.4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2"/>
      <c r="L671" s="1"/>
      <c r="M671" s="1"/>
      <c r="N671" s="1"/>
      <c r="O671" s="1"/>
      <c r="P671" s="1"/>
      <c r="Q671" s="1"/>
      <c r="R671" s="1"/>
      <c r="S671" s="1"/>
      <c r="T671" s="2"/>
      <c r="U671" s="1"/>
      <c r="V671" s="1"/>
      <c r="W671" s="1"/>
      <c r="X671" s="1"/>
      <c r="Y671" s="1"/>
      <c r="Z671" s="1"/>
      <c r="AA671" s="1"/>
      <c r="AB671" s="1"/>
      <c r="AC671" s="2"/>
      <c r="AD671" s="1"/>
      <c r="AE671" s="1"/>
      <c r="AF671" s="1"/>
      <c r="AG671" s="1"/>
      <c r="AH671" s="1"/>
      <c r="AI671" s="1"/>
      <c r="AJ671" s="1"/>
      <c r="AK671" s="1"/>
      <c r="AL671" s="2"/>
      <c r="AM671" s="1"/>
      <c r="AN671" s="1"/>
      <c r="AO671" s="1"/>
      <c r="AP671" s="1"/>
      <c r="AQ671" s="1"/>
      <c r="AR671" s="1"/>
      <c r="AS671" s="1"/>
      <c r="AT671" s="1"/>
      <c r="AU671" s="2"/>
      <c r="AV671" s="1"/>
      <c r="AW671" s="1"/>
      <c r="AX671" s="1"/>
      <c r="AY671" s="1"/>
      <c r="AZ671" s="1"/>
      <c r="BA671" s="1"/>
      <c r="BB671" s="1"/>
      <c r="BC671" s="1"/>
      <c r="BD671" s="2"/>
      <c r="BE671" s="1"/>
      <c r="BF671" s="1"/>
      <c r="BG671" s="1"/>
      <c r="BH671" s="1"/>
      <c r="BI671" s="1"/>
      <c r="BJ671" s="1"/>
      <c r="BK671" s="1"/>
      <c r="BL671" s="1"/>
      <c r="BM671" s="2"/>
      <c r="BN671" s="1"/>
      <c r="BO671" s="1"/>
      <c r="BP671" s="1"/>
      <c r="BQ671" s="1"/>
      <c r="BR671" s="1"/>
      <c r="BS671" s="1"/>
      <c r="BT671" s="1"/>
      <c r="BU671" s="1"/>
      <c r="BV671" s="2"/>
      <c r="BW671" s="1"/>
      <c r="BX671" s="1"/>
      <c r="BY671" s="1"/>
      <c r="BZ671" s="1"/>
      <c r="CA671" s="1"/>
      <c r="CB671" s="1"/>
      <c r="CC671" s="1"/>
      <c r="CD671" s="1"/>
      <c r="CE671" s="2"/>
      <c r="CF671" s="1"/>
      <c r="CG671" s="1"/>
      <c r="CH671" s="1"/>
      <c r="CI671" s="1"/>
      <c r="CJ671" s="1"/>
      <c r="CK671" s="1"/>
      <c r="CL671" s="1"/>
    </row>
    <row r="672" spans="1:90" ht="14.65" x14ac:dyDescent="0.4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2"/>
      <c r="L672" s="1"/>
      <c r="M672" s="1"/>
      <c r="N672" s="1"/>
      <c r="O672" s="1"/>
      <c r="P672" s="1"/>
      <c r="Q672" s="1"/>
      <c r="R672" s="1"/>
      <c r="S672" s="1"/>
      <c r="T672" s="2"/>
      <c r="U672" s="1"/>
      <c r="V672" s="1"/>
      <c r="W672" s="1"/>
      <c r="X672" s="1"/>
      <c r="Y672" s="1"/>
      <c r="Z672" s="1"/>
      <c r="AA672" s="1"/>
      <c r="AB672" s="1"/>
      <c r="AC672" s="2"/>
      <c r="AD672" s="1"/>
      <c r="AE672" s="1"/>
      <c r="AF672" s="1"/>
      <c r="AG672" s="1"/>
      <c r="AH672" s="1"/>
      <c r="AI672" s="1"/>
      <c r="AJ672" s="1"/>
      <c r="AK672" s="1"/>
      <c r="AL672" s="2"/>
      <c r="AM672" s="1"/>
      <c r="AN672" s="1"/>
      <c r="AO672" s="1"/>
      <c r="AP672" s="1"/>
      <c r="AQ672" s="1"/>
      <c r="AR672" s="1"/>
      <c r="AS672" s="1"/>
      <c r="AT672" s="1"/>
      <c r="AU672" s="2"/>
      <c r="AV672" s="1"/>
      <c r="AW672" s="1"/>
      <c r="AX672" s="1"/>
      <c r="AY672" s="1"/>
      <c r="AZ672" s="1"/>
      <c r="BA672" s="1"/>
      <c r="BB672" s="1"/>
      <c r="BC672" s="1"/>
      <c r="BD672" s="2"/>
      <c r="BE672" s="1"/>
      <c r="BF672" s="1"/>
      <c r="BG672" s="1"/>
      <c r="BH672" s="1"/>
      <c r="BI672" s="1"/>
      <c r="BJ672" s="1"/>
      <c r="BK672" s="1"/>
      <c r="BL672" s="1"/>
      <c r="BM672" s="2"/>
      <c r="BN672" s="1"/>
      <c r="BO672" s="1"/>
      <c r="BP672" s="1"/>
      <c r="BQ672" s="1"/>
      <c r="BR672" s="1"/>
      <c r="BS672" s="1"/>
      <c r="BT672" s="1"/>
      <c r="BU672" s="1"/>
      <c r="BV672" s="2"/>
      <c r="BW672" s="1"/>
      <c r="BX672" s="1"/>
      <c r="BY672" s="1"/>
      <c r="BZ672" s="1"/>
      <c r="CA672" s="1"/>
      <c r="CB672" s="1"/>
      <c r="CC672" s="1"/>
      <c r="CD672" s="1"/>
      <c r="CE672" s="2"/>
      <c r="CF672" s="1"/>
      <c r="CG672" s="1"/>
      <c r="CH672" s="1"/>
      <c r="CI672" s="1"/>
      <c r="CJ672" s="1"/>
      <c r="CK672" s="1"/>
      <c r="CL672" s="1"/>
    </row>
    <row r="673" spans="1:90" ht="14.65" x14ac:dyDescent="0.4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2"/>
      <c r="L673" s="1"/>
      <c r="M673" s="1"/>
      <c r="N673" s="1"/>
      <c r="O673" s="1"/>
      <c r="P673" s="1"/>
      <c r="Q673" s="1"/>
      <c r="R673" s="1"/>
      <c r="S673" s="1"/>
      <c r="T673" s="2"/>
      <c r="U673" s="1"/>
      <c r="V673" s="1"/>
      <c r="W673" s="1"/>
      <c r="X673" s="1"/>
      <c r="Y673" s="1"/>
      <c r="Z673" s="1"/>
      <c r="AA673" s="1"/>
      <c r="AB673" s="1"/>
      <c r="AC673" s="2"/>
      <c r="AD673" s="1"/>
      <c r="AE673" s="1"/>
      <c r="AF673" s="1"/>
      <c r="AG673" s="1"/>
      <c r="AH673" s="1"/>
      <c r="AI673" s="1"/>
      <c r="AJ673" s="1"/>
      <c r="AK673" s="1"/>
      <c r="AL673" s="2"/>
      <c r="AM673" s="1"/>
      <c r="AN673" s="1"/>
      <c r="AO673" s="1"/>
      <c r="AP673" s="1"/>
      <c r="AQ673" s="1"/>
      <c r="AR673" s="1"/>
      <c r="AS673" s="1"/>
      <c r="AT673" s="1"/>
      <c r="AU673" s="2"/>
      <c r="AV673" s="1"/>
      <c r="AW673" s="1"/>
      <c r="AX673" s="1"/>
      <c r="AY673" s="1"/>
      <c r="AZ673" s="1"/>
      <c r="BA673" s="1"/>
      <c r="BB673" s="1"/>
      <c r="BC673" s="1"/>
      <c r="BD673" s="2"/>
      <c r="BE673" s="1"/>
      <c r="BF673" s="1"/>
      <c r="BG673" s="1"/>
      <c r="BH673" s="1"/>
      <c r="BI673" s="1"/>
      <c r="BJ673" s="1"/>
      <c r="BK673" s="1"/>
      <c r="BL673" s="1"/>
      <c r="BM673" s="2"/>
      <c r="BN673" s="1"/>
      <c r="BO673" s="1"/>
      <c r="BP673" s="1"/>
      <c r="BQ673" s="1"/>
      <c r="BR673" s="1"/>
      <c r="BS673" s="1"/>
      <c r="BT673" s="1"/>
      <c r="BU673" s="1"/>
      <c r="BV673" s="2"/>
      <c r="BW673" s="1"/>
      <c r="BX673" s="1"/>
      <c r="BY673" s="1"/>
      <c r="BZ673" s="1"/>
      <c r="CA673" s="1"/>
      <c r="CB673" s="1"/>
      <c r="CC673" s="1"/>
      <c r="CD673" s="1"/>
      <c r="CE673" s="2"/>
      <c r="CF673" s="1"/>
      <c r="CG673" s="1"/>
      <c r="CH673" s="1"/>
      <c r="CI673" s="1"/>
      <c r="CJ673" s="1"/>
      <c r="CK673" s="1"/>
      <c r="CL673" s="1"/>
    </row>
    <row r="674" spans="1:90" ht="14.65" x14ac:dyDescent="0.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2"/>
      <c r="L674" s="1"/>
      <c r="M674" s="1"/>
      <c r="N674" s="1"/>
      <c r="O674" s="1"/>
      <c r="P674" s="1"/>
      <c r="Q674" s="1"/>
      <c r="R674" s="1"/>
      <c r="S674" s="1"/>
      <c r="T674" s="2"/>
      <c r="U674" s="1"/>
      <c r="V674" s="1"/>
      <c r="W674" s="1"/>
      <c r="X674" s="1"/>
      <c r="Y674" s="1"/>
      <c r="Z674" s="1"/>
      <c r="AA674" s="1"/>
      <c r="AB674" s="1"/>
      <c r="AC674" s="2"/>
      <c r="AD674" s="1"/>
      <c r="AE674" s="1"/>
      <c r="AF674" s="1"/>
      <c r="AG674" s="1"/>
      <c r="AH674" s="1"/>
      <c r="AI674" s="1"/>
      <c r="AJ674" s="1"/>
      <c r="AK674" s="1"/>
      <c r="AL674" s="2"/>
      <c r="AM674" s="1"/>
      <c r="AN674" s="1"/>
      <c r="AO674" s="1"/>
      <c r="AP674" s="1"/>
      <c r="AQ674" s="1"/>
      <c r="AR674" s="1"/>
      <c r="AS674" s="1"/>
      <c r="AT674" s="1"/>
      <c r="AU674" s="2"/>
      <c r="AV674" s="1"/>
      <c r="AW674" s="1"/>
      <c r="AX674" s="1"/>
      <c r="AY674" s="1"/>
      <c r="AZ674" s="1"/>
      <c r="BA674" s="1"/>
      <c r="BB674" s="1"/>
      <c r="BC674" s="1"/>
      <c r="BD674" s="2"/>
      <c r="BE674" s="1"/>
      <c r="BF674" s="1"/>
      <c r="BG674" s="1"/>
      <c r="BH674" s="1"/>
      <c r="BI674" s="1"/>
      <c r="BJ674" s="1"/>
      <c r="BK674" s="1"/>
      <c r="BL674" s="1"/>
      <c r="BM674" s="2"/>
      <c r="BN674" s="1"/>
      <c r="BO674" s="1"/>
      <c r="BP674" s="1"/>
      <c r="BQ674" s="1"/>
      <c r="BR674" s="1"/>
      <c r="BS674" s="1"/>
      <c r="BT674" s="1"/>
      <c r="BU674" s="1"/>
      <c r="BV674" s="2"/>
      <c r="BW674" s="1"/>
      <c r="BX674" s="1"/>
      <c r="BY674" s="1"/>
      <c r="BZ674" s="1"/>
      <c r="CA674" s="1"/>
      <c r="CB674" s="1"/>
      <c r="CC674" s="1"/>
      <c r="CD674" s="1"/>
      <c r="CE674" s="2"/>
      <c r="CF674" s="1"/>
      <c r="CG674" s="1"/>
      <c r="CH674" s="1"/>
      <c r="CI674" s="1"/>
      <c r="CJ674" s="1"/>
      <c r="CK674" s="1"/>
      <c r="CL674" s="1"/>
    </row>
    <row r="675" spans="1:90" ht="14.65" x14ac:dyDescent="0.4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2"/>
      <c r="L675" s="1"/>
      <c r="M675" s="1"/>
      <c r="N675" s="1"/>
      <c r="O675" s="1"/>
      <c r="P675" s="1"/>
      <c r="Q675" s="1"/>
      <c r="R675" s="1"/>
      <c r="S675" s="1"/>
      <c r="T675" s="2"/>
      <c r="U675" s="1"/>
      <c r="V675" s="1"/>
      <c r="W675" s="1"/>
      <c r="X675" s="1"/>
      <c r="Y675" s="1"/>
      <c r="Z675" s="1"/>
      <c r="AA675" s="1"/>
      <c r="AB675" s="1"/>
      <c r="AC675" s="2"/>
      <c r="AD675" s="1"/>
      <c r="AE675" s="1"/>
      <c r="AF675" s="1"/>
      <c r="AG675" s="1"/>
      <c r="AH675" s="1"/>
      <c r="AI675" s="1"/>
      <c r="AJ675" s="1"/>
      <c r="AK675" s="1"/>
      <c r="AL675" s="2"/>
      <c r="AM675" s="1"/>
      <c r="AN675" s="1"/>
      <c r="AO675" s="1"/>
      <c r="AP675" s="1"/>
      <c r="AQ675" s="1"/>
      <c r="AR675" s="1"/>
      <c r="AS675" s="1"/>
      <c r="AT675" s="1"/>
      <c r="AU675" s="2"/>
      <c r="AV675" s="1"/>
      <c r="AW675" s="1"/>
      <c r="AX675" s="1"/>
      <c r="AY675" s="1"/>
      <c r="AZ675" s="1"/>
      <c r="BA675" s="1"/>
      <c r="BB675" s="1"/>
      <c r="BC675" s="1"/>
      <c r="BD675" s="2"/>
      <c r="BE675" s="1"/>
      <c r="BF675" s="1"/>
      <c r="BG675" s="1"/>
      <c r="BH675" s="1"/>
      <c r="BI675" s="1"/>
      <c r="BJ675" s="1"/>
      <c r="BK675" s="1"/>
      <c r="BL675" s="1"/>
      <c r="BM675" s="2"/>
      <c r="BN675" s="1"/>
      <c r="BO675" s="1"/>
      <c r="BP675" s="1"/>
      <c r="BQ675" s="1"/>
      <c r="BR675" s="1"/>
      <c r="BS675" s="1"/>
      <c r="BT675" s="1"/>
      <c r="BU675" s="1"/>
      <c r="BV675" s="2"/>
      <c r="BW675" s="1"/>
      <c r="BX675" s="1"/>
      <c r="BY675" s="1"/>
      <c r="BZ675" s="1"/>
      <c r="CA675" s="1"/>
      <c r="CB675" s="1"/>
      <c r="CC675" s="1"/>
      <c r="CD675" s="1"/>
      <c r="CE675" s="2"/>
      <c r="CF675" s="1"/>
      <c r="CG675" s="1"/>
      <c r="CH675" s="1"/>
      <c r="CI675" s="1"/>
      <c r="CJ675" s="1"/>
      <c r="CK675" s="1"/>
      <c r="CL675" s="1"/>
    </row>
    <row r="676" spans="1:90" ht="14.65" x14ac:dyDescent="0.4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2"/>
      <c r="L676" s="1"/>
      <c r="M676" s="1"/>
      <c r="N676" s="1"/>
      <c r="O676" s="1"/>
      <c r="P676" s="1"/>
      <c r="Q676" s="1"/>
      <c r="R676" s="1"/>
      <c r="S676" s="1"/>
      <c r="T676" s="2"/>
      <c r="U676" s="1"/>
      <c r="V676" s="1"/>
      <c r="W676" s="1"/>
      <c r="X676" s="1"/>
      <c r="Y676" s="1"/>
      <c r="Z676" s="1"/>
      <c r="AA676" s="1"/>
      <c r="AB676" s="1"/>
      <c r="AC676" s="2"/>
      <c r="AD676" s="1"/>
      <c r="AE676" s="1"/>
      <c r="AF676" s="1"/>
      <c r="AG676" s="1"/>
      <c r="AH676" s="1"/>
      <c r="AI676" s="1"/>
      <c r="AJ676" s="1"/>
      <c r="AK676" s="1"/>
      <c r="AL676" s="2"/>
      <c r="AM676" s="1"/>
      <c r="AN676" s="1"/>
      <c r="AO676" s="1"/>
      <c r="AP676" s="1"/>
      <c r="AQ676" s="1"/>
      <c r="AR676" s="1"/>
      <c r="AS676" s="1"/>
      <c r="AT676" s="1"/>
      <c r="AU676" s="2"/>
      <c r="AV676" s="1"/>
      <c r="AW676" s="1"/>
      <c r="AX676" s="1"/>
      <c r="AY676" s="1"/>
      <c r="AZ676" s="1"/>
      <c r="BA676" s="1"/>
      <c r="BB676" s="1"/>
      <c r="BC676" s="1"/>
      <c r="BD676" s="2"/>
      <c r="BE676" s="1"/>
      <c r="BF676" s="1"/>
      <c r="BG676" s="1"/>
      <c r="BH676" s="1"/>
      <c r="BI676" s="1"/>
      <c r="BJ676" s="1"/>
      <c r="BK676" s="1"/>
      <c r="BL676" s="1"/>
      <c r="BM676" s="2"/>
      <c r="BN676" s="1"/>
      <c r="BO676" s="1"/>
      <c r="BP676" s="1"/>
      <c r="BQ676" s="1"/>
      <c r="BR676" s="1"/>
      <c r="BS676" s="1"/>
      <c r="BT676" s="1"/>
      <c r="BU676" s="1"/>
      <c r="BV676" s="2"/>
      <c r="BW676" s="1"/>
      <c r="BX676" s="1"/>
      <c r="BY676" s="1"/>
      <c r="BZ676" s="1"/>
      <c r="CA676" s="1"/>
      <c r="CB676" s="1"/>
      <c r="CC676" s="1"/>
      <c r="CD676" s="1"/>
      <c r="CE676" s="2"/>
      <c r="CF676" s="1"/>
      <c r="CG676" s="1"/>
      <c r="CH676" s="1"/>
      <c r="CI676" s="1"/>
      <c r="CJ676" s="1"/>
      <c r="CK676" s="1"/>
      <c r="CL676" s="1"/>
    </row>
    <row r="677" spans="1:90" ht="14.65" x14ac:dyDescent="0.4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2"/>
      <c r="L677" s="1"/>
      <c r="M677" s="1"/>
      <c r="N677" s="1"/>
      <c r="O677" s="1"/>
      <c r="P677" s="1"/>
      <c r="Q677" s="1"/>
      <c r="R677" s="1"/>
      <c r="S677" s="1"/>
      <c r="T677" s="2"/>
      <c r="U677" s="1"/>
      <c r="V677" s="1"/>
      <c r="W677" s="1"/>
      <c r="X677" s="1"/>
      <c r="Y677" s="1"/>
      <c r="Z677" s="1"/>
      <c r="AA677" s="1"/>
      <c r="AB677" s="1"/>
      <c r="AC677" s="2"/>
      <c r="AD677" s="1"/>
      <c r="AE677" s="1"/>
      <c r="AF677" s="1"/>
      <c r="AG677" s="1"/>
      <c r="AH677" s="1"/>
      <c r="AI677" s="1"/>
      <c r="AJ677" s="1"/>
      <c r="AK677" s="1"/>
      <c r="AL677" s="2"/>
      <c r="AM677" s="1"/>
      <c r="AN677" s="1"/>
      <c r="AO677" s="1"/>
      <c r="AP677" s="1"/>
      <c r="AQ677" s="1"/>
      <c r="AR677" s="1"/>
      <c r="AS677" s="1"/>
      <c r="AT677" s="1"/>
      <c r="AU677" s="2"/>
      <c r="AV677" s="1"/>
      <c r="AW677" s="1"/>
      <c r="AX677" s="1"/>
      <c r="AY677" s="1"/>
      <c r="AZ677" s="1"/>
      <c r="BA677" s="1"/>
      <c r="BB677" s="1"/>
      <c r="BC677" s="1"/>
      <c r="BD677" s="2"/>
      <c r="BE677" s="1"/>
      <c r="BF677" s="1"/>
      <c r="BG677" s="1"/>
      <c r="BH677" s="1"/>
      <c r="BI677" s="1"/>
      <c r="BJ677" s="1"/>
      <c r="BK677" s="1"/>
      <c r="BL677" s="1"/>
      <c r="BM677" s="2"/>
      <c r="BN677" s="1"/>
      <c r="BO677" s="1"/>
      <c r="BP677" s="1"/>
      <c r="BQ677" s="1"/>
      <c r="BR677" s="1"/>
      <c r="BS677" s="1"/>
      <c r="BT677" s="1"/>
      <c r="BU677" s="1"/>
      <c r="BV677" s="2"/>
      <c r="BW677" s="1"/>
      <c r="BX677" s="1"/>
      <c r="BY677" s="1"/>
      <c r="BZ677" s="1"/>
      <c r="CA677" s="1"/>
      <c r="CB677" s="1"/>
      <c r="CC677" s="1"/>
      <c r="CD677" s="1"/>
      <c r="CE677" s="2"/>
      <c r="CF677" s="1"/>
      <c r="CG677" s="1"/>
      <c r="CH677" s="1"/>
      <c r="CI677" s="1"/>
      <c r="CJ677" s="1"/>
      <c r="CK677" s="1"/>
      <c r="CL677" s="1"/>
    </row>
    <row r="678" spans="1:90" ht="14.65" x14ac:dyDescent="0.4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2"/>
      <c r="L678" s="1"/>
      <c r="M678" s="1"/>
      <c r="N678" s="1"/>
      <c r="O678" s="1"/>
      <c r="P678" s="1"/>
      <c r="Q678" s="1"/>
      <c r="R678" s="1"/>
      <c r="S678" s="1"/>
      <c r="T678" s="2"/>
      <c r="U678" s="1"/>
      <c r="V678" s="1"/>
      <c r="W678" s="1"/>
      <c r="X678" s="1"/>
      <c r="Y678" s="1"/>
      <c r="Z678" s="1"/>
      <c r="AA678" s="1"/>
      <c r="AB678" s="1"/>
      <c r="AC678" s="2"/>
      <c r="AD678" s="1"/>
      <c r="AE678" s="1"/>
      <c r="AF678" s="1"/>
      <c r="AG678" s="1"/>
      <c r="AH678" s="1"/>
      <c r="AI678" s="1"/>
      <c r="AJ678" s="1"/>
      <c r="AK678" s="1"/>
      <c r="AL678" s="2"/>
      <c r="AM678" s="1"/>
      <c r="AN678" s="1"/>
      <c r="AO678" s="1"/>
      <c r="AP678" s="1"/>
      <c r="AQ678" s="1"/>
      <c r="AR678" s="1"/>
      <c r="AS678" s="1"/>
      <c r="AT678" s="1"/>
      <c r="AU678" s="2"/>
      <c r="AV678" s="1"/>
      <c r="AW678" s="1"/>
      <c r="AX678" s="1"/>
      <c r="AY678" s="1"/>
      <c r="AZ678" s="1"/>
      <c r="BA678" s="1"/>
      <c r="BB678" s="1"/>
      <c r="BC678" s="1"/>
      <c r="BD678" s="2"/>
      <c r="BE678" s="1"/>
      <c r="BF678" s="1"/>
      <c r="BG678" s="1"/>
      <c r="BH678" s="1"/>
      <c r="BI678" s="1"/>
      <c r="BJ678" s="1"/>
      <c r="BK678" s="1"/>
      <c r="BL678" s="1"/>
      <c r="BM678" s="2"/>
      <c r="BN678" s="1"/>
      <c r="BO678" s="1"/>
      <c r="BP678" s="1"/>
      <c r="BQ678" s="1"/>
      <c r="BR678" s="1"/>
      <c r="BS678" s="1"/>
      <c r="BT678" s="1"/>
      <c r="BU678" s="1"/>
      <c r="BV678" s="2"/>
      <c r="BW678" s="1"/>
      <c r="BX678" s="1"/>
      <c r="BY678" s="1"/>
      <c r="BZ678" s="1"/>
      <c r="CA678" s="1"/>
      <c r="CB678" s="1"/>
      <c r="CC678" s="1"/>
      <c r="CD678" s="1"/>
      <c r="CE678" s="2"/>
      <c r="CF678" s="1"/>
      <c r="CG678" s="1"/>
      <c r="CH678" s="1"/>
      <c r="CI678" s="1"/>
      <c r="CJ678" s="1"/>
      <c r="CK678" s="1"/>
      <c r="CL678" s="1"/>
    </row>
    <row r="679" spans="1:90" ht="14.65" x14ac:dyDescent="0.4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2"/>
      <c r="L679" s="1"/>
      <c r="M679" s="1"/>
      <c r="N679" s="1"/>
      <c r="O679" s="1"/>
      <c r="P679" s="1"/>
      <c r="Q679" s="1"/>
      <c r="R679" s="1"/>
      <c r="S679" s="1"/>
      <c r="T679" s="2"/>
      <c r="U679" s="1"/>
      <c r="V679" s="1"/>
      <c r="W679" s="1"/>
      <c r="X679" s="1"/>
      <c r="Y679" s="1"/>
      <c r="Z679" s="1"/>
      <c r="AA679" s="1"/>
      <c r="AB679" s="1"/>
      <c r="AC679" s="2"/>
      <c r="AD679" s="1"/>
      <c r="AE679" s="1"/>
      <c r="AF679" s="1"/>
      <c r="AG679" s="1"/>
      <c r="AH679" s="1"/>
      <c r="AI679" s="1"/>
      <c r="AJ679" s="1"/>
      <c r="AK679" s="1"/>
      <c r="AL679" s="2"/>
      <c r="AM679" s="1"/>
      <c r="AN679" s="1"/>
      <c r="AO679" s="1"/>
      <c r="AP679" s="1"/>
      <c r="AQ679" s="1"/>
      <c r="AR679" s="1"/>
      <c r="AS679" s="1"/>
      <c r="AT679" s="1"/>
      <c r="AU679" s="2"/>
      <c r="AV679" s="1"/>
      <c r="AW679" s="1"/>
      <c r="AX679" s="1"/>
      <c r="AY679" s="1"/>
      <c r="AZ679" s="1"/>
      <c r="BA679" s="1"/>
      <c r="BB679" s="1"/>
      <c r="BC679" s="1"/>
      <c r="BD679" s="2"/>
      <c r="BE679" s="1"/>
      <c r="BF679" s="1"/>
      <c r="BG679" s="1"/>
      <c r="BH679" s="1"/>
      <c r="BI679" s="1"/>
      <c r="BJ679" s="1"/>
      <c r="BK679" s="1"/>
      <c r="BL679" s="1"/>
      <c r="BM679" s="2"/>
      <c r="BN679" s="1"/>
      <c r="BO679" s="1"/>
      <c r="BP679" s="1"/>
      <c r="BQ679" s="1"/>
      <c r="BR679" s="1"/>
      <c r="BS679" s="1"/>
      <c r="BT679" s="1"/>
      <c r="BU679" s="1"/>
      <c r="BV679" s="2"/>
      <c r="BW679" s="1"/>
      <c r="BX679" s="1"/>
      <c r="BY679" s="1"/>
      <c r="BZ679" s="1"/>
      <c r="CA679" s="1"/>
      <c r="CB679" s="1"/>
      <c r="CC679" s="1"/>
      <c r="CD679" s="1"/>
      <c r="CE679" s="2"/>
      <c r="CF679" s="1"/>
      <c r="CG679" s="1"/>
      <c r="CH679" s="1"/>
      <c r="CI679" s="1"/>
      <c r="CJ679" s="1"/>
      <c r="CK679" s="1"/>
      <c r="CL679" s="1"/>
    </row>
    <row r="680" spans="1:90" ht="14.65" x14ac:dyDescent="0.4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2"/>
      <c r="L680" s="1"/>
      <c r="M680" s="1"/>
      <c r="N680" s="1"/>
      <c r="O680" s="1"/>
      <c r="P680" s="1"/>
      <c r="Q680" s="1"/>
      <c r="R680" s="1"/>
      <c r="S680" s="1"/>
      <c r="T680" s="2"/>
      <c r="U680" s="1"/>
      <c r="V680" s="1"/>
      <c r="W680" s="1"/>
      <c r="X680" s="1"/>
      <c r="Y680" s="1"/>
      <c r="Z680" s="1"/>
      <c r="AA680" s="1"/>
      <c r="AB680" s="1"/>
      <c r="AC680" s="2"/>
      <c r="AD680" s="1"/>
      <c r="AE680" s="1"/>
      <c r="AF680" s="1"/>
      <c r="AG680" s="1"/>
      <c r="AH680" s="1"/>
      <c r="AI680" s="1"/>
      <c r="AJ680" s="1"/>
      <c r="AK680" s="1"/>
      <c r="AL680" s="2"/>
      <c r="AM680" s="1"/>
      <c r="AN680" s="1"/>
      <c r="AO680" s="1"/>
      <c r="AP680" s="1"/>
      <c r="AQ680" s="1"/>
      <c r="AR680" s="1"/>
      <c r="AS680" s="1"/>
      <c r="AT680" s="1"/>
      <c r="AU680" s="2"/>
      <c r="AV680" s="1"/>
      <c r="AW680" s="1"/>
      <c r="AX680" s="1"/>
      <c r="AY680" s="1"/>
      <c r="AZ680" s="1"/>
      <c r="BA680" s="1"/>
      <c r="BB680" s="1"/>
      <c r="BC680" s="1"/>
      <c r="BD680" s="2"/>
      <c r="BE680" s="1"/>
      <c r="BF680" s="1"/>
      <c r="BG680" s="1"/>
      <c r="BH680" s="1"/>
      <c r="BI680" s="1"/>
      <c r="BJ680" s="1"/>
      <c r="BK680" s="1"/>
      <c r="BL680" s="1"/>
      <c r="BM680" s="2"/>
      <c r="BN680" s="1"/>
      <c r="BO680" s="1"/>
      <c r="BP680" s="1"/>
      <c r="BQ680" s="1"/>
      <c r="BR680" s="1"/>
      <c r="BS680" s="1"/>
      <c r="BT680" s="1"/>
      <c r="BU680" s="1"/>
      <c r="BV680" s="2"/>
      <c r="BW680" s="1"/>
      <c r="BX680" s="1"/>
      <c r="BY680" s="1"/>
      <c r="BZ680" s="1"/>
      <c r="CA680" s="1"/>
      <c r="CB680" s="1"/>
      <c r="CC680" s="1"/>
      <c r="CD680" s="1"/>
      <c r="CE680" s="2"/>
      <c r="CF680" s="1"/>
      <c r="CG680" s="1"/>
      <c r="CH680" s="1"/>
      <c r="CI680" s="1"/>
      <c r="CJ680" s="1"/>
      <c r="CK680" s="1"/>
      <c r="CL680" s="1"/>
    </row>
    <row r="681" spans="1:90" ht="14.65" x14ac:dyDescent="0.4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2"/>
      <c r="L681" s="1"/>
      <c r="M681" s="1"/>
      <c r="N681" s="1"/>
      <c r="O681" s="1"/>
      <c r="P681" s="1"/>
      <c r="Q681" s="1"/>
      <c r="R681" s="1"/>
      <c r="S681" s="1"/>
      <c r="T681" s="2"/>
      <c r="U681" s="1"/>
      <c r="V681" s="1"/>
      <c r="W681" s="1"/>
      <c r="X681" s="1"/>
      <c r="Y681" s="1"/>
      <c r="Z681" s="1"/>
      <c r="AA681" s="1"/>
      <c r="AB681" s="1"/>
      <c r="AC681" s="2"/>
      <c r="AD681" s="1"/>
      <c r="AE681" s="1"/>
      <c r="AF681" s="1"/>
      <c r="AG681" s="1"/>
      <c r="AH681" s="1"/>
      <c r="AI681" s="1"/>
      <c r="AJ681" s="1"/>
      <c r="AK681" s="1"/>
      <c r="AL681" s="2"/>
      <c r="AM681" s="1"/>
      <c r="AN681" s="1"/>
      <c r="AO681" s="1"/>
      <c r="AP681" s="1"/>
      <c r="AQ681" s="1"/>
      <c r="AR681" s="1"/>
      <c r="AS681" s="1"/>
      <c r="AT681" s="1"/>
      <c r="AU681" s="2"/>
      <c r="AV681" s="1"/>
      <c r="AW681" s="1"/>
      <c r="AX681" s="1"/>
      <c r="AY681" s="1"/>
      <c r="AZ681" s="1"/>
      <c r="BA681" s="1"/>
      <c r="BB681" s="1"/>
      <c r="BC681" s="1"/>
      <c r="BD681" s="2"/>
      <c r="BE681" s="1"/>
      <c r="BF681" s="1"/>
      <c r="BG681" s="1"/>
      <c r="BH681" s="1"/>
      <c r="BI681" s="1"/>
      <c r="BJ681" s="1"/>
      <c r="BK681" s="1"/>
      <c r="BL681" s="1"/>
      <c r="BM681" s="2"/>
      <c r="BN681" s="1"/>
      <c r="BO681" s="1"/>
      <c r="BP681" s="1"/>
      <c r="BQ681" s="1"/>
      <c r="BR681" s="1"/>
      <c r="BS681" s="1"/>
      <c r="BT681" s="1"/>
      <c r="BU681" s="1"/>
      <c r="BV681" s="2"/>
      <c r="BW681" s="1"/>
      <c r="BX681" s="1"/>
      <c r="BY681" s="1"/>
      <c r="BZ681" s="1"/>
      <c r="CA681" s="1"/>
      <c r="CB681" s="1"/>
      <c r="CC681" s="1"/>
      <c r="CD681" s="1"/>
      <c r="CE681" s="2"/>
      <c r="CF681" s="1"/>
      <c r="CG681" s="1"/>
      <c r="CH681" s="1"/>
      <c r="CI681" s="1"/>
      <c r="CJ681" s="1"/>
      <c r="CK681" s="1"/>
      <c r="CL681" s="1"/>
    </row>
    <row r="682" spans="1:90" ht="14.65" x14ac:dyDescent="0.4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2"/>
      <c r="L682" s="1"/>
      <c r="M682" s="1"/>
      <c r="N682" s="1"/>
      <c r="O682" s="1"/>
      <c r="P682" s="1"/>
      <c r="Q682" s="1"/>
      <c r="R682" s="1"/>
      <c r="S682" s="1"/>
      <c r="T682" s="2"/>
      <c r="U682" s="1"/>
      <c r="V682" s="1"/>
      <c r="W682" s="1"/>
      <c r="X682" s="1"/>
      <c r="Y682" s="1"/>
      <c r="Z682" s="1"/>
      <c r="AA682" s="1"/>
      <c r="AB682" s="1"/>
      <c r="AC682" s="2"/>
      <c r="AD682" s="1"/>
      <c r="AE682" s="1"/>
      <c r="AF682" s="1"/>
      <c r="AG682" s="1"/>
      <c r="AH682" s="1"/>
      <c r="AI682" s="1"/>
      <c r="AJ682" s="1"/>
      <c r="AK682" s="1"/>
      <c r="AL682" s="2"/>
      <c r="AM682" s="1"/>
      <c r="AN682" s="1"/>
      <c r="AO682" s="1"/>
      <c r="AP682" s="1"/>
      <c r="AQ682" s="1"/>
      <c r="AR682" s="1"/>
      <c r="AS682" s="1"/>
      <c r="AT682" s="1"/>
      <c r="AU682" s="2"/>
      <c r="AV682" s="1"/>
      <c r="AW682" s="1"/>
      <c r="AX682" s="1"/>
      <c r="AY682" s="1"/>
      <c r="AZ682" s="1"/>
      <c r="BA682" s="1"/>
      <c r="BB682" s="1"/>
      <c r="BC682" s="1"/>
      <c r="BD682" s="2"/>
      <c r="BE682" s="1"/>
      <c r="BF682" s="1"/>
      <c r="BG682" s="1"/>
      <c r="BH682" s="1"/>
      <c r="BI682" s="1"/>
      <c r="BJ682" s="1"/>
      <c r="BK682" s="1"/>
      <c r="BL682" s="1"/>
      <c r="BM682" s="2"/>
      <c r="BN682" s="1"/>
      <c r="BO682" s="1"/>
      <c r="BP682" s="1"/>
      <c r="BQ682" s="1"/>
      <c r="BR682" s="1"/>
      <c r="BS682" s="1"/>
      <c r="BT682" s="1"/>
      <c r="BU682" s="1"/>
      <c r="BV682" s="2"/>
      <c r="BW682" s="1"/>
      <c r="BX682" s="1"/>
      <c r="BY682" s="1"/>
      <c r="BZ682" s="1"/>
      <c r="CA682" s="1"/>
      <c r="CB682" s="1"/>
      <c r="CC682" s="1"/>
      <c r="CD682" s="1"/>
      <c r="CE682" s="2"/>
      <c r="CF682" s="1"/>
      <c r="CG682" s="1"/>
      <c r="CH682" s="1"/>
      <c r="CI682" s="1"/>
      <c r="CJ682" s="1"/>
      <c r="CK682" s="1"/>
      <c r="CL682" s="1"/>
    </row>
    <row r="683" spans="1:90" ht="14.65" x14ac:dyDescent="0.4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2"/>
      <c r="L683" s="1"/>
      <c r="M683" s="1"/>
      <c r="N683" s="1"/>
      <c r="O683" s="1"/>
      <c r="P683" s="1"/>
      <c r="Q683" s="1"/>
      <c r="R683" s="1"/>
      <c r="S683" s="1"/>
      <c r="T683" s="2"/>
      <c r="U683" s="1"/>
      <c r="V683" s="1"/>
      <c r="W683" s="1"/>
      <c r="X683" s="1"/>
      <c r="Y683" s="1"/>
      <c r="Z683" s="1"/>
      <c r="AA683" s="1"/>
      <c r="AB683" s="1"/>
      <c r="AC683" s="2"/>
      <c r="AD683" s="1"/>
      <c r="AE683" s="1"/>
      <c r="AF683" s="1"/>
      <c r="AG683" s="1"/>
      <c r="AH683" s="1"/>
      <c r="AI683" s="1"/>
      <c r="AJ683" s="1"/>
      <c r="AK683" s="1"/>
      <c r="AL683" s="2"/>
      <c r="AM683" s="1"/>
      <c r="AN683" s="1"/>
      <c r="AO683" s="1"/>
      <c r="AP683" s="1"/>
      <c r="AQ683" s="1"/>
      <c r="AR683" s="1"/>
      <c r="AS683" s="1"/>
      <c r="AT683" s="1"/>
      <c r="AU683" s="2"/>
      <c r="AV683" s="1"/>
      <c r="AW683" s="1"/>
      <c r="AX683" s="1"/>
      <c r="AY683" s="1"/>
      <c r="AZ683" s="1"/>
      <c r="BA683" s="1"/>
      <c r="BB683" s="1"/>
      <c r="BC683" s="1"/>
      <c r="BD683" s="2"/>
      <c r="BE683" s="1"/>
      <c r="BF683" s="1"/>
      <c r="BG683" s="1"/>
      <c r="BH683" s="1"/>
      <c r="BI683" s="1"/>
      <c r="BJ683" s="1"/>
      <c r="BK683" s="1"/>
      <c r="BL683" s="1"/>
      <c r="BM683" s="2"/>
      <c r="BN683" s="1"/>
      <c r="BO683" s="1"/>
      <c r="BP683" s="1"/>
      <c r="BQ683" s="1"/>
      <c r="BR683" s="1"/>
      <c r="BS683" s="1"/>
      <c r="BT683" s="1"/>
      <c r="BU683" s="1"/>
      <c r="BV683" s="2"/>
      <c r="BW683" s="1"/>
      <c r="BX683" s="1"/>
      <c r="BY683" s="1"/>
      <c r="BZ683" s="1"/>
      <c r="CA683" s="1"/>
      <c r="CB683" s="1"/>
      <c r="CC683" s="1"/>
      <c r="CD683" s="1"/>
      <c r="CE683" s="2"/>
      <c r="CF683" s="1"/>
      <c r="CG683" s="1"/>
      <c r="CH683" s="1"/>
      <c r="CI683" s="1"/>
      <c r="CJ683" s="1"/>
      <c r="CK683" s="1"/>
      <c r="CL683" s="1"/>
    </row>
    <row r="684" spans="1:90" ht="14.65" x14ac:dyDescent="0.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2"/>
      <c r="L684" s="1"/>
      <c r="M684" s="1"/>
      <c r="N684" s="1"/>
      <c r="O684" s="1"/>
      <c r="P684" s="1"/>
      <c r="Q684" s="1"/>
      <c r="R684" s="1"/>
      <c r="S684" s="1"/>
      <c r="T684" s="2"/>
      <c r="U684" s="1"/>
      <c r="V684" s="1"/>
      <c r="W684" s="1"/>
      <c r="X684" s="1"/>
      <c r="Y684" s="1"/>
      <c r="Z684" s="1"/>
      <c r="AA684" s="1"/>
      <c r="AB684" s="1"/>
      <c r="AC684" s="2"/>
      <c r="AD684" s="1"/>
      <c r="AE684" s="1"/>
      <c r="AF684" s="1"/>
      <c r="AG684" s="1"/>
      <c r="AH684" s="1"/>
      <c r="AI684" s="1"/>
      <c r="AJ684" s="1"/>
      <c r="AK684" s="1"/>
      <c r="AL684" s="2"/>
      <c r="AM684" s="1"/>
      <c r="AN684" s="1"/>
      <c r="AO684" s="1"/>
      <c r="AP684" s="1"/>
      <c r="AQ684" s="1"/>
      <c r="AR684" s="1"/>
      <c r="AS684" s="1"/>
      <c r="AT684" s="1"/>
      <c r="AU684" s="2"/>
      <c r="AV684" s="1"/>
      <c r="AW684" s="1"/>
      <c r="AX684" s="1"/>
      <c r="AY684" s="1"/>
      <c r="AZ684" s="1"/>
      <c r="BA684" s="1"/>
      <c r="BB684" s="1"/>
      <c r="BC684" s="1"/>
      <c r="BD684" s="2"/>
      <c r="BE684" s="1"/>
      <c r="BF684" s="1"/>
      <c r="BG684" s="1"/>
      <c r="BH684" s="1"/>
      <c r="BI684" s="1"/>
      <c r="BJ684" s="1"/>
      <c r="BK684" s="1"/>
      <c r="BL684" s="1"/>
      <c r="BM684" s="2"/>
      <c r="BN684" s="1"/>
      <c r="BO684" s="1"/>
      <c r="BP684" s="1"/>
      <c r="BQ684" s="1"/>
      <c r="BR684" s="1"/>
      <c r="BS684" s="1"/>
      <c r="BT684" s="1"/>
      <c r="BU684" s="1"/>
      <c r="BV684" s="2"/>
      <c r="BW684" s="1"/>
      <c r="BX684" s="1"/>
      <c r="BY684" s="1"/>
      <c r="BZ684" s="1"/>
      <c r="CA684" s="1"/>
      <c r="CB684" s="1"/>
      <c r="CC684" s="1"/>
      <c r="CD684" s="1"/>
      <c r="CE684" s="2"/>
      <c r="CF684" s="1"/>
      <c r="CG684" s="1"/>
      <c r="CH684" s="1"/>
      <c r="CI684" s="1"/>
      <c r="CJ684" s="1"/>
      <c r="CK684" s="1"/>
      <c r="CL684" s="1"/>
    </row>
    <row r="685" spans="1:90" ht="14.65" x14ac:dyDescent="0.4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2"/>
      <c r="L685" s="1"/>
      <c r="M685" s="1"/>
      <c r="N685" s="1"/>
      <c r="O685" s="1"/>
      <c r="P685" s="1"/>
      <c r="Q685" s="1"/>
      <c r="R685" s="1"/>
      <c r="S685" s="1"/>
      <c r="T685" s="2"/>
      <c r="U685" s="1"/>
      <c r="V685" s="1"/>
      <c r="W685" s="1"/>
      <c r="X685" s="1"/>
      <c r="Y685" s="1"/>
      <c r="Z685" s="1"/>
      <c r="AA685" s="1"/>
      <c r="AB685" s="1"/>
      <c r="AC685" s="2"/>
      <c r="AD685" s="1"/>
      <c r="AE685" s="1"/>
      <c r="AF685" s="1"/>
      <c r="AG685" s="1"/>
      <c r="AH685" s="1"/>
      <c r="AI685" s="1"/>
      <c r="AJ685" s="1"/>
      <c r="AK685" s="1"/>
      <c r="AL685" s="2"/>
      <c r="AM685" s="1"/>
      <c r="AN685" s="1"/>
      <c r="AO685" s="1"/>
      <c r="AP685" s="1"/>
      <c r="AQ685" s="1"/>
      <c r="AR685" s="1"/>
      <c r="AS685" s="1"/>
      <c r="AT685" s="1"/>
      <c r="AU685" s="2"/>
      <c r="AV685" s="1"/>
      <c r="AW685" s="1"/>
      <c r="AX685" s="1"/>
      <c r="AY685" s="1"/>
      <c r="AZ685" s="1"/>
      <c r="BA685" s="1"/>
      <c r="BB685" s="1"/>
      <c r="BC685" s="1"/>
      <c r="BD685" s="2"/>
      <c r="BE685" s="1"/>
      <c r="BF685" s="1"/>
      <c r="BG685" s="1"/>
      <c r="BH685" s="1"/>
      <c r="BI685" s="1"/>
      <c r="BJ685" s="1"/>
      <c r="BK685" s="1"/>
      <c r="BL685" s="1"/>
      <c r="BM685" s="2"/>
      <c r="BN685" s="1"/>
      <c r="BO685" s="1"/>
      <c r="BP685" s="1"/>
      <c r="BQ685" s="1"/>
      <c r="BR685" s="1"/>
      <c r="BS685" s="1"/>
      <c r="BT685" s="1"/>
      <c r="BU685" s="1"/>
      <c r="BV685" s="2"/>
      <c r="BW685" s="1"/>
      <c r="BX685" s="1"/>
      <c r="BY685" s="1"/>
      <c r="BZ685" s="1"/>
      <c r="CA685" s="1"/>
      <c r="CB685" s="1"/>
      <c r="CC685" s="1"/>
      <c r="CD685" s="1"/>
      <c r="CE685" s="2"/>
      <c r="CF685" s="1"/>
      <c r="CG685" s="1"/>
      <c r="CH685" s="1"/>
      <c r="CI685" s="1"/>
      <c r="CJ685" s="1"/>
      <c r="CK685" s="1"/>
      <c r="CL685" s="1"/>
    </row>
    <row r="686" spans="1:90" ht="14.65" x14ac:dyDescent="0.4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2"/>
      <c r="L686" s="1"/>
      <c r="M686" s="1"/>
      <c r="N686" s="1"/>
      <c r="O686" s="1"/>
      <c r="P686" s="1"/>
      <c r="Q686" s="1"/>
      <c r="R686" s="1"/>
      <c r="S686" s="1"/>
      <c r="T686" s="2"/>
      <c r="U686" s="1"/>
      <c r="V686" s="1"/>
      <c r="W686" s="1"/>
      <c r="X686" s="1"/>
      <c r="Y686" s="1"/>
      <c r="Z686" s="1"/>
      <c r="AA686" s="1"/>
      <c r="AB686" s="1"/>
      <c r="AC686" s="2"/>
      <c r="AD686" s="1"/>
      <c r="AE686" s="1"/>
      <c r="AF686" s="1"/>
      <c r="AG686" s="1"/>
      <c r="AH686" s="1"/>
      <c r="AI686" s="1"/>
      <c r="AJ686" s="1"/>
      <c r="AK686" s="1"/>
      <c r="AL686" s="2"/>
      <c r="AM686" s="1"/>
      <c r="AN686" s="1"/>
      <c r="AO686" s="1"/>
      <c r="AP686" s="1"/>
      <c r="AQ686" s="1"/>
      <c r="AR686" s="1"/>
      <c r="AS686" s="1"/>
      <c r="AT686" s="1"/>
      <c r="AU686" s="2"/>
      <c r="AV686" s="1"/>
      <c r="AW686" s="1"/>
      <c r="AX686" s="1"/>
      <c r="AY686" s="1"/>
      <c r="AZ686" s="1"/>
      <c r="BA686" s="1"/>
      <c r="BB686" s="1"/>
      <c r="BC686" s="1"/>
      <c r="BD686" s="2"/>
      <c r="BE686" s="1"/>
      <c r="BF686" s="1"/>
      <c r="BG686" s="1"/>
      <c r="BH686" s="1"/>
      <c r="BI686" s="1"/>
      <c r="BJ686" s="1"/>
      <c r="BK686" s="1"/>
      <c r="BL686" s="1"/>
      <c r="BM686" s="2"/>
      <c r="BN686" s="1"/>
      <c r="BO686" s="1"/>
      <c r="BP686" s="1"/>
      <c r="BQ686" s="1"/>
      <c r="BR686" s="1"/>
      <c r="BS686" s="1"/>
      <c r="BT686" s="1"/>
      <c r="BU686" s="1"/>
      <c r="BV686" s="2"/>
      <c r="BW686" s="1"/>
      <c r="BX686" s="1"/>
      <c r="BY686" s="1"/>
      <c r="BZ686" s="1"/>
      <c r="CA686" s="1"/>
      <c r="CB686" s="1"/>
      <c r="CC686" s="1"/>
      <c r="CD686" s="1"/>
      <c r="CE686" s="2"/>
      <c r="CF686" s="1"/>
      <c r="CG686" s="1"/>
      <c r="CH686" s="1"/>
      <c r="CI686" s="1"/>
      <c r="CJ686" s="1"/>
      <c r="CK686" s="1"/>
      <c r="CL686" s="1"/>
    </row>
    <row r="687" spans="1:90" ht="14.65" x14ac:dyDescent="0.4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2"/>
      <c r="L687" s="1"/>
      <c r="M687" s="1"/>
      <c r="N687" s="1"/>
      <c r="O687" s="1"/>
      <c r="P687" s="1"/>
      <c r="Q687" s="1"/>
      <c r="R687" s="1"/>
      <c r="S687" s="1"/>
      <c r="T687" s="2"/>
      <c r="U687" s="1"/>
      <c r="V687" s="1"/>
      <c r="W687" s="1"/>
      <c r="X687" s="1"/>
      <c r="Y687" s="1"/>
      <c r="Z687" s="1"/>
      <c r="AA687" s="1"/>
      <c r="AB687" s="1"/>
      <c r="AC687" s="2"/>
      <c r="AD687" s="1"/>
      <c r="AE687" s="1"/>
      <c r="AF687" s="1"/>
      <c r="AG687" s="1"/>
      <c r="AH687" s="1"/>
      <c r="AI687" s="1"/>
      <c r="AJ687" s="1"/>
      <c r="AK687" s="1"/>
      <c r="AL687" s="2"/>
      <c r="AM687" s="1"/>
      <c r="AN687" s="1"/>
      <c r="AO687" s="1"/>
      <c r="AP687" s="1"/>
      <c r="AQ687" s="1"/>
      <c r="AR687" s="1"/>
      <c r="AS687" s="1"/>
      <c r="AT687" s="1"/>
      <c r="AU687" s="2"/>
      <c r="AV687" s="1"/>
      <c r="AW687" s="1"/>
      <c r="AX687" s="1"/>
      <c r="AY687" s="1"/>
      <c r="AZ687" s="1"/>
      <c r="BA687" s="1"/>
      <c r="BB687" s="1"/>
      <c r="BC687" s="1"/>
      <c r="BD687" s="2"/>
      <c r="BE687" s="1"/>
      <c r="BF687" s="1"/>
      <c r="BG687" s="1"/>
      <c r="BH687" s="1"/>
      <c r="BI687" s="1"/>
      <c r="BJ687" s="1"/>
      <c r="BK687" s="1"/>
      <c r="BL687" s="1"/>
      <c r="BM687" s="2"/>
      <c r="BN687" s="1"/>
      <c r="BO687" s="1"/>
      <c r="BP687" s="1"/>
      <c r="BQ687" s="1"/>
      <c r="BR687" s="1"/>
      <c r="BS687" s="1"/>
      <c r="BT687" s="1"/>
      <c r="BU687" s="1"/>
      <c r="BV687" s="2"/>
      <c r="BW687" s="1"/>
      <c r="BX687" s="1"/>
      <c r="BY687" s="1"/>
      <c r="BZ687" s="1"/>
      <c r="CA687" s="1"/>
      <c r="CB687" s="1"/>
      <c r="CC687" s="1"/>
      <c r="CD687" s="1"/>
      <c r="CE687" s="2"/>
      <c r="CF687" s="1"/>
      <c r="CG687" s="1"/>
      <c r="CH687" s="1"/>
      <c r="CI687" s="1"/>
      <c r="CJ687" s="1"/>
      <c r="CK687" s="1"/>
      <c r="CL687" s="1"/>
    </row>
    <row r="688" spans="1:90" ht="14.65" x14ac:dyDescent="0.4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2"/>
      <c r="L688" s="1"/>
      <c r="M688" s="1"/>
      <c r="N688" s="1"/>
      <c r="O688" s="1"/>
      <c r="P688" s="1"/>
      <c r="Q688" s="1"/>
      <c r="R688" s="1"/>
      <c r="S688" s="1"/>
      <c r="T688" s="2"/>
      <c r="U688" s="1"/>
      <c r="V688" s="1"/>
      <c r="W688" s="1"/>
      <c r="X688" s="1"/>
      <c r="Y688" s="1"/>
      <c r="Z688" s="1"/>
      <c r="AA688" s="1"/>
      <c r="AB688" s="1"/>
      <c r="AC688" s="2"/>
      <c r="AD688" s="1"/>
      <c r="AE688" s="1"/>
      <c r="AF688" s="1"/>
      <c r="AG688" s="1"/>
      <c r="AH688" s="1"/>
      <c r="AI688" s="1"/>
      <c r="AJ688" s="1"/>
      <c r="AK688" s="1"/>
      <c r="AL688" s="2"/>
      <c r="AM688" s="1"/>
      <c r="AN688" s="1"/>
      <c r="AO688" s="1"/>
      <c r="AP688" s="1"/>
      <c r="AQ688" s="1"/>
      <c r="AR688" s="1"/>
      <c r="AS688" s="1"/>
      <c r="AT688" s="1"/>
      <c r="AU688" s="2"/>
      <c r="AV688" s="1"/>
      <c r="AW688" s="1"/>
      <c r="AX688" s="1"/>
      <c r="AY688" s="1"/>
      <c r="AZ688" s="1"/>
      <c r="BA688" s="1"/>
      <c r="BB688" s="1"/>
      <c r="BC688" s="1"/>
      <c r="BD688" s="2"/>
      <c r="BE688" s="1"/>
      <c r="BF688" s="1"/>
      <c r="BG688" s="1"/>
      <c r="BH688" s="1"/>
      <c r="BI688" s="1"/>
      <c r="BJ688" s="1"/>
      <c r="BK688" s="1"/>
      <c r="BL688" s="1"/>
      <c r="BM688" s="2"/>
      <c r="BN688" s="1"/>
      <c r="BO688" s="1"/>
      <c r="BP688" s="1"/>
      <c r="BQ688" s="1"/>
      <c r="BR688" s="1"/>
      <c r="BS688" s="1"/>
      <c r="BT688" s="1"/>
      <c r="BU688" s="1"/>
      <c r="BV688" s="2"/>
      <c r="BW688" s="1"/>
      <c r="BX688" s="1"/>
      <c r="BY688" s="1"/>
      <c r="BZ688" s="1"/>
      <c r="CA688" s="1"/>
      <c r="CB688" s="1"/>
      <c r="CC688" s="1"/>
      <c r="CD688" s="1"/>
      <c r="CE688" s="2"/>
      <c r="CF688" s="1"/>
      <c r="CG688" s="1"/>
      <c r="CH688" s="1"/>
      <c r="CI688" s="1"/>
      <c r="CJ688" s="1"/>
      <c r="CK688" s="1"/>
      <c r="CL688" s="1"/>
    </row>
    <row r="689" spans="1:90" ht="14.65" x14ac:dyDescent="0.4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2"/>
      <c r="L689" s="1"/>
      <c r="M689" s="1"/>
      <c r="N689" s="1"/>
      <c r="O689" s="1"/>
      <c r="P689" s="1"/>
      <c r="Q689" s="1"/>
      <c r="R689" s="1"/>
      <c r="S689" s="1"/>
      <c r="T689" s="2"/>
      <c r="U689" s="1"/>
      <c r="V689" s="1"/>
      <c r="W689" s="1"/>
      <c r="X689" s="1"/>
      <c r="Y689" s="1"/>
      <c r="Z689" s="1"/>
      <c r="AA689" s="1"/>
      <c r="AB689" s="1"/>
      <c r="AC689" s="2"/>
      <c r="AD689" s="1"/>
      <c r="AE689" s="1"/>
      <c r="AF689" s="1"/>
      <c r="AG689" s="1"/>
      <c r="AH689" s="1"/>
      <c r="AI689" s="1"/>
      <c r="AJ689" s="1"/>
      <c r="AK689" s="1"/>
      <c r="AL689" s="2"/>
      <c r="AM689" s="1"/>
      <c r="AN689" s="1"/>
      <c r="AO689" s="1"/>
      <c r="AP689" s="1"/>
      <c r="AQ689" s="1"/>
      <c r="AR689" s="1"/>
      <c r="AS689" s="1"/>
      <c r="AT689" s="1"/>
      <c r="AU689" s="2"/>
      <c r="AV689" s="1"/>
      <c r="AW689" s="1"/>
      <c r="AX689" s="1"/>
      <c r="AY689" s="1"/>
      <c r="AZ689" s="1"/>
      <c r="BA689" s="1"/>
      <c r="BB689" s="1"/>
      <c r="BC689" s="1"/>
      <c r="BD689" s="2"/>
      <c r="BE689" s="1"/>
      <c r="BF689" s="1"/>
      <c r="BG689" s="1"/>
      <c r="BH689" s="1"/>
      <c r="BI689" s="1"/>
      <c r="BJ689" s="1"/>
      <c r="BK689" s="1"/>
      <c r="BL689" s="1"/>
      <c r="BM689" s="2"/>
      <c r="BN689" s="1"/>
      <c r="BO689" s="1"/>
      <c r="BP689" s="1"/>
      <c r="BQ689" s="1"/>
      <c r="BR689" s="1"/>
      <c r="BS689" s="1"/>
      <c r="BT689" s="1"/>
      <c r="BU689" s="1"/>
      <c r="BV689" s="2"/>
      <c r="BW689" s="1"/>
      <c r="BX689" s="1"/>
      <c r="BY689" s="1"/>
      <c r="BZ689" s="1"/>
      <c r="CA689" s="1"/>
      <c r="CB689" s="1"/>
      <c r="CC689" s="1"/>
      <c r="CD689" s="1"/>
      <c r="CE689" s="2"/>
      <c r="CF689" s="1"/>
      <c r="CG689" s="1"/>
      <c r="CH689" s="1"/>
      <c r="CI689" s="1"/>
      <c r="CJ689" s="1"/>
      <c r="CK689" s="1"/>
      <c r="CL689" s="1"/>
    </row>
    <row r="690" spans="1:90" ht="14.65" x14ac:dyDescent="0.4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2"/>
      <c r="L690" s="1"/>
      <c r="M690" s="1"/>
      <c r="N690" s="1"/>
      <c r="O690" s="1"/>
      <c r="P690" s="1"/>
      <c r="Q690" s="1"/>
      <c r="R690" s="1"/>
      <c r="S690" s="1"/>
      <c r="T690" s="2"/>
      <c r="U690" s="1"/>
      <c r="V690" s="1"/>
      <c r="W690" s="1"/>
      <c r="X690" s="1"/>
      <c r="Y690" s="1"/>
      <c r="Z690" s="1"/>
      <c r="AA690" s="1"/>
      <c r="AB690" s="1"/>
      <c r="AC690" s="2"/>
      <c r="AD690" s="1"/>
      <c r="AE690" s="1"/>
      <c r="AF690" s="1"/>
      <c r="AG690" s="1"/>
      <c r="AH690" s="1"/>
      <c r="AI690" s="1"/>
      <c r="AJ690" s="1"/>
      <c r="AK690" s="1"/>
      <c r="AL690" s="2"/>
      <c r="AM690" s="1"/>
      <c r="AN690" s="1"/>
      <c r="AO690" s="1"/>
      <c r="AP690" s="1"/>
      <c r="AQ690" s="1"/>
      <c r="AR690" s="1"/>
      <c r="AS690" s="1"/>
      <c r="AT690" s="1"/>
      <c r="AU690" s="2"/>
      <c r="AV690" s="1"/>
      <c r="AW690" s="1"/>
      <c r="AX690" s="1"/>
      <c r="AY690" s="1"/>
      <c r="AZ690" s="1"/>
      <c r="BA690" s="1"/>
      <c r="BB690" s="1"/>
      <c r="BC690" s="1"/>
      <c r="BD690" s="2"/>
      <c r="BE690" s="1"/>
      <c r="BF690" s="1"/>
      <c r="BG690" s="1"/>
      <c r="BH690" s="1"/>
      <c r="BI690" s="1"/>
      <c r="BJ690" s="1"/>
      <c r="BK690" s="1"/>
      <c r="BL690" s="1"/>
      <c r="BM690" s="2"/>
      <c r="BN690" s="1"/>
      <c r="BO690" s="1"/>
      <c r="BP690" s="1"/>
      <c r="BQ690" s="1"/>
      <c r="BR690" s="1"/>
      <c r="BS690" s="1"/>
      <c r="BT690" s="1"/>
      <c r="BU690" s="1"/>
      <c r="BV690" s="2"/>
      <c r="BW690" s="1"/>
      <c r="BX690" s="1"/>
      <c r="BY690" s="1"/>
      <c r="BZ690" s="1"/>
      <c r="CA690" s="1"/>
      <c r="CB690" s="1"/>
      <c r="CC690" s="1"/>
      <c r="CD690" s="1"/>
      <c r="CE690" s="2"/>
      <c r="CF690" s="1"/>
      <c r="CG690" s="1"/>
      <c r="CH690" s="1"/>
      <c r="CI690" s="1"/>
      <c r="CJ690" s="1"/>
      <c r="CK690" s="1"/>
      <c r="CL690" s="1"/>
    </row>
    <row r="691" spans="1:90" ht="14.65" x14ac:dyDescent="0.4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2"/>
      <c r="L691" s="1"/>
      <c r="M691" s="1"/>
      <c r="N691" s="1"/>
      <c r="O691" s="1"/>
      <c r="P691" s="1"/>
      <c r="Q691" s="1"/>
      <c r="R691" s="1"/>
      <c r="S691" s="1"/>
      <c r="T691" s="2"/>
      <c r="U691" s="1"/>
      <c r="V691" s="1"/>
      <c r="W691" s="1"/>
      <c r="X691" s="1"/>
      <c r="Y691" s="1"/>
      <c r="Z691" s="1"/>
      <c r="AA691" s="1"/>
      <c r="AB691" s="1"/>
      <c r="AC691" s="2"/>
      <c r="AD691" s="1"/>
      <c r="AE691" s="1"/>
      <c r="AF691" s="1"/>
      <c r="AG691" s="1"/>
      <c r="AH691" s="1"/>
      <c r="AI691" s="1"/>
      <c r="AJ691" s="1"/>
      <c r="AK691" s="1"/>
      <c r="AL691" s="2"/>
      <c r="AM691" s="1"/>
      <c r="AN691" s="1"/>
      <c r="AO691" s="1"/>
      <c r="AP691" s="1"/>
      <c r="AQ691" s="1"/>
      <c r="AR691" s="1"/>
      <c r="AS691" s="1"/>
      <c r="AT691" s="1"/>
      <c r="AU691" s="2"/>
      <c r="AV691" s="1"/>
      <c r="AW691" s="1"/>
      <c r="AX691" s="1"/>
      <c r="AY691" s="1"/>
      <c r="AZ691" s="1"/>
      <c r="BA691" s="1"/>
      <c r="BB691" s="1"/>
      <c r="BC691" s="1"/>
      <c r="BD691" s="2"/>
      <c r="BE691" s="1"/>
      <c r="BF691" s="1"/>
      <c r="BG691" s="1"/>
      <c r="BH691" s="1"/>
      <c r="BI691" s="1"/>
      <c r="BJ691" s="1"/>
      <c r="BK691" s="1"/>
      <c r="BL691" s="1"/>
      <c r="BM691" s="2"/>
      <c r="BN691" s="1"/>
      <c r="BO691" s="1"/>
      <c r="BP691" s="1"/>
      <c r="BQ691" s="1"/>
      <c r="BR691" s="1"/>
      <c r="BS691" s="1"/>
      <c r="BT691" s="1"/>
      <c r="BU691" s="1"/>
      <c r="BV691" s="2"/>
      <c r="BW691" s="1"/>
      <c r="BX691" s="1"/>
      <c r="BY691" s="1"/>
      <c r="BZ691" s="1"/>
      <c r="CA691" s="1"/>
      <c r="CB691" s="1"/>
      <c r="CC691" s="1"/>
      <c r="CD691" s="1"/>
      <c r="CE691" s="2"/>
      <c r="CF691" s="1"/>
      <c r="CG691" s="1"/>
      <c r="CH691" s="1"/>
      <c r="CI691" s="1"/>
      <c r="CJ691" s="1"/>
      <c r="CK691" s="1"/>
      <c r="CL691" s="1"/>
    </row>
    <row r="692" spans="1:90" ht="14.65" x14ac:dyDescent="0.4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2"/>
      <c r="L692" s="1"/>
      <c r="M692" s="1"/>
      <c r="N692" s="1"/>
      <c r="O692" s="1"/>
      <c r="P692" s="1"/>
      <c r="Q692" s="1"/>
      <c r="R692" s="1"/>
      <c r="S692" s="1"/>
      <c r="T692" s="2"/>
      <c r="U692" s="1"/>
      <c r="V692" s="1"/>
      <c r="W692" s="1"/>
      <c r="X692" s="1"/>
      <c r="Y692" s="1"/>
      <c r="Z692" s="1"/>
      <c r="AA692" s="1"/>
      <c r="AB692" s="1"/>
      <c r="AC692" s="2"/>
      <c r="AD692" s="1"/>
      <c r="AE692" s="1"/>
      <c r="AF692" s="1"/>
      <c r="AG692" s="1"/>
      <c r="AH692" s="1"/>
      <c r="AI692" s="1"/>
      <c r="AJ692" s="1"/>
      <c r="AK692" s="1"/>
      <c r="AL692" s="2"/>
      <c r="AM692" s="1"/>
      <c r="AN692" s="1"/>
      <c r="AO692" s="1"/>
      <c r="AP692" s="1"/>
      <c r="AQ692" s="1"/>
      <c r="AR692" s="1"/>
      <c r="AS692" s="1"/>
      <c r="AT692" s="1"/>
      <c r="AU692" s="2"/>
      <c r="AV692" s="1"/>
      <c r="AW692" s="1"/>
      <c r="AX692" s="1"/>
      <c r="AY692" s="1"/>
      <c r="AZ692" s="1"/>
      <c r="BA692" s="1"/>
      <c r="BB692" s="1"/>
      <c r="BC692" s="1"/>
      <c r="BD692" s="2"/>
      <c r="BE692" s="1"/>
      <c r="BF692" s="1"/>
      <c r="BG692" s="1"/>
      <c r="BH692" s="1"/>
      <c r="BI692" s="1"/>
      <c r="BJ692" s="1"/>
      <c r="BK692" s="1"/>
      <c r="BL692" s="1"/>
      <c r="BM692" s="2"/>
      <c r="BN692" s="1"/>
      <c r="BO692" s="1"/>
      <c r="BP692" s="1"/>
      <c r="BQ692" s="1"/>
      <c r="BR692" s="1"/>
      <c r="BS692" s="1"/>
      <c r="BT692" s="1"/>
      <c r="BU692" s="1"/>
      <c r="BV692" s="2"/>
      <c r="BW692" s="1"/>
      <c r="BX692" s="1"/>
      <c r="BY692" s="1"/>
      <c r="BZ692" s="1"/>
      <c r="CA692" s="1"/>
      <c r="CB692" s="1"/>
      <c r="CC692" s="1"/>
      <c r="CD692" s="1"/>
      <c r="CE692" s="2"/>
      <c r="CF692" s="1"/>
      <c r="CG692" s="1"/>
      <c r="CH692" s="1"/>
      <c r="CI692" s="1"/>
      <c r="CJ692" s="1"/>
      <c r="CK692" s="1"/>
      <c r="CL692" s="1"/>
    </row>
    <row r="693" spans="1:90" ht="14.65" x14ac:dyDescent="0.4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2"/>
      <c r="L693" s="1"/>
      <c r="M693" s="1"/>
      <c r="N693" s="1"/>
      <c r="O693" s="1"/>
      <c r="P693" s="1"/>
      <c r="Q693" s="1"/>
      <c r="R693" s="1"/>
      <c r="S693" s="1"/>
      <c r="T693" s="2"/>
      <c r="U693" s="1"/>
      <c r="V693" s="1"/>
      <c r="W693" s="1"/>
      <c r="X693" s="1"/>
      <c r="Y693" s="1"/>
      <c r="Z693" s="1"/>
      <c r="AA693" s="1"/>
      <c r="AB693" s="1"/>
      <c r="AC693" s="2"/>
      <c r="AD693" s="1"/>
      <c r="AE693" s="1"/>
      <c r="AF693" s="1"/>
      <c r="AG693" s="1"/>
      <c r="AH693" s="1"/>
      <c r="AI693" s="1"/>
      <c r="AJ693" s="1"/>
      <c r="AK693" s="1"/>
      <c r="AL693" s="2"/>
      <c r="AM693" s="1"/>
      <c r="AN693" s="1"/>
      <c r="AO693" s="1"/>
      <c r="AP693" s="1"/>
      <c r="AQ693" s="1"/>
      <c r="AR693" s="1"/>
      <c r="AS693" s="1"/>
      <c r="AT693" s="1"/>
      <c r="AU693" s="2"/>
      <c r="AV693" s="1"/>
      <c r="AW693" s="1"/>
      <c r="AX693" s="1"/>
      <c r="AY693" s="1"/>
      <c r="AZ693" s="1"/>
      <c r="BA693" s="1"/>
      <c r="BB693" s="1"/>
      <c r="BC693" s="1"/>
      <c r="BD693" s="2"/>
      <c r="BE693" s="1"/>
      <c r="BF693" s="1"/>
      <c r="BG693" s="1"/>
      <c r="BH693" s="1"/>
      <c r="BI693" s="1"/>
      <c r="BJ693" s="1"/>
      <c r="BK693" s="1"/>
      <c r="BL693" s="1"/>
      <c r="BM693" s="2"/>
      <c r="BN693" s="1"/>
      <c r="BO693" s="1"/>
      <c r="BP693" s="1"/>
      <c r="BQ693" s="1"/>
      <c r="BR693" s="1"/>
      <c r="BS693" s="1"/>
      <c r="BT693" s="1"/>
      <c r="BU693" s="1"/>
      <c r="BV693" s="2"/>
      <c r="BW693" s="1"/>
      <c r="BX693" s="1"/>
      <c r="BY693" s="1"/>
      <c r="BZ693" s="1"/>
      <c r="CA693" s="1"/>
      <c r="CB693" s="1"/>
      <c r="CC693" s="1"/>
      <c r="CD693" s="1"/>
      <c r="CE693" s="2"/>
      <c r="CF693" s="1"/>
      <c r="CG693" s="1"/>
      <c r="CH693" s="1"/>
      <c r="CI693" s="1"/>
      <c r="CJ693" s="1"/>
      <c r="CK693" s="1"/>
      <c r="CL693" s="1"/>
    </row>
    <row r="694" spans="1:90" ht="14.65" x14ac:dyDescent="0.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2"/>
      <c r="L694" s="1"/>
      <c r="M694" s="1"/>
      <c r="N694" s="1"/>
      <c r="O694" s="1"/>
      <c r="P694" s="1"/>
      <c r="Q694" s="1"/>
      <c r="R694" s="1"/>
      <c r="S694" s="1"/>
      <c r="T694" s="2"/>
      <c r="U694" s="1"/>
      <c r="V694" s="1"/>
      <c r="W694" s="1"/>
      <c r="X694" s="1"/>
      <c r="Y694" s="1"/>
      <c r="Z694" s="1"/>
      <c r="AA694" s="1"/>
      <c r="AB694" s="1"/>
      <c r="AC694" s="2"/>
      <c r="AD694" s="1"/>
      <c r="AE694" s="1"/>
      <c r="AF694" s="1"/>
      <c r="AG694" s="1"/>
      <c r="AH694" s="1"/>
      <c r="AI694" s="1"/>
      <c r="AJ694" s="1"/>
      <c r="AK694" s="1"/>
      <c r="AL694" s="2"/>
      <c r="AM694" s="1"/>
      <c r="AN694" s="1"/>
      <c r="AO694" s="1"/>
      <c r="AP694" s="1"/>
      <c r="AQ694" s="1"/>
      <c r="AR694" s="1"/>
      <c r="AS694" s="1"/>
      <c r="AT694" s="1"/>
      <c r="AU694" s="2"/>
      <c r="AV694" s="1"/>
      <c r="AW694" s="1"/>
      <c r="AX694" s="1"/>
      <c r="AY694" s="1"/>
      <c r="AZ694" s="1"/>
      <c r="BA694" s="1"/>
      <c r="BB694" s="1"/>
      <c r="BC694" s="1"/>
      <c r="BD694" s="2"/>
      <c r="BE694" s="1"/>
      <c r="BF694" s="1"/>
      <c r="BG694" s="1"/>
      <c r="BH694" s="1"/>
      <c r="BI694" s="1"/>
      <c r="BJ694" s="1"/>
      <c r="BK694" s="1"/>
      <c r="BL694" s="1"/>
      <c r="BM694" s="2"/>
      <c r="BN694" s="1"/>
      <c r="BO694" s="1"/>
      <c r="BP694" s="1"/>
      <c r="BQ694" s="1"/>
      <c r="BR694" s="1"/>
      <c r="BS694" s="1"/>
      <c r="BT694" s="1"/>
      <c r="BU694" s="1"/>
      <c r="BV694" s="2"/>
      <c r="BW694" s="1"/>
      <c r="BX694" s="1"/>
      <c r="BY694" s="1"/>
      <c r="BZ694" s="1"/>
      <c r="CA694" s="1"/>
      <c r="CB694" s="1"/>
      <c r="CC694" s="1"/>
      <c r="CD694" s="1"/>
      <c r="CE694" s="2"/>
      <c r="CF694" s="1"/>
      <c r="CG694" s="1"/>
      <c r="CH694" s="1"/>
      <c r="CI694" s="1"/>
      <c r="CJ694" s="1"/>
      <c r="CK694" s="1"/>
      <c r="CL694" s="1"/>
    </row>
    <row r="695" spans="1:90" ht="14.65" x14ac:dyDescent="0.4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2"/>
      <c r="L695" s="1"/>
      <c r="M695" s="1"/>
      <c r="N695" s="1"/>
      <c r="O695" s="1"/>
      <c r="P695" s="1"/>
      <c r="Q695" s="1"/>
      <c r="R695" s="1"/>
      <c r="S695" s="1"/>
      <c r="T695" s="2"/>
      <c r="U695" s="1"/>
      <c r="V695" s="1"/>
      <c r="W695" s="1"/>
      <c r="X695" s="1"/>
      <c r="Y695" s="1"/>
      <c r="Z695" s="1"/>
      <c r="AA695" s="1"/>
      <c r="AB695" s="1"/>
      <c r="AC695" s="2"/>
      <c r="AD695" s="1"/>
      <c r="AE695" s="1"/>
      <c r="AF695" s="1"/>
      <c r="AG695" s="1"/>
      <c r="AH695" s="1"/>
      <c r="AI695" s="1"/>
      <c r="AJ695" s="1"/>
      <c r="AK695" s="1"/>
      <c r="AL695" s="2"/>
      <c r="AM695" s="1"/>
      <c r="AN695" s="1"/>
      <c r="AO695" s="1"/>
      <c r="AP695" s="1"/>
      <c r="AQ695" s="1"/>
      <c r="AR695" s="1"/>
      <c r="AS695" s="1"/>
      <c r="AT695" s="1"/>
      <c r="AU695" s="2"/>
      <c r="AV695" s="1"/>
      <c r="AW695" s="1"/>
      <c r="AX695" s="1"/>
      <c r="AY695" s="1"/>
      <c r="AZ695" s="1"/>
      <c r="BA695" s="1"/>
      <c r="BB695" s="1"/>
      <c r="BC695" s="1"/>
      <c r="BD695" s="2"/>
      <c r="BE695" s="1"/>
      <c r="BF695" s="1"/>
      <c r="BG695" s="1"/>
      <c r="BH695" s="1"/>
      <c r="BI695" s="1"/>
      <c r="BJ695" s="1"/>
      <c r="BK695" s="1"/>
      <c r="BL695" s="1"/>
      <c r="BM695" s="2"/>
      <c r="BN695" s="1"/>
      <c r="BO695" s="1"/>
      <c r="BP695" s="1"/>
      <c r="BQ695" s="1"/>
      <c r="BR695" s="1"/>
      <c r="BS695" s="1"/>
      <c r="BT695" s="1"/>
      <c r="BU695" s="1"/>
      <c r="BV695" s="2"/>
      <c r="BW695" s="1"/>
      <c r="BX695" s="1"/>
      <c r="BY695" s="1"/>
      <c r="BZ695" s="1"/>
      <c r="CA695" s="1"/>
      <c r="CB695" s="1"/>
      <c r="CC695" s="1"/>
      <c r="CD695" s="1"/>
      <c r="CE695" s="2"/>
      <c r="CF695" s="1"/>
      <c r="CG695" s="1"/>
      <c r="CH695" s="1"/>
      <c r="CI695" s="1"/>
      <c r="CJ695" s="1"/>
      <c r="CK695" s="1"/>
      <c r="CL695" s="1"/>
    </row>
    <row r="696" spans="1:90" ht="14.65" x14ac:dyDescent="0.4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2"/>
      <c r="L696" s="1"/>
      <c r="M696" s="1"/>
      <c r="N696" s="1"/>
      <c r="O696" s="1"/>
      <c r="P696" s="1"/>
      <c r="Q696" s="1"/>
      <c r="R696" s="1"/>
      <c r="S696" s="1"/>
      <c r="T696" s="2"/>
      <c r="U696" s="1"/>
      <c r="V696" s="1"/>
      <c r="W696" s="1"/>
      <c r="X696" s="1"/>
      <c r="Y696" s="1"/>
      <c r="Z696" s="1"/>
      <c r="AA696" s="1"/>
      <c r="AB696" s="1"/>
      <c r="AC696" s="2"/>
      <c r="AD696" s="1"/>
      <c r="AE696" s="3"/>
      <c r="AF696" s="1"/>
      <c r="AG696" s="1"/>
      <c r="AH696" s="1"/>
      <c r="AI696" s="1"/>
      <c r="AJ696" s="1"/>
      <c r="AK696" s="1"/>
      <c r="AL696" s="2"/>
      <c r="AM696" s="1"/>
      <c r="AN696" s="1"/>
      <c r="AO696" s="1"/>
      <c r="AP696" s="1"/>
      <c r="AQ696" s="1"/>
      <c r="AR696" s="1"/>
      <c r="AS696" s="1"/>
      <c r="AT696" s="1"/>
      <c r="AU696" s="2"/>
      <c r="AV696" s="1"/>
      <c r="AW696" s="1"/>
      <c r="AX696" s="1"/>
      <c r="AY696" s="1"/>
      <c r="AZ696" s="1"/>
      <c r="BA696" s="1"/>
      <c r="BB696" s="1"/>
      <c r="BC696" s="1"/>
      <c r="BD696" s="2"/>
      <c r="BE696" s="1"/>
      <c r="BF696" s="1"/>
      <c r="BG696" s="1"/>
      <c r="BH696" s="1"/>
      <c r="BI696" s="1"/>
      <c r="BJ696" s="1"/>
      <c r="BK696" s="1"/>
      <c r="BL696" s="1"/>
      <c r="BM696" s="2"/>
      <c r="BN696" s="1"/>
      <c r="BO696" s="1"/>
      <c r="BP696" s="1"/>
      <c r="BQ696" s="1"/>
      <c r="BR696" s="1"/>
      <c r="BS696" s="1"/>
      <c r="BT696" s="1"/>
      <c r="BU696" s="1"/>
      <c r="BV696" s="2"/>
      <c r="BW696" s="1"/>
      <c r="BX696" s="1"/>
      <c r="BY696" s="1"/>
      <c r="BZ696" s="1"/>
      <c r="CA696" s="1"/>
      <c r="CB696" s="1"/>
      <c r="CC696" s="1"/>
      <c r="CD696" s="1"/>
      <c r="CE696" s="2"/>
      <c r="CF696" s="1"/>
      <c r="CG696" s="1"/>
      <c r="CH696" s="1"/>
      <c r="CI696" s="1"/>
      <c r="CJ696" s="1"/>
      <c r="CK696" s="1"/>
      <c r="CL696" s="1"/>
    </row>
    <row r="697" spans="1:90" ht="14.65" x14ac:dyDescent="0.4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2"/>
      <c r="L697" s="1"/>
      <c r="M697" s="1"/>
      <c r="N697" s="1"/>
      <c r="O697" s="1"/>
      <c r="P697" s="1"/>
      <c r="Q697" s="1"/>
      <c r="R697" s="1"/>
      <c r="S697" s="1"/>
      <c r="T697" s="2"/>
      <c r="U697" s="1"/>
      <c r="V697" s="1"/>
      <c r="W697" s="1"/>
      <c r="X697" s="1"/>
      <c r="Y697" s="1"/>
      <c r="Z697" s="1"/>
      <c r="AA697" s="1"/>
      <c r="AB697" s="1"/>
      <c r="AC697" s="2"/>
      <c r="AD697" s="1"/>
      <c r="AE697" s="1"/>
      <c r="AF697" s="1"/>
      <c r="AG697" s="1"/>
      <c r="AH697" s="1"/>
      <c r="AI697" s="1"/>
      <c r="AJ697" s="1"/>
      <c r="AK697" s="1"/>
      <c r="AL697" s="2"/>
      <c r="AM697" s="1"/>
      <c r="AN697" s="1"/>
      <c r="AO697" s="1"/>
      <c r="AP697" s="1"/>
      <c r="AQ697" s="1"/>
      <c r="AR697" s="1"/>
      <c r="AS697" s="1"/>
      <c r="AT697" s="1"/>
      <c r="AU697" s="2"/>
      <c r="AV697" s="1"/>
      <c r="AW697" s="1"/>
      <c r="AX697" s="1"/>
      <c r="AY697" s="1"/>
      <c r="AZ697" s="1"/>
      <c r="BA697" s="1"/>
      <c r="BB697" s="1"/>
      <c r="BC697" s="1"/>
      <c r="BD697" s="2"/>
      <c r="BE697" s="1"/>
      <c r="BF697" s="1"/>
      <c r="BG697" s="1"/>
      <c r="BH697" s="1"/>
      <c r="BI697" s="1"/>
      <c r="BJ697" s="1"/>
      <c r="BK697" s="1"/>
      <c r="BL697" s="1"/>
      <c r="BM697" s="2"/>
      <c r="BN697" s="1"/>
      <c r="BO697" s="1"/>
      <c r="BP697" s="1"/>
      <c r="BQ697" s="1"/>
      <c r="BR697" s="1"/>
      <c r="BS697" s="1"/>
      <c r="BT697" s="1"/>
      <c r="BU697" s="1"/>
      <c r="BV697" s="2"/>
      <c r="BW697" s="1"/>
      <c r="BX697" s="1"/>
      <c r="BY697" s="1"/>
      <c r="BZ697" s="1"/>
      <c r="CA697" s="1"/>
      <c r="CB697" s="1"/>
      <c r="CC697" s="1"/>
      <c r="CD697" s="1"/>
      <c r="CE697" s="2"/>
      <c r="CF697" s="1"/>
      <c r="CG697" s="1"/>
      <c r="CH697" s="1"/>
      <c r="CI697" s="1"/>
      <c r="CJ697" s="1"/>
      <c r="CK697" s="1"/>
      <c r="CL697" s="1"/>
    </row>
    <row r="698" spans="1:90" ht="14.65" x14ac:dyDescent="0.4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2"/>
      <c r="L698" s="1"/>
      <c r="M698" s="1"/>
      <c r="N698" s="1"/>
      <c r="O698" s="1"/>
      <c r="P698" s="1"/>
      <c r="Q698" s="1"/>
      <c r="R698" s="1"/>
      <c r="S698" s="1"/>
      <c r="T698" s="2"/>
      <c r="U698" s="1"/>
      <c r="V698" s="1"/>
      <c r="W698" s="1"/>
      <c r="X698" s="1"/>
      <c r="Y698" s="1"/>
      <c r="Z698" s="1"/>
      <c r="AA698" s="1"/>
      <c r="AB698" s="1"/>
      <c r="AC698" s="2"/>
      <c r="AD698" s="1"/>
      <c r="AE698" s="1"/>
      <c r="AF698" s="1"/>
      <c r="AG698" s="1"/>
      <c r="AH698" s="1"/>
      <c r="AI698" s="1"/>
      <c r="AJ698" s="1"/>
      <c r="AK698" s="1"/>
      <c r="AL698" s="2"/>
      <c r="AM698" s="1"/>
      <c r="AN698" s="1"/>
      <c r="AO698" s="1"/>
      <c r="AP698" s="1"/>
      <c r="AQ698" s="1"/>
      <c r="AR698" s="1"/>
      <c r="AS698" s="1"/>
      <c r="AT698" s="1"/>
      <c r="AU698" s="2"/>
      <c r="AV698" s="1"/>
      <c r="AW698" s="1"/>
      <c r="AX698" s="1"/>
      <c r="AY698" s="1"/>
      <c r="AZ698" s="1"/>
      <c r="BA698" s="1"/>
      <c r="BB698" s="1"/>
      <c r="BC698" s="1"/>
      <c r="BD698" s="2"/>
      <c r="BE698" s="1"/>
      <c r="BF698" s="1"/>
      <c r="BG698" s="1"/>
      <c r="BH698" s="1"/>
      <c r="BI698" s="1"/>
      <c r="BJ698" s="1"/>
      <c r="BK698" s="1"/>
      <c r="BL698" s="1"/>
      <c r="BM698" s="2"/>
      <c r="BN698" s="1"/>
      <c r="BO698" s="1"/>
      <c r="BP698" s="1"/>
      <c r="BQ698" s="1"/>
      <c r="BR698" s="1"/>
      <c r="BS698" s="1"/>
      <c r="BT698" s="1"/>
      <c r="BU698" s="1"/>
      <c r="BV698" s="2"/>
      <c r="BW698" s="1"/>
      <c r="BX698" s="1"/>
      <c r="BY698" s="1"/>
      <c r="BZ698" s="1"/>
      <c r="CA698" s="1"/>
      <c r="CB698" s="1"/>
      <c r="CC698" s="1"/>
      <c r="CD698" s="1"/>
      <c r="CE698" s="2"/>
      <c r="CF698" s="1"/>
      <c r="CG698" s="1"/>
      <c r="CH698" s="1"/>
      <c r="CI698" s="1"/>
      <c r="CJ698" s="1"/>
      <c r="CK698" s="1"/>
      <c r="CL698" s="1"/>
    </row>
    <row r="699" spans="1:90" ht="14.65" x14ac:dyDescent="0.4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2"/>
      <c r="L699" s="1"/>
      <c r="M699" s="1"/>
      <c r="N699" s="1"/>
      <c r="O699" s="1"/>
      <c r="P699" s="1"/>
      <c r="Q699" s="1"/>
      <c r="R699" s="1"/>
      <c r="S699" s="1"/>
      <c r="T699" s="2"/>
      <c r="U699" s="1"/>
      <c r="V699" s="1"/>
      <c r="W699" s="1"/>
      <c r="X699" s="1"/>
      <c r="Y699" s="1"/>
      <c r="Z699" s="1"/>
      <c r="AA699" s="1"/>
      <c r="AB699" s="1"/>
      <c r="AC699" s="2"/>
      <c r="AD699" s="1"/>
      <c r="AE699" s="1"/>
      <c r="AF699" s="1"/>
      <c r="AG699" s="1"/>
      <c r="AH699" s="1"/>
      <c r="AI699" s="1"/>
      <c r="AJ699" s="1"/>
      <c r="AK699" s="1"/>
      <c r="AL699" s="2"/>
      <c r="AM699" s="1"/>
      <c r="AN699" s="1"/>
      <c r="AO699" s="1"/>
      <c r="AP699" s="1"/>
      <c r="AQ699" s="1"/>
      <c r="AR699" s="1"/>
      <c r="AS699" s="1"/>
      <c r="AT699" s="1"/>
      <c r="AU699" s="2"/>
      <c r="AV699" s="1"/>
      <c r="AW699" s="1"/>
      <c r="AX699" s="1"/>
      <c r="AY699" s="1"/>
      <c r="AZ699" s="1"/>
      <c r="BA699" s="1"/>
      <c r="BB699" s="1"/>
      <c r="BC699" s="1"/>
      <c r="BD699" s="2"/>
      <c r="BE699" s="1"/>
      <c r="BF699" s="1"/>
      <c r="BG699" s="1"/>
      <c r="BH699" s="1"/>
      <c r="BI699" s="1"/>
      <c r="BJ699" s="1"/>
      <c r="BK699" s="1"/>
      <c r="BL699" s="1"/>
      <c r="BM699" s="2"/>
      <c r="BN699" s="1"/>
      <c r="BO699" s="1"/>
      <c r="BP699" s="1"/>
      <c r="BQ699" s="1"/>
      <c r="BR699" s="1"/>
      <c r="BS699" s="1"/>
      <c r="BT699" s="1"/>
      <c r="BU699" s="1"/>
      <c r="BV699" s="2"/>
      <c r="BW699" s="1"/>
      <c r="BX699" s="1"/>
      <c r="BY699" s="1"/>
      <c r="BZ699" s="1"/>
      <c r="CA699" s="1"/>
      <c r="CB699" s="1"/>
      <c r="CC699" s="1"/>
      <c r="CD699" s="1"/>
      <c r="CE699" s="2"/>
      <c r="CF699" s="1"/>
      <c r="CG699" s="1"/>
      <c r="CH699" s="1"/>
      <c r="CI699" s="1"/>
      <c r="CJ699" s="1"/>
      <c r="CK699" s="1"/>
      <c r="CL699" s="1"/>
    </row>
    <row r="700" spans="1:90" ht="14.65" x14ac:dyDescent="0.4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2"/>
      <c r="L700" s="1"/>
      <c r="M700" s="3"/>
      <c r="N700" s="1"/>
      <c r="O700" s="1"/>
      <c r="P700" s="1"/>
      <c r="Q700" s="1"/>
      <c r="R700" s="1"/>
      <c r="S700" s="1"/>
      <c r="T700" s="2"/>
      <c r="U700" s="1"/>
      <c r="V700" s="1"/>
      <c r="W700" s="1"/>
      <c r="X700" s="1"/>
      <c r="Y700" s="1"/>
      <c r="Z700" s="1"/>
      <c r="AA700" s="1"/>
      <c r="AB700" s="1"/>
      <c r="AC700" s="2"/>
      <c r="AD700" s="1"/>
      <c r="AE700" s="1"/>
      <c r="AF700" s="1"/>
      <c r="AG700" s="1"/>
      <c r="AH700" s="1"/>
      <c r="AI700" s="1"/>
      <c r="AJ700" s="1"/>
      <c r="AK700" s="1"/>
      <c r="AL700" s="2"/>
      <c r="AM700" s="1"/>
      <c r="AN700" s="1"/>
      <c r="AO700" s="1"/>
      <c r="AP700" s="1"/>
      <c r="AQ700" s="1"/>
      <c r="AR700" s="1"/>
      <c r="AS700" s="1"/>
      <c r="AT700" s="1"/>
      <c r="AU700" s="2"/>
      <c r="AV700" s="1"/>
      <c r="AW700" s="1"/>
      <c r="AX700" s="1"/>
      <c r="AY700" s="1"/>
      <c r="AZ700" s="1"/>
      <c r="BA700" s="1"/>
      <c r="BB700" s="1"/>
      <c r="BC700" s="1"/>
      <c r="BD700" s="2"/>
      <c r="BE700" s="1"/>
      <c r="BF700" s="1"/>
      <c r="BG700" s="1"/>
      <c r="BH700" s="1"/>
      <c r="BI700" s="1"/>
      <c r="BJ700" s="1"/>
      <c r="BK700" s="1"/>
      <c r="BL700" s="1"/>
      <c r="BM700" s="2"/>
      <c r="BN700" s="1"/>
      <c r="BO700" s="1"/>
      <c r="BP700" s="1"/>
      <c r="BQ700" s="1"/>
      <c r="BR700" s="1"/>
      <c r="BS700" s="1"/>
      <c r="BT700" s="1"/>
      <c r="BU700" s="1"/>
      <c r="BV700" s="2"/>
      <c r="BW700" s="1"/>
      <c r="BX700" s="1"/>
      <c r="BY700" s="1"/>
      <c r="BZ700" s="1"/>
      <c r="CA700" s="1"/>
      <c r="CB700" s="1"/>
      <c r="CC700" s="1"/>
      <c r="CD700" s="1"/>
      <c r="CE700" s="2"/>
      <c r="CF700" s="1"/>
      <c r="CG700" s="1"/>
      <c r="CH700" s="1"/>
      <c r="CI700" s="1"/>
      <c r="CJ700" s="1"/>
      <c r="CK700" s="1"/>
      <c r="CL700" s="1"/>
    </row>
    <row r="701" spans="1:90" ht="14.65" x14ac:dyDescent="0.4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2"/>
      <c r="L701" s="1"/>
      <c r="M701" s="1"/>
      <c r="N701" s="1"/>
      <c r="O701" s="1"/>
      <c r="P701" s="1"/>
      <c r="Q701" s="1"/>
      <c r="R701" s="1"/>
      <c r="S701" s="1"/>
      <c r="T701" s="2"/>
      <c r="U701" s="1"/>
      <c r="V701" s="1"/>
      <c r="W701" s="1"/>
      <c r="X701" s="1"/>
      <c r="Y701" s="1"/>
      <c r="Z701" s="1"/>
      <c r="AA701" s="1"/>
      <c r="AB701" s="1"/>
      <c r="AC701" s="2"/>
      <c r="AD701" s="1"/>
      <c r="AE701" s="1"/>
      <c r="AF701" s="1"/>
      <c r="AG701" s="1"/>
      <c r="AH701" s="1"/>
      <c r="AI701" s="1"/>
      <c r="AJ701" s="1"/>
      <c r="AK701" s="1"/>
      <c r="AL701" s="2"/>
      <c r="AM701" s="1"/>
      <c r="AN701" s="1"/>
      <c r="AO701" s="1"/>
      <c r="AP701" s="1"/>
      <c r="AQ701" s="1"/>
      <c r="AR701" s="1"/>
      <c r="AS701" s="1"/>
      <c r="AT701" s="1"/>
      <c r="AU701" s="2"/>
      <c r="AV701" s="1"/>
      <c r="AW701" s="1"/>
      <c r="AX701" s="1"/>
      <c r="AY701" s="1"/>
      <c r="AZ701" s="1"/>
      <c r="BA701" s="1"/>
      <c r="BB701" s="1"/>
      <c r="BC701" s="1"/>
      <c r="BD701" s="2"/>
      <c r="BE701" s="1"/>
      <c r="BF701" s="1"/>
      <c r="BG701" s="1"/>
      <c r="BH701" s="1"/>
      <c r="BI701" s="1"/>
      <c r="BJ701" s="1"/>
      <c r="BK701" s="1"/>
      <c r="BL701" s="1"/>
      <c r="BM701" s="2"/>
      <c r="BN701" s="1"/>
      <c r="BO701" s="1"/>
      <c r="BP701" s="1"/>
      <c r="BQ701" s="1"/>
      <c r="BR701" s="1"/>
      <c r="BS701" s="1"/>
      <c r="BT701" s="1"/>
      <c r="BU701" s="1"/>
      <c r="BV701" s="2"/>
      <c r="BW701" s="1"/>
      <c r="BX701" s="1"/>
      <c r="BY701" s="1"/>
      <c r="BZ701" s="1"/>
      <c r="CA701" s="1"/>
      <c r="CB701" s="1"/>
      <c r="CC701" s="1"/>
      <c r="CD701" s="1"/>
      <c r="CE701" s="2"/>
      <c r="CF701" s="1"/>
      <c r="CG701" s="1"/>
      <c r="CH701" s="1"/>
      <c r="CI701" s="1"/>
      <c r="CJ701" s="1"/>
      <c r="CK701" s="1"/>
      <c r="CL701" s="1"/>
    </row>
    <row r="702" spans="1:90" ht="14.65" x14ac:dyDescent="0.4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2"/>
      <c r="L702" s="1"/>
      <c r="M702" s="1"/>
      <c r="N702" s="1"/>
      <c r="O702" s="1"/>
      <c r="P702" s="1"/>
      <c r="Q702" s="1"/>
      <c r="R702" s="1"/>
      <c r="S702" s="1"/>
      <c r="T702" s="2"/>
      <c r="U702" s="1"/>
      <c r="V702" s="1"/>
      <c r="W702" s="1"/>
      <c r="X702" s="1"/>
      <c r="Y702" s="1"/>
      <c r="Z702" s="1"/>
      <c r="AA702" s="1"/>
      <c r="AB702" s="1"/>
      <c r="AC702" s="2"/>
      <c r="AD702" s="1"/>
      <c r="AE702" s="1"/>
      <c r="AF702" s="1"/>
      <c r="AG702" s="1"/>
      <c r="AH702" s="1"/>
      <c r="AI702" s="1"/>
      <c r="AJ702" s="1"/>
      <c r="AK702" s="1"/>
      <c r="AL702" s="2"/>
      <c r="AM702" s="1"/>
      <c r="AN702" s="1"/>
      <c r="AO702" s="1"/>
      <c r="AP702" s="1"/>
      <c r="AQ702" s="1"/>
      <c r="AR702" s="1"/>
      <c r="AS702" s="1"/>
      <c r="AT702" s="1"/>
      <c r="AU702" s="2"/>
      <c r="AV702" s="1"/>
      <c r="AW702" s="1"/>
      <c r="AX702" s="1"/>
      <c r="AY702" s="1"/>
      <c r="AZ702" s="1"/>
      <c r="BA702" s="1"/>
      <c r="BB702" s="1"/>
      <c r="BC702" s="1"/>
      <c r="BD702" s="2"/>
      <c r="BE702" s="1"/>
      <c r="BF702" s="1"/>
      <c r="BG702" s="1"/>
      <c r="BH702" s="1"/>
      <c r="BI702" s="1"/>
      <c r="BJ702" s="1"/>
      <c r="BK702" s="1"/>
      <c r="BL702" s="1"/>
      <c r="BM702" s="2"/>
      <c r="BN702" s="1"/>
      <c r="BO702" s="1"/>
      <c r="BP702" s="1"/>
      <c r="BQ702" s="1"/>
      <c r="BR702" s="1"/>
      <c r="BS702" s="1"/>
      <c r="BT702" s="1"/>
      <c r="BU702" s="1"/>
      <c r="BV702" s="2"/>
      <c r="BW702" s="1"/>
      <c r="BX702" s="1"/>
      <c r="BY702" s="1"/>
      <c r="BZ702" s="1"/>
      <c r="CA702" s="1"/>
      <c r="CB702" s="1"/>
      <c r="CC702" s="1"/>
      <c r="CD702" s="1"/>
      <c r="CE702" s="2"/>
      <c r="CF702" s="1"/>
      <c r="CG702" s="1"/>
      <c r="CH702" s="1"/>
      <c r="CI702" s="1"/>
      <c r="CJ702" s="1"/>
      <c r="CK702" s="1"/>
      <c r="CL702" s="1"/>
    </row>
    <row r="703" spans="1:90" ht="14.65" x14ac:dyDescent="0.4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2"/>
      <c r="L703" s="1"/>
      <c r="M703" s="1"/>
      <c r="N703" s="1"/>
      <c r="O703" s="1"/>
      <c r="P703" s="1"/>
      <c r="Q703" s="1"/>
      <c r="R703" s="1"/>
      <c r="S703" s="1"/>
      <c r="T703" s="2"/>
      <c r="U703" s="1"/>
      <c r="V703" s="1"/>
      <c r="W703" s="1"/>
      <c r="X703" s="1"/>
      <c r="Y703" s="1"/>
      <c r="Z703" s="1"/>
      <c r="AA703" s="1"/>
      <c r="AB703" s="1"/>
      <c r="AC703" s="2"/>
      <c r="AD703" s="1"/>
      <c r="AE703" s="1"/>
      <c r="AF703" s="1"/>
      <c r="AG703" s="1"/>
      <c r="AH703" s="1"/>
      <c r="AI703" s="1"/>
      <c r="AJ703" s="1"/>
      <c r="AK703" s="1"/>
      <c r="AL703" s="2"/>
      <c r="AM703" s="1"/>
      <c r="AN703" s="1"/>
      <c r="AO703" s="1"/>
      <c r="AP703" s="1"/>
      <c r="AQ703" s="1"/>
      <c r="AR703" s="1"/>
      <c r="AS703" s="1"/>
      <c r="AT703" s="1"/>
      <c r="AU703" s="2"/>
      <c r="AV703" s="1"/>
      <c r="AW703" s="1"/>
      <c r="AX703" s="1"/>
      <c r="AY703" s="1"/>
      <c r="AZ703" s="1"/>
      <c r="BA703" s="1"/>
      <c r="BB703" s="1"/>
      <c r="BC703" s="1"/>
      <c r="BD703" s="2"/>
      <c r="BE703" s="1"/>
      <c r="BF703" s="1"/>
      <c r="BG703" s="1"/>
      <c r="BH703" s="1"/>
      <c r="BI703" s="1"/>
      <c r="BJ703" s="1"/>
      <c r="BK703" s="1"/>
      <c r="BL703" s="1"/>
      <c r="BM703" s="2"/>
      <c r="BN703" s="1"/>
      <c r="BO703" s="1"/>
      <c r="BP703" s="1"/>
      <c r="BQ703" s="1"/>
      <c r="BR703" s="1"/>
      <c r="BS703" s="1"/>
      <c r="BT703" s="1"/>
      <c r="BU703" s="1"/>
      <c r="BV703" s="2"/>
      <c r="BW703" s="1"/>
      <c r="BX703" s="1"/>
      <c r="BY703" s="1"/>
      <c r="BZ703" s="1"/>
      <c r="CA703" s="1"/>
      <c r="CB703" s="1"/>
      <c r="CC703" s="1"/>
      <c r="CD703" s="1"/>
      <c r="CE703" s="2"/>
      <c r="CF703" s="1"/>
      <c r="CG703" s="1"/>
      <c r="CH703" s="1"/>
      <c r="CI703" s="1"/>
      <c r="CJ703" s="1"/>
      <c r="CK703" s="1"/>
      <c r="CL703" s="1"/>
    </row>
    <row r="704" spans="1:90" ht="14.65" x14ac:dyDescent="0.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2"/>
      <c r="L704" s="1"/>
      <c r="M704" s="1"/>
      <c r="N704" s="1"/>
      <c r="O704" s="1"/>
      <c r="P704" s="1"/>
      <c r="Q704" s="1"/>
      <c r="R704" s="1"/>
      <c r="S704" s="1"/>
      <c r="T704" s="2"/>
      <c r="U704" s="3"/>
      <c r="V704" s="1"/>
      <c r="W704" s="1"/>
      <c r="X704" s="1"/>
      <c r="Y704" s="1"/>
      <c r="Z704" s="1"/>
      <c r="AA704" s="1"/>
      <c r="AB704" s="1"/>
      <c r="AC704" s="2"/>
      <c r="AD704" s="1"/>
      <c r="AE704" s="1"/>
      <c r="AF704" s="1"/>
      <c r="AG704" s="1"/>
      <c r="AH704" s="1"/>
      <c r="AI704" s="1"/>
      <c r="AJ704" s="1"/>
      <c r="AK704" s="1"/>
      <c r="AL704" s="2"/>
      <c r="AM704" s="1"/>
      <c r="AN704" s="1"/>
      <c r="AO704" s="1"/>
      <c r="AP704" s="1"/>
      <c r="AQ704" s="1"/>
      <c r="AR704" s="1"/>
      <c r="AS704" s="1"/>
      <c r="AT704" s="1"/>
      <c r="AU704" s="2"/>
      <c r="AV704" s="1"/>
      <c r="AW704" s="1"/>
      <c r="AX704" s="1"/>
      <c r="AY704" s="1"/>
      <c r="AZ704" s="1"/>
      <c r="BA704" s="1"/>
      <c r="BB704" s="1"/>
      <c r="BC704" s="1"/>
      <c r="BD704" s="2"/>
      <c r="BE704" s="1"/>
      <c r="BF704" s="1"/>
      <c r="BG704" s="1"/>
      <c r="BH704" s="1"/>
      <c r="BI704" s="1"/>
      <c r="BJ704" s="1"/>
      <c r="BK704" s="1"/>
      <c r="BL704" s="1"/>
      <c r="BM704" s="2"/>
      <c r="BN704" s="1"/>
      <c r="BO704" s="1"/>
      <c r="BP704" s="1"/>
      <c r="BQ704" s="1"/>
      <c r="BR704" s="1"/>
      <c r="BS704" s="1"/>
      <c r="BT704" s="1"/>
      <c r="BU704" s="1"/>
      <c r="BV704" s="2"/>
      <c r="BW704" s="1"/>
      <c r="BX704" s="1"/>
      <c r="BY704" s="1"/>
      <c r="BZ704" s="1"/>
      <c r="CA704" s="1"/>
      <c r="CB704" s="1"/>
      <c r="CC704" s="1"/>
      <c r="CD704" s="1"/>
      <c r="CE704" s="2"/>
      <c r="CF704" s="1"/>
      <c r="CG704" s="1"/>
      <c r="CH704" s="1"/>
      <c r="CI704" s="1"/>
      <c r="CJ704" s="1"/>
      <c r="CK704" s="1"/>
      <c r="CL704" s="1"/>
    </row>
    <row r="705" spans="1:90" ht="14.65" x14ac:dyDescent="0.4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2"/>
      <c r="L705" s="1"/>
      <c r="M705" s="1"/>
      <c r="N705" s="1"/>
      <c r="O705" s="1"/>
      <c r="P705" s="1"/>
      <c r="Q705" s="1"/>
      <c r="R705" s="1"/>
      <c r="S705" s="1"/>
      <c r="T705" s="2"/>
      <c r="U705" s="1"/>
      <c r="V705" s="1"/>
      <c r="W705" s="1"/>
      <c r="X705" s="1"/>
      <c r="Y705" s="1"/>
      <c r="Z705" s="1"/>
      <c r="AA705" s="1"/>
      <c r="AB705" s="1"/>
      <c r="AC705" s="2"/>
      <c r="AD705" s="1"/>
      <c r="AE705" s="1"/>
      <c r="AF705" s="1"/>
      <c r="AG705" s="1"/>
      <c r="AH705" s="1"/>
      <c r="AI705" s="1"/>
      <c r="AJ705" s="1"/>
      <c r="AK705" s="1"/>
      <c r="AL705" s="2"/>
      <c r="AM705" s="1"/>
      <c r="AN705" s="1"/>
      <c r="AO705" s="1"/>
      <c r="AP705" s="1"/>
      <c r="AQ705" s="1"/>
      <c r="AR705" s="1"/>
      <c r="AS705" s="1"/>
      <c r="AT705" s="1"/>
      <c r="AU705" s="2"/>
      <c r="AV705" s="1"/>
      <c r="AW705" s="1"/>
      <c r="AX705" s="1"/>
      <c r="AY705" s="1"/>
      <c r="AZ705" s="1"/>
      <c r="BA705" s="1"/>
      <c r="BB705" s="1"/>
      <c r="BC705" s="1"/>
      <c r="BD705" s="2"/>
      <c r="BE705" s="1"/>
      <c r="BF705" s="1"/>
      <c r="BG705" s="1"/>
      <c r="BH705" s="1"/>
      <c r="BI705" s="1"/>
      <c r="BJ705" s="1"/>
      <c r="BK705" s="1"/>
      <c r="BL705" s="1"/>
      <c r="BM705" s="2"/>
      <c r="BN705" s="1"/>
      <c r="BO705" s="1"/>
      <c r="BP705" s="1"/>
      <c r="BQ705" s="1"/>
      <c r="BR705" s="1"/>
      <c r="BS705" s="1"/>
      <c r="BT705" s="1"/>
      <c r="BU705" s="1"/>
      <c r="BV705" s="2"/>
      <c r="BW705" s="1"/>
      <c r="BX705" s="1"/>
      <c r="BY705" s="1"/>
      <c r="BZ705" s="1"/>
      <c r="CA705" s="1"/>
      <c r="CB705" s="1"/>
      <c r="CC705" s="1"/>
      <c r="CD705" s="1"/>
      <c r="CE705" s="2"/>
      <c r="CF705" s="1"/>
      <c r="CG705" s="1"/>
      <c r="CH705" s="1"/>
      <c r="CI705" s="1"/>
      <c r="CJ705" s="1"/>
      <c r="CK705" s="1"/>
      <c r="CL705" s="1"/>
    </row>
    <row r="706" spans="1:90" ht="14.65" x14ac:dyDescent="0.4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2"/>
      <c r="L706" s="1"/>
      <c r="M706" s="1"/>
      <c r="N706" s="1"/>
      <c r="O706" s="1"/>
      <c r="P706" s="1"/>
      <c r="Q706" s="1"/>
      <c r="R706" s="1"/>
      <c r="S706" s="1"/>
      <c r="T706" s="2"/>
      <c r="U706" s="1"/>
      <c r="V706" s="1"/>
      <c r="W706" s="1"/>
      <c r="X706" s="1"/>
      <c r="Y706" s="1"/>
      <c r="Z706" s="1"/>
      <c r="AA706" s="1"/>
      <c r="AB706" s="1"/>
      <c r="AC706" s="2"/>
      <c r="AD706" s="1"/>
      <c r="AE706" s="1"/>
      <c r="AF706" s="1"/>
      <c r="AG706" s="1"/>
      <c r="AH706" s="1"/>
      <c r="AI706" s="1"/>
      <c r="AJ706" s="1"/>
      <c r="AK706" s="1"/>
      <c r="AL706" s="2"/>
      <c r="AM706" s="1"/>
      <c r="AN706" s="1"/>
      <c r="AO706" s="1"/>
      <c r="AP706" s="1"/>
      <c r="AQ706" s="1"/>
      <c r="AR706" s="1"/>
      <c r="AS706" s="1"/>
      <c r="AT706" s="1"/>
      <c r="AU706" s="2"/>
      <c r="AV706" s="1"/>
      <c r="AW706" s="1"/>
      <c r="AX706" s="1"/>
      <c r="AY706" s="1"/>
      <c r="AZ706" s="1"/>
      <c r="BA706" s="1"/>
      <c r="BB706" s="1"/>
      <c r="BC706" s="1"/>
      <c r="BD706" s="2"/>
      <c r="BE706" s="1"/>
      <c r="BF706" s="1"/>
      <c r="BG706" s="1"/>
      <c r="BH706" s="1"/>
      <c r="BI706" s="1"/>
      <c r="BJ706" s="1"/>
      <c r="BK706" s="1"/>
      <c r="BL706" s="1"/>
      <c r="BM706" s="2"/>
      <c r="BN706" s="1"/>
      <c r="BO706" s="1"/>
      <c r="BP706" s="1"/>
      <c r="BQ706" s="1"/>
      <c r="BR706" s="1"/>
      <c r="BS706" s="1"/>
      <c r="BT706" s="1"/>
      <c r="BU706" s="1"/>
      <c r="BV706" s="2"/>
      <c r="BW706" s="1"/>
      <c r="BX706" s="1"/>
      <c r="BY706" s="1"/>
      <c r="BZ706" s="1"/>
      <c r="CA706" s="1"/>
      <c r="CB706" s="1"/>
      <c r="CC706" s="1"/>
      <c r="CD706" s="1"/>
      <c r="CE706" s="2"/>
      <c r="CF706" s="1"/>
      <c r="CG706" s="1"/>
      <c r="CH706" s="1"/>
      <c r="CI706" s="1"/>
      <c r="CJ706" s="1"/>
      <c r="CK706" s="1"/>
      <c r="CL706" s="1"/>
    </row>
    <row r="707" spans="1:90" ht="14.65" x14ac:dyDescent="0.4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2"/>
      <c r="L707" s="1"/>
      <c r="M707" s="1"/>
      <c r="N707" s="1"/>
      <c r="O707" s="1"/>
      <c r="P707" s="1"/>
      <c r="Q707" s="1"/>
      <c r="R707" s="1"/>
      <c r="S707" s="1"/>
      <c r="T707" s="2"/>
      <c r="U707" s="1"/>
      <c r="V707" s="1"/>
      <c r="W707" s="1"/>
      <c r="X707" s="1"/>
      <c r="Y707" s="1"/>
      <c r="Z707" s="1"/>
      <c r="AA707" s="1"/>
      <c r="AB707" s="1"/>
      <c r="AC707" s="2"/>
      <c r="AD707" s="1"/>
      <c r="AE707" s="1"/>
      <c r="AF707" s="1"/>
      <c r="AG707" s="1"/>
      <c r="AH707" s="1"/>
      <c r="AI707" s="1"/>
      <c r="AJ707" s="1"/>
      <c r="AK707" s="1"/>
      <c r="AL707" s="2"/>
      <c r="AM707" s="1"/>
      <c r="AN707" s="1"/>
      <c r="AO707" s="1"/>
      <c r="AP707" s="1"/>
      <c r="AQ707" s="1"/>
      <c r="AR707" s="1"/>
      <c r="AS707" s="1"/>
      <c r="AT707" s="1"/>
      <c r="AU707" s="2"/>
      <c r="AV707" s="1"/>
      <c r="AW707" s="1"/>
      <c r="AX707" s="1"/>
      <c r="AY707" s="1"/>
      <c r="AZ707" s="1"/>
      <c r="BA707" s="1"/>
      <c r="BB707" s="1"/>
      <c r="BC707" s="1"/>
      <c r="BD707" s="2"/>
      <c r="BE707" s="1"/>
      <c r="BF707" s="1"/>
      <c r="BG707" s="1"/>
      <c r="BH707" s="1"/>
      <c r="BI707" s="1"/>
      <c r="BJ707" s="1"/>
      <c r="BK707" s="1"/>
      <c r="BL707" s="1"/>
      <c r="BM707" s="2"/>
      <c r="BN707" s="1"/>
      <c r="BO707" s="1"/>
      <c r="BP707" s="1"/>
      <c r="BQ707" s="1"/>
      <c r="BR707" s="1"/>
      <c r="BS707" s="1"/>
      <c r="BT707" s="1"/>
      <c r="BU707" s="1"/>
      <c r="BV707" s="2"/>
      <c r="BW707" s="1"/>
      <c r="BX707" s="1"/>
      <c r="BY707" s="1"/>
      <c r="BZ707" s="1"/>
      <c r="CA707" s="1"/>
      <c r="CB707" s="1"/>
      <c r="CC707" s="1"/>
      <c r="CD707" s="1"/>
      <c r="CE707" s="2"/>
      <c r="CF707" s="1"/>
      <c r="CG707" s="1"/>
      <c r="CH707" s="1"/>
      <c r="CI707" s="1"/>
      <c r="CJ707" s="1"/>
      <c r="CK707" s="1"/>
      <c r="CL707" s="1"/>
    </row>
    <row r="708" spans="1:90" ht="14.65" x14ac:dyDescent="0.4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2"/>
      <c r="L708" s="1"/>
      <c r="M708" s="1"/>
      <c r="N708" s="1"/>
      <c r="O708" s="1"/>
      <c r="P708" s="1"/>
      <c r="Q708" s="1"/>
      <c r="R708" s="1"/>
      <c r="S708" s="1"/>
      <c r="T708" s="2"/>
      <c r="U708" s="1"/>
      <c r="V708" s="1"/>
      <c r="W708" s="1"/>
      <c r="X708" s="1"/>
      <c r="Y708" s="1"/>
      <c r="Z708" s="1"/>
      <c r="AA708" s="1"/>
      <c r="AB708" s="1"/>
      <c r="AC708" s="2"/>
      <c r="AD708" s="1"/>
      <c r="AE708" s="1"/>
      <c r="AF708" s="1"/>
      <c r="AG708" s="1"/>
      <c r="AH708" s="1"/>
      <c r="AI708" s="1"/>
      <c r="AJ708" s="1"/>
      <c r="AK708" s="1"/>
      <c r="AL708" s="2"/>
      <c r="AM708" s="1"/>
      <c r="AN708" s="1"/>
      <c r="AO708" s="1"/>
      <c r="AP708" s="1"/>
      <c r="AQ708" s="1"/>
      <c r="AR708" s="1"/>
      <c r="AS708" s="1"/>
      <c r="AT708" s="1"/>
      <c r="AU708" s="2"/>
      <c r="AV708" s="1"/>
      <c r="AW708" s="1"/>
      <c r="AX708" s="1"/>
      <c r="AY708" s="1"/>
      <c r="AZ708" s="1"/>
      <c r="BA708" s="1"/>
      <c r="BB708" s="1"/>
      <c r="BC708" s="1"/>
      <c r="BD708" s="2"/>
      <c r="BE708" s="1"/>
      <c r="BF708" s="1"/>
      <c r="BG708" s="1"/>
      <c r="BH708" s="1"/>
      <c r="BI708" s="1"/>
      <c r="BJ708" s="1"/>
      <c r="BK708" s="1"/>
      <c r="BL708" s="1"/>
      <c r="BM708" s="2"/>
      <c r="BN708" s="1"/>
      <c r="BO708" s="1"/>
      <c r="BP708" s="1"/>
      <c r="BQ708" s="1"/>
      <c r="BR708" s="1"/>
      <c r="BS708" s="1"/>
      <c r="BT708" s="1"/>
      <c r="BU708" s="1"/>
      <c r="BV708" s="2"/>
      <c r="BW708" s="1"/>
      <c r="BX708" s="1"/>
      <c r="BY708" s="1"/>
      <c r="BZ708" s="1"/>
      <c r="CA708" s="1"/>
      <c r="CB708" s="1"/>
      <c r="CC708" s="1"/>
      <c r="CD708" s="1"/>
      <c r="CE708" s="2"/>
      <c r="CF708" s="1"/>
      <c r="CG708" s="1"/>
      <c r="CH708" s="1"/>
      <c r="CI708" s="1"/>
      <c r="CJ708" s="1"/>
      <c r="CK708" s="1"/>
      <c r="CL708" s="1"/>
    </row>
    <row r="709" spans="1:90" ht="14.65" x14ac:dyDescent="0.4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2"/>
      <c r="L709" s="1"/>
      <c r="M709" s="1"/>
      <c r="N709" s="1"/>
      <c r="O709" s="1"/>
      <c r="P709" s="1"/>
      <c r="Q709" s="1"/>
      <c r="R709" s="1"/>
      <c r="S709" s="1"/>
      <c r="T709" s="2"/>
      <c r="U709" s="3"/>
      <c r="V709" s="1"/>
      <c r="W709" s="1"/>
      <c r="X709" s="1"/>
      <c r="Y709" s="1"/>
      <c r="Z709" s="1"/>
      <c r="AA709" s="1"/>
      <c r="AB709" s="1"/>
      <c r="AC709" s="2"/>
      <c r="AD709" s="1"/>
      <c r="AE709" s="1"/>
      <c r="AF709" s="1"/>
      <c r="AG709" s="1"/>
      <c r="AH709" s="1"/>
      <c r="AI709" s="1"/>
      <c r="AJ709" s="1"/>
      <c r="AK709" s="1"/>
      <c r="AL709" s="2"/>
      <c r="AM709" s="1"/>
      <c r="AN709" s="1"/>
      <c r="AO709" s="1"/>
      <c r="AP709" s="1"/>
      <c r="AQ709" s="1"/>
      <c r="AR709" s="1"/>
      <c r="AS709" s="1"/>
      <c r="AT709" s="1"/>
      <c r="AU709" s="2"/>
      <c r="AV709" s="1"/>
      <c r="AW709" s="1"/>
      <c r="AX709" s="1"/>
      <c r="AY709" s="1"/>
      <c r="AZ709" s="1"/>
      <c r="BA709" s="1"/>
      <c r="BB709" s="1"/>
      <c r="BC709" s="1"/>
      <c r="BD709" s="2"/>
      <c r="BE709" s="1"/>
      <c r="BF709" s="1"/>
      <c r="BG709" s="1"/>
      <c r="BH709" s="1"/>
      <c r="BI709" s="1"/>
      <c r="BJ709" s="1"/>
      <c r="BK709" s="1"/>
      <c r="BL709" s="1"/>
      <c r="BM709" s="2"/>
      <c r="BN709" s="1"/>
      <c r="BO709" s="1"/>
      <c r="BP709" s="1"/>
      <c r="BQ709" s="1"/>
      <c r="BR709" s="1"/>
      <c r="BS709" s="1"/>
      <c r="BT709" s="1"/>
      <c r="BU709" s="1"/>
      <c r="BV709" s="2"/>
      <c r="BW709" s="1"/>
      <c r="BX709" s="1"/>
      <c r="BY709" s="1"/>
      <c r="BZ709" s="1"/>
      <c r="CA709" s="1"/>
      <c r="CB709" s="1"/>
      <c r="CC709" s="1"/>
      <c r="CD709" s="1"/>
      <c r="CE709" s="2"/>
      <c r="CF709" s="1"/>
      <c r="CG709" s="1"/>
      <c r="CH709" s="1"/>
      <c r="CI709" s="1"/>
      <c r="CJ709" s="1"/>
      <c r="CK709" s="1"/>
      <c r="CL709" s="1"/>
    </row>
    <row r="710" spans="1:90" ht="14.65" x14ac:dyDescent="0.4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2"/>
      <c r="L710" s="1"/>
      <c r="M710" s="1"/>
      <c r="N710" s="1"/>
      <c r="O710" s="1"/>
      <c r="P710" s="1"/>
      <c r="Q710" s="1"/>
      <c r="R710" s="1"/>
      <c r="S710" s="1"/>
      <c r="T710" s="2"/>
      <c r="U710" s="1"/>
      <c r="V710" s="1"/>
      <c r="W710" s="1"/>
      <c r="X710" s="1"/>
      <c r="Y710" s="1"/>
      <c r="Z710" s="1"/>
      <c r="AA710" s="1"/>
      <c r="AB710" s="1"/>
      <c r="AC710" s="2"/>
      <c r="AD710" s="1"/>
      <c r="AE710" s="1"/>
      <c r="AF710" s="1"/>
      <c r="AG710" s="1"/>
      <c r="AH710" s="1"/>
      <c r="AI710" s="1"/>
      <c r="AJ710" s="1"/>
      <c r="AK710" s="1"/>
      <c r="AL710" s="2"/>
      <c r="AM710" s="1"/>
      <c r="AN710" s="1"/>
      <c r="AO710" s="1"/>
      <c r="AP710" s="1"/>
      <c r="AQ710" s="1"/>
      <c r="AR710" s="1"/>
      <c r="AS710" s="1"/>
      <c r="AT710" s="1"/>
      <c r="AU710" s="2"/>
      <c r="AV710" s="1"/>
      <c r="AW710" s="1"/>
      <c r="AX710" s="1"/>
      <c r="AY710" s="1"/>
      <c r="AZ710" s="1"/>
      <c r="BA710" s="1"/>
      <c r="BB710" s="1"/>
      <c r="BC710" s="1"/>
      <c r="BD710" s="2"/>
      <c r="BE710" s="1"/>
      <c r="BF710" s="1"/>
      <c r="BG710" s="1"/>
      <c r="BH710" s="1"/>
      <c r="BI710" s="1"/>
      <c r="BJ710" s="1"/>
      <c r="BK710" s="1"/>
      <c r="BL710" s="1"/>
      <c r="BM710" s="2"/>
      <c r="BN710" s="1"/>
      <c r="BO710" s="1"/>
      <c r="BP710" s="1"/>
      <c r="BQ710" s="1"/>
      <c r="BR710" s="1"/>
      <c r="BS710" s="1"/>
      <c r="BT710" s="1"/>
      <c r="BU710" s="1"/>
      <c r="BV710" s="2"/>
      <c r="BW710" s="1"/>
      <c r="BX710" s="1"/>
      <c r="BY710" s="1"/>
      <c r="BZ710" s="1"/>
      <c r="CA710" s="1"/>
      <c r="CB710" s="1"/>
      <c r="CC710" s="1"/>
      <c r="CD710" s="1"/>
      <c r="CE710" s="2"/>
      <c r="CF710" s="1"/>
      <c r="CG710" s="1"/>
      <c r="CH710" s="1"/>
      <c r="CI710" s="1"/>
      <c r="CJ710" s="1"/>
      <c r="CK710" s="1"/>
      <c r="CL710" s="1"/>
    </row>
    <row r="711" spans="1:90" ht="14.65" x14ac:dyDescent="0.4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2"/>
      <c r="L711" s="1"/>
      <c r="M711" s="1"/>
      <c r="N711" s="1"/>
      <c r="O711" s="1"/>
      <c r="P711" s="1"/>
      <c r="Q711" s="1"/>
      <c r="R711" s="1"/>
      <c r="S711" s="1"/>
      <c r="T711" s="2"/>
      <c r="U711" s="1"/>
      <c r="V711" s="1"/>
      <c r="W711" s="1"/>
      <c r="X711" s="1"/>
      <c r="Y711" s="1"/>
      <c r="Z711" s="1"/>
      <c r="AA711" s="1"/>
      <c r="AB711" s="1"/>
      <c r="AC711" s="2"/>
      <c r="AD711" s="1"/>
      <c r="AE711" s="1"/>
      <c r="AF711" s="1"/>
      <c r="AG711" s="1"/>
      <c r="AH711" s="1"/>
      <c r="AI711" s="1"/>
      <c r="AJ711" s="1"/>
      <c r="AK711" s="1"/>
      <c r="AL711" s="2"/>
      <c r="AM711" s="1"/>
      <c r="AN711" s="1"/>
      <c r="AO711" s="1"/>
      <c r="AP711" s="1"/>
      <c r="AQ711" s="1"/>
      <c r="AR711" s="1"/>
      <c r="AS711" s="1"/>
      <c r="AT711" s="1"/>
      <c r="AU711" s="2"/>
      <c r="AV711" s="1"/>
      <c r="AW711" s="1"/>
      <c r="AX711" s="1"/>
      <c r="AY711" s="1"/>
      <c r="AZ711" s="1"/>
      <c r="BA711" s="1"/>
      <c r="BB711" s="1"/>
      <c r="BC711" s="1"/>
      <c r="BD711" s="2"/>
      <c r="BE711" s="1"/>
      <c r="BF711" s="1"/>
      <c r="BG711" s="1"/>
      <c r="BH711" s="1"/>
      <c r="BI711" s="1"/>
      <c r="BJ711" s="1"/>
      <c r="BK711" s="1"/>
      <c r="BL711" s="1"/>
      <c r="BM711" s="2"/>
      <c r="BN711" s="1"/>
      <c r="BO711" s="1"/>
      <c r="BP711" s="1"/>
      <c r="BQ711" s="1"/>
      <c r="BR711" s="1"/>
      <c r="BS711" s="1"/>
      <c r="BT711" s="1"/>
      <c r="BU711" s="1"/>
      <c r="BV711" s="2"/>
      <c r="BW711" s="1"/>
      <c r="BX711" s="1"/>
      <c r="BY711" s="1"/>
      <c r="BZ711" s="1"/>
      <c r="CA711" s="1"/>
      <c r="CB711" s="1"/>
      <c r="CC711" s="1"/>
      <c r="CD711" s="1"/>
      <c r="CE711" s="2"/>
      <c r="CF711" s="1"/>
      <c r="CG711" s="1"/>
      <c r="CH711" s="1"/>
      <c r="CI711" s="1"/>
      <c r="CJ711" s="1"/>
      <c r="CK711" s="1"/>
      <c r="CL711" s="1"/>
    </row>
    <row r="712" spans="1:90" ht="14.65" x14ac:dyDescent="0.4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2"/>
      <c r="L712" s="1"/>
      <c r="M712" s="1"/>
      <c r="N712" s="1"/>
      <c r="O712" s="1"/>
      <c r="P712" s="1"/>
      <c r="Q712" s="1"/>
      <c r="R712" s="1"/>
      <c r="S712" s="1"/>
      <c r="T712" s="2"/>
      <c r="U712" s="1"/>
      <c r="V712" s="1"/>
      <c r="W712" s="1"/>
      <c r="X712" s="1"/>
      <c r="Y712" s="1"/>
      <c r="Z712" s="1"/>
      <c r="AA712" s="1"/>
      <c r="AB712" s="1"/>
      <c r="AC712" s="2"/>
      <c r="AD712" s="1"/>
      <c r="AE712" s="1"/>
      <c r="AF712" s="1"/>
      <c r="AG712" s="1"/>
      <c r="AH712" s="1"/>
      <c r="AI712" s="1"/>
      <c r="AJ712" s="1"/>
      <c r="AK712" s="1"/>
      <c r="AL712" s="2"/>
      <c r="AM712" s="1"/>
      <c r="AN712" s="1"/>
      <c r="AO712" s="1"/>
      <c r="AP712" s="1"/>
      <c r="AQ712" s="1"/>
      <c r="AR712" s="1"/>
      <c r="AS712" s="1"/>
      <c r="AT712" s="1"/>
      <c r="AU712" s="2"/>
      <c r="AV712" s="1"/>
      <c r="AW712" s="1"/>
      <c r="AX712" s="1"/>
      <c r="AY712" s="1"/>
      <c r="AZ712" s="1"/>
      <c r="BA712" s="1"/>
      <c r="BB712" s="1"/>
      <c r="BC712" s="1"/>
      <c r="BD712" s="2"/>
      <c r="BE712" s="1"/>
      <c r="BF712" s="1"/>
      <c r="BG712" s="1"/>
      <c r="BH712" s="1"/>
      <c r="BI712" s="1"/>
      <c r="BJ712" s="1"/>
      <c r="BK712" s="1"/>
      <c r="BL712" s="1"/>
      <c r="BM712" s="2"/>
      <c r="BN712" s="1"/>
      <c r="BO712" s="1"/>
      <c r="BP712" s="1"/>
      <c r="BQ712" s="1"/>
      <c r="BR712" s="1"/>
      <c r="BS712" s="1"/>
      <c r="BT712" s="1"/>
      <c r="BU712" s="1"/>
      <c r="BV712" s="2"/>
      <c r="BW712" s="1"/>
      <c r="BX712" s="1"/>
      <c r="BY712" s="1"/>
      <c r="BZ712" s="1"/>
      <c r="CA712" s="1"/>
      <c r="CB712" s="1"/>
      <c r="CC712" s="1"/>
      <c r="CD712" s="1"/>
      <c r="CE712" s="2"/>
      <c r="CF712" s="1"/>
      <c r="CG712" s="1"/>
      <c r="CH712" s="1"/>
      <c r="CI712" s="1"/>
      <c r="CJ712" s="1"/>
      <c r="CK712" s="1"/>
      <c r="CL712" s="1"/>
    </row>
    <row r="713" spans="1:90" ht="14.65" x14ac:dyDescent="0.4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2"/>
      <c r="L713" s="1"/>
      <c r="M713" s="1"/>
      <c r="N713" s="1"/>
      <c r="O713" s="1"/>
      <c r="P713" s="1"/>
      <c r="Q713" s="1"/>
      <c r="R713" s="1"/>
      <c r="S713" s="1"/>
      <c r="T713" s="2"/>
      <c r="U713" s="1"/>
      <c r="V713" s="1"/>
      <c r="W713" s="1"/>
      <c r="X713" s="1"/>
      <c r="Y713" s="1"/>
      <c r="Z713" s="1"/>
      <c r="AA713" s="1"/>
      <c r="AB713" s="1"/>
      <c r="AC713" s="2"/>
      <c r="AD713" s="1"/>
      <c r="AE713" s="1"/>
      <c r="AF713" s="1"/>
      <c r="AG713" s="1"/>
      <c r="AH713" s="1"/>
      <c r="AI713" s="1"/>
      <c r="AJ713" s="1"/>
      <c r="AK713" s="1"/>
      <c r="AL713" s="2"/>
      <c r="AM713" s="1"/>
      <c r="AN713" s="1"/>
      <c r="AO713" s="1"/>
      <c r="AP713" s="1"/>
      <c r="AQ713" s="1"/>
      <c r="AR713" s="1"/>
      <c r="AS713" s="1"/>
      <c r="AT713" s="1"/>
      <c r="AU713" s="2"/>
      <c r="AV713" s="1"/>
      <c r="AW713" s="1"/>
      <c r="AX713" s="1"/>
      <c r="AY713" s="1"/>
      <c r="AZ713" s="1"/>
      <c r="BA713" s="1"/>
      <c r="BB713" s="1"/>
      <c r="BC713" s="1"/>
      <c r="BD713" s="2"/>
      <c r="BE713" s="1"/>
      <c r="BF713" s="1"/>
      <c r="BG713" s="1"/>
      <c r="BH713" s="1"/>
      <c r="BI713" s="1"/>
      <c r="BJ713" s="1"/>
      <c r="BK713" s="1"/>
      <c r="BL713" s="1"/>
      <c r="BM713" s="2"/>
      <c r="BN713" s="1"/>
      <c r="BO713" s="1"/>
      <c r="BP713" s="1"/>
      <c r="BQ713" s="1"/>
      <c r="BR713" s="1"/>
      <c r="BS713" s="1"/>
      <c r="BT713" s="1"/>
      <c r="BU713" s="1"/>
      <c r="BV713" s="2"/>
      <c r="BW713" s="1"/>
      <c r="BX713" s="1"/>
      <c r="BY713" s="1"/>
      <c r="BZ713" s="1"/>
      <c r="CA713" s="1"/>
      <c r="CB713" s="1"/>
      <c r="CC713" s="1"/>
      <c r="CD713" s="1"/>
      <c r="CE713" s="2"/>
      <c r="CF713" s="1"/>
      <c r="CG713" s="1"/>
      <c r="CH713" s="1"/>
      <c r="CI713" s="1"/>
      <c r="CJ713" s="1"/>
      <c r="CK713" s="1"/>
      <c r="CL713" s="1"/>
    </row>
    <row r="714" spans="1:90" ht="14.65" x14ac:dyDescent="0.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2"/>
      <c r="L714" s="1"/>
      <c r="M714" s="1"/>
      <c r="N714" s="1"/>
      <c r="O714" s="1"/>
      <c r="P714" s="1"/>
      <c r="Q714" s="1"/>
      <c r="R714" s="1"/>
      <c r="S714" s="1"/>
      <c r="T714" s="2"/>
      <c r="U714" s="1"/>
      <c r="V714" s="1"/>
      <c r="W714" s="1"/>
      <c r="X714" s="1"/>
      <c r="Y714" s="1"/>
      <c r="Z714" s="1"/>
      <c r="AA714" s="1"/>
      <c r="AB714" s="1"/>
      <c r="AC714" s="2"/>
      <c r="AD714" s="1"/>
      <c r="AE714" s="1"/>
      <c r="AF714" s="1"/>
      <c r="AG714" s="1"/>
      <c r="AH714" s="1"/>
      <c r="AI714" s="1"/>
      <c r="AJ714" s="1"/>
      <c r="AK714" s="1"/>
      <c r="AL714" s="2"/>
      <c r="AM714" s="1"/>
      <c r="AN714" s="1"/>
      <c r="AO714" s="1"/>
      <c r="AP714" s="1"/>
      <c r="AQ714" s="1"/>
      <c r="AR714" s="1"/>
      <c r="AS714" s="1"/>
      <c r="AT714" s="1"/>
      <c r="AU714" s="2"/>
      <c r="AV714" s="1"/>
      <c r="AW714" s="1"/>
      <c r="AX714" s="1"/>
      <c r="AY714" s="1"/>
      <c r="AZ714" s="1"/>
      <c r="BA714" s="1"/>
      <c r="BB714" s="1"/>
      <c r="BC714" s="1"/>
      <c r="BD714" s="2"/>
      <c r="BE714" s="1"/>
      <c r="BF714" s="1"/>
      <c r="BG714" s="1"/>
      <c r="BH714" s="1"/>
      <c r="BI714" s="1"/>
      <c r="BJ714" s="1"/>
      <c r="BK714" s="1"/>
      <c r="BL714" s="1"/>
      <c r="BM714" s="2"/>
      <c r="BN714" s="1"/>
      <c r="BO714" s="1"/>
      <c r="BP714" s="1"/>
      <c r="BQ714" s="1"/>
      <c r="BR714" s="1"/>
      <c r="BS714" s="1"/>
      <c r="BT714" s="1"/>
      <c r="BU714" s="1"/>
      <c r="BV714" s="2"/>
      <c r="BW714" s="1"/>
      <c r="BX714" s="1"/>
      <c r="BY714" s="1"/>
      <c r="BZ714" s="1"/>
      <c r="CA714" s="1"/>
      <c r="CB714" s="1"/>
      <c r="CC714" s="1"/>
      <c r="CD714" s="1"/>
      <c r="CE714" s="2"/>
      <c r="CF714" s="1"/>
      <c r="CG714" s="1"/>
      <c r="CH714" s="1"/>
      <c r="CI714" s="1"/>
      <c r="CJ714" s="1"/>
      <c r="CK714" s="1"/>
      <c r="CL714" s="1"/>
    </row>
    <row r="715" spans="1:90" ht="14.65" x14ac:dyDescent="0.4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2"/>
      <c r="L715" s="1"/>
      <c r="M715" s="1"/>
      <c r="N715" s="1"/>
      <c r="O715" s="1"/>
      <c r="P715" s="1"/>
      <c r="Q715" s="1"/>
      <c r="R715" s="1"/>
      <c r="S715" s="1"/>
      <c r="T715" s="2"/>
      <c r="U715" s="1"/>
      <c r="V715" s="1"/>
      <c r="W715" s="1"/>
      <c r="X715" s="1"/>
      <c r="Y715" s="1"/>
      <c r="Z715" s="1"/>
      <c r="AA715" s="1"/>
      <c r="AB715" s="1"/>
      <c r="AC715" s="2"/>
      <c r="AD715" s="1"/>
      <c r="AE715" s="1"/>
      <c r="AF715" s="1"/>
      <c r="AG715" s="1"/>
      <c r="AH715" s="1"/>
      <c r="AI715" s="1"/>
      <c r="AJ715" s="1"/>
      <c r="AK715" s="1"/>
      <c r="AL715" s="2"/>
      <c r="AM715" s="1"/>
      <c r="AN715" s="1"/>
      <c r="AO715" s="1"/>
      <c r="AP715" s="1"/>
      <c r="AQ715" s="1"/>
      <c r="AR715" s="1"/>
      <c r="AS715" s="1"/>
      <c r="AT715" s="1"/>
      <c r="AU715" s="2"/>
      <c r="AV715" s="1"/>
      <c r="AW715" s="1"/>
      <c r="AX715" s="1"/>
      <c r="AY715" s="1"/>
      <c r="AZ715" s="1"/>
      <c r="BA715" s="1"/>
      <c r="BB715" s="1"/>
      <c r="BC715" s="1"/>
      <c r="BD715" s="2"/>
      <c r="BE715" s="1"/>
      <c r="BF715" s="1"/>
      <c r="BG715" s="1"/>
      <c r="BH715" s="1"/>
      <c r="BI715" s="1"/>
      <c r="BJ715" s="1"/>
      <c r="BK715" s="1"/>
      <c r="BL715" s="1"/>
      <c r="BM715" s="2"/>
      <c r="BN715" s="1"/>
      <c r="BO715" s="1"/>
      <c r="BP715" s="1"/>
      <c r="BQ715" s="1"/>
      <c r="BR715" s="1"/>
      <c r="BS715" s="1"/>
      <c r="BT715" s="1"/>
      <c r="BU715" s="1"/>
      <c r="BV715" s="2"/>
      <c r="BW715" s="1"/>
      <c r="BX715" s="1"/>
      <c r="BY715" s="1"/>
      <c r="BZ715" s="1"/>
      <c r="CA715" s="1"/>
      <c r="CB715" s="1"/>
      <c r="CC715" s="1"/>
      <c r="CD715" s="1"/>
      <c r="CE715" s="2"/>
      <c r="CF715" s="1"/>
      <c r="CG715" s="1"/>
      <c r="CH715" s="1"/>
      <c r="CI715" s="1"/>
      <c r="CJ715" s="1"/>
      <c r="CK715" s="1"/>
      <c r="CL715" s="1"/>
    </row>
    <row r="716" spans="1:90" ht="14.65" x14ac:dyDescent="0.4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2"/>
      <c r="L716" s="1"/>
      <c r="M716" s="1"/>
      <c r="N716" s="1"/>
      <c r="O716" s="1"/>
      <c r="P716" s="1"/>
      <c r="Q716" s="1"/>
      <c r="R716" s="1"/>
      <c r="S716" s="1"/>
      <c r="T716" s="2"/>
      <c r="U716" s="1"/>
      <c r="V716" s="1"/>
      <c r="W716" s="1"/>
      <c r="X716" s="1"/>
      <c r="Y716" s="1"/>
      <c r="Z716" s="1"/>
      <c r="AA716" s="1"/>
      <c r="AB716" s="1"/>
      <c r="AC716" s="2"/>
      <c r="AD716" s="1"/>
      <c r="AE716" s="1"/>
      <c r="AF716" s="1"/>
      <c r="AG716" s="1"/>
      <c r="AH716" s="1"/>
      <c r="AI716" s="1"/>
      <c r="AJ716" s="1"/>
      <c r="AK716" s="1"/>
      <c r="AL716" s="2"/>
      <c r="AM716" s="1"/>
      <c r="AN716" s="1"/>
      <c r="AO716" s="1"/>
      <c r="AP716" s="1"/>
      <c r="AQ716" s="1"/>
      <c r="AR716" s="1"/>
      <c r="AS716" s="1"/>
      <c r="AT716" s="1"/>
      <c r="AU716" s="2"/>
      <c r="AV716" s="1"/>
      <c r="AW716" s="1"/>
      <c r="AX716" s="1"/>
      <c r="AY716" s="1"/>
      <c r="AZ716" s="1"/>
      <c r="BA716" s="1"/>
      <c r="BB716" s="1"/>
      <c r="BC716" s="1"/>
      <c r="BD716" s="2"/>
      <c r="BE716" s="1"/>
      <c r="BF716" s="1"/>
      <c r="BG716" s="1"/>
      <c r="BH716" s="1"/>
      <c r="BI716" s="1"/>
      <c r="BJ716" s="1"/>
      <c r="BK716" s="1"/>
      <c r="BL716" s="1"/>
      <c r="BM716" s="2"/>
      <c r="BN716" s="1"/>
      <c r="BO716" s="1"/>
      <c r="BP716" s="1"/>
      <c r="BQ716" s="1"/>
      <c r="BR716" s="1"/>
      <c r="BS716" s="1"/>
      <c r="BT716" s="1"/>
      <c r="BU716" s="1"/>
      <c r="BV716" s="2"/>
      <c r="BW716" s="1"/>
      <c r="BX716" s="1"/>
      <c r="BY716" s="1"/>
      <c r="BZ716" s="1"/>
      <c r="CA716" s="1"/>
      <c r="CB716" s="1"/>
      <c r="CC716" s="1"/>
      <c r="CD716" s="1"/>
      <c r="CE716" s="2"/>
      <c r="CF716" s="1"/>
      <c r="CG716" s="1"/>
      <c r="CH716" s="1"/>
      <c r="CI716" s="1"/>
      <c r="CJ716" s="1"/>
      <c r="CK716" s="1"/>
      <c r="CL716" s="1"/>
    </row>
    <row r="717" spans="1:90" ht="14.65" x14ac:dyDescent="0.4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2"/>
      <c r="L717" s="1"/>
      <c r="M717" s="1"/>
      <c r="N717" s="1"/>
      <c r="O717" s="1"/>
      <c r="P717" s="1"/>
      <c r="Q717" s="1"/>
      <c r="R717" s="1"/>
      <c r="S717" s="1"/>
      <c r="T717" s="2"/>
      <c r="U717" s="1"/>
      <c r="V717" s="1"/>
      <c r="W717" s="1"/>
      <c r="X717" s="1"/>
      <c r="Y717" s="1"/>
      <c r="Z717" s="1"/>
      <c r="AA717" s="1"/>
      <c r="AB717" s="1"/>
      <c r="AC717" s="2"/>
      <c r="AD717" s="1"/>
      <c r="AE717" s="1"/>
      <c r="AF717" s="1"/>
      <c r="AG717" s="1"/>
      <c r="AH717" s="1"/>
      <c r="AI717" s="1"/>
      <c r="AJ717" s="1"/>
      <c r="AK717" s="1"/>
      <c r="AL717" s="2"/>
      <c r="AM717" s="1"/>
      <c r="AN717" s="1"/>
      <c r="AO717" s="1"/>
      <c r="AP717" s="1"/>
      <c r="AQ717" s="1"/>
      <c r="AR717" s="1"/>
      <c r="AS717" s="1"/>
      <c r="AT717" s="1"/>
      <c r="AU717" s="2"/>
      <c r="AV717" s="1"/>
      <c r="AW717" s="1"/>
      <c r="AX717" s="1"/>
      <c r="AY717" s="1"/>
      <c r="AZ717" s="1"/>
      <c r="BA717" s="1"/>
      <c r="BB717" s="1"/>
      <c r="BC717" s="1"/>
      <c r="BD717" s="2"/>
      <c r="BE717" s="1"/>
      <c r="BF717" s="1"/>
      <c r="BG717" s="1"/>
      <c r="BH717" s="1"/>
      <c r="BI717" s="1"/>
      <c r="BJ717" s="1"/>
      <c r="BK717" s="1"/>
      <c r="BL717" s="1"/>
      <c r="BM717" s="2"/>
      <c r="BN717" s="1"/>
      <c r="BO717" s="1"/>
      <c r="BP717" s="1"/>
      <c r="BQ717" s="1"/>
      <c r="BR717" s="1"/>
      <c r="BS717" s="1"/>
      <c r="BT717" s="1"/>
      <c r="BU717" s="1"/>
      <c r="BV717" s="2"/>
      <c r="BW717" s="1"/>
      <c r="BX717" s="1"/>
      <c r="BY717" s="1"/>
      <c r="BZ717" s="1"/>
      <c r="CA717" s="1"/>
      <c r="CB717" s="1"/>
      <c r="CC717" s="1"/>
      <c r="CD717" s="1"/>
      <c r="CE717" s="2"/>
      <c r="CF717" s="1"/>
      <c r="CG717" s="1"/>
      <c r="CH717" s="1"/>
      <c r="CI717" s="1"/>
      <c r="CJ717" s="1"/>
      <c r="CK717" s="1"/>
      <c r="CL717" s="1"/>
    </row>
    <row r="718" spans="1:90" ht="14.65" x14ac:dyDescent="0.4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2"/>
      <c r="L718" s="1"/>
      <c r="M718" s="1"/>
      <c r="N718" s="1"/>
      <c r="O718" s="1"/>
      <c r="P718" s="1"/>
      <c r="Q718" s="1"/>
      <c r="R718" s="1"/>
      <c r="S718" s="1"/>
      <c r="T718" s="2"/>
      <c r="U718" s="1"/>
      <c r="V718" s="1"/>
      <c r="W718" s="1"/>
      <c r="X718" s="1"/>
      <c r="Y718" s="1"/>
      <c r="Z718" s="1"/>
      <c r="AA718" s="1"/>
      <c r="AB718" s="1"/>
      <c r="AC718" s="2"/>
      <c r="AD718" s="1"/>
      <c r="AE718" s="1"/>
      <c r="AF718" s="1"/>
      <c r="AG718" s="1"/>
      <c r="AH718" s="1"/>
      <c r="AI718" s="1"/>
      <c r="AJ718" s="1"/>
      <c r="AK718" s="1"/>
      <c r="AL718" s="2"/>
      <c r="AM718" s="1"/>
      <c r="AN718" s="1"/>
      <c r="AO718" s="1"/>
      <c r="AP718" s="1"/>
      <c r="AQ718" s="1"/>
      <c r="AR718" s="1"/>
      <c r="AS718" s="1"/>
      <c r="AT718" s="1"/>
      <c r="AU718" s="2"/>
      <c r="AV718" s="1"/>
      <c r="AW718" s="1"/>
      <c r="AX718" s="1"/>
      <c r="AY718" s="1"/>
      <c r="AZ718" s="1"/>
      <c r="BA718" s="1"/>
      <c r="BB718" s="1"/>
      <c r="BC718" s="1"/>
      <c r="BD718" s="2"/>
      <c r="BE718" s="1"/>
      <c r="BF718" s="1"/>
      <c r="BG718" s="1"/>
      <c r="BH718" s="1"/>
      <c r="BI718" s="1"/>
      <c r="BJ718" s="1"/>
      <c r="BK718" s="1"/>
      <c r="BL718" s="1"/>
      <c r="BM718" s="2"/>
      <c r="BN718" s="1"/>
      <c r="BO718" s="1"/>
      <c r="BP718" s="1"/>
      <c r="BQ718" s="1"/>
      <c r="BR718" s="1"/>
      <c r="BS718" s="1"/>
      <c r="BT718" s="1"/>
      <c r="BU718" s="1"/>
      <c r="BV718" s="2"/>
      <c r="BW718" s="1"/>
      <c r="BX718" s="1"/>
      <c r="BY718" s="1"/>
      <c r="BZ718" s="1"/>
      <c r="CA718" s="1"/>
      <c r="CB718" s="1"/>
      <c r="CC718" s="1"/>
      <c r="CD718" s="1"/>
      <c r="CE718" s="2"/>
      <c r="CF718" s="1"/>
      <c r="CG718" s="1"/>
      <c r="CH718" s="1"/>
      <c r="CI718" s="1"/>
      <c r="CJ718" s="1"/>
      <c r="CK718" s="1"/>
      <c r="CL718" s="1"/>
    </row>
    <row r="719" spans="1:90" ht="14.65" x14ac:dyDescent="0.4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2"/>
      <c r="L719" s="1"/>
      <c r="M719" s="1"/>
      <c r="N719" s="1"/>
      <c r="O719" s="1"/>
      <c r="P719" s="1"/>
      <c r="Q719" s="1"/>
      <c r="R719" s="1"/>
      <c r="S719" s="1"/>
      <c r="T719" s="2"/>
      <c r="U719" s="1"/>
      <c r="V719" s="1"/>
      <c r="W719" s="1"/>
      <c r="X719" s="1"/>
      <c r="Y719" s="1"/>
      <c r="Z719" s="1"/>
      <c r="AA719" s="1"/>
      <c r="AB719" s="1"/>
      <c r="AC719" s="2"/>
      <c r="AD719" s="1"/>
      <c r="AE719" s="1"/>
      <c r="AF719" s="1"/>
      <c r="AG719" s="1"/>
      <c r="AH719" s="1"/>
      <c r="AI719" s="1"/>
      <c r="AJ719" s="1"/>
      <c r="AK719" s="1"/>
      <c r="AL719" s="2"/>
      <c r="AM719" s="1"/>
      <c r="AN719" s="1"/>
      <c r="AO719" s="1"/>
      <c r="AP719" s="1"/>
      <c r="AQ719" s="1"/>
      <c r="AR719" s="1"/>
      <c r="AS719" s="1"/>
      <c r="AT719" s="1"/>
      <c r="AU719" s="2"/>
      <c r="AV719" s="1"/>
      <c r="AW719" s="1"/>
      <c r="AX719" s="1"/>
      <c r="AY719" s="1"/>
      <c r="AZ719" s="1"/>
      <c r="BA719" s="1"/>
      <c r="BB719" s="1"/>
      <c r="BC719" s="1"/>
      <c r="BD719" s="2"/>
      <c r="BE719" s="1"/>
      <c r="BF719" s="1"/>
      <c r="BG719" s="1"/>
      <c r="BH719" s="1"/>
      <c r="BI719" s="1"/>
      <c r="BJ719" s="1"/>
      <c r="BK719" s="1"/>
      <c r="BL719" s="1"/>
      <c r="BM719" s="2"/>
      <c r="BN719" s="1"/>
      <c r="BO719" s="1"/>
      <c r="BP719" s="1"/>
      <c r="BQ719" s="1"/>
      <c r="BR719" s="1"/>
      <c r="BS719" s="1"/>
      <c r="BT719" s="1"/>
      <c r="BU719" s="1"/>
      <c r="BV719" s="2"/>
      <c r="BW719" s="1"/>
      <c r="BX719" s="1"/>
      <c r="BY719" s="1"/>
      <c r="BZ719" s="1"/>
      <c r="CA719" s="1"/>
      <c r="CB719" s="1"/>
      <c r="CC719" s="1"/>
      <c r="CD719" s="1"/>
      <c r="CE719" s="2"/>
      <c r="CF719" s="1"/>
      <c r="CG719" s="1"/>
      <c r="CH719" s="1"/>
      <c r="CI719" s="1"/>
      <c r="CJ719" s="1"/>
      <c r="CK719" s="1"/>
      <c r="CL719" s="1"/>
    </row>
    <row r="720" spans="1:90" ht="14.65" x14ac:dyDescent="0.4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2"/>
      <c r="L720" s="1"/>
      <c r="M720" s="1"/>
      <c r="N720" s="1"/>
      <c r="O720" s="1"/>
      <c r="P720" s="1"/>
      <c r="Q720" s="1"/>
      <c r="R720" s="1"/>
      <c r="S720" s="1"/>
      <c r="T720" s="2"/>
      <c r="U720" s="1"/>
      <c r="V720" s="1"/>
      <c r="W720" s="1"/>
      <c r="X720" s="1"/>
      <c r="Y720" s="1"/>
      <c r="Z720" s="1"/>
      <c r="AA720" s="1"/>
      <c r="AB720" s="1"/>
      <c r="AC720" s="2"/>
      <c r="AD720" s="1"/>
      <c r="AE720" s="1"/>
      <c r="AF720" s="1"/>
      <c r="AG720" s="1"/>
      <c r="AH720" s="1"/>
      <c r="AI720" s="1"/>
      <c r="AJ720" s="1"/>
      <c r="AK720" s="1"/>
      <c r="AL720" s="2"/>
      <c r="AM720" s="1"/>
      <c r="AN720" s="1"/>
      <c r="AO720" s="1"/>
      <c r="AP720" s="1"/>
      <c r="AQ720" s="1"/>
      <c r="AR720" s="1"/>
      <c r="AS720" s="1"/>
      <c r="AT720" s="1"/>
      <c r="AU720" s="2"/>
      <c r="AV720" s="1"/>
      <c r="AW720" s="1"/>
      <c r="AX720" s="1"/>
      <c r="AY720" s="1"/>
      <c r="AZ720" s="1"/>
      <c r="BA720" s="1"/>
      <c r="BB720" s="1"/>
      <c r="BC720" s="1"/>
      <c r="BD720" s="2"/>
      <c r="BE720" s="1"/>
      <c r="BF720" s="1"/>
      <c r="BG720" s="1"/>
      <c r="BH720" s="1"/>
      <c r="BI720" s="1"/>
      <c r="BJ720" s="1"/>
      <c r="BK720" s="1"/>
      <c r="BL720" s="1"/>
      <c r="BM720" s="2"/>
      <c r="BN720" s="1"/>
      <c r="BO720" s="1"/>
      <c r="BP720" s="1"/>
      <c r="BQ720" s="1"/>
      <c r="BR720" s="1"/>
      <c r="BS720" s="1"/>
      <c r="BT720" s="1"/>
      <c r="BU720" s="1"/>
      <c r="BV720" s="2"/>
      <c r="BW720" s="1"/>
      <c r="BX720" s="1"/>
      <c r="BY720" s="1"/>
      <c r="BZ720" s="1"/>
      <c r="CA720" s="1"/>
      <c r="CB720" s="1"/>
      <c r="CC720" s="1"/>
      <c r="CD720" s="1"/>
      <c r="CE720" s="2"/>
      <c r="CF720" s="1"/>
      <c r="CG720" s="1"/>
      <c r="CH720" s="1"/>
      <c r="CI720" s="1"/>
      <c r="CJ720" s="1"/>
      <c r="CK720" s="1"/>
      <c r="CL720" s="1"/>
    </row>
    <row r="721" spans="1:90" ht="14.65" x14ac:dyDescent="0.4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2"/>
      <c r="L721" s="1"/>
      <c r="M721" s="1"/>
      <c r="N721" s="1"/>
      <c r="O721" s="1"/>
      <c r="P721" s="1"/>
      <c r="Q721" s="1"/>
      <c r="R721" s="1"/>
      <c r="S721" s="1"/>
      <c r="T721" s="2"/>
      <c r="U721" s="1"/>
      <c r="V721" s="1"/>
      <c r="W721" s="1"/>
      <c r="X721" s="1"/>
      <c r="Y721" s="1"/>
      <c r="Z721" s="1"/>
      <c r="AA721" s="1"/>
      <c r="AB721" s="1"/>
      <c r="AC721" s="2"/>
      <c r="AD721" s="1"/>
      <c r="AE721" s="1"/>
      <c r="AF721" s="1"/>
      <c r="AG721" s="1"/>
      <c r="AH721" s="1"/>
      <c r="AI721" s="1"/>
      <c r="AJ721" s="1"/>
      <c r="AK721" s="1"/>
      <c r="AL721" s="2"/>
      <c r="AM721" s="1"/>
      <c r="AN721" s="1"/>
      <c r="AO721" s="1"/>
      <c r="AP721" s="1"/>
      <c r="AQ721" s="1"/>
      <c r="AR721" s="1"/>
      <c r="AS721" s="1"/>
      <c r="AT721" s="1"/>
      <c r="AU721" s="2"/>
      <c r="AV721" s="1"/>
      <c r="AW721" s="1"/>
      <c r="AX721" s="1"/>
      <c r="AY721" s="1"/>
      <c r="AZ721" s="1"/>
      <c r="BA721" s="1"/>
      <c r="BB721" s="1"/>
      <c r="BC721" s="1"/>
      <c r="BD721" s="2"/>
      <c r="BE721" s="1"/>
      <c r="BF721" s="1"/>
      <c r="BG721" s="1"/>
      <c r="BH721" s="1"/>
      <c r="BI721" s="1"/>
      <c r="BJ721" s="1"/>
      <c r="BK721" s="1"/>
      <c r="BL721" s="1"/>
      <c r="BM721" s="2"/>
      <c r="BN721" s="1"/>
      <c r="BO721" s="1"/>
      <c r="BP721" s="1"/>
      <c r="BQ721" s="1"/>
      <c r="BR721" s="1"/>
      <c r="BS721" s="1"/>
      <c r="BT721" s="1"/>
      <c r="BU721" s="1"/>
      <c r="BV721" s="2"/>
      <c r="BW721" s="1"/>
      <c r="BX721" s="1"/>
      <c r="BY721" s="1"/>
      <c r="BZ721" s="1"/>
      <c r="CA721" s="1"/>
      <c r="CB721" s="1"/>
      <c r="CC721" s="1"/>
      <c r="CD721" s="1"/>
      <c r="CE721" s="2"/>
      <c r="CF721" s="1"/>
      <c r="CG721" s="1"/>
      <c r="CH721" s="1"/>
      <c r="CI721" s="1"/>
      <c r="CJ721" s="1"/>
      <c r="CK721" s="1"/>
      <c r="CL721" s="1"/>
    </row>
    <row r="722" spans="1:90" ht="14.65" x14ac:dyDescent="0.4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2"/>
      <c r="L722" s="1"/>
      <c r="M722" s="1"/>
      <c r="N722" s="1"/>
      <c r="O722" s="1"/>
      <c r="P722" s="1"/>
      <c r="Q722" s="1"/>
      <c r="R722" s="1"/>
      <c r="S722" s="1"/>
      <c r="T722" s="2"/>
      <c r="U722" s="1"/>
      <c r="V722" s="1"/>
      <c r="W722" s="1"/>
      <c r="X722" s="1"/>
      <c r="Y722" s="1"/>
      <c r="Z722" s="1"/>
      <c r="AA722" s="1"/>
      <c r="AB722" s="1"/>
      <c r="AC722" s="2"/>
      <c r="AD722" s="1"/>
      <c r="AE722" s="1"/>
      <c r="AF722" s="1"/>
      <c r="AG722" s="1"/>
      <c r="AH722" s="1"/>
      <c r="AI722" s="1"/>
      <c r="AJ722" s="1"/>
      <c r="AK722" s="1"/>
      <c r="AL722" s="2"/>
      <c r="AM722" s="1"/>
      <c r="AN722" s="1"/>
      <c r="AO722" s="1"/>
      <c r="AP722" s="1"/>
      <c r="AQ722" s="1"/>
      <c r="AR722" s="1"/>
      <c r="AS722" s="1"/>
      <c r="AT722" s="1"/>
      <c r="AU722" s="2"/>
      <c r="AV722" s="1"/>
      <c r="AW722" s="1"/>
      <c r="AX722" s="1"/>
      <c r="AY722" s="1"/>
      <c r="AZ722" s="1"/>
      <c r="BA722" s="1"/>
      <c r="BB722" s="1"/>
      <c r="BC722" s="1"/>
      <c r="BD722" s="2"/>
      <c r="BE722" s="1"/>
      <c r="BF722" s="1"/>
      <c r="BG722" s="1"/>
      <c r="BH722" s="1"/>
      <c r="BI722" s="1"/>
      <c r="BJ722" s="1"/>
      <c r="BK722" s="1"/>
      <c r="BL722" s="1"/>
      <c r="BM722" s="2"/>
      <c r="BN722" s="1"/>
      <c r="BO722" s="1"/>
      <c r="BP722" s="1"/>
      <c r="BQ722" s="1"/>
      <c r="BR722" s="1"/>
      <c r="BS722" s="1"/>
      <c r="BT722" s="1"/>
      <c r="BU722" s="1"/>
      <c r="BV722" s="2"/>
      <c r="BW722" s="1"/>
      <c r="BX722" s="1"/>
      <c r="BY722" s="1"/>
      <c r="BZ722" s="1"/>
      <c r="CA722" s="1"/>
      <c r="CB722" s="1"/>
      <c r="CC722" s="1"/>
      <c r="CD722" s="1"/>
      <c r="CE722" s="2"/>
      <c r="CF722" s="1"/>
      <c r="CG722" s="1"/>
      <c r="CH722" s="1"/>
      <c r="CI722" s="1"/>
      <c r="CJ722" s="1"/>
      <c r="CK722" s="1"/>
      <c r="CL722" s="1"/>
    </row>
    <row r="723" spans="1:90" ht="14.65" x14ac:dyDescent="0.4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2"/>
      <c r="L723" s="1"/>
      <c r="M723" s="1"/>
      <c r="N723" s="1"/>
      <c r="O723" s="1"/>
      <c r="P723" s="1"/>
      <c r="Q723" s="1"/>
      <c r="R723" s="1"/>
      <c r="S723" s="1"/>
      <c r="T723" s="2"/>
      <c r="U723" s="1"/>
      <c r="V723" s="1"/>
      <c r="W723" s="1"/>
      <c r="X723" s="1"/>
      <c r="Y723" s="1"/>
      <c r="Z723" s="1"/>
      <c r="AA723" s="1"/>
      <c r="AB723" s="1"/>
      <c r="AC723" s="2"/>
      <c r="AD723" s="1"/>
      <c r="AE723" s="1"/>
      <c r="AF723" s="1"/>
      <c r="AG723" s="1"/>
      <c r="AH723" s="1"/>
      <c r="AI723" s="1"/>
      <c r="AJ723" s="1"/>
      <c r="AK723" s="1"/>
      <c r="AL723" s="2"/>
      <c r="AM723" s="1"/>
      <c r="AN723" s="1"/>
      <c r="AO723" s="1"/>
      <c r="AP723" s="1"/>
      <c r="AQ723" s="1"/>
      <c r="AR723" s="1"/>
      <c r="AS723" s="1"/>
      <c r="AT723" s="1"/>
      <c r="AU723" s="2"/>
      <c r="AV723" s="1"/>
      <c r="AW723" s="1"/>
      <c r="AX723" s="1"/>
      <c r="AY723" s="1"/>
      <c r="AZ723" s="1"/>
      <c r="BA723" s="1"/>
      <c r="BB723" s="1"/>
      <c r="BC723" s="1"/>
      <c r="BD723" s="2"/>
      <c r="BE723" s="1"/>
      <c r="BF723" s="1"/>
      <c r="BG723" s="1"/>
      <c r="BH723" s="1"/>
      <c r="BI723" s="1"/>
      <c r="BJ723" s="1"/>
      <c r="BK723" s="1"/>
      <c r="BL723" s="1"/>
      <c r="BM723" s="2"/>
      <c r="BN723" s="1"/>
      <c r="BO723" s="1"/>
      <c r="BP723" s="1"/>
      <c r="BQ723" s="1"/>
      <c r="BR723" s="1"/>
      <c r="BS723" s="1"/>
      <c r="BT723" s="1"/>
      <c r="BU723" s="1"/>
      <c r="BV723" s="2"/>
      <c r="BW723" s="1"/>
      <c r="BX723" s="1"/>
      <c r="BY723" s="1"/>
      <c r="BZ723" s="1"/>
      <c r="CA723" s="1"/>
      <c r="CB723" s="1"/>
      <c r="CC723" s="1"/>
      <c r="CD723" s="1"/>
      <c r="CE723" s="2"/>
      <c r="CF723" s="1"/>
      <c r="CG723" s="1"/>
      <c r="CH723" s="1"/>
      <c r="CI723" s="1"/>
      <c r="CJ723" s="1"/>
      <c r="CK723" s="1"/>
      <c r="CL723" s="1"/>
    </row>
    <row r="724" spans="1:90" ht="14.65" x14ac:dyDescent="0.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2"/>
      <c r="L724" s="1"/>
      <c r="M724" s="1"/>
      <c r="N724" s="1"/>
      <c r="O724" s="1"/>
      <c r="P724" s="1"/>
      <c r="Q724" s="1"/>
      <c r="R724" s="1"/>
      <c r="S724" s="1"/>
      <c r="T724" s="2"/>
      <c r="U724" s="1"/>
      <c r="V724" s="1"/>
      <c r="W724" s="1"/>
      <c r="X724" s="1"/>
      <c r="Y724" s="1"/>
      <c r="Z724" s="1"/>
      <c r="AA724" s="1"/>
      <c r="AB724" s="1"/>
      <c r="AC724" s="2"/>
      <c r="AD724" s="1"/>
      <c r="AE724" s="1"/>
      <c r="AF724" s="1"/>
      <c r="AG724" s="1"/>
      <c r="AH724" s="1"/>
      <c r="AI724" s="1"/>
      <c r="AJ724" s="1"/>
      <c r="AK724" s="1"/>
      <c r="AL724" s="2"/>
      <c r="AM724" s="1"/>
      <c r="AN724" s="1"/>
      <c r="AO724" s="1"/>
      <c r="AP724" s="1"/>
      <c r="AQ724" s="1"/>
      <c r="AR724" s="1"/>
      <c r="AS724" s="1"/>
      <c r="AT724" s="1"/>
      <c r="AU724" s="2"/>
      <c r="AV724" s="1"/>
      <c r="AW724" s="1"/>
      <c r="AX724" s="1"/>
      <c r="AY724" s="1"/>
      <c r="AZ724" s="1"/>
      <c r="BA724" s="1"/>
      <c r="BB724" s="1"/>
      <c r="BC724" s="1"/>
      <c r="BD724" s="2"/>
      <c r="BE724" s="1"/>
      <c r="BF724" s="1"/>
      <c r="BG724" s="1"/>
      <c r="BH724" s="1"/>
      <c r="BI724" s="1"/>
      <c r="BJ724" s="1"/>
      <c r="BK724" s="1"/>
      <c r="BL724" s="1"/>
      <c r="BM724" s="2"/>
      <c r="BN724" s="1"/>
      <c r="BO724" s="1"/>
      <c r="BP724" s="1"/>
      <c r="BQ724" s="1"/>
      <c r="BR724" s="1"/>
      <c r="BS724" s="1"/>
      <c r="BT724" s="1"/>
      <c r="BU724" s="1"/>
      <c r="BV724" s="2"/>
      <c r="BW724" s="1"/>
      <c r="BX724" s="1"/>
      <c r="BY724" s="1"/>
      <c r="BZ724" s="1"/>
      <c r="CA724" s="1"/>
      <c r="CB724" s="1"/>
      <c r="CC724" s="1"/>
      <c r="CD724" s="1"/>
      <c r="CE724" s="2"/>
      <c r="CF724" s="1"/>
      <c r="CG724" s="1"/>
      <c r="CH724" s="1"/>
      <c r="CI724" s="1"/>
      <c r="CJ724" s="1"/>
      <c r="CK724" s="1"/>
      <c r="CL724" s="1"/>
    </row>
    <row r="725" spans="1:90" ht="14.65" x14ac:dyDescent="0.4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2"/>
      <c r="L725" s="1"/>
      <c r="M725" s="1"/>
      <c r="N725" s="1"/>
      <c r="O725" s="1"/>
      <c r="P725" s="1"/>
      <c r="Q725" s="1"/>
      <c r="R725" s="1"/>
      <c r="S725" s="1"/>
      <c r="T725" s="2"/>
      <c r="U725" s="1"/>
      <c r="V725" s="1"/>
      <c r="W725" s="1"/>
      <c r="X725" s="1"/>
      <c r="Y725" s="1"/>
      <c r="Z725" s="1"/>
      <c r="AA725" s="1"/>
      <c r="AB725" s="1"/>
      <c r="AC725" s="2"/>
      <c r="AD725" s="1"/>
      <c r="AE725" s="1"/>
      <c r="AF725" s="1"/>
      <c r="AG725" s="1"/>
      <c r="AH725" s="1"/>
      <c r="AI725" s="1"/>
      <c r="AJ725" s="1"/>
      <c r="AK725" s="1"/>
      <c r="AL725" s="2"/>
      <c r="AM725" s="1"/>
      <c r="AN725" s="1"/>
      <c r="AO725" s="1"/>
      <c r="AP725" s="1"/>
      <c r="AQ725" s="1"/>
      <c r="AR725" s="1"/>
      <c r="AS725" s="1"/>
      <c r="AT725" s="1"/>
      <c r="AU725" s="2"/>
      <c r="AV725" s="1"/>
      <c r="AW725" s="1"/>
      <c r="AX725" s="1"/>
      <c r="AY725" s="1"/>
      <c r="AZ725" s="1"/>
      <c r="BA725" s="1"/>
      <c r="BB725" s="1"/>
      <c r="BC725" s="1"/>
      <c r="BD725" s="2"/>
      <c r="BE725" s="1"/>
      <c r="BF725" s="1"/>
      <c r="BG725" s="1"/>
      <c r="BH725" s="1"/>
      <c r="BI725" s="1"/>
      <c r="BJ725" s="1"/>
      <c r="BK725" s="1"/>
      <c r="BL725" s="1"/>
      <c r="BM725" s="2"/>
      <c r="BN725" s="1"/>
      <c r="BO725" s="1"/>
      <c r="BP725" s="1"/>
      <c r="BQ725" s="1"/>
      <c r="BR725" s="1"/>
      <c r="BS725" s="1"/>
      <c r="BT725" s="1"/>
      <c r="BU725" s="1"/>
      <c r="BV725" s="2"/>
      <c r="BW725" s="1"/>
      <c r="BX725" s="1"/>
      <c r="BY725" s="1"/>
      <c r="BZ725" s="1"/>
      <c r="CA725" s="1"/>
      <c r="CB725" s="1"/>
      <c r="CC725" s="1"/>
      <c r="CD725" s="1"/>
      <c r="CE725" s="2"/>
      <c r="CF725" s="1"/>
      <c r="CG725" s="1"/>
      <c r="CH725" s="1"/>
      <c r="CI725" s="1"/>
      <c r="CJ725" s="1"/>
      <c r="CK725" s="1"/>
      <c r="CL725" s="1"/>
    </row>
    <row r="726" spans="1:90" ht="14.65" x14ac:dyDescent="0.4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2"/>
      <c r="L726" s="1"/>
      <c r="M726" s="1"/>
      <c r="N726" s="1"/>
      <c r="O726" s="1"/>
      <c r="P726" s="1"/>
      <c r="Q726" s="1"/>
      <c r="R726" s="1"/>
      <c r="S726" s="1"/>
      <c r="T726" s="2"/>
      <c r="U726" s="1"/>
      <c r="V726" s="1"/>
      <c r="W726" s="1"/>
      <c r="X726" s="1"/>
      <c r="Y726" s="1"/>
      <c r="Z726" s="1"/>
      <c r="AA726" s="1"/>
      <c r="AB726" s="1"/>
      <c r="AC726" s="2"/>
      <c r="AD726" s="1"/>
      <c r="AE726" s="1"/>
      <c r="AF726" s="1"/>
      <c r="AG726" s="1"/>
      <c r="AH726" s="1"/>
      <c r="AI726" s="1"/>
      <c r="AJ726" s="1"/>
      <c r="AK726" s="1"/>
      <c r="AL726" s="2"/>
      <c r="AM726" s="1"/>
      <c r="AN726" s="1"/>
      <c r="AO726" s="1"/>
      <c r="AP726" s="1"/>
      <c r="AQ726" s="1"/>
      <c r="AR726" s="1"/>
      <c r="AS726" s="1"/>
      <c r="AT726" s="1"/>
      <c r="AU726" s="2"/>
      <c r="AV726" s="1"/>
      <c r="AW726" s="1"/>
      <c r="AX726" s="1"/>
      <c r="AY726" s="1"/>
      <c r="AZ726" s="1"/>
      <c r="BA726" s="1"/>
      <c r="BB726" s="1"/>
      <c r="BC726" s="1"/>
      <c r="BD726" s="2"/>
      <c r="BE726" s="1"/>
      <c r="BF726" s="1"/>
      <c r="BG726" s="1"/>
      <c r="BH726" s="1"/>
      <c r="BI726" s="1"/>
      <c r="BJ726" s="1"/>
      <c r="BK726" s="1"/>
      <c r="BL726" s="1"/>
      <c r="BM726" s="2"/>
      <c r="BN726" s="1"/>
      <c r="BO726" s="1"/>
      <c r="BP726" s="1"/>
      <c r="BQ726" s="1"/>
      <c r="BR726" s="1"/>
      <c r="BS726" s="1"/>
      <c r="BT726" s="1"/>
      <c r="BU726" s="1"/>
      <c r="BV726" s="2"/>
      <c r="BW726" s="1"/>
      <c r="BX726" s="1"/>
      <c r="BY726" s="1"/>
      <c r="BZ726" s="1"/>
      <c r="CA726" s="1"/>
      <c r="CB726" s="1"/>
      <c r="CC726" s="1"/>
      <c r="CD726" s="1"/>
      <c r="CE726" s="2"/>
      <c r="CF726" s="1"/>
      <c r="CG726" s="1"/>
      <c r="CH726" s="1"/>
      <c r="CI726" s="1"/>
      <c r="CJ726" s="1"/>
      <c r="CK726" s="1"/>
      <c r="CL726" s="1"/>
    </row>
    <row r="727" spans="1:90" ht="14.65" x14ac:dyDescent="0.4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2"/>
      <c r="L727" s="1"/>
      <c r="M727" s="1"/>
      <c r="N727" s="1"/>
      <c r="O727" s="1"/>
      <c r="P727" s="1"/>
      <c r="Q727" s="1"/>
      <c r="R727" s="1"/>
      <c r="S727" s="1"/>
      <c r="T727" s="2"/>
      <c r="U727" s="1"/>
      <c r="V727" s="1"/>
      <c r="W727" s="1"/>
      <c r="X727" s="1"/>
      <c r="Y727" s="1"/>
      <c r="Z727" s="1"/>
      <c r="AA727" s="1"/>
      <c r="AB727" s="1"/>
      <c r="AC727" s="2"/>
      <c r="AD727" s="1"/>
      <c r="AE727" s="1"/>
      <c r="AF727" s="1"/>
      <c r="AG727" s="1"/>
      <c r="AH727" s="1"/>
      <c r="AI727" s="1"/>
      <c r="AJ727" s="1"/>
      <c r="AK727" s="1"/>
      <c r="AL727" s="2"/>
      <c r="AM727" s="1"/>
      <c r="AN727" s="1"/>
      <c r="AO727" s="1"/>
      <c r="AP727" s="1"/>
      <c r="AQ727" s="1"/>
      <c r="AR727" s="1"/>
      <c r="AS727" s="1"/>
      <c r="AT727" s="1"/>
      <c r="AU727" s="2"/>
      <c r="AV727" s="1"/>
      <c r="AW727" s="1"/>
      <c r="AX727" s="1"/>
      <c r="AY727" s="1"/>
      <c r="AZ727" s="1"/>
      <c r="BA727" s="1"/>
      <c r="BB727" s="1"/>
      <c r="BC727" s="1"/>
      <c r="BD727" s="2"/>
      <c r="BE727" s="1"/>
      <c r="BF727" s="1"/>
      <c r="BG727" s="1"/>
      <c r="BH727" s="1"/>
      <c r="BI727" s="1"/>
      <c r="BJ727" s="1"/>
      <c r="BK727" s="1"/>
      <c r="BL727" s="1"/>
      <c r="BM727" s="2"/>
      <c r="BN727" s="1"/>
      <c r="BO727" s="1"/>
      <c r="BP727" s="1"/>
      <c r="BQ727" s="1"/>
      <c r="BR727" s="1"/>
      <c r="BS727" s="1"/>
      <c r="BT727" s="1"/>
      <c r="BU727" s="1"/>
      <c r="BV727" s="2"/>
      <c r="BW727" s="1"/>
      <c r="BX727" s="1"/>
      <c r="BY727" s="1"/>
      <c r="BZ727" s="1"/>
      <c r="CA727" s="1"/>
      <c r="CB727" s="1"/>
      <c r="CC727" s="1"/>
      <c r="CD727" s="1"/>
      <c r="CE727" s="2"/>
      <c r="CF727" s="1"/>
      <c r="CG727" s="1"/>
      <c r="CH727" s="1"/>
      <c r="CI727" s="1"/>
      <c r="CJ727" s="1"/>
      <c r="CK727" s="1"/>
      <c r="CL727" s="1"/>
    </row>
    <row r="728" spans="1:90" ht="14.65" x14ac:dyDescent="0.4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2"/>
      <c r="L728" s="1"/>
      <c r="M728" s="1"/>
      <c r="N728" s="1"/>
      <c r="O728" s="1"/>
      <c r="P728" s="1"/>
      <c r="Q728" s="1"/>
      <c r="R728" s="1"/>
      <c r="S728" s="1"/>
      <c r="T728" s="2"/>
      <c r="U728" s="1"/>
      <c r="V728" s="1"/>
      <c r="W728" s="1"/>
      <c r="X728" s="1"/>
      <c r="Y728" s="1"/>
      <c r="Z728" s="1"/>
      <c r="AA728" s="1"/>
      <c r="AB728" s="1"/>
      <c r="AC728" s="2"/>
      <c r="AD728" s="1"/>
      <c r="AE728" s="1"/>
      <c r="AF728" s="1"/>
      <c r="AG728" s="1"/>
      <c r="AH728" s="1"/>
      <c r="AI728" s="1"/>
      <c r="AJ728" s="1"/>
      <c r="AK728" s="1"/>
      <c r="AL728" s="2"/>
      <c r="AM728" s="1"/>
      <c r="AN728" s="1"/>
      <c r="AO728" s="1"/>
      <c r="AP728" s="1"/>
      <c r="AQ728" s="1"/>
      <c r="AR728" s="1"/>
      <c r="AS728" s="1"/>
      <c r="AT728" s="1"/>
      <c r="AU728" s="2"/>
      <c r="AV728" s="1"/>
      <c r="AW728" s="1"/>
      <c r="AX728" s="1"/>
      <c r="AY728" s="1"/>
      <c r="AZ728" s="1"/>
      <c r="BA728" s="1"/>
      <c r="BB728" s="1"/>
      <c r="BC728" s="1"/>
      <c r="BD728" s="2"/>
      <c r="BE728" s="1"/>
      <c r="BF728" s="1"/>
      <c r="BG728" s="1"/>
      <c r="BH728" s="1"/>
      <c r="BI728" s="1"/>
      <c r="BJ728" s="1"/>
      <c r="BK728" s="1"/>
      <c r="BL728" s="1"/>
      <c r="BM728" s="2"/>
      <c r="BN728" s="1"/>
      <c r="BO728" s="1"/>
      <c r="BP728" s="1"/>
      <c r="BQ728" s="1"/>
      <c r="BR728" s="1"/>
      <c r="BS728" s="1"/>
      <c r="BT728" s="1"/>
      <c r="BU728" s="1"/>
      <c r="BV728" s="2"/>
      <c r="BW728" s="1"/>
      <c r="BX728" s="1"/>
      <c r="BY728" s="1"/>
      <c r="BZ728" s="1"/>
      <c r="CA728" s="1"/>
      <c r="CB728" s="1"/>
      <c r="CC728" s="1"/>
      <c r="CD728" s="1"/>
      <c r="CE728" s="2"/>
      <c r="CF728" s="1"/>
      <c r="CG728" s="1"/>
      <c r="CH728" s="1"/>
      <c r="CI728" s="1"/>
      <c r="CJ728" s="1"/>
      <c r="CK728" s="1"/>
      <c r="CL728" s="1"/>
    </row>
    <row r="729" spans="1:90" ht="14.65" x14ac:dyDescent="0.4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2"/>
      <c r="L729" s="1"/>
      <c r="M729" s="1"/>
      <c r="N729" s="1"/>
      <c r="O729" s="1"/>
      <c r="P729" s="1"/>
      <c r="Q729" s="1"/>
      <c r="R729" s="1"/>
      <c r="S729" s="1"/>
      <c r="T729" s="2"/>
      <c r="U729" s="1"/>
      <c r="V729" s="1"/>
      <c r="W729" s="1"/>
      <c r="X729" s="1"/>
      <c r="Y729" s="1"/>
      <c r="Z729" s="1"/>
      <c r="AA729" s="1"/>
      <c r="AB729" s="1"/>
      <c r="AC729" s="2"/>
      <c r="AD729" s="1"/>
      <c r="AE729" s="1"/>
      <c r="AF729" s="1"/>
      <c r="AG729" s="1"/>
      <c r="AH729" s="1"/>
      <c r="AI729" s="1"/>
      <c r="AJ729" s="1"/>
      <c r="AK729" s="1"/>
      <c r="AL729" s="2"/>
      <c r="AM729" s="1"/>
      <c r="AN729" s="1"/>
      <c r="AO729" s="1"/>
      <c r="AP729" s="1"/>
      <c r="AQ729" s="1"/>
      <c r="AR729" s="1"/>
      <c r="AS729" s="1"/>
      <c r="AT729" s="1"/>
      <c r="AU729" s="2"/>
      <c r="AV729" s="1"/>
      <c r="AW729" s="1"/>
      <c r="AX729" s="1"/>
      <c r="AY729" s="1"/>
      <c r="AZ729" s="1"/>
      <c r="BA729" s="1"/>
      <c r="BB729" s="1"/>
      <c r="BC729" s="1"/>
      <c r="BD729" s="2"/>
      <c r="BE729" s="1"/>
      <c r="BF729" s="1"/>
      <c r="BG729" s="1"/>
      <c r="BH729" s="1"/>
      <c r="BI729" s="1"/>
      <c r="BJ729" s="1"/>
      <c r="BK729" s="1"/>
      <c r="BL729" s="1"/>
      <c r="BM729" s="2"/>
      <c r="BN729" s="1"/>
      <c r="BO729" s="1"/>
      <c r="BP729" s="1"/>
      <c r="BQ729" s="1"/>
      <c r="BR729" s="1"/>
      <c r="BS729" s="1"/>
      <c r="BT729" s="1"/>
      <c r="BU729" s="1"/>
      <c r="BV729" s="2"/>
      <c r="BW729" s="1"/>
      <c r="BX729" s="1"/>
      <c r="BY729" s="1"/>
      <c r="BZ729" s="1"/>
      <c r="CA729" s="1"/>
      <c r="CB729" s="1"/>
      <c r="CC729" s="1"/>
      <c r="CD729" s="1"/>
      <c r="CE729" s="2"/>
      <c r="CF729" s="1"/>
      <c r="CG729" s="1"/>
      <c r="CH729" s="1"/>
      <c r="CI729" s="1"/>
      <c r="CJ729" s="1"/>
      <c r="CK729" s="1"/>
      <c r="CL729" s="1"/>
    </row>
    <row r="730" spans="1:90" ht="14.65" x14ac:dyDescent="0.4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2"/>
      <c r="L730" s="1"/>
      <c r="M730" s="1"/>
      <c r="N730" s="1"/>
      <c r="O730" s="1"/>
      <c r="P730" s="1"/>
      <c r="Q730" s="1"/>
      <c r="R730" s="1"/>
      <c r="S730" s="1"/>
      <c r="T730" s="2"/>
      <c r="U730" s="1"/>
      <c r="V730" s="1"/>
      <c r="W730" s="1"/>
      <c r="X730" s="1"/>
      <c r="Y730" s="1"/>
      <c r="Z730" s="1"/>
      <c r="AA730" s="1"/>
      <c r="AB730" s="1"/>
      <c r="AC730" s="2"/>
      <c r="AD730" s="1"/>
      <c r="AE730" s="1"/>
      <c r="AF730" s="1"/>
      <c r="AG730" s="1"/>
      <c r="AH730" s="1"/>
      <c r="AI730" s="1"/>
      <c r="AJ730" s="1"/>
      <c r="AK730" s="1"/>
      <c r="AL730" s="2"/>
      <c r="AM730" s="1"/>
      <c r="AN730" s="1"/>
      <c r="AO730" s="1"/>
      <c r="AP730" s="1"/>
      <c r="AQ730" s="1"/>
      <c r="AR730" s="1"/>
      <c r="AS730" s="1"/>
      <c r="AT730" s="1"/>
      <c r="AU730" s="2"/>
      <c r="AV730" s="1"/>
      <c r="AW730" s="1"/>
      <c r="AX730" s="1"/>
      <c r="AY730" s="1"/>
      <c r="AZ730" s="1"/>
      <c r="BA730" s="1"/>
      <c r="BB730" s="1"/>
      <c r="BC730" s="1"/>
      <c r="BD730" s="2"/>
      <c r="BE730" s="1"/>
      <c r="BF730" s="1"/>
      <c r="BG730" s="1"/>
      <c r="BH730" s="1"/>
      <c r="BI730" s="1"/>
      <c r="BJ730" s="1"/>
      <c r="BK730" s="1"/>
      <c r="BL730" s="1"/>
      <c r="BM730" s="2"/>
      <c r="BN730" s="1"/>
      <c r="BO730" s="1"/>
      <c r="BP730" s="1"/>
      <c r="BQ730" s="1"/>
      <c r="BR730" s="1"/>
      <c r="BS730" s="1"/>
      <c r="BT730" s="1"/>
      <c r="BU730" s="1"/>
      <c r="BV730" s="2"/>
      <c r="BW730" s="1"/>
      <c r="BX730" s="1"/>
      <c r="BY730" s="1"/>
      <c r="BZ730" s="1"/>
      <c r="CA730" s="1"/>
      <c r="CB730" s="1"/>
      <c r="CC730" s="1"/>
      <c r="CD730" s="1"/>
      <c r="CE730" s="2"/>
      <c r="CF730" s="1"/>
      <c r="CG730" s="1"/>
      <c r="CH730" s="1"/>
      <c r="CI730" s="1"/>
      <c r="CJ730" s="1"/>
      <c r="CK730" s="1"/>
      <c r="CL730" s="1"/>
    </row>
    <row r="731" spans="1:90" ht="14.65" x14ac:dyDescent="0.4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2"/>
      <c r="L731" s="1"/>
      <c r="M731" s="1"/>
      <c r="N731" s="1"/>
      <c r="O731" s="1"/>
      <c r="P731" s="1"/>
      <c r="Q731" s="1"/>
      <c r="R731" s="1"/>
      <c r="S731" s="1"/>
      <c r="T731" s="2"/>
      <c r="U731" s="1"/>
      <c r="V731" s="1"/>
      <c r="W731" s="1"/>
      <c r="X731" s="1"/>
      <c r="Y731" s="1"/>
      <c r="Z731" s="1"/>
      <c r="AA731" s="1"/>
      <c r="AB731" s="1"/>
      <c r="AC731" s="2"/>
      <c r="AD731" s="1"/>
      <c r="AE731" s="1"/>
      <c r="AF731" s="1"/>
      <c r="AG731" s="1"/>
      <c r="AH731" s="1"/>
      <c r="AI731" s="1"/>
      <c r="AJ731" s="1"/>
      <c r="AK731" s="1"/>
      <c r="AL731" s="2"/>
      <c r="AM731" s="1"/>
      <c r="AN731" s="1"/>
      <c r="AO731" s="1"/>
      <c r="AP731" s="1"/>
      <c r="AQ731" s="1"/>
      <c r="AR731" s="1"/>
      <c r="AS731" s="1"/>
      <c r="AT731" s="1"/>
      <c r="AU731" s="2"/>
      <c r="AV731" s="1"/>
      <c r="AW731" s="1"/>
      <c r="AX731" s="1"/>
      <c r="AY731" s="1"/>
      <c r="AZ731" s="1"/>
      <c r="BA731" s="1"/>
      <c r="BB731" s="1"/>
      <c r="BC731" s="1"/>
      <c r="BD731" s="2"/>
      <c r="BE731" s="1"/>
      <c r="BF731" s="1"/>
      <c r="BG731" s="1"/>
      <c r="BH731" s="1"/>
      <c r="BI731" s="1"/>
      <c r="BJ731" s="1"/>
      <c r="BK731" s="1"/>
      <c r="BL731" s="1"/>
      <c r="BM731" s="2"/>
      <c r="BN731" s="1"/>
      <c r="BO731" s="1"/>
      <c r="BP731" s="1"/>
      <c r="BQ731" s="1"/>
      <c r="BR731" s="1"/>
      <c r="BS731" s="1"/>
      <c r="BT731" s="1"/>
      <c r="BU731" s="1"/>
      <c r="BV731" s="2"/>
      <c r="BW731" s="1"/>
      <c r="BX731" s="1"/>
      <c r="BY731" s="1"/>
      <c r="BZ731" s="1"/>
      <c r="CA731" s="1"/>
      <c r="CB731" s="1"/>
      <c r="CC731" s="1"/>
      <c r="CD731" s="1"/>
      <c r="CE731" s="2"/>
      <c r="CF731" s="1"/>
      <c r="CG731" s="1"/>
      <c r="CH731" s="1"/>
      <c r="CI731" s="1"/>
      <c r="CJ731" s="1"/>
      <c r="CK731" s="1"/>
      <c r="CL731" s="1"/>
    </row>
    <row r="732" spans="1:90" ht="14.65" x14ac:dyDescent="0.4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2"/>
      <c r="L732" s="1"/>
      <c r="M732" s="1"/>
      <c r="N732" s="1"/>
      <c r="O732" s="1"/>
      <c r="P732" s="1"/>
      <c r="Q732" s="1"/>
      <c r="R732" s="1"/>
      <c r="S732" s="1"/>
      <c r="T732" s="2"/>
      <c r="U732" s="1"/>
      <c r="V732" s="1"/>
      <c r="W732" s="1"/>
      <c r="X732" s="1"/>
      <c r="Y732" s="1"/>
      <c r="Z732" s="1"/>
      <c r="AA732" s="1"/>
      <c r="AB732" s="1"/>
      <c r="AC732" s="2"/>
      <c r="AD732" s="1"/>
      <c r="AE732" s="1"/>
      <c r="AF732" s="1"/>
      <c r="AG732" s="1"/>
      <c r="AH732" s="1"/>
      <c r="AI732" s="1"/>
      <c r="AJ732" s="1"/>
      <c r="AK732" s="1"/>
      <c r="AL732" s="2"/>
      <c r="AM732" s="1"/>
      <c r="AN732" s="1"/>
      <c r="AO732" s="1"/>
      <c r="AP732" s="1"/>
      <c r="AQ732" s="1"/>
      <c r="AR732" s="1"/>
      <c r="AS732" s="1"/>
      <c r="AT732" s="1"/>
      <c r="AU732" s="2"/>
      <c r="AV732" s="1"/>
      <c r="AW732" s="1"/>
      <c r="AX732" s="1"/>
      <c r="AY732" s="1"/>
      <c r="AZ732" s="1"/>
      <c r="BA732" s="1"/>
      <c r="BB732" s="1"/>
      <c r="BC732" s="1"/>
      <c r="BD732" s="2"/>
      <c r="BE732" s="1"/>
      <c r="BF732" s="1"/>
      <c r="BG732" s="1"/>
      <c r="BH732" s="1"/>
      <c r="BI732" s="1"/>
      <c r="BJ732" s="1"/>
      <c r="BK732" s="1"/>
      <c r="BL732" s="1"/>
      <c r="BM732" s="2"/>
      <c r="BN732" s="1"/>
      <c r="BO732" s="1"/>
      <c r="BP732" s="1"/>
      <c r="BQ732" s="1"/>
      <c r="BR732" s="1"/>
      <c r="BS732" s="1"/>
      <c r="BT732" s="1"/>
      <c r="BU732" s="1"/>
      <c r="BV732" s="2"/>
      <c r="BW732" s="1"/>
      <c r="BX732" s="1"/>
      <c r="BY732" s="1"/>
      <c r="BZ732" s="1"/>
      <c r="CA732" s="1"/>
      <c r="CB732" s="1"/>
      <c r="CC732" s="1"/>
      <c r="CD732" s="1"/>
      <c r="CE732" s="2"/>
      <c r="CF732" s="1"/>
      <c r="CG732" s="1"/>
      <c r="CH732" s="1"/>
      <c r="CI732" s="1"/>
      <c r="CJ732" s="1"/>
      <c r="CK732" s="1"/>
      <c r="CL732" s="1"/>
    </row>
    <row r="733" spans="1:90" ht="14.65" x14ac:dyDescent="0.4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2"/>
      <c r="L733" s="1"/>
      <c r="M733" s="1"/>
      <c r="N733" s="1"/>
      <c r="O733" s="1"/>
      <c r="P733" s="1"/>
      <c r="Q733" s="1"/>
      <c r="R733" s="1"/>
      <c r="S733" s="1"/>
      <c r="T733" s="2"/>
      <c r="U733" s="1"/>
      <c r="V733" s="1"/>
      <c r="W733" s="1"/>
      <c r="X733" s="1"/>
      <c r="Y733" s="1"/>
      <c r="Z733" s="1"/>
      <c r="AA733" s="1"/>
      <c r="AB733" s="1"/>
      <c r="AC733" s="2"/>
      <c r="AD733" s="1"/>
      <c r="AE733" s="1"/>
      <c r="AF733" s="1"/>
      <c r="AG733" s="1"/>
      <c r="AH733" s="1"/>
      <c r="AI733" s="1"/>
      <c r="AJ733" s="1"/>
      <c r="AK733" s="1"/>
      <c r="AL733" s="2"/>
      <c r="AM733" s="1"/>
      <c r="AN733" s="1"/>
      <c r="AO733" s="1"/>
      <c r="AP733" s="1"/>
      <c r="AQ733" s="1"/>
      <c r="AR733" s="1"/>
      <c r="AS733" s="1"/>
      <c r="AT733" s="1"/>
      <c r="AU733" s="2"/>
      <c r="AV733" s="1"/>
      <c r="AW733" s="1"/>
      <c r="AX733" s="1"/>
      <c r="AY733" s="1"/>
      <c r="AZ733" s="1"/>
      <c r="BA733" s="1"/>
      <c r="BB733" s="1"/>
      <c r="BC733" s="1"/>
      <c r="BD733" s="2"/>
      <c r="BE733" s="1"/>
      <c r="BF733" s="1"/>
      <c r="BG733" s="1"/>
      <c r="BH733" s="1"/>
      <c r="BI733" s="1"/>
      <c r="BJ733" s="1"/>
      <c r="BK733" s="1"/>
      <c r="BL733" s="1"/>
      <c r="BM733" s="2"/>
      <c r="BN733" s="1"/>
      <c r="BO733" s="1"/>
      <c r="BP733" s="1"/>
      <c r="BQ733" s="1"/>
      <c r="BR733" s="1"/>
      <c r="BS733" s="1"/>
      <c r="BT733" s="1"/>
      <c r="BU733" s="1"/>
      <c r="BV733" s="2"/>
      <c r="BW733" s="1"/>
      <c r="BX733" s="1"/>
      <c r="BY733" s="1"/>
      <c r="BZ733" s="1"/>
      <c r="CA733" s="1"/>
      <c r="CB733" s="1"/>
      <c r="CC733" s="1"/>
      <c r="CD733" s="1"/>
      <c r="CE733" s="2"/>
      <c r="CF733" s="1"/>
      <c r="CG733" s="1"/>
      <c r="CH733" s="1"/>
      <c r="CI733" s="1"/>
      <c r="CJ733" s="1"/>
      <c r="CK733" s="1"/>
      <c r="CL733" s="1"/>
    </row>
    <row r="734" spans="1:90" ht="14.65" x14ac:dyDescent="0.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2"/>
      <c r="L734" s="1"/>
      <c r="M734" s="1"/>
      <c r="N734" s="1"/>
      <c r="O734" s="1"/>
      <c r="P734" s="1"/>
      <c r="Q734" s="1"/>
      <c r="R734" s="1"/>
      <c r="S734" s="1"/>
      <c r="T734" s="2"/>
      <c r="U734" s="1"/>
      <c r="V734" s="1"/>
      <c r="W734" s="1"/>
      <c r="X734" s="1"/>
      <c r="Y734" s="1"/>
      <c r="Z734" s="1"/>
      <c r="AA734" s="1"/>
      <c r="AB734" s="1"/>
      <c r="AC734" s="2"/>
      <c r="AD734" s="1"/>
      <c r="AE734" s="1"/>
      <c r="AF734" s="1"/>
      <c r="AG734" s="1"/>
      <c r="AH734" s="1"/>
      <c r="AI734" s="1"/>
      <c r="AJ734" s="1"/>
      <c r="AK734" s="1"/>
      <c r="AL734" s="2"/>
      <c r="AM734" s="1"/>
      <c r="AN734" s="1"/>
      <c r="AO734" s="1"/>
      <c r="AP734" s="1"/>
      <c r="AQ734" s="1"/>
      <c r="AR734" s="1"/>
      <c r="AS734" s="1"/>
      <c r="AT734" s="1"/>
      <c r="AU734" s="2"/>
      <c r="AV734" s="1"/>
      <c r="AW734" s="1"/>
      <c r="AX734" s="1"/>
      <c r="AY734" s="1"/>
      <c r="AZ734" s="1"/>
      <c r="BA734" s="1"/>
      <c r="BB734" s="1"/>
      <c r="BC734" s="1"/>
      <c r="BD734" s="2"/>
      <c r="BE734" s="1"/>
      <c r="BF734" s="1"/>
      <c r="BG734" s="1"/>
      <c r="BH734" s="1"/>
      <c r="BI734" s="1"/>
      <c r="BJ734" s="1"/>
      <c r="BK734" s="1"/>
      <c r="BL734" s="1"/>
      <c r="BM734" s="2"/>
      <c r="BN734" s="1"/>
      <c r="BO734" s="1"/>
      <c r="BP734" s="1"/>
      <c r="BQ734" s="1"/>
      <c r="BR734" s="1"/>
      <c r="BS734" s="1"/>
      <c r="BT734" s="1"/>
      <c r="BU734" s="1"/>
      <c r="BV734" s="2"/>
      <c r="BW734" s="1"/>
      <c r="BX734" s="1"/>
      <c r="BY734" s="1"/>
      <c r="BZ734" s="1"/>
      <c r="CA734" s="1"/>
      <c r="CB734" s="1"/>
      <c r="CC734" s="1"/>
      <c r="CD734" s="1"/>
      <c r="CE734" s="2"/>
      <c r="CF734" s="1"/>
      <c r="CG734" s="1"/>
      <c r="CH734" s="1"/>
      <c r="CI734" s="1"/>
      <c r="CJ734" s="1"/>
      <c r="CK734" s="1"/>
      <c r="CL734" s="1"/>
    </row>
    <row r="735" spans="1:90" ht="14.65" x14ac:dyDescent="0.4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2"/>
      <c r="L735" s="1"/>
      <c r="M735" s="1"/>
      <c r="N735" s="1"/>
      <c r="O735" s="1"/>
      <c r="P735" s="1"/>
      <c r="Q735" s="1"/>
      <c r="R735" s="1"/>
      <c r="S735" s="1"/>
      <c r="T735" s="2"/>
      <c r="U735" s="1"/>
      <c r="V735" s="1"/>
      <c r="W735" s="1"/>
      <c r="X735" s="1"/>
      <c r="Y735" s="1"/>
      <c r="Z735" s="1"/>
      <c r="AA735" s="1"/>
      <c r="AB735" s="1"/>
      <c r="AC735" s="2"/>
      <c r="AD735" s="1"/>
      <c r="AE735" s="1"/>
      <c r="AF735" s="1"/>
      <c r="AG735" s="1"/>
      <c r="AH735" s="1"/>
      <c r="AI735" s="1"/>
      <c r="AJ735" s="1"/>
      <c r="AK735" s="1"/>
      <c r="AL735" s="2"/>
      <c r="AM735" s="1"/>
      <c r="AN735" s="1"/>
      <c r="AO735" s="1"/>
      <c r="AP735" s="1"/>
      <c r="AQ735" s="1"/>
      <c r="AR735" s="1"/>
      <c r="AS735" s="1"/>
      <c r="AT735" s="1"/>
      <c r="AU735" s="2"/>
      <c r="AV735" s="1"/>
      <c r="AW735" s="1"/>
      <c r="AX735" s="1"/>
      <c r="AY735" s="1"/>
      <c r="AZ735" s="1"/>
      <c r="BA735" s="1"/>
      <c r="BB735" s="1"/>
      <c r="BC735" s="1"/>
      <c r="BD735" s="2"/>
      <c r="BE735" s="1"/>
      <c r="BF735" s="1"/>
      <c r="BG735" s="1"/>
      <c r="BH735" s="1"/>
      <c r="BI735" s="1"/>
      <c r="BJ735" s="1"/>
      <c r="BK735" s="1"/>
      <c r="BL735" s="1"/>
      <c r="BM735" s="2"/>
      <c r="BN735" s="1"/>
      <c r="BO735" s="1"/>
      <c r="BP735" s="1"/>
      <c r="BQ735" s="1"/>
      <c r="BR735" s="1"/>
      <c r="BS735" s="1"/>
      <c r="BT735" s="1"/>
      <c r="BU735" s="1"/>
      <c r="BV735" s="2"/>
      <c r="BW735" s="1"/>
      <c r="BX735" s="1"/>
      <c r="BY735" s="1"/>
      <c r="BZ735" s="1"/>
      <c r="CA735" s="1"/>
      <c r="CB735" s="1"/>
      <c r="CC735" s="1"/>
      <c r="CD735" s="1"/>
      <c r="CE735" s="2"/>
      <c r="CF735" s="1"/>
      <c r="CG735" s="1"/>
      <c r="CH735" s="1"/>
      <c r="CI735" s="1"/>
      <c r="CJ735" s="1"/>
      <c r="CK735" s="1"/>
      <c r="CL735" s="1"/>
    </row>
    <row r="736" spans="1:90" ht="14.65" x14ac:dyDescent="0.4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2"/>
      <c r="L736" s="1"/>
      <c r="M736" s="1"/>
      <c r="N736" s="1"/>
      <c r="O736" s="1"/>
      <c r="P736" s="1"/>
      <c r="Q736" s="1"/>
      <c r="R736" s="1"/>
      <c r="S736" s="1"/>
      <c r="T736" s="2"/>
      <c r="U736" s="1"/>
      <c r="V736" s="1"/>
      <c r="W736" s="1"/>
      <c r="X736" s="1"/>
      <c r="Y736" s="1"/>
      <c r="Z736" s="1"/>
      <c r="AA736" s="1"/>
      <c r="AB736" s="1"/>
      <c r="AC736" s="2"/>
      <c r="AD736" s="1"/>
      <c r="AE736" s="1"/>
      <c r="AF736" s="1"/>
      <c r="AG736" s="1"/>
      <c r="AH736" s="1"/>
      <c r="AI736" s="1"/>
      <c r="AJ736" s="1"/>
      <c r="AK736" s="1"/>
      <c r="AL736" s="2"/>
      <c r="AM736" s="1"/>
      <c r="AN736" s="1"/>
      <c r="AO736" s="1"/>
      <c r="AP736" s="1"/>
      <c r="AQ736" s="1"/>
      <c r="AR736" s="1"/>
      <c r="AS736" s="1"/>
      <c r="AT736" s="1"/>
      <c r="AU736" s="2"/>
      <c r="AV736" s="1"/>
      <c r="AW736" s="1"/>
      <c r="AX736" s="1"/>
      <c r="AY736" s="1"/>
      <c r="AZ736" s="1"/>
      <c r="BA736" s="1"/>
      <c r="BB736" s="1"/>
      <c r="BC736" s="1"/>
      <c r="BD736" s="2"/>
      <c r="BE736" s="1"/>
      <c r="BF736" s="1"/>
      <c r="BG736" s="1"/>
      <c r="BH736" s="1"/>
      <c r="BI736" s="1"/>
      <c r="BJ736" s="1"/>
      <c r="BK736" s="1"/>
      <c r="BL736" s="1"/>
      <c r="BM736" s="2"/>
      <c r="BN736" s="1"/>
      <c r="BO736" s="1"/>
      <c r="BP736" s="1"/>
      <c r="BQ736" s="1"/>
      <c r="BR736" s="1"/>
      <c r="BS736" s="1"/>
      <c r="BT736" s="1"/>
      <c r="BU736" s="1"/>
      <c r="BV736" s="2"/>
      <c r="BW736" s="1"/>
      <c r="BX736" s="1"/>
      <c r="BY736" s="1"/>
      <c r="BZ736" s="1"/>
      <c r="CA736" s="1"/>
      <c r="CB736" s="1"/>
      <c r="CC736" s="1"/>
      <c r="CD736" s="1"/>
      <c r="CE736" s="2"/>
      <c r="CF736" s="1"/>
      <c r="CG736" s="1"/>
      <c r="CH736" s="1"/>
      <c r="CI736" s="1"/>
      <c r="CJ736" s="1"/>
      <c r="CK736" s="1"/>
      <c r="CL736" s="1"/>
    </row>
    <row r="737" spans="1:90" ht="14.65" x14ac:dyDescent="0.4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2"/>
      <c r="L737" s="1"/>
      <c r="M737" s="1"/>
      <c r="N737" s="1"/>
      <c r="O737" s="1"/>
      <c r="P737" s="1"/>
      <c r="Q737" s="1"/>
      <c r="R737" s="1"/>
      <c r="S737" s="1"/>
      <c r="T737" s="2"/>
      <c r="U737" s="1"/>
      <c r="V737" s="1"/>
      <c r="W737" s="1"/>
      <c r="X737" s="1"/>
      <c r="Y737" s="1"/>
      <c r="Z737" s="1"/>
      <c r="AA737" s="1"/>
      <c r="AB737" s="1"/>
      <c r="AC737" s="2"/>
      <c r="AD737" s="1"/>
      <c r="AE737" s="1"/>
      <c r="AF737" s="1"/>
      <c r="AG737" s="1"/>
      <c r="AH737" s="1"/>
      <c r="AI737" s="1"/>
      <c r="AJ737" s="1"/>
      <c r="AK737" s="1"/>
      <c r="AL737" s="2"/>
      <c r="AM737" s="1"/>
      <c r="AN737" s="1"/>
      <c r="AO737" s="1"/>
      <c r="AP737" s="1"/>
      <c r="AQ737" s="1"/>
      <c r="AR737" s="1"/>
      <c r="AS737" s="1"/>
      <c r="AT737" s="1"/>
      <c r="AU737" s="2"/>
      <c r="AV737" s="1"/>
      <c r="AW737" s="1"/>
      <c r="AX737" s="1"/>
      <c r="AY737" s="1"/>
      <c r="AZ737" s="1"/>
      <c r="BA737" s="1"/>
      <c r="BB737" s="1"/>
      <c r="BC737" s="1"/>
      <c r="BD737" s="2"/>
      <c r="BE737" s="1"/>
      <c r="BF737" s="1"/>
      <c r="BG737" s="1"/>
      <c r="BH737" s="1"/>
      <c r="BI737" s="1"/>
      <c r="BJ737" s="1"/>
      <c r="BK737" s="1"/>
      <c r="BL737" s="1"/>
      <c r="BM737" s="2"/>
      <c r="BN737" s="1"/>
      <c r="BO737" s="1"/>
      <c r="BP737" s="1"/>
      <c r="BQ737" s="1"/>
      <c r="BR737" s="1"/>
      <c r="BS737" s="1"/>
      <c r="BT737" s="1"/>
      <c r="BU737" s="1"/>
      <c r="BV737" s="2"/>
      <c r="BW737" s="1"/>
      <c r="BX737" s="1"/>
      <c r="BY737" s="1"/>
      <c r="BZ737" s="1"/>
      <c r="CA737" s="1"/>
      <c r="CB737" s="1"/>
      <c r="CC737" s="1"/>
      <c r="CD737" s="1"/>
      <c r="CE737" s="2"/>
      <c r="CF737" s="1"/>
      <c r="CG737" s="1"/>
      <c r="CH737" s="1"/>
      <c r="CI737" s="1"/>
      <c r="CJ737" s="1"/>
      <c r="CK737" s="1"/>
      <c r="CL737" s="1"/>
    </row>
    <row r="738" spans="1:90" ht="14.65" x14ac:dyDescent="0.4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2"/>
      <c r="L738" s="1"/>
      <c r="M738" s="1"/>
      <c r="N738" s="1"/>
      <c r="O738" s="1"/>
      <c r="P738" s="1"/>
      <c r="Q738" s="1"/>
      <c r="R738" s="1"/>
      <c r="S738" s="1"/>
      <c r="T738" s="2"/>
      <c r="U738" s="1"/>
      <c r="V738" s="1"/>
      <c r="W738" s="1"/>
      <c r="X738" s="1"/>
      <c r="Y738" s="1"/>
      <c r="Z738" s="1"/>
      <c r="AA738" s="1"/>
      <c r="AB738" s="1"/>
      <c r="AC738" s="2"/>
      <c r="AD738" s="1"/>
      <c r="AE738" s="1"/>
      <c r="AF738" s="1"/>
      <c r="AG738" s="1"/>
      <c r="AH738" s="1"/>
      <c r="AI738" s="1"/>
      <c r="AJ738" s="1"/>
      <c r="AK738" s="1"/>
      <c r="AL738" s="2"/>
      <c r="AM738" s="1"/>
      <c r="AN738" s="1"/>
      <c r="AO738" s="1"/>
      <c r="AP738" s="1"/>
      <c r="AQ738" s="1"/>
      <c r="AR738" s="1"/>
      <c r="AS738" s="1"/>
      <c r="AT738" s="1"/>
      <c r="AU738" s="2"/>
      <c r="AV738" s="1"/>
      <c r="AW738" s="1"/>
      <c r="AX738" s="1"/>
      <c r="AY738" s="1"/>
      <c r="AZ738" s="1"/>
      <c r="BA738" s="1"/>
      <c r="BB738" s="1"/>
      <c r="BC738" s="1"/>
      <c r="BD738" s="2"/>
      <c r="BE738" s="1"/>
      <c r="BF738" s="1"/>
      <c r="BG738" s="1"/>
      <c r="BH738" s="1"/>
      <c r="BI738" s="1"/>
      <c r="BJ738" s="1"/>
      <c r="BK738" s="1"/>
      <c r="BL738" s="1"/>
      <c r="BM738" s="2"/>
      <c r="BN738" s="1"/>
      <c r="BO738" s="1"/>
      <c r="BP738" s="1"/>
      <c r="BQ738" s="1"/>
      <c r="BR738" s="1"/>
      <c r="BS738" s="1"/>
      <c r="BT738" s="1"/>
      <c r="BU738" s="1"/>
      <c r="BV738" s="2"/>
      <c r="BW738" s="1"/>
      <c r="BX738" s="1"/>
      <c r="BY738" s="1"/>
      <c r="BZ738" s="1"/>
      <c r="CA738" s="1"/>
      <c r="CB738" s="1"/>
      <c r="CC738" s="1"/>
      <c r="CD738" s="1"/>
      <c r="CE738" s="2"/>
      <c r="CF738" s="1"/>
      <c r="CG738" s="1"/>
      <c r="CH738" s="1"/>
      <c r="CI738" s="1"/>
      <c r="CJ738" s="1"/>
      <c r="CK738" s="1"/>
      <c r="CL738" s="1"/>
    </row>
    <row r="739" spans="1:90" ht="14.65" x14ac:dyDescent="0.4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2"/>
      <c r="L739" s="1"/>
      <c r="M739" s="1"/>
      <c r="N739" s="1"/>
      <c r="O739" s="1"/>
      <c r="P739" s="1"/>
      <c r="Q739" s="1"/>
      <c r="R739" s="1"/>
      <c r="S739" s="1"/>
      <c r="T739" s="2"/>
      <c r="U739" s="1"/>
      <c r="V739" s="1"/>
      <c r="W739" s="1"/>
      <c r="X739" s="1"/>
      <c r="Y739" s="1"/>
      <c r="Z739" s="1"/>
      <c r="AA739" s="1"/>
      <c r="AB739" s="1"/>
      <c r="AC739" s="2"/>
      <c r="AD739" s="1"/>
      <c r="AE739" s="1"/>
      <c r="AF739" s="1"/>
      <c r="AG739" s="1"/>
      <c r="AH739" s="1"/>
      <c r="AI739" s="1"/>
      <c r="AJ739" s="1"/>
      <c r="AK739" s="1"/>
      <c r="AL739" s="2"/>
      <c r="AM739" s="1"/>
      <c r="AN739" s="1"/>
      <c r="AO739" s="1"/>
      <c r="AP739" s="1"/>
      <c r="AQ739" s="1"/>
      <c r="AR739" s="1"/>
      <c r="AS739" s="1"/>
      <c r="AT739" s="1"/>
      <c r="AU739" s="2"/>
      <c r="AV739" s="1"/>
      <c r="AW739" s="1"/>
      <c r="AX739" s="1"/>
      <c r="AY739" s="1"/>
      <c r="AZ739" s="1"/>
      <c r="BA739" s="1"/>
      <c r="BB739" s="1"/>
      <c r="BC739" s="1"/>
      <c r="BD739" s="2"/>
      <c r="BE739" s="1"/>
      <c r="BF739" s="1"/>
      <c r="BG739" s="1"/>
      <c r="BH739" s="1"/>
      <c r="BI739" s="1"/>
      <c r="BJ739" s="1"/>
      <c r="BK739" s="1"/>
      <c r="BL739" s="1"/>
      <c r="BM739" s="2"/>
      <c r="BN739" s="1"/>
      <c r="BO739" s="1"/>
      <c r="BP739" s="1"/>
      <c r="BQ739" s="1"/>
      <c r="BR739" s="1"/>
      <c r="BS739" s="1"/>
      <c r="BT739" s="1"/>
      <c r="BU739" s="1"/>
      <c r="BV739" s="2"/>
      <c r="BW739" s="1"/>
      <c r="BX739" s="1"/>
      <c r="BY739" s="1"/>
      <c r="BZ739" s="1"/>
      <c r="CA739" s="1"/>
      <c r="CB739" s="1"/>
      <c r="CC739" s="1"/>
      <c r="CD739" s="1"/>
      <c r="CE739" s="2"/>
      <c r="CF739" s="1"/>
      <c r="CG739" s="1"/>
      <c r="CH739" s="1"/>
      <c r="CI739" s="1"/>
      <c r="CJ739" s="1"/>
      <c r="CK739" s="1"/>
      <c r="CL739" s="1"/>
    </row>
    <row r="740" spans="1:90" ht="14.65" x14ac:dyDescent="0.4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2"/>
      <c r="L740" s="1"/>
      <c r="M740" s="1"/>
      <c r="N740" s="1"/>
      <c r="O740" s="1"/>
      <c r="P740" s="1"/>
      <c r="Q740" s="1"/>
      <c r="R740" s="1"/>
      <c r="S740" s="1"/>
      <c r="T740" s="2"/>
      <c r="U740" s="1"/>
      <c r="V740" s="1"/>
      <c r="W740" s="1"/>
      <c r="X740" s="1"/>
      <c r="Y740" s="1"/>
      <c r="Z740" s="1"/>
      <c r="AA740" s="1"/>
      <c r="AB740" s="1"/>
      <c r="AC740" s="2"/>
      <c r="AD740" s="1"/>
      <c r="AE740" s="1"/>
      <c r="AF740" s="1"/>
      <c r="AG740" s="1"/>
      <c r="AH740" s="1"/>
      <c r="AI740" s="1"/>
      <c r="AJ740" s="1"/>
      <c r="AK740" s="1"/>
      <c r="AL740" s="2"/>
      <c r="AM740" s="1"/>
      <c r="AN740" s="1"/>
      <c r="AO740" s="1"/>
      <c r="AP740" s="1"/>
      <c r="AQ740" s="1"/>
      <c r="AR740" s="1"/>
      <c r="AS740" s="1"/>
      <c r="AT740" s="1"/>
      <c r="AU740" s="2"/>
      <c r="AV740" s="1"/>
      <c r="AW740" s="1"/>
      <c r="AX740" s="1"/>
      <c r="AY740" s="1"/>
      <c r="AZ740" s="1"/>
      <c r="BA740" s="1"/>
      <c r="BB740" s="1"/>
      <c r="BC740" s="1"/>
      <c r="BD740" s="2"/>
      <c r="BE740" s="1"/>
      <c r="BF740" s="1"/>
      <c r="BG740" s="1"/>
      <c r="BH740" s="1"/>
      <c r="BI740" s="1"/>
      <c r="BJ740" s="1"/>
      <c r="BK740" s="1"/>
      <c r="BL740" s="1"/>
      <c r="BM740" s="2"/>
      <c r="BN740" s="1"/>
      <c r="BO740" s="1"/>
      <c r="BP740" s="1"/>
      <c r="BQ740" s="1"/>
      <c r="BR740" s="1"/>
      <c r="BS740" s="1"/>
      <c r="BT740" s="1"/>
      <c r="BU740" s="1"/>
      <c r="BV740" s="2"/>
      <c r="BW740" s="1"/>
      <c r="BX740" s="1"/>
      <c r="BY740" s="1"/>
      <c r="BZ740" s="1"/>
      <c r="CA740" s="1"/>
      <c r="CB740" s="1"/>
      <c r="CC740" s="1"/>
      <c r="CD740" s="1"/>
      <c r="CE740" s="2"/>
      <c r="CF740" s="1"/>
      <c r="CG740" s="1"/>
      <c r="CH740" s="1"/>
      <c r="CI740" s="1"/>
      <c r="CJ740" s="1"/>
      <c r="CK740" s="1"/>
      <c r="CL740" s="1"/>
    </row>
    <row r="741" spans="1:90" ht="14.65" x14ac:dyDescent="0.4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2"/>
      <c r="L741" s="1"/>
      <c r="M741" s="1"/>
      <c r="N741" s="1"/>
      <c r="O741" s="1"/>
      <c r="P741" s="1"/>
      <c r="Q741" s="1"/>
      <c r="R741" s="1"/>
      <c r="S741" s="1"/>
      <c r="T741" s="2"/>
      <c r="U741" s="1"/>
      <c r="V741" s="1"/>
      <c r="W741" s="1"/>
      <c r="X741" s="1"/>
      <c r="Y741" s="1"/>
      <c r="Z741" s="1"/>
      <c r="AA741" s="1"/>
      <c r="AB741" s="1"/>
      <c r="AC741" s="2"/>
      <c r="AD741" s="1"/>
      <c r="AE741" s="1"/>
      <c r="AF741" s="1"/>
      <c r="AG741" s="1"/>
      <c r="AH741" s="1"/>
      <c r="AI741" s="1"/>
      <c r="AJ741" s="1"/>
      <c r="AK741" s="1"/>
      <c r="AL741" s="2"/>
      <c r="AM741" s="1"/>
      <c r="AN741" s="1"/>
      <c r="AO741" s="1"/>
      <c r="AP741" s="1"/>
      <c r="AQ741" s="1"/>
      <c r="AR741" s="1"/>
      <c r="AS741" s="1"/>
      <c r="AT741" s="1"/>
      <c r="AU741" s="2"/>
      <c r="AV741" s="1"/>
      <c r="AW741" s="1"/>
      <c r="AX741" s="1"/>
      <c r="AY741" s="1"/>
      <c r="AZ741" s="1"/>
      <c r="BA741" s="1"/>
      <c r="BB741" s="1"/>
      <c r="BC741" s="1"/>
      <c r="BD741" s="2"/>
      <c r="BE741" s="1"/>
      <c r="BF741" s="1"/>
      <c r="BG741" s="1"/>
      <c r="BH741" s="1"/>
      <c r="BI741" s="1"/>
      <c r="BJ741" s="1"/>
      <c r="BK741" s="1"/>
      <c r="BL741" s="1"/>
      <c r="BM741" s="2"/>
      <c r="BN741" s="1"/>
      <c r="BO741" s="1"/>
      <c r="BP741" s="1"/>
      <c r="BQ741" s="1"/>
      <c r="BR741" s="1"/>
      <c r="BS741" s="1"/>
      <c r="BT741" s="1"/>
      <c r="BU741" s="1"/>
      <c r="BV741" s="2"/>
      <c r="BW741" s="1"/>
      <c r="BX741" s="1"/>
      <c r="BY741" s="1"/>
      <c r="BZ741" s="1"/>
      <c r="CA741" s="1"/>
      <c r="CB741" s="1"/>
      <c r="CC741" s="1"/>
      <c r="CD741" s="1"/>
      <c r="CE741" s="2"/>
      <c r="CF741" s="1"/>
      <c r="CG741" s="1"/>
      <c r="CH741" s="1"/>
      <c r="CI741" s="1"/>
      <c r="CJ741" s="1"/>
      <c r="CK741" s="1"/>
      <c r="CL741" s="1"/>
    </row>
    <row r="742" spans="1:90" ht="14.65" x14ac:dyDescent="0.4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2"/>
      <c r="L742" s="1"/>
      <c r="M742" s="1"/>
      <c r="N742" s="1"/>
      <c r="O742" s="1"/>
      <c r="P742" s="1"/>
      <c r="Q742" s="1"/>
      <c r="R742" s="1"/>
      <c r="S742" s="1"/>
      <c r="T742" s="2"/>
      <c r="U742" s="1"/>
      <c r="V742" s="1"/>
      <c r="W742" s="1"/>
      <c r="X742" s="1"/>
      <c r="Y742" s="1"/>
      <c r="Z742" s="1"/>
      <c r="AA742" s="1"/>
      <c r="AB742" s="1"/>
      <c r="AC742" s="2"/>
      <c r="AD742" s="1"/>
      <c r="AE742" s="1"/>
      <c r="AF742" s="1"/>
      <c r="AG742" s="1"/>
      <c r="AH742" s="1"/>
      <c r="AI742" s="1"/>
      <c r="AJ742" s="1"/>
      <c r="AK742" s="1"/>
      <c r="AL742" s="2"/>
      <c r="AM742" s="1"/>
      <c r="AN742" s="1"/>
      <c r="AO742" s="1"/>
      <c r="AP742" s="1"/>
      <c r="AQ742" s="1"/>
      <c r="AR742" s="1"/>
      <c r="AS742" s="1"/>
      <c r="AT742" s="1"/>
      <c r="AU742" s="2"/>
      <c r="AV742" s="1"/>
      <c r="AW742" s="1"/>
      <c r="AX742" s="1"/>
      <c r="AY742" s="1"/>
      <c r="AZ742" s="1"/>
      <c r="BA742" s="1"/>
      <c r="BB742" s="1"/>
      <c r="BC742" s="1"/>
      <c r="BD742" s="2"/>
      <c r="BE742" s="1"/>
      <c r="BF742" s="1"/>
      <c r="BG742" s="1"/>
      <c r="BH742" s="1"/>
      <c r="BI742" s="1"/>
      <c r="BJ742" s="1"/>
      <c r="BK742" s="1"/>
      <c r="BL742" s="1"/>
      <c r="BM742" s="2"/>
      <c r="BN742" s="1"/>
      <c r="BO742" s="1"/>
      <c r="BP742" s="1"/>
      <c r="BQ742" s="1"/>
      <c r="BR742" s="1"/>
      <c r="BS742" s="1"/>
      <c r="BT742" s="1"/>
      <c r="BU742" s="1"/>
      <c r="BV742" s="2"/>
      <c r="BW742" s="1"/>
      <c r="BX742" s="1"/>
      <c r="BY742" s="1"/>
      <c r="BZ742" s="1"/>
      <c r="CA742" s="1"/>
      <c r="CB742" s="1"/>
      <c r="CC742" s="1"/>
      <c r="CD742" s="1"/>
      <c r="CE742" s="2"/>
      <c r="CF742" s="1"/>
      <c r="CG742" s="1"/>
      <c r="CH742" s="1"/>
      <c r="CI742" s="1"/>
      <c r="CJ742" s="1"/>
      <c r="CK742" s="1"/>
      <c r="CL742" s="1"/>
    </row>
    <row r="743" spans="1:90" ht="14.65" x14ac:dyDescent="0.4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2"/>
      <c r="L743" s="1"/>
      <c r="M743" s="1"/>
      <c r="N743" s="1"/>
      <c r="O743" s="1"/>
      <c r="P743" s="1"/>
      <c r="Q743" s="1"/>
      <c r="R743" s="1"/>
      <c r="S743" s="1"/>
      <c r="T743" s="2"/>
      <c r="U743" s="1"/>
      <c r="V743" s="1"/>
      <c r="W743" s="1"/>
      <c r="X743" s="1"/>
      <c r="Y743" s="1"/>
      <c r="Z743" s="1"/>
      <c r="AA743" s="1"/>
      <c r="AB743" s="1"/>
      <c r="AC743" s="2"/>
      <c r="AD743" s="1"/>
      <c r="AE743" s="1"/>
      <c r="AF743" s="1"/>
      <c r="AG743" s="1"/>
      <c r="AH743" s="1"/>
      <c r="AI743" s="1"/>
      <c r="AJ743" s="1"/>
      <c r="AK743" s="1"/>
      <c r="AL743" s="2"/>
      <c r="AM743" s="1"/>
      <c r="AN743" s="1"/>
      <c r="AO743" s="1"/>
      <c r="AP743" s="1"/>
      <c r="AQ743" s="1"/>
      <c r="AR743" s="1"/>
      <c r="AS743" s="1"/>
      <c r="AT743" s="1"/>
      <c r="AU743" s="2"/>
      <c r="AV743" s="1"/>
      <c r="AW743" s="1"/>
      <c r="AX743" s="1"/>
      <c r="AY743" s="1"/>
      <c r="AZ743" s="1"/>
      <c r="BA743" s="1"/>
      <c r="BB743" s="1"/>
      <c r="BC743" s="1"/>
      <c r="BD743" s="2"/>
      <c r="BE743" s="1"/>
      <c r="BF743" s="1"/>
      <c r="BG743" s="1"/>
      <c r="BH743" s="1"/>
      <c r="BI743" s="1"/>
      <c r="BJ743" s="1"/>
      <c r="BK743" s="1"/>
      <c r="BL743" s="1"/>
      <c r="BM743" s="2"/>
      <c r="BN743" s="1"/>
      <c r="BO743" s="1"/>
      <c r="BP743" s="1"/>
      <c r="BQ743" s="1"/>
      <c r="BR743" s="1"/>
      <c r="BS743" s="1"/>
      <c r="BT743" s="1"/>
      <c r="BU743" s="1"/>
      <c r="BV743" s="2"/>
      <c r="BW743" s="1"/>
      <c r="BX743" s="1"/>
      <c r="BY743" s="1"/>
      <c r="BZ743" s="1"/>
      <c r="CA743" s="1"/>
      <c r="CB743" s="1"/>
      <c r="CC743" s="1"/>
      <c r="CD743" s="1"/>
      <c r="CE743" s="2"/>
      <c r="CF743" s="1"/>
      <c r="CG743" s="1"/>
      <c r="CH743" s="1"/>
      <c r="CI743" s="1"/>
      <c r="CJ743" s="1"/>
      <c r="CK743" s="1"/>
      <c r="CL743" s="1"/>
    </row>
    <row r="744" spans="1:90" ht="14.65" x14ac:dyDescent="0.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2"/>
      <c r="L744" s="1"/>
      <c r="M744" s="1"/>
      <c r="N744" s="1"/>
      <c r="O744" s="1"/>
      <c r="P744" s="1"/>
      <c r="Q744" s="1"/>
      <c r="R744" s="1"/>
      <c r="S744" s="1"/>
      <c r="T744" s="2"/>
      <c r="U744" s="1"/>
      <c r="V744" s="1"/>
      <c r="W744" s="1"/>
      <c r="X744" s="1"/>
      <c r="Y744" s="1"/>
      <c r="Z744" s="1"/>
      <c r="AA744" s="1"/>
      <c r="AB744" s="1"/>
      <c r="AC744" s="2"/>
      <c r="AD744" s="1"/>
      <c r="AE744" s="1"/>
      <c r="AF744" s="1"/>
      <c r="AG744" s="1"/>
      <c r="AH744" s="1"/>
      <c r="AI744" s="1"/>
      <c r="AJ744" s="1"/>
      <c r="AK744" s="1"/>
      <c r="AL744" s="2"/>
      <c r="AM744" s="1"/>
      <c r="AN744" s="1"/>
      <c r="AO744" s="1"/>
      <c r="AP744" s="1"/>
      <c r="AQ744" s="1"/>
      <c r="AR744" s="1"/>
      <c r="AS744" s="1"/>
      <c r="AT744" s="1"/>
      <c r="AU744" s="2"/>
      <c r="AV744" s="1"/>
      <c r="AW744" s="1"/>
      <c r="AX744" s="1"/>
      <c r="AY744" s="1"/>
      <c r="AZ744" s="1"/>
      <c r="BA744" s="1"/>
      <c r="BB744" s="1"/>
      <c r="BC744" s="1"/>
      <c r="BD744" s="2"/>
      <c r="BE744" s="1"/>
      <c r="BF744" s="1"/>
      <c r="BG744" s="1"/>
      <c r="BH744" s="1"/>
      <c r="BI744" s="1"/>
      <c r="BJ744" s="1"/>
      <c r="BK744" s="1"/>
      <c r="BL744" s="1"/>
      <c r="BM744" s="2"/>
      <c r="BN744" s="1"/>
      <c r="BO744" s="1"/>
      <c r="BP744" s="1"/>
      <c r="BQ744" s="1"/>
      <c r="BR744" s="1"/>
      <c r="BS744" s="1"/>
      <c r="BT744" s="1"/>
      <c r="BU744" s="1"/>
      <c r="BV744" s="2"/>
      <c r="BW744" s="1"/>
      <c r="BX744" s="1"/>
      <c r="BY744" s="1"/>
      <c r="BZ744" s="1"/>
      <c r="CA744" s="1"/>
      <c r="CB744" s="1"/>
      <c r="CC744" s="1"/>
      <c r="CD744" s="1"/>
      <c r="CE744" s="2"/>
      <c r="CF744" s="1"/>
      <c r="CG744" s="1"/>
      <c r="CH744" s="1"/>
      <c r="CI744" s="1"/>
      <c r="CJ744" s="1"/>
      <c r="CK744" s="1"/>
      <c r="CL744" s="1"/>
    </row>
    <row r="745" spans="1:90" ht="14.65" x14ac:dyDescent="0.4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2"/>
      <c r="L745" s="1"/>
      <c r="M745" s="1"/>
      <c r="N745" s="1"/>
      <c r="O745" s="1"/>
      <c r="P745" s="1"/>
      <c r="Q745" s="1"/>
      <c r="R745" s="1"/>
      <c r="S745" s="1"/>
      <c r="T745" s="2"/>
      <c r="U745" s="1"/>
      <c r="V745" s="1"/>
      <c r="W745" s="1"/>
      <c r="X745" s="1"/>
      <c r="Y745" s="1"/>
      <c r="Z745" s="1"/>
      <c r="AA745" s="1"/>
      <c r="AB745" s="1"/>
      <c r="AC745" s="2"/>
      <c r="AD745" s="1"/>
      <c r="AE745" s="1"/>
      <c r="AF745" s="1"/>
      <c r="AG745" s="1"/>
      <c r="AH745" s="1"/>
      <c r="AI745" s="1"/>
      <c r="AJ745" s="1"/>
      <c r="AK745" s="1"/>
      <c r="AL745" s="2"/>
      <c r="AM745" s="1"/>
      <c r="AN745" s="1"/>
      <c r="AO745" s="1"/>
      <c r="AP745" s="1"/>
      <c r="AQ745" s="1"/>
      <c r="AR745" s="1"/>
      <c r="AS745" s="1"/>
      <c r="AT745" s="1"/>
      <c r="AU745" s="2"/>
      <c r="AV745" s="1"/>
      <c r="AW745" s="1"/>
      <c r="AX745" s="1"/>
      <c r="AY745" s="1"/>
      <c r="AZ745" s="1"/>
      <c r="BA745" s="1"/>
      <c r="BB745" s="1"/>
      <c r="BC745" s="1"/>
      <c r="BD745" s="2"/>
      <c r="BE745" s="1"/>
      <c r="BF745" s="1"/>
      <c r="BG745" s="1"/>
      <c r="BH745" s="1"/>
      <c r="BI745" s="1"/>
      <c r="BJ745" s="1"/>
      <c r="BK745" s="1"/>
      <c r="BL745" s="1"/>
      <c r="BM745" s="2"/>
      <c r="BN745" s="1"/>
      <c r="BO745" s="1"/>
      <c r="BP745" s="1"/>
      <c r="BQ745" s="1"/>
      <c r="BR745" s="1"/>
      <c r="BS745" s="1"/>
      <c r="BT745" s="1"/>
      <c r="BU745" s="1"/>
      <c r="BV745" s="2"/>
      <c r="BW745" s="1"/>
      <c r="BX745" s="1"/>
      <c r="BY745" s="1"/>
      <c r="BZ745" s="1"/>
      <c r="CA745" s="1"/>
      <c r="CB745" s="1"/>
      <c r="CC745" s="1"/>
      <c r="CD745" s="1"/>
      <c r="CE745" s="2"/>
      <c r="CF745" s="1"/>
      <c r="CG745" s="1"/>
      <c r="CH745" s="1"/>
      <c r="CI745" s="1"/>
      <c r="CJ745" s="1"/>
      <c r="CK745" s="1"/>
      <c r="CL745" s="1"/>
    </row>
    <row r="746" spans="1:90" ht="14.65" x14ac:dyDescent="0.4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2"/>
      <c r="L746" s="1"/>
      <c r="M746" s="1"/>
      <c r="N746" s="1"/>
      <c r="O746" s="1"/>
      <c r="P746" s="1"/>
      <c r="Q746" s="1"/>
      <c r="R746" s="1"/>
      <c r="S746" s="1"/>
      <c r="T746" s="2"/>
      <c r="U746" s="1"/>
      <c r="V746" s="1"/>
      <c r="W746" s="1"/>
      <c r="X746" s="1"/>
      <c r="Y746" s="1"/>
      <c r="Z746" s="1"/>
      <c r="AA746" s="1"/>
      <c r="AB746" s="1"/>
      <c r="AC746" s="2"/>
      <c r="AD746" s="1"/>
      <c r="AE746" s="1"/>
      <c r="AF746" s="1"/>
      <c r="AG746" s="1"/>
      <c r="AH746" s="1"/>
      <c r="AI746" s="1"/>
      <c r="AJ746" s="1"/>
      <c r="AK746" s="1"/>
      <c r="AL746" s="2"/>
      <c r="AM746" s="1"/>
      <c r="AN746" s="1"/>
      <c r="AO746" s="1"/>
      <c r="AP746" s="1"/>
      <c r="AQ746" s="1"/>
      <c r="AR746" s="1"/>
      <c r="AS746" s="1"/>
      <c r="AT746" s="1"/>
      <c r="AU746" s="2"/>
      <c r="AV746" s="1"/>
      <c r="AW746" s="1"/>
      <c r="AX746" s="1"/>
      <c r="AY746" s="1"/>
      <c r="AZ746" s="1"/>
      <c r="BA746" s="1"/>
      <c r="BB746" s="1"/>
      <c r="BC746" s="1"/>
      <c r="BD746" s="2"/>
      <c r="BE746" s="1"/>
      <c r="BF746" s="1"/>
      <c r="BG746" s="1"/>
      <c r="BH746" s="1"/>
      <c r="BI746" s="1"/>
      <c r="BJ746" s="1"/>
      <c r="BK746" s="1"/>
      <c r="BL746" s="1"/>
      <c r="BM746" s="2"/>
      <c r="BN746" s="1"/>
      <c r="BO746" s="1"/>
      <c r="BP746" s="1"/>
      <c r="BQ746" s="1"/>
      <c r="BR746" s="1"/>
      <c r="BS746" s="1"/>
      <c r="BT746" s="1"/>
      <c r="BU746" s="1"/>
      <c r="BV746" s="2"/>
      <c r="BW746" s="1"/>
      <c r="BX746" s="1"/>
      <c r="BY746" s="1"/>
      <c r="BZ746" s="1"/>
      <c r="CA746" s="1"/>
      <c r="CB746" s="1"/>
      <c r="CC746" s="1"/>
      <c r="CD746" s="1"/>
      <c r="CE746" s="2"/>
      <c r="CF746" s="1"/>
      <c r="CG746" s="1"/>
      <c r="CH746" s="1"/>
      <c r="CI746" s="1"/>
      <c r="CJ746" s="1"/>
      <c r="CK746" s="1"/>
      <c r="CL746" s="1"/>
    </row>
    <row r="747" spans="1:90" ht="14.65" x14ac:dyDescent="0.4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2"/>
      <c r="L747" s="1"/>
      <c r="M747" s="1"/>
      <c r="N747" s="1"/>
      <c r="O747" s="1"/>
      <c r="P747" s="1"/>
      <c r="Q747" s="1"/>
      <c r="R747" s="1"/>
      <c r="S747" s="1"/>
      <c r="T747" s="2"/>
      <c r="U747" s="1"/>
      <c r="V747" s="1"/>
      <c r="W747" s="1"/>
      <c r="X747" s="1"/>
      <c r="Y747" s="1"/>
      <c r="Z747" s="1"/>
      <c r="AA747" s="1"/>
      <c r="AB747" s="1"/>
      <c r="AC747" s="2"/>
      <c r="AD747" s="1"/>
      <c r="AE747" s="1"/>
      <c r="AF747" s="1"/>
      <c r="AG747" s="1"/>
      <c r="AH747" s="1"/>
      <c r="AI747" s="1"/>
      <c r="AJ747" s="1"/>
      <c r="AK747" s="1"/>
      <c r="AL747" s="2"/>
      <c r="AM747" s="1"/>
      <c r="AN747" s="1"/>
      <c r="AO747" s="1"/>
      <c r="AP747" s="1"/>
      <c r="AQ747" s="1"/>
      <c r="AR747" s="1"/>
      <c r="AS747" s="1"/>
      <c r="AT747" s="1"/>
      <c r="AU747" s="2"/>
      <c r="AV747" s="1"/>
      <c r="AW747" s="1"/>
      <c r="AX747" s="1"/>
      <c r="AY747" s="1"/>
      <c r="AZ747" s="1"/>
      <c r="BA747" s="1"/>
      <c r="BB747" s="1"/>
      <c r="BC747" s="1"/>
      <c r="BD747" s="2"/>
      <c r="BE747" s="1"/>
      <c r="BF747" s="1"/>
      <c r="BG747" s="1"/>
      <c r="BH747" s="1"/>
      <c r="BI747" s="1"/>
      <c r="BJ747" s="1"/>
      <c r="BK747" s="1"/>
      <c r="BL747" s="1"/>
      <c r="BM747" s="2"/>
      <c r="BN747" s="1"/>
      <c r="BO747" s="1"/>
      <c r="BP747" s="1"/>
      <c r="BQ747" s="1"/>
      <c r="BR747" s="1"/>
      <c r="BS747" s="1"/>
      <c r="BT747" s="1"/>
      <c r="BU747" s="1"/>
      <c r="BV747" s="2"/>
      <c r="BW747" s="1"/>
      <c r="BX747" s="1"/>
      <c r="BY747" s="1"/>
      <c r="BZ747" s="1"/>
      <c r="CA747" s="1"/>
      <c r="CB747" s="1"/>
      <c r="CC747" s="1"/>
      <c r="CD747" s="1"/>
      <c r="CE747" s="2"/>
      <c r="CF747" s="1"/>
      <c r="CG747" s="1"/>
      <c r="CH747" s="1"/>
      <c r="CI747" s="1"/>
      <c r="CJ747" s="1"/>
      <c r="CK747" s="1"/>
      <c r="CL747" s="1"/>
    </row>
    <row r="748" spans="1:90" ht="14.65" x14ac:dyDescent="0.4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2"/>
      <c r="L748" s="1"/>
      <c r="M748" s="1"/>
      <c r="N748" s="1"/>
      <c r="O748" s="1"/>
      <c r="P748" s="1"/>
      <c r="Q748" s="1"/>
      <c r="R748" s="1"/>
      <c r="S748" s="1"/>
      <c r="T748" s="2"/>
      <c r="U748" s="1"/>
      <c r="V748" s="1"/>
      <c r="W748" s="1"/>
      <c r="X748" s="1"/>
      <c r="Y748" s="1"/>
      <c r="Z748" s="1"/>
      <c r="AA748" s="1"/>
      <c r="AB748" s="1"/>
      <c r="AC748" s="2"/>
      <c r="AD748" s="1"/>
      <c r="AE748" s="1"/>
      <c r="AF748" s="1"/>
      <c r="AG748" s="1"/>
      <c r="AH748" s="1"/>
      <c r="AI748" s="1"/>
      <c r="AJ748" s="1"/>
      <c r="AK748" s="1"/>
      <c r="AL748" s="2"/>
      <c r="AM748" s="1"/>
      <c r="AN748" s="1"/>
      <c r="AO748" s="1"/>
      <c r="AP748" s="1"/>
      <c r="AQ748" s="1"/>
      <c r="AR748" s="1"/>
      <c r="AS748" s="1"/>
      <c r="AT748" s="1"/>
      <c r="AU748" s="2"/>
      <c r="AV748" s="1"/>
      <c r="AW748" s="1"/>
      <c r="AX748" s="1"/>
      <c r="AY748" s="1"/>
      <c r="AZ748" s="1"/>
      <c r="BA748" s="1"/>
      <c r="BB748" s="1"/>
      <c r="BC748" s="1"/>
      <c r="BD748" s="2"/>
      <c r="BE748" s="1"/>
      <c r="BF748" s="1"/>
      <c r="BG748" s="1"/>
      <c r="BH748" s="1"/>
      <c r="BI748" s="1"/>
      <c r="BJ748" s="1"/>
      <c r="BK748" s="1"/>
      <c r="BL748" s="1"/>
      <c r="BM748" s="2"/>
      <c r="BN748" s="1"/>
      <c r="BO748" s="1"/>
      <c r="BP748" s="1"/>
      <c r="BQ748" s="1"/>
      <c r="BR748" s="1"/>
      <c r="BS748" s="1"/>
      <c r="BT748" s="1"/>
      <c r="BU748" s="1"/>
      <c r="BV748" s="2"/>
      <c r="BW748" s="1"/>
      <c r="BX748" s="1"/>
      <c r="BY748" s="1"/>
      <c r="BZ748" s="1"/>
      <c r="CA748" s="1"/>
      <c r="CB748" s="1"/>
      <c r="CC748" s="1"/>
      <c r="CD748" s="1"/>
      <c r="CE748" s="2"/>
      <c r="CF748" s="1"/>
      <c r="CG748" s="1"/>
      <c r="CH748" s="1"/>
      <c r="CI748" s="1"/>
      <c r="CJ748" s="1"/>
      <c r="CK748" s="1"/>
      <c r="CL748" s="1"/>
    </row>
    <row r="749" spans="1:90" ht="14.65" x14ac:dyDescent="0.4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2"/>
      <c r="L749" s="1"/>
      <c r="M749" s="1"/>
      <c r="N749" s="1"/>
      <c r="O749" s="1"/>
      <c r="P749" s="1"/>
      <c r="Q749" s="1"/>
      <c r="R749" s="1"/>
      <c r="S749" s="1"/>
      <c r="T749" s="2"/>
      <c r="U749" s="1"/>
      <c r="V749" s="1"/>
      <c r="W749" s="1"/>
      <c r="X749" s="1"/>
      <c r="Y749" s="1"/>
      <c r="Z749" s="1"/>
      <c r="AA749" s="1"/>
      <c r="AB749" s="1"/>
      <c r="AC749" s="2"/>
      <c r="AD749" s="1"/>
      <c r="AE749" s="1"/>
      <c r="AF749" s="1"/>
      <c r="AG749" s="1"/>
      <c r="AH749" s="1"/>
      <c r="AI749" s="1"/>
      <c r="AJ749" s="1"/>
      <c r="AK749" s="1"/>
      <c r="AL749" s="2"/>
      <c r="AM749" s="1"/>
      <c r="AN749" s="1"/>
      <c r="AO749" s="1"/>
      <c r="AP749" s="1"/>
      <c r="AQ749" s="1"/>
      <c r="AR749" s="1"/>
      <c r="AS749" s="1"/>
      <c r="AT749" s="1"/>
      <c r="AU749" s="2"/>
      <c r="AV749" s="1"/>
      <c r="AW749" s="1"/>
      <c r="AX749" s="1"/>
      <c r="AY749" s="1"/>
      <c r="AZ749" s="1"/>
      <c r="BA749" s="1"/>
      <c r="BB749" s="1"/>
      <c r="BC749" s="1"/>
      <c r="BD749" s="2"/>
      <c r="BE749" s="1"/>
      <c r="BF749" s="1"/>
      <c r="BG749" s="1"/>
      <c r="BH749" s="1"/>
      <c r="BI749" s="1"/>
      <c r="BJ749" s="1"/>
      <c r="BK749" s="1"/>
      <c r="BL749" s="1"/>
      <c r="BM749" s="2"/>
      <c r="BN749" s="1"/>
      <c r="BO749" s="1"/>
      <c r="BP749" s="1"/>
      <c r="BQ749" s="1"/>
      <c r="BR749" s="1"/>
      <c r="BS749" s="1"/>
      <c r="BT749" s="1"/>
      <c r="BU749" s="1"/>
      <c r="BV749" s="2"/>
      <c r="BW749" s="1"/>
      <c r="BX749" s="1"/>
      <c r="BY749" s="1"/>
      <c r="BZ749" s="1"/>
      <c r="CA749" s="1"/>
      <c r="CB749" s="1"/>
      <c r="CC749" s="1"/>
      <c r="CD749" s="1"/>
      <c r="CE749" s="2"/>
      <c r="CF749" s="1"/>
      <c r="CG749" s="1"/>
      <c r="CH749" s="1"/>
      <c r="CI749" s="1"/>
      <c r="CJ749" s="1"/>
      <c r="CK749" s="1"/>
      <c r="CL749" s="1"/>
    </row>
    <row r="750" spans="1:90" ht="14.65" x14ac:dyDescent="0.4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2"/>
      <c r="L750" s="1"/>
      <c r="M750" s="1"/>
      <c r="N750" s="1"/>
      <c r="O750" s="1"/>
      <c r="P750" s="1"/>
      <c r="Q750" s="1"/>
      <c r="R750" s="1"/>
      <c r="S750" s="1"/>
      <c r="T750" s="2"/>
      <c r="U750" s="1"/>
      <c r="V750" s="1"/>
      <c r="W750" s="1"/>
      <c r="X750" s="1"/>
      <c r="Y750" s="1"/>
      <c r="Z750" s="1"/>
      <c r="AA750" s="1"/>
      <c r="AB750" s="1"/>
      <c r="AC750" s="2"/>
      <c r="AD750" s="1"/>
      <c r="AE750" s="1"/>
      <c r="AF750" s="1"/>
      <c r="AG750" s="1"/>
      <c r="AH750" s="1"/>
      <c r="AI750" s="1"/>
      <c r="AJ750" s="1"/>
      <c r="AK750" s="1"/>
      <c r="AL750" s="2"/>
      <c r="AM750" s="1"/>
      <c r="AN750" s="1"/>
      <c r="AO750" s="1"/>
      <c r="AP750" s="1"/>
      <c r="AQ750" s="1"/>
      <c r="AR750" s="1"/>
      <c r="AS750" s="1"/>
      <c r="AT750" s="1"/>
      <c r="AU750" s="2"/>
      <c r="AV750" s="1"/>
      <c r="AW750" s="1"/>
      <c r="AX750" s="1"/>
      <c r="AY750" s="1"/>
      <c r="AZ750" s="1"/>
      <c r="BA750" s="1"/>
      <c r="BB750" s="1"/>
      <c r="BC750" s="1"/>
      <c r="BD750" s="2"/>
      <c r="BE750" s="1"/>
      <c r="BF750" s="1"/>
      <c r="BG750" s="1"/>
      <c r="BH750" s="1"/>
      <c r="BI750" s="1"/>
      <c r="BJ750" s="1"/>
      <c r="BK750" s="1"/>
      <c r="BL750" s="1"/>
      <c r="BM750" s="2"/>
      <c r="BN750" s="1"/>
      <c r="BO750" s="1"/>
      <c r="BP750" s="1"/>
      <c r="BQ750" s="1"/>
      <c r="BR750" s="1"/>
      <c r="BS750" s="1"/>
      <c r="BT750" s="1"/>
      <c r="BU750" s="1"/>
      <c r="BV750" s="2"/>
      <c r="BW750" s="1"/>
      <c r="BX750" s="1"/>
      <c r="BY750" s="1"/>
      <c r="BZ750" s="1"/>
      <c r="CA750" s="1"/>
      <c r="CB750" s="1"/>
      <c r="CC750" s="1"/>
      <c r="CD750" s="1"/>
      <c r="CE750" s="2"/>
      <c r="CF750" s="1"/>
      <c r="CG750" s="1"/>
      <c r="CH750" s="1"/>
      <c r="CI750" s="1"/>
      <c r="CJ750" s="1"/>
      <c r="CK750" s="1"/>
      <c r="CL750" s="1"/>
    </row>
    <row r="751" spans="1:90" ht="14.65" x14ac:dyDescent="0.4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2"/>
      <c r="L751" s="1"/>
      <c r="M751" s="1"/>
      <c r="N751" s="1"/>
      <c r="O751" s="1"/>
      <c r="P751" s="1"/>
      <c r="Q751" s="1"/>
      <c r="R751" s="1"/>
      <c r="S751" s="1"/>
      <c r="T751" s="2"/>
      <c r="U751" s="1"/>
      <c r="V751" s="1"/>
      <c r="W751" s="1"/>
      <c r="X751" s="1"/>
      <c r="Y751" s="1"/>
      <c r="Z751" s="1"/>
      <c r="AA751" s="1"/>
      <c r="AB751" s="1"/>
      <c r="AC751" s="2"/>
      <c r="AD751" s="1"/>
      <c r="AE751" s="1"/>
      <c r="AF751" s="1"/>
      <c r="AG751" s="1"/>
      <c r="AH751" s="1"/>
      <c r="AI751" s="1"/>
      <c r="AJ751" s="1"/>
      <c r="AK751" s="1"/>
      <c r="AL751" s="2"/>
      <c r="AM751" s="1"/>
      <c r="AN751" s="1"/>
      <c r="AO751" s="1"/>
      <c r="AP751" s="1"/>
      <c r="AQ751" s="1"/>
      <c r="AR751" s="1"/>
      <c r="AS751" s="1"/>
      <c r="AT751" s="1"/>
      <c r="AU751" s="2"/>
      <c r="AV751" s="1"/>
      <c r="AW751" s="1"/>
      <c r="AX751" s="1"/>
      <c r="AY751" s="1"/>
      <c r="AZ751" s="1"/>
      <c r="BA751" s="1"/>
      <c r="BB751" s="1"/>
      <c r="BC751" s="1"/>
      <c r="BD751" s="2"/>
      <c r="BE751" s="1"/>
      <c r="BF751" s="1"/>
      <c r="BG751" s="1"/>
      <c r="BH751" s="1"/>
      <c r="BI751" s="1"/>
      <c r="BJ751" s="1"/>
      <c r="BK751" s="1"/>
      <c r="BL751" s="1"/>
      <c r="BM751" s="2"/>
      <c r="BN751" s="1"/>
      <c r="BO751" s="1"/>
      <c r="BP751" s="1"/>
      <c r="BQ751" s="1"/>
      <c r="BR751" s="1"/>
      <c r="BS751" s="1"/>
      <c r="BT751" s="1"/>
      <c r="BU751" s="1"/>
      <c r="BV751" s="2"/>
      <c r="BW751" s="1"/>
      <c r="BX751" s="1"/>
      <c r="BY751" s="1"/>
      <c r="BZ751" s="1"/>
      <c r="CA751" s="1"/>
      <c r="CB751" s="1"/>
      <c r="CC751" s="1"/>
      <c r="CD751" s="1"/>
      <c r="CE751" s="2"/>
      <c r="CF751" s="1"/>
      <c r="CG751" s="1"/>
      <c r="CH751" s="1"/>
      <c r="CI751" s="1"/>
      <c r="CJ751" s="1"/>
      <c r="CK751" s="1"/>
      <c r="CL751" s="1"/>
    </row>
    <row r="752" spans="1:90" ht="14.65" x14ac:dyDescent="0.4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2"/>
      <c r="L752" s="1"/>
      <c r="M752" s="1"/>
      <c r="N752" s="1"/>
      <c r="O752" s="1"/>
      <c r="P752" s="1"/>
      <c r="Q752" s="1"/>
      <c r="R752" s="1"/>
      <c r="S752" s="1"/>
      <c r="T752" s="2"/>
      <c r="U752" s="1"/>
      <c r="V752" s="1"/>
      <c r="W752" s="1"/>
      <c r="X752" s="1"/>
      <c r="Y752" s="1"/>
      <c r="Z752" s="1"/>
      <c r="AA752" s="1"/>
      <c r="AB752" s="1"/>
      <c r="AC752" s="2"/>
      <c r="AD752" s="1"/>
      <c r="AE752" s="1"/>
      <c r="AF752" s="1"/>
      <c r="AG752" s="1"/>
      <c r="AH752" s="1"/>
      <c r="AI752" s="1"/>
      <c r="AJ752" s="1"/>
      <c r="AK752" s="1"/>
      <c r="AL752" s="2"/>
      <c r="AM752" s="1"/>
      <c r="AN752" s="1"/>
      <c r="AO752" s="1"/>
      <c r="AP752" s="1"/>
      <c r="AQ752" s="1"/>
      <c r="AR752" s="1"/>
      <c r="AS752" s="1"/>
      <c r="AT752" s="1"/>
      <c r="AU752" s="2"/>
      <c r="AV752" s="1"/>
      <c r="AW752" s="1"/>
      <c r="AX752" s="1"/>
      <c r="AY752" s="1"/>
      <c r="AZ752" s="1"/>
      <c r="BA752" s="1"/>
      <c r="BB752" s="1"/>
      <c r="BC752" s="1"/>
      <c r="BD752" s="2"/>
      <c r="BE752" s="1"/>
      <c r="BF752" s="1"/>
      <c r="BG752" s="1"/>
      <c r="BH752" s="1"/>
      <c r="BI752" s="1"/>
      <c r="BJ752" s="1"/>
      <c r="BK752" s="1"/>
      <c r="BL752" s="1"/>
      <c r="BM752" s="2"/>
      <c r="BN752" s="1"/>
      <c r="BO752" s="1"/>
      <c r="BP752" s="1"/>
      <c r="BQ752" s="1"/>
      <c r="BR752" s="1"/>
      <c r="BS752" s="1"/>
      <c r="BT752" s="1"/>
      <c r="BU752" s="1"/>
      <c r="BV752" s="2"/>
      <c r="BW752" s="1"/>
      <c r="BX752" s="1"/>
      <c r="BY752" s="1"/>
      <c r="BZ752" s="1"/>
      <c r="CA752" s="1"/>
      <c r="CB752" s="1"/>
      <c r="CC752" s="1"/>
      <c r="CD752" s="1"/>
      <c r="CE752" s="2"/>
      <c r="CF752" s="1"/>
      <c r="CG752" s="1"/>
      <c r="CH752" s="1"/>
      <c r="CI752" s="1"/>
      <c r="CJ752" s="1"/>
      <c r="CK752" s="1"/>
      <c r="CL752" s="1"/>
    </row>
    <row r="753" spans="1:90" ht="14.65" x14ac:dyDescent="0.4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2"/>
      <c r="L753" s="1"/>
      <c r="M753" s="1"/>
      <c r="N753" s="1"/>
      <c r="O753" s="1"/>
      <c r="P753" s="1"/>
      <c r="Q753" s="1"/>
      <c r="R753" s="1"/>
      <c r="S753" s="1"/>
      <c r="T753" s="2"/>
      <c r="U753" s="1"/>
      <c r="V753" s="1"/>
      <c r="W753" s="1"/>
      <c r="X753" s="1"/>
      <c r="Y753" s="1"/>
      <c r="Z753" s="1"/>
      <c r="AA753" s="1"/>
      <c r="AB753" s="1"/>
      <c r="AC753" s="2"/>
      <c r="AD753" s="1"/>
      <c r="AE753" s="1"/>
      <c r="AF753" s="1"/>
      <c r="AG753" s="1"/>
      <c r="AH753" s="1"/>
      <c r="AI753" s="1"/>
      <c r="AJ753" s="1"/>
      <c r="AK753" s="1"/>
      <c r="AL753" s="2"/>
      <c r="AM753" s="1"/>
      <c r="AN753" s="1"/>
      <c r="AO753" s="1"/>
      <c r="AP753" s="1"/>
      <c r="AQ753" s="1"/>
      <c r="AR753" s="1"/>
      <c r="AS753" s="1"/>
      <c r="AT753" s="1"/>
      <c r="AU753" s="2"/>
      <c r="AV753" s="1"/>
      <c r="AW753" s="1"/>
      <c r="AX753" s="1"/>
      <c r="AY753" s="1"/>
      <c r="AZ753" s="1"/>
      <c r="BA753" s="1"/>
      <c r="BB753" s="1"/>
      <c r="BC753" s="1"/>
      <c r="BD753" s="2"/>
      <c r="BE753" s="1"/>
      <c r="BF753" s="1"/>
      <c r="BG753" s="1"/>
      <c r="BH753" s="1"/>
      <c r="BI753" s="1"/>
      <c r="BJ753" s="1"/>
      <c r="BK753" s="1"/>
      <c r="BL753" s="1"/>
      <c r="BM753" s="2"/>
      <c r="BN753" s="1"/>
      <c r="BO753" s="1"/>
      <c r="BP753" s="1"/>
      <c r="BQ753" s="1"/>
      <c r="BR753" s="1"/>
      <c r="BS753" s="1"/>
      <c r="BT753" s="1"/>
      <c r="BU753" s="1"/>
      <c r="BV753" s="2"/>
      <c r="BW753" s="1"/>
      <c r="BX753" s="1"/>
      <c r="BY753" s="1"/>
      <c r="BZ753" s="1"/>
      <c r="CA753" s="1"/>
      <c r="CB753" s="1"/>
      <c r="CC753" s="1"/>
      <c r="CD753" s="1"/>
      <c r="CE753" s="2"/>
      <c r="CF753" s="1"/>
      <c r="CG753" s="1"/>
      <c r="CH753" s="1"/>
      <c r="CI753" s="1"/>
      <c r="CJ753" s="1"/>
      <c r="CK753" s="1"/>
      <c r="CL753" s="1"/>
    </row>
    <row r="754" spans="1:90" ht="14.65" x14ac:dyDescent="0.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2"/>
      <c r="L754" s="1"/>
      <c r="M754" s="1"/>
      <c r="N754" s="1"/>
      <c r="O754" s="1"/>
      <c r="P754" s="1"/>
      <c r="Q754" s="1"/>
      <c r="R754" s="1"/>
      <c r="S754" s="1"/>
      <c r="T754" s="2"/>
      <c r="U754" s="1"/>
      <c r="V754" s="1"/>
      <c r="W754" s="1"/>
      <c r="X754" s="1"/>
      <c r="Y754" s="1"/>
      <c r="Z754" s="1"/>
      <c r="AA754" s="1"/>
      <c r="AB754" s="1"/>
      <c r="AC754" s="2"/>
      <c r="AD754" s="1"/>
      <c r="AE754" s="1"/>
      <c r="AF754" s="1"/>
      <c r="AG754" s="1"/>
      <c r="AH754" s="1"/>
      <c r="AI754" s="1"/>
      <c r="AJ754" s="1"/>
      <c r="AK754" s="1"/>
      <c r="AL754" s="2"/>
      <c r="AM754" s="1"/>
      <c r="AN754" s="1"/>
      <c r="AO754" s="1"/>
      <c r="AP754" s="1"/>
      <c r="AQ754" s="1"/>
      <c r="AR754" s="1"/>
      <c r="AS754" s="1"/>
      <c r="AT754" s="1"/>
      <c r="AU754" s="2"/>
      <c r="AV754" s="1"/>
      <c r="AW754" s="1"/>
      <c r="AX754" s="1"/>
      <c r="AY754" s="1"/>
      <c r="AZ754" s="1"/>
      <c r="BA754" s="1"/>
      <c r="BB754" s="1"/>
      <c r="BC754" s="1"/>
      <c r="BD754" s="2"/>
      <c r="BE754" s="1"/>
      <c r="BF754" s="1"/>
      <c r="BG754" s="1"/>
      <c r="BH754" s="1"/>
      <c r="BI754" s="1"/>
      <c r="BJ754" s="1"/>
      <c r="BK754" s="1"/>
      <c r="BL754" s="1"/>
      <c r="BM754" s="2"/>
      <c r="BN754" s="1"/>
      <c r="BO754" s="1"/>
      <c r="BP754" s="1"/>
      <c r="BQ754" s="1"/>
      <c r="BR754" s="1"/>
      <c r="BS754" s="1"/>
      <c r="BT754" s="1"/>
      <c r="BU754" s="1"/>
      <c r="BV754" s="2"/>
      <c r="BW754" s="1"/>
      <c r="BX754" s="1"/>
      <c r="BY754" s="1"/>
      <c r="BZ754" s="1"/>
      <c r="CA754" s="1"/>
      <c r="CB754" s="1"/>
      <c r="CC754" s="1"/>
      <c r="CD754" s="1"/>
      <c r="CE754" s="2"/>
      <c r="CF754" s="1"/>
      <c r="CG754" s="1"/>
      <c r="CH754" s="1"/>
      <c r="CI754" s="1"/>
      <c r="CJ754" s="1"/>
      <c r="CK754" s="1"/>
      <c r="CL754" s="1"/>
    </row>
    <row r="755" spans="1:90" ht="14.65" x14ac:dyDescent="0.4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2"/>
      <c r="L755" s="1"/>
      <c r="M755" s="1"/>
      <c r="N755" s="1"/>
      <c r="O755" s="1"/>
      <c r="P755" s="1"/>
      <c r="Q755" s="1"/>
      <c r="R755" s="1"/>
      <c r="S755" s="1"/>
      <c r="T755" s="2"/>
      <c r="U755" s="1"/>
      <c r="V755" s="1"/>
      <c r="W755" s="1"/>
      <c r="X755" s="1"/>
      <c r="Y755" s="1"/>
      <c r="Z755" s="1"/>
      <c r="AA755" s="1"/>
      <c r="AB755" s="1"/>
      <c r="AC755" s="2"/>
      <c r="AD755" s="1"/>
      <c r="AE755" s="1"/>
      <c r="AF755" s="1"/>
      <c r="AG755" s="1"/>
      <c r="AH755" s="1"/>
      <c r="AI755" s="1"/>
      <c r="AJ755" s="1"/>
      <c r="AK755" s="1"/>
      <c r="AL755" s="2"/>
      <c r="AM755" s="1"/>
      <c r="AN755" s="1"/>
      <c r="AO755" s="1"/>
      <c r="AP755" s="1"/>
      <c r="AQ755" s="1"/>
      <c r="AR755" s="1"/>
      <c r="AS755" s="1"/>
      <c r="AT755" s="1"/>
      <c r="AU755" s="2"/>
      <c r="AV755" s="1"/>
      <c r="AW755" s="1"/>
      <c r="AX755" s="1"/>
      <c r="AY755" s="1"/>
      <c r="AZ755" s="1"/>
      <c r="BA755" s="1"/>
      <c r="BB755" s="1"/>
      <c r="BC755" s="1"/>
      <c r="BD755" s="2"/>
      <c r="BE755" s="1"/>
      <c r="BF755" s="1"/>
      <c r="BG755" s="1"/>
      <c r="BH755" s="1"/>
      <c r="BI755" s="1"/>
      <c r="BJ755" s="1"/>
      <c r="BK755" s="1"/>
      <c r="BL755" s="1"/>
      <c r="BM755" s="2"/>
      <c r="BN755" s="1"/>
      <c r="BO755" s="1"/>
      <c r="BP755" s="1"/>
      <c r="BQ755" s="1"/>
      <c r="BR755" s="1"/>
      <c r="BS755" s="1"/>
      <c r="BT755" s="1"/>
      <c r="BU755" s="1"/>
      <c r="BV755" s="2"/>
      <c r="BW755" s="1"/>
      <c r="BX755" s="1"/>
      <c r="BY755" s="1"/>
      <c r="BZ755" s="1"/>
      <c r="CA755" s="1"/>
      <c r="CB755" s="1"/>
      <c r="CC755" s="1"/>
      <c r="CD755" s="1"/>
      <c r="CE755" s="2"/>
      <c r="CF755" s="1"/>
      <c r="CG755" s="1"/>
      <c r="CH755" s="1"/>
      <c r="CI755" s="1"/>
      <c r="CJ755" s="1"/>
      <c r="CK755" s="1"/>
      <c r="CL755" s="1"/>
    </row>
    <row r="756" spans="1:90" ht="14.65" x14ac:dyDescent="0.4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2"/>
      <c r="L756" s="1"/>
      <c r="M756" s="1"/>
      <c r="N756" s="1"/>
      <c r="O756" s="1"/>
      <c r="P756" s="1"/>
      <c r="Q756" s="1"/>
      <c r="R756" s="1"/>
      <c r="S756" s="1"/>
      <c r="T756" s="2"/>
      <c r="U756" s="1"/>
      <c r="V756" s="1"/>
      <c r="W756" s="1"/>
      <c r="X756" s="1"/>
      <c r="Y756" s="1"/>
      <c r="Z756" s="1"/>
      <c r="AA756" s="1"/>
      <c r="AB756" s="1"/>
      <c r="AC756" s="2"/>
      <c r="AD756" s="1"/>
      <c r="AE756" s="1"/>
      <c r="AF756" s="1"/>
      <c r="AG756" s="1"/>
      <c r="AH756" s="1"/>
      <c r="AI756" s="1"/>
      <c r="AJ756" s="1"/>
      <c r="AK756" s="1"/>
      <c r="AL756" s="2"/>
      <c r="AM756" s="1"/>
      <c r="AN756" s="1"/>
      <c r="AO756" s="1"/>
      <c r="AP756" s="1"/>
      <c r="AQ756" s="1"/>
      <c r="AR756" s="1"/>
      <c r="AS756" s="1"/>
      <c r="AT756" s="1"/>
      <c r="AU756" s="2"/>
      <c r="AV756" s="1"/>
      <c r="AW756" s="1"/>
      <c r="AX756" s="1"/>
      <c r="AY756" s="1"/>
      <c r="AZ756" s="1"/>
      <c r="BA756" s="1"/>
      <c r="BB756" s="1"/>
      <c r="BC756" s="1"/>
      <c r="BD756" s="2"/>
      <c r="BE756" s="1"/>
      <c r="BF756" s="1"/>
      <c r="BG756" s="1"/>
      <c r="BH756" s="1"/>
      <c r="BI756" s="1"/>
      <c r="BJ756" s="1"/>
      <c r="BK756" s="1"/>
      <c r="BL756" s="1"/>
      <c r="BM756" s="2"/>
      <c r="BN756" s="1"/>
      <c r="BO756" s="1"/>
      <c r="BP756" s="1"/>
      <c r="BQ756" s="1"/>
      <c r="BR756" s="1"/>
      <c r="BS756" s="1"/>
      <c r="BT756" s="1"/>
      <c r="BU756" s="1"/>
      <c r="BV756" s="2"/>
      <c r="BW756" s="1"/>
      <c r="BX756" s="1"/>
      <c r="BY756" s="1"/>
      <c r="BZ756" s="1"/>
      <c r="CA756" s="1"/>
      <c r="CB756" s="1"/>
      <c r="CC756" s="1"/>
      <c r="CD756" s="1"/>
      <c r="CE756" s="2"/>
      <c r="CF756" s="1"/>
      <c r="CG756" s="1"/>
      <c r="CH756" s="1"/>
      <c r="CI756" s="1"/>
      <c r="CJ756" s="1"/>
      <c r="CK756" s="1"/>
      <c r="CL756" s="1"/>
    </row>
    <row r="757" spans="1:90" ht="14.65" x14ac:dyDescent="0.4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2"/>
      <c r="L757" s="1"/>
      <c r="M757" s="1"/>
      <c r="N757" s="1"/>
      <c r="O757" s="1"/>
      <c r="P757" s="1"/>
      <c r="Q757" s="1"/>
      <c r="R757" s="1"/>
      <c r="S757" s="1"/>
      <c r="T757" s="2"/>
      <c r="U757" s="1"/>
      <c r="V757" s="1"/>
      <c r="W757" s="1"/>
      <c r="X757" s="1"/>
      <c r="Y757" s="1"/>
      <c r="Z757" s="1"/>
      <c r="AA757" s="1"/>
      <c r="AB757" s="1"/>
      <c r="AC757" s="2"/>
      <c r="AD757" s="1"/>
      <c r="AE757" s="1"/>
      <c r="AF757" s="1"/>
      <c r="AG757" s="1"/>
      <c r="AH757" s="1"/>
      <c r="AI757" s="1"/>
      <c r="AJ757" s="1"/>
      <c r="AK757" s="1"/>
      <c r="AL757" s="2"/>
      <c r="AM757" s="1"/>
      <c r="AN757" s="1"/>
      <c r="AO757" s="1"/>
      <c r="AP757" s="1"/>
      <c r="AQ757" s="1"/>
      <c r="AR757" s="1"/>
      <c r="AS757" s="1"/>
      <c r="AT757" s="1"/>
      <c r="AU757" s="2"/>
      <c r="AV757" s="1"/>
      <c r="AW757" s="1"/>
      <c r="AX757" s="1"/>
      <c r="AY757" s="1"/>
      <c r="AZ757" s="1"/>
      <c r="BA757" s="1"/>
      <c r="BB757" s="1"/>
      <c r="BC757" s="1"/>
      <c r="BD757" s="2"/>
      <c r="BE757" s="1"/>
      <c r="BF757" s="1"/>
      <c r="BG757" s="1"/>
      <c r="BH757" s="1"/>
      <c r="BI757" s="1"/>
      <c r="BJ757" s="1"/>
      <c r="BK757" s="1"/>
      <c r="BL757" s="1"/>
      <c r="BM757" s="2"/>
      <c r="BN757" s="1"/>
      <c r="BO757" s="1"/>
      <c r="BP757" s="1"/>
      <c r="BQ757" s="1"/>
      <c r="BR757" s="1"/>
      <c r="BS757" s="1"/>
      <c r="BT757" s="1"/>
      <c r="BU757" s="1"/>
      <c r="BV757" s="2"/>
      <c r="BW757" s="1"/>
      <c r="BX757" s="1"/>
      <c r="BY757" s="1"/>
      <c r="BZ757" s="1"/>
      <c r="CA757" s="1"/>
      <c r="CB757" s="1"/>
      <c r="CC757" s="1"/>
      <c r="CD757" s="1"/>
      <c r="CE757" s="2"/>
      <c r="CF757" s="1"/>
      <c r="CG757" s="1"/>
      <c r="CH757" s="1"/>
      <c r="CI757" s="1"/>
      <c r="CJ757" s="1"/>
      <c r="CK757" s="1"/>
      <c r="CL757" s="1"/>
    </row>
    <row r="758" spans="1:90" ht="14.65" x14ac:dyDescent="0.4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2"/>
      <c r="L758" s="1"/>
      <c r="M758" s="1"/>
      <c r="N758" s="1"/>
      <c r="O758" s="1"/>
      <c r="P758" s="1"/>
      <c r="Q758" s="1"/>
      <c r="R758" s="1"/>
      <c r="S758" s="1"/>
      <c r="T758" s="2"/>
      <c r="U758" s="1"/>
      <c r="V758" s="1"/>
      <c r="W758" s="1"/>
      <c r="X758" s="1"/>
      <c r="Y758" s="1"/>
      <c r="Z758" s="1"/>
      <c r="AA758" s="1"/>
      <c r="AB758" s="1"/>
      <c r="AC758" s="2"/>
      <c r="AD758" s="1"/>
      <c r="AE758" s="1"/>
      <c r="AF758" s="1"/>
      <c r="AG758" s="1"/>
      <c r="AH758" s="1"/>
      <c r="AI758" s="1"/>
      <c r="AJ758" s="1"/>
      <c r="AK758" s="1"/>
      <c r="AL758" s="2"/>
      <c r="AM758" s="1"/>
      <c r="AN758" s="1"/>
      <c r="AO758" s="1"/>
      <c r="AP758" s="1"/>
      <c r="AQ758" s="1"/>
      <c r="AR758" s="1"/>
      <c r="AS758" s="1"/>
      <c r="AT758" s="1"/>
      <c r="AU758" s="2"/>
      <c r="AV758" s="1"/>
      <c r="AW758" s="1"/>
      <c r="AX758" s="1"/>
      <c r="AY758" s="1"/>
      <c r="AZ758" s="1"/>
      <c r="BA758" s="1"/>
      <c r="BB758" s="1"/>
      <c r="BC758" s="1"/>
      <c r="BD758" s="2"/>
      <c r="BE758" s="1"/>
      <c r="BF758" s="1"/>
      <c r="BG758" s="1"/>
      <c r="BH758" s="1"/>
      <c r="BI758" s="1"/>
      <c r="BJ758" s="1"/>
      <c r="BK758" s="1"/>
      <c r="BL758" s="1"/>
      <c r="BM758" s="2"/>
      <c r="BN758" s="1"/>
      <c r="BO758" s="1"/>
      <c r="BP758" s="1"/>
      <c r="BQ758" s="1"/>
      <c r="BR758" s="1"/>
      <c r="BS758" s="1"/>
      <c r="BT758" s="1"/>
      <c r="BU758" s="1"/>
      <c r="BV758" s="2"/>
      <c r="BW758" s="1"/>
      <c r="BX758" s="1"/>
      <c r="BY758" s="1"/>
      <c r="BZ758" s="1"/>
      <c r="CA758" s="1"/>
      <c r="CB758" s="1"/>
      <c r="CC758" s="1"/>
      <c r="CD758" s="1"/>
      <c r="CE758" s="2"/>
      <c r="CF758" s="1"/>
      <c r="CG758" s="1"/>
      <c r="CH758" s="1"/>
      <c r="CI758" s="1"/>
      <c r="CJ758" s="1"/>
      <c r="CK758" s="1"/>
      <c r="CL758" s="1"/>
    </row>
    <row r="759" spans="1:90" ht="14.65" x14ac:dyDescent="0.4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2"/>
      <c r="L759" s="1"/>
      <c r="M759" s="1"/>
      <c r="N759" s="1"/>
      <c r="O759" s="1"/>
      <c r="P759" s="1"/>
      <c r="Q759" s="1"/>
      <c r="R759" s="1"/>
      <c r="S759" s="1"/>
      <c r="T759" s="2"/>
      <c r="U759" s="1"/>
      <c r="V759" s="1"/>
      <c r="W759" s="1"/>
      <c r="X759" s="1"/>
      <c r="Y759" s="1"/>
      <c r="Z759" s="1"/>
      <c r="AA759" s="1"/>
      <c r="AB759" s="1"/>
      <c r="AC759" s="2"/>
      <c r="AD759" s="1"/>
      <c r="AE759" s="1"/>
      <c r="AF759" s="1"/>
      <c r="AG759" s="1"/>
      <c r="AH759" s="1"/>
      <c r="AI759" s="1"/>
      <c r="AJ759" s="1"/>
      <c r="AK759" s="1"/>
      <c r="AL759" s="2"/>
      <c r="AM759" s="1"/>
      <c r="AN759" s="1"/>
      <c r="AO759" s="1"/>
      <c r="AP759" s="1"/>
      <c r="AQ759" s="1"/>
      <c r="AR759" s="1"/>
      <c r="AS759" s="1"/>
      <c r="AT759" s="1"/>
      <c r="AU759" s="2"/>
      <c r="AV759" s="1"/>
      <c r="AW759" s="1"/>
      <c r="AX759" s="1"/>
      <c r="AY759" s="1"/>
      <c r="AZ759" s="1"/>
      <c r="BA759" s="1"/>
      <c r="BB759" s="1"/>
      <c r="BC759" s="1"/>
      <c r="BD759" s="2"/>
      <c r="BE759" s="1"/>
      <c r="BF759" s="1"/>
      <c r="BG759" s="1"/>
      <c r="BH759" s="1"/>
      <c r="BI759" s="1"/>
      <c r="BJ759" s="1"/>
      <c r="BK759" s="1"/>
      <c r="BL759" s="1"/>
      <c r="BM759" s="2"/>
      <c r="BN759" s="1"/>
      <c r="BO759" s="1"/>
      <c r="BP759" s="1"/>
      <c r="BQ759" s="1"/>
      <c r="BR759" s="1"/>
      <c r="BS759" s="1"/>
      <c r="BT759" s="1"/>
      <c r="BU759" s="1"/>
      <c r="BV759" s="2"/>
      <c r="BW759" s="1"/>
      <c r="BX759" s="1"/>
      <c r="BY759" s="1"/>
      <c r="BZ759" s="1"/>
      <c r="CA759" s="1"/>
      <c r="CB759" s="1"/>
      <c r="CC759" s="1"/>
      <c r="CD759" s="1"/>
      <c r="CE759" s="2"/>
      <c r="CF759" s="1"/>
      <c r="CG759" s="1"/>
      <c r="CH759" s="1"/>
      <c r="CI759" s="1"/>
      <c r="CJ759" s="1"/>
      <c r="CK759" s="1"/>
      <c r="CL759" s="1"/>
    </row>
    <row r="760" spans="1:90" ht="14.65" x14ac:dyDescent="0.4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2"/>
      <c r="L760" s="1"/>
      <c r="M760" s="1"/>
      <c r="N760" s="1"/>
      <c r="O760" s="1"/>
      <c r="P760" s="1"/>
      <c r="Q760" s="1"/>
      <c r="R760" s="1"/>
      <c r="S760" s="1"/>
      <c r="T760" s="2"/>
      <c r="U760" s="1"/>
      <c r="V760" s="1"/>
      <c r="W760" s="1"/>
      <c r="X760" s="1"/>
      <c r="Y760" s="1"/>
      <c r="Z760" s="1"/>
      <c r="AA760" s="1"/>
      <c r="AB760" s="1"/>
      <c r="AC760" s="2"/>
      <c r="AD760" s="1"/>
      <c r="AE760" s="1"/>
      <c r="AF760" s="1"/>
      <c r="AG760" s="1"/>
      <c r="AH760" s="1"/>
      <c r="AI760" s="1"/>
      <c r="AJ760" s="1"/>
      <c r="AK760" s="1"/>
      <c r="AL760" s="2"/>
      <c r="AM760" s="1"/>
      <c r="AN760" s="1"/>
      <c r="AO760" s="1"/>
      <c r="AP760" s="1"/>
      <c r="AQ760" s="1"/>
      <c r="AR760" s="1"/>
      <c r="AS760" s="1"/>
      <c r="AT760" s="1"/>
      <c r="AU760" s="2"/>
      <c r="AV760" s="1"/>
      <c r="AW760" s="1"/>
      <c r="AX760" s="1"/>
      <c r="AY760" s="1"/>
      <c r="AZ760" s="1"/>
      <c r="BA760" s="1"/>
      <c r="BB760" s="1"/>
      <c r="BC760" s="1"/>
      <c r="BD760" s="2"/>
      <c r="BE760" s="1"/>
      <c r="BF760" s="1"/>
      <c r="BG760" s="1"/>
      <c r="BH760" s="1"/>
      <c r="BI760" s="1"/>
      <c r="BJ760" s="1"/>
      <c r="BK760" s="1"/>
      <c r="BL760" s="1"/>
      <c r="BM760" s="2"/>
      <c r="BN760" s="1"/>
      <c r="BO760" s="1"/>
      <c r="BP760" s="1"/>
      <c r="BQ760" s="1"/>
      <c r="BR760" s="1"/>
      <c r="BS760" s="1"/>
      <c r="BT760" s="1"/>
      <c r="BU760" s="1"/>
      <c r="BV760" s="2"/>
      <c r="BW760" s="1"/>
      <c r="BX760" s="1"/>
      <c r="BY760" s="1"/>
      <c r="BZ760" s="1"/>
      <c r="CA760" s="1"/>
      <c r="CB760" s="1"/>
      <c r="CC760" s="1"/>
      <c r="CD760" s="1"/>
      <c r="CE760" s="2"/>
      <c r="CF760" s="1"/>
      <c r="CG760" s="1"/>
      <c r="CH760" s="1"/>
      <c r="CI760" s="1"/>
      <c r="CJ760" s="1"/>
      <c r="CK760" s="1"/>
      <c r="CL760" s="1"/>
    </row>
    <row r="761" spans="1:90" ht="14.65" x14ac:dyDescent="0.4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2"/>
      <c r="L761" s="1"/>
      <c r="M761" s="1"/>
      <c r="N761" s="1"/>
      <c r="O761" s="1"/>
      <c r="P761" s="1"/>
      <c r="Q761" s="1"/>
      <c r="R761" s="1"/>
      <c r="S761" s="1"/>
      <c r="T761" s="2"/>
      <c r="U761" s="1"/>
      <c r="V761" s="1"/>
      <c r="W761" s="1"/>
      <c r="X761" s="1"/>
      <c r="Y761" s="1"/>
      <c r="Z761" s="1"/>
      <c r="AA761" s="1"/>
      <c r="AB761" s="1"/>
      <c r="AC761" s="2"/>
      <c r="AD761" s="1"/>
      <c r="AE761" s="1"/>
      <c r="AF761" s="1"/>
      <c r="AG761" s="1"/>
      <c r="AH761" s="1"/>
      <c r="AI761" s="1"/>
      <c r="AJ761" s="1"/>
      <c r="AK761" s="1"/>
      <c r="AL761" s="2"/>
      <c r="AM761" s="1"/>
      <c r="AN761" s="1"/>
      <c r="AO761" s="1"/>
      <c r="AP761" s="1"/>
      <c r="AQ761" s="1"/>
      <c r="AR761" s="1"/>
      <c r="AS761" s="1"/>
      <c r="AT761" s="1"/>
      <c r="AU761" s="2"/>
      <c r="AV761" s="1"/>
      <c r="AW761" s="1"/>
      <c r="AX761" s="1"/>
      <c r="AY761" s="1"/>
      <c r="AZ761" s="1"/>
      <c r="BA761" s="1"/>
      <c r="BB761" s="1"/>
      <c r="BC761" s="1"/>
      <c r="BD761" s="2"/>
      <c r="BE761" s="1"/>
      <c r="BF761" s="1"/>
      <c r="BG761" s="1"/>
      <c r="BH761" s="1"/>
      <c r="BI761" s="1"/>
      <c r="BJ761" s="1"/>
      <c r="BK761" s="1"/>
      <c r="BL761" s="1"/>
      <c r="BM761" s="2"/>
      <c r="BN761" s="1"/>
      <c r="BO761" s="1"/>
      <c r="BP761" s="1"/>
      <c r="BQ761" s="1"/>
      <c r="BR761" s="1"/>
      <c r="BS761" s="1"/>
      <c r="BT761" s="1"/>
      <c r="BU761" s="1"/>
      <c r="BV761" s="2"/>
      <c r="BW761" s="1"/>
      <c r="BX761" s="1"/>
      <c r="BY761" s="1"/>
      <c r="BZ761" s="1"/>
      <c r="CA761" s="1"/>
      <c r="CB761" s="1"/>
      <c r="CC761" s="1"/>
      <c r="CD761" s="1"/>
      <c r="CE761" s="2"/>
      <c r="CF761" s="1"/>
      <c r="CG761" s="1"/>
      <c r="CH761" s="1"/>
      <c r="CI761" s="1"/>
      <c r="CJ761" s="1"/>
      <c r="CK761" s="1"/>
      <c r="CL761" s="1"/>
    </row>
    <row r="762" spans="1:90" ht="14.65" x14ac:dyDescent="0.4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2"/>
      <c r="L762" s="1"/>
      <c r="M762" s="1"/>
      <c r="N762" s="1"/>
      <c r="O762" s="1"/>
      <c r="P762" s="1"/>
      <c r="Q762" s="1"/>
      <c r="R762" s="1"/>
      <c r="S762" s="1"/>
      <c r="T762" s="2"/>
      <c r="U762" s="1"/>
      <c r="V762" s="1"/>
      <c r="W762" s="1"/>
      <c r="X762" s="1"/>
      <c r="Y762" s="1"/>
      <c r="Z762" s="1"/>
      <c r="AA762" s="1"/>
      <c r="AB762" s="1"/>
      <c r="AC762" s="2"/>
      <c r="AD762" s="1"/>
      <c r="AE762" s="1"/>
      <c r="AF762" s="1"/>
      <c r="AG762" s="1"/>
      <c r="AH762" s="1"/>
      <c r="AI762" s="1"/>
      <c r="AJ762" s="1"/>
      <c r="AK762" s="1"/>
      <c r="AL762" s="2"/>
      <c r="AM762" s="1"/>
      <c r="AN762" s="1"/>
      <c r="AO762" s="1"/>
      <c r="AP762" s="1"/>
      <c r="AQ762" s="1"/>
      <c r="AR762" s="1"/>
      <c r="AS762" s="1"/>
      <c r="AT762" s="1"/>
      <c r="AU762" s="2"/>
      <c r="AV762" s="1"/>
      <c r="AW762" s="1"/>
      <c r="AX762" s="1"/>
      <c r="AY762" s="1"/>
      <c r="AZ762" s="1"/>
      <c r="BA762" s="1"/>
      <c r="BB762" s="1"/>
      <c r="BC762" s="1"/>
      <c r="BD762" s="2"/>
      <c r="BE762" s="1"/>
      <c r="BF762" s="1"/>
      <c r="BG762" s="1"/>
      <c r="BH762" s="1"/>
      <c r="BI762" s="1"/>
      <c r="BJ762" s="1"/>
      <c r="BK762" s="1"/>
      <c r="BL762" s="1"/>
      <c r="BM762" s="2"/>
      <c r="BN762" s="1"/>
      <c r="BO762" s="1"/>
      <c r="BP762" s="1"/>
      <c r="BQ762" s="1"/>
      <c r="BR762" s="1"/>
      <c r="BS762" s="1"/>
      <c r="BT762" s="1"/>
      <c r="BU762" s="1"/>
      <c r="BV762" s="2"/>
      <c r="BW762" s="1"/>
      <c r="BX762" s="1"/>
      <c r="BY762" s="1"/>
      <c r="BZ762" s="1"/>
      <c r="CA762" s="1"/>
      <c r="CB762" s="1"/>
      <c r="CC762" s="1"/>
      <c r="CD762" s="1"/>
      <c r="CE762" s="2"/>
      <c r="CF762" s="1"/>
      <c r="CG762" s="1"/>
      <c r="CH762" s="1"/>
      <c r="CI762" s="1"/>
      <c r="CJ762" s="1"/>
      <c r="CK762" s="1"/>
      <c r="CL762" s="1"/>
    </row>
    <row r="763" spans="1:90" ht="14.65" x14ac:dyDescent="0.4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2"/>
      <c r="L763" s="1"/>
      <c r="M763" s="1"/>
      <c r="N763" s="1"/>
      <c r="O763" s="1"/>
      <c r="P763" s="1"/>
      <c r="Q763" s="1"/>
      <c r="R763" s="1"/>
      <c r="S763" s="1"/>
      <c r="T763" s="2"/>
      <c r="U763" s="1"/>
      <c r="V763" s="1"/>
      <c r="W763" s="1"/>
      <c r="X763" s="1"/>
      <c r="Y763" s="1"/>
      <c r="Z763" s="1"/>
      <c r="AA763" s="1"/>
      <c r="AB763" s="1"/>
      <c r="AC763" s="2"/>
      <c r="AD763" s="1"/>
      <c r="AE763" s="1"/>
      <c r="AF763" s="1"/>
      <c r="AG763" s="1"/>
      <c r="AH763" s="1"/>
      <c r="AI763" s="1"/>
      <c r="AJ763" s="1"/>
      <c r="AK763" s="1"/>
      <c r="AL763" s="2"/>
      <c r="AM763" s="1"/>
      <c r="AN763" s="1"/>
      <c r="AO763" s="1"/>
      <c r="AP763" s="1"/>
      <c r="AQ763" s="1"/>
      <c r="AR763" s="1"/>
      <c r="AS763" s="1"/>
      <c r="AT763" s="1"/>
      <c r="AU763" s="2"/>
      <c r="AV763" s="1"/>
      <c r="AW763" s="1"/>
      <c r="AX763" s="1"/>
      <c r="AY763" s="1"/>
      <c r="AZ763" s="1"/>
      <c r="BA763" s="1"/>
      <c r="BB763" s="1"/>
      <c r="BC763" s="1"/>
      <c r="BD763" s="2"/>
      <c r="BE763" s="1"/>
      <c r="BF763" s="1"/>
      <c r="BG763" s="1"/>
      <c r="BH763" s="1"/>
      <c r="BI763" s="1"/>
      <c r="BJ763" s="1"/>
      <c r="BK763" s="1"/>
      <c r="BL763" s="1"/>
      <c r="BM763" s="2"/>
      <c r="BN763" s="1"/>
      <c r="BO763" s="1"/>
      <c r="BP763" s="1"/>
      <c r="BQ763" s="1"/>
      <c r="BR763" s="1"/>
      <c r="BS763" s="1"/>
      <c r="BT763" s="1"/>
      <c r="BU763" s="1"/>
      <c r="BV763" s="2"/>
      <c r="BW763" s="1"/>
      <c r="BX763" s="1"/>
      <c r="BY763" s="1"/>
      <c r="BZ763" s="1"/>
      <c r="CA763" s="1"/>
      <c r="CB763" s="1"/>
      <c r="CC763" s="1"/>
      <c r="CD763" s="1"/>
      <c r="CE763" s="2"/>
      <c r="CF763" s="1"/>
      <c r="CG763" s="1"/>
      <c r="CH763" s="1"/>
      <c r="CI763" s="1"/>
      <c r="CJ763" s="1"/>
      <c r="CK763" s="1"/>
      <c r="CL763" s="1"/>
    </row>
    <row r="764" spans="1:90" ht="14.65" x14ac:dyDescent="0.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2"/>
      <c r="L764" s="1"/>
      <c r="M764" s="1"/>
      <c r="N764" s="1"/>
      <c r="O764" s="1"/>
      <c r="P764" s="1"/>
      <c r="Q764" s="1"/>
      <c r="R764" s="1"/>
      <c r="S764" s="1"/>
      <c r="T764" s="2"/>
      <c r="U764" s="1"/>
      <c r="V764" s="1"/>
      <c r="W764" s="1"/>
      <c r="X764" s="1"/>
      <c r="Y764" s="1"/>
      <c r="Z764" s="1"/>
      <c r="AA764" s="1"/>
      <c r="AB764" s="1"/>
      <c r="AC764" s="2"/>
      <c r="AD764" s="1"/>
      <c r="AE764" s="1"/>
      <c r="AF764" s="1"/>
      <c r="AG764" s="1"/>
      <c r="AH764" s="1"/>
      <c r="AI764" s="1"/>
      <c r="AJ764" s="1"/>
      <c r="AK764" s="1"/>
      <c r="AL764" s="2"/>
      <c r="AM764" s="1"/>
      <c r="AN764" s="1"/>
      <c r="AO764" s="1"/>
      <c r="AP764" s="1"/>
      <c r="AQ764" s="1"/>
      <c r="AR764" s="1"/>
      <c r="AS764" s="1"/>
      <c r="AT764" s="1"/>
      <c r="AU764" s="2"/>
      <c r="AV764" s="1"/>
      <c r="AW764" s="1"/>
      <c r="AX764" s="1"/>
      <c r="AY764" s="1"/>
      <c r="AZ764" s="1"/>
      <c r="BA764" s="1"/>
      <c r="BB764" s="1"/>
      <c r="BC764" s="1"/>
      <c r="BD764" s="2"/>
      <c r="BE764" s="1"/>
      <c r="BF764" s="1"/>
      <c r="BG764" s="1"/>
      <c r="BH764" s="1"/>
      <c r="BI764" s="1"/>
      <c r="BJ764" s="1"/>
      <c r="BK764" s="1"/>
      <c r="BL764" s="1"/>
      <c r="BM764" s="2"/>
      <c r="BN764" s="1"/>
      <c r="BO764" s="1"/>
      <c r="BP764" s="1"/>
      <c r="BQ764" s="1"/>
      <c r="BR764" s="1"/>
      <c r="BS764" s="1"/>
      <c r="BT764" s="1"/>
      <c r="BU764" s="1"/>
      <c r="BV764" s="2"/>
      <c r="BW764" s="1"/>
      <c r="BX764" s="1"/>
      <c r="BY764" s="1"/>
      <c r="BZ764" s="1"/>
      <c r="CA764" s="1"/>
      <c r="CB764" s="1"/>
      <c r="CC764" s="1"/>
      <c r="CD764" s="1"/>
      <c r="CE764" s="2"/>
      <c r="CF764" s="1"/>
      <c r="CG764" s="1"/>
      <c r="CH764" s="1"/>
      <c r="CI764" s="1"/>
      <c r="CJ764" s="1"/>
      <c r="CK764" s="1"/>
      <c r="CL764" s="1"/>
    </row>
    <row r="765" spans="1:90" ht="14.65" x14ac:dyDescent="0.4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2"/>
      <c r="L765" s="1"/>
      <c r="M765" s="1"/>
      <c r="N765" s="1"/>
      <c r="O765" s="1"/>
      <c r="P765" s="1"/>
      <c r="Q765" s="1"/>
      <c r="R765" s="1"/>
      <c r="S765" s="1"/>
      <c r="T765" s="2"/>
      <c r="U765" s="1"/>
      <c r="V765" s="1"/>
      <c r="W765" s="1"/>
      <c r="X765" s="1"/>
      <c r="Y765" s="1"/>
      <c r="Z765" s="1"/>
      <c r="AA765" s="1"/>
      <c r="AB765" s="1"/>
      <c r="AC765" s="2"/>
      <c r="AD765" s="1"/>
      <c r="AE765" s="1"/>
      <c r="AF765" s="1"/>
      <c r="AG765" s="1"/>
      <c r="AH765" s="1"/>
      <c r="AI765" s="1"/>
      <c r="AJ765" s="1"/>
      <c r="AK765" s="1"/>
      <c r="AL765" s="2"/>
      <c r="AM765" s="1"/>
      <c r="AN765" s="1"/>
      <c r="AO765" s="1"/>
      <c r="AP765" s="1"/>
      <c r="AQ765" s="1"/>
      <c r="AR765" s="1"/>
      <c r="AS765" s="1"/>
      <c r="AT765" s="1"/>
      <c r="AU765" s="2"/>
      <c r="AV765" s="1"/>
      <c r="AW765" s="1"/>
      <c r="AX765" s="1"/>
      <c r="AY765" s="1"/>
      <c r="AZ765" s="1"/>
      <c r="BA765" s="1"/>
      <c r="BB765" s="1"/>
      <c r="BC765" s="1"/>
      <c r="BD765" s="2"/>
      <c r="BE765" s="1"/>
      <c r="BF765" s="1"/>
      <c r="BG765" s="1"/>
      <c r="BH765" s="1"/>
      <c r="BI765" s="1"/>
      <c r="BJ765" s="1"/>
      <c r="BK765" s="1"/>
      <c r="BL765" s="1"/>
      <c r="BM765" s="2"/>
      <c r="BN765" s="1"/>
      <c r="BO765" s="1"/>
      <c r="BP765" s="1"/>
      <c r="BQ765" s="1"/>
      <c r="BR765" s="1"/>
      <c r="BS765" s="1"/>
      <c r="BT765" s="1"/>
      <c r="BU765" s="1"/>
      <c r="BV765" s="2"/>
      <c r="BW765" s="1"/>
      <c r="BX765" s="1"/>
      <c r="BY765" s="1"/>
      <c r="BZ765" s="1"/>
      <c r="CA765" s="1"/>
      <c r="CB765" s="1"/>
      <c r="CC765" s="1"/>
      <c r="CD765" s="1"/>
      <c r="CE765" s="2"/>
      <c r="CF765" s="1"/>
      <c r="CG765" s="1"/>
      <c r="CH765" s="1"/>
      <c r="CI765" s="1"/>
      <c r="CJ765" s="1"/>
      <c r="CK765" s="1"/>
      <c r="CL765" s="1"/>
    </row>
    <row r="766" spans="1:90" ht="14.65" x14ac:dyDescent="0.4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2"/>
      <c r="L766" s="1"/>
      <c r="M766" s="1"/>
      <c r="N766" s="1"/>
      <c r="O766" s="1"/>
      <c r="P766" s="1"/>
      <c r="Q766" s="1"/>
      <c r="R766" s="1"/>
      <c r="S766" s="1"/>
      <c r="T766" s="2"/>
      <c r="U766" s="1"/>
      <c r="V766" s="1"/>
      <c r="W766" s="1"/>
      <c r="X766" s="1"/>
      <c r="Y766" s="1"/>
      <c r="Z766" s="1"/>
      <c r="AA766" s="1"/>
      <c r="AB766" s="1"/>
      <c r="AC766" s="2"/>
      <c r="AD766" s="1"/>
      <c r="AE766" s="1"/>
      <c r="AF766" s="1"/>
      <c r="AG766" s="1"/>
      <c r="AH766" s="1"/>
      <c r="AI766" s="1"/>
      <c r="AJ766" s="1"/>
      <c r="AK766" s="1"/>
      <c r="AL766" s="2"/>
      <c r="AM766" s="1"/>
      <c r="AN766" s="1"/>
      <c r="AO766" s="1"/>
      <c r="AP766" s="1"/>
      <c r="AQ766" s="1"/>
      <c r="AR766" s="1"/>
      <c r="AS766" s="1"/>
      <c r="AT766" s="1"/>
      <c r="AU766" s="2"/>
      <c r="AV766" s="1"/>
      <c r="AW766" s="1"/>
      <c r="AX766" s="1"/>
      <c r="AY766" s="1"/>
      <c r="AZ766" s="1"/>
      <c r="BA766" s="1"/>
      <c r="BB766" s="1"/>
      <c r="BC766" s="1"/>
      <c r="BD766" s="2"/>
      <c r="BE766" s="1"/>
      <c r="BF766" s="1"/>
      <c r="BG766" s="1"/>
      <c r="BH766" s="1"/>
      <c r="BI766" s="1"/>
      <c r="BJ766" s="1"/>
      <c r="BK766" s="1"/>
      <c r="BL766" s="1"/>
      <c r="BM766" s="2"/>
      <c r="BN766" s="1"/>
      <c r="BO766" s="1"/>
      <c r="BP766" s="1"/>
      <c r="BQ766" s="1"/>
      <c r="BR766" s="1"/>
      <c r="BS766" s="1"/>
      <c r="BT766" s="1"/>
      <c r="BU766" s="1"/>
      <c r="BV766" s="2"/>
      <c r="BW766" s="1"/>
      <c r="BX766" s="1"/>
      <c r="BY766" s="1"/>
      <c r="BZ766" s="1"/>
      <c r="CA766" s="1"/>
      <c r="CB766" s="1"/>
      <c r="CC766" s="1"/>
      <c r="CD766" s="1"/>
      <c r="CE766" s="2"/>
      <c r="CF766" s="1"/>
      <c r="CG766" s="1"/>
      <c r="CH766" s="1"/>
      <c r="CI766" s="1"/>
      <c r="CJ766" s="1"/>
      <c r="CK766" s="1"/>
      <c r="CL766" s="1"/>
    </row>
    <row r="767" spans="1:90" ht="14.65" x14ac:dyDescent="0.4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2"/>
      <c r="L767" s="1"/>
      <c r="M767" s="1"/>
      <c r="N767" s="1"/>
      <c r="O767" s="1"/>
      <c r="P767" s="1"/>
      <c r="Q767" s="1"/>
      <c r="R767" s="1"/>
      <c r="S767" s="1"/>
      <c r="T767" s="2"/>
      <c r="U767" s="1"/>
      <c r="V767" s="1"/>
      <c r="W767" s="1"/>
      <c r="X767" s="1"/>
      <c r="Y767" s="1"/>
      <c r="Z767" s="1"/>
      <c r="AA767" s="1"/>
      <c r="AB767" s="1"/>
      <c r="AC767" s="2"/>
      <c r="AD767" s="1"/>
      <c r="AE767" s="1"/>
      <c r="AF767" s="1"/>
      <c r="AG767" s="1"/>
      <c r="AH767" s="1"/>
      <c r="AI767" s="1"/>
      <c r="AJ767" s="1"/>
      <c r="AK767" s="1"/>
      <c r="AL767" s="2"/>
      <c r="AM767" s="1"/>
      <c r="AN767" s="1"/>
      <c r="AO767" s="1"/>
      <c r="AP767" s="1"/>
      <c r="AQ767" s="1"/>
      <c r="AR767" s="1"/>
      <c r="AS767" s="1"/>
      <c r="AT767" s="1"/>
      <c r="AU767" s="2"/>
      <c r="AV767" s="1"/>
      <c r="AW767" s="1"/>
      <c r="AX767" s="1"/>
      <c r="AY767" s="1"/>
      <c r="AZ767" s="1"/>
      <c r="BA767" s="1"/>
      <c r="BB767" s="1"/>
      <c r="BC767" s="1"/>
      <c r="BD767" s="2"/>
      <c r="BE767" s="1"/>
      <c r="BF767" s="1"/>
      <c r="BG767" s="1"/>
      <c r="BH767" s="1"/>
      <c r="BI767" s="1"/>
      <c r="BJ767" s="1"/>
      <c r="BK767" s="1"/>
      <c r="BL767" s="1"/>
      <c r="BM767" s="2"/>
      <c r="BN767" s="1"/>
      <c r="BO767" s="1"/>
      <c r="BP767" s="1"/>
      <c r="BQ767" s="1"/>
      <c r="BR767" s="1"/>
      <c r="BS767" s="1"/>
      <c r="BT767" s="1"/>
      <c r="BU767" s="1"/>
      <c r="BV767" s="2"/>
      <c r="BW767" s="1"/>
      <c r="BX767" s="1"/>
      <c r="BY767" s="1"/>
      <c r="BZ767" s="1"/>
      <c r="CA767" s="1"/>
      <c r="CB767" s="1"/>
      <c r="CC767" s="1"/>
      <c r="CD767" s="1"/>
      <c r="CE767" s="2"/>
      <c r="CF767" s="1"/>
      <c r="CG767" s="1"/>
      <c r="CH767" s="1"/>
      <c r="CI767" s="1"/>
      <c r="CJ767" s="1"/>
      <c r="CK767" s="1"/>
      <c r="CL767" s="1"/>
    </row>
    <row r="768" spans="1:90" ht="14.65" x14ac:dyDescent="0.4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2"/>
      <c r="L768" s="1"/>
      <c r="M768" s="1"/>
      <c r="N768" s="1"/>
      <c r="O768" s="1"/>
      <c r="P768" s="1"/>
      <c r="Q768" s="1"/>
      <c r="R768" s="1"/>
      <c r="S768" s="1"/>
      <c r="T768" s="2"/>
      <c r="U768" s="1"/>
      <c r="V768" s="1"/>
      <c r="W768" s="1"/>
      <c r="X768" s="1"/>
      <c r="Y768" s="1"/>
      <c r="Z768" s="1"/>
      <c r="AA768" s="1"/>
      <c r="AB768" s="1"/>
      <c r="AC768" s="2"/>
      <c r="AD768" s="1"/>
      <c r="AE768" s="1"/>
      <c r="AF768" s="1"/>
      <c r="AG768" s="1"/>
      <c r="AH768" s="1"/>
      <c r="AI768" s="1"/>
      <c r="AJ768" s="1"/>
      <c r="AK768" s="1"/>
      <c r="AL768" s="2"/>
      <c r="AM768" s="1"/>
      <c r="AN768" s="1"/>
      <c r="AO768" s="1"/>
      <c r="AP768" s="1"/>
      <c r="AQ768" s="1"/>
      <c r="AR768" s="1"/>
      <c r="AS768" s="1"/>
      <c r="AT768" s="1"/>
      <c r="AU768" s="2"/>
      <c r="AV768" s="1"/>
      <c r="AW768" s="9"/>
      <c r="AX768" s="1"/>
      <c r="AY768" s="1"/>
      <c r="AZ768" s="1"/>
      <c r="BA768" s="1"/>
      <c r="BB768" s="1"/>
      <c r="BC768" s="1"/>
      <c r="BD768" s="2"/>
      <c r="BE768" s="1"/>
      <c r="BF768" s="1"/>
      <c r="BG768" s="1"/>
      <c r="BH768" s="1"/>
      <c r="BI768" s="1"/>
      <c r="BJ768" s="1"/>
      <c r="BK768" s="1"/>
      <c r="BL768" s="1"/>
      <c r="BM768" s="2"/>
      <c r="BN768" s="1"/>
      <c r="BO768" s="1"/>
      <c r="BP768" s="1"/>
      <c r="BQ768" s="1"/>
      <c r="BR768" s="1"/>
      <c r="BS768" s="1"/>
      <c r="BT768" s="1"/>
      <c r="BU768" s="1"/>
      <c r="BV768" s="2"/>
      <c r="BW768" s="1"/>
      <c r="BX768" s="1"/>
      <c r="BY768" s="1"/>
      <c r="BZ768" s="1"/>
      <c r="CA768" s="1"/>
      <c r="CB768" s="1"/>
      <c r="CC768" s="1"/>
      <c r="CD768" s="1"/>
      <c r="CE768" s="2"/>
      <c r="CF768" s="1"/>
      <c r="CG768" s="1"/>
      <c r="CH768" s="1"/>
      <c r="CI768" s="1"/>
      <c r="CJ768" s="1"/>
      <c r="CK768" s="1"/>
      <c r="CL768" s="1"/>
    </row>
    <row r="769" spans="1:90" ht="14.65" x14ac:dyDescent="0.4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2"/>
      <c r="L769" s="1"/>
      <c r="M769" s="1"/>
      <c r="N769" s="1"/>
      <c r="O769" s="1"/>
      <c r="P769" s="1"/>
      <c r="Q769" s="1"/>
      <c r="R769" s="1"/>
      <c r="S769" s="1"/>
      <c r="T769" s="2"/>
      <c r="U769" s="1"/>
      <c r="V769" s="1"/>
      <c r="W769" s="1"/>
      <c r="X769" s="1"/>
      <c r="Y769" s="1"/>
      <c r="Z769" s="1"/>
      <c r="AA769" s="1"/>
      <c r="AB769" s="1"/>
      <c r="AC769" s="2"/>
      <c r="AD769" s="1"/>
      <c r="AE769" s="1"/>
      <c r="AF769" s="1"/>
      <c r="AG769" s="1"/>
      <c r="AH769" s="1"/>
      <c r="AI769" s="1"/>
      <c r="AJ769" s="1"/>
      <c r="AK769" s="1"/>
      <c r="AL769" s="2"/>
      <c r="AM769" s="1"/>
      <c r="AN769" s="1"/>
      <c r="AO769" s="1"/>
      <c r="AP769" s="1"/>
      <c r="AQ769" s="1"/>
      <c r="AR769" s="1"/>
      <c r="AS769" s="1"/>
      <c r="AT769" s="1"/>
      <c r="AU769" s="2"/>
      <c r="AV769" s="1"/>
      <c r="AW769" s="1"/>
      <c r="AX769" s="1"/>
      <c r="AY769" s="1"/>
      <c r="AZ769" s="1"/>
      <c r="BA769" s="1"/>
      <c r="BB769" s="1"/>
      <c r="BC769" s="1"/>
      <c r="BD769" s="2"/>
      <c r="BE769" s="1"/>
      <c r="BF769" s="1"/>
      <c r="BG769" s="1"/>
      <c r="BH769" s="1"/>
      <c r="BI769" s="1"/>
      <c r="BJ769" s="1"/>
      <c r="BK769" s="1"/>
      <c r="BL769" s="1"/>
      <c r="BM769" s="2"/>
      <c r="BN769" s="1"/>
      <c r="BO769" s="1"/>
      <c r="BP769" s="1"/>
      <c r="BQ769" s="1"/>
      <c r="BR769" s="1"/>
      <c r="BS769" s="1"/>
      <c r="BT769" s="1"/>
      <c r="BU769" s="1"/>
      <c r="BV769" s="2"/>
      <c r="BW769" s="1"/>
      <c r="BX769" s="1"/>
      <c r="BY769" s="1"/>
      <c r="BZ769" s="1"/>
      <c r="CA769" s="1"/>
      <c r="CB769" s="1"/>
      <c r="CC769" s="1"/>
      <c r="CD769" s="1"/>
      <c r="CE769" s="2"/>
      <c r="CF769" s="1"/>
      <c r="CG769" s="1"/>
      <c r="CH769" s="1"/>
      <c r="CI769" s="1"/>
      <c r="CJ769" s="1"/>
      <c r="CK769" s="1"/>
      <c r="CL769" s="1"/>
    </row>
    <row r="770" spans="1:90" ht="14.65" x14ac:dyDescent="0.4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2"/>
      <c r="L770" s="1"/>
      <c r="M770" s="1"/>
      <c r="N770" s="1"/>
      <c r="O770" s="1"/>
      <c r="P770" s="1"/>
      <c r="Q770" s="1"/>
      <c r="R770" s="1"/>
      <c r="S770" s="1"/>
      <c r="T770" s="2"/>
      <c r="U770" s="1"/>
      <c r="V770" s="1"/>
      <c r="W770" s="1"/>
      <c r="X770" s="1"/>
      <c r="Y770" s="1"/>
      <c r="Z770" s="1"/>
      <c r="AA770" s="1"/>
      <c r="AB770" s="1"/>
      <c r="AC770" s="2"/>
      <c r="AD770" s="1"/>
      <c r="AE770" s="1"/>
      <c r="AF770" s="1"/>
      <c r="AG770" s="1"/>
      <c r="AH770" s="1"/>
      <c r="AI770" s="1"/>
      <c r="AJ770" s="1"/>
      <c r="AK770" s="1"/>
      <c r="AL770" s="2"/>
      <c r="AM770" s="1"/>
      <c r="AN770" s="1"/>
      <c r="AO770" s="1"/>
      <c r="AP770" s="1"/>
      <c r="AQ770" s="1"/>
      <c r="AR770" s="1"/>
      <c r="AS770" s="1"/>
      <c r="AT770" s="1"/>
      <c r="AU770" s="2"/>
      <c r="AV770" s="1"/>
      <c r="AW770" s="1"/>
      <c r="AX770" s="1"/>
      <c r="AY770" s="1"/>
      <c r="AZ770" s="1"/>
      <c r="BA770" s="1"/>
      <c r="BB770" s="1"/>
      <c r="BC770" s="1"/>
      <c r="BD770" s="2"/>
      <c r="BE770" s="1"/>
      <c r="BF770" s="1"/>
      <c r="BG770" s="1"/>
      <c r="BH770" s="1"/>
      <c r="BI770" s="1"/>
      <c r="BJ770" s="1"/>
      <c r="BK770" s="1"/>
      <c r="BL770" s="1"/>
      <c r="BM770" s="2"/>
      <c r="BN770" s="1"/>
      <c r="BO770" s="1"/>
      <c r="BP770" s="1"/>
      <c r="BQ770" s="1"/>
      <c r="BR770" s="1"/>
      <c r="BS770" s="1"/>
      <c r="BT770" s="1"/>
      <c r="BU770" s="1"/>
      <c r="BV770" s="2"/>
      <c r="BW770" s="1"/>
      <c r="BX770" s="1"/>
      <c r="BY770" s="1"/>
      <c r="BZ770" s="1"/>
      <c r="CA770" s="1"/>
      <c r="CB770" s="1"/>
      <c r="CC770" s="1"/>
      <c r="CD770" s="1"/>
      <c r="CE770" s="2"/>
      <c r="CF770" s="1"/>
      <c r="CG770" s="1"/>
      <c r="CH770" s="1"/>
      <c r="CI770" s="1"/>
      <c r="CJ770" s="1"/>
      <c r="CK770" s="1"/>
      <c r="CL770" s="1"/>
    </row>
    <row r="771" spans="1:90" ht="14.65" x14ac:dyDescent="0.4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2"/>
      <c r="L771" s="1"/>
      <c r="M771" s="1"/>
      <c r="N771" s="1"/>
      <c r="O771" s="1"/>
      <c r="P771" s="1"/>
      <c r="Q771" s="1"/>
      <c r="R771" s="1"/>
      <c r="S771" s="1"/>
      <c r="T771" s="2"/>
      <c r="U771" s="1"/>
      <c r="V771" s="1"/>
      <c r="W771" s="1"/>
      <c r="X771" s="1"/>
      <c r="Y771" s="1"/>
      <c r="Z771" s="1"/>
      <c r="AA771" s="1"/>
      <c r="AB771" s="1"/>
      <c r="AC771" s="2"/>
      <c r="AD771" s="1"/>
      <c r="AE771" s="1"/>
      <c r="AF771" s="1"/>
      <c r="AG771" s="1"/>
      <c r="AH771" s="1"/>
      <c r="AI771" s="1"/>
      <c r="AJ771" s="1"/>
      <c r="AK771" s="1"/>
      <c r="AL771" s="2"/>
      <c r="AM771" s="1"/>
      <c r="AN771" s="1"/>
      <c r="AO771" s="1"/>
      <c r="AP771" s="1"/>
      <c r="AQ771" s="1"/>
      <c r="AR771" s="1"/>
      <c r="AS771" s="1"/>
      <c r="AT771" s="1"/>
      <c r="AU771" s="2"/>
      <c r="AV771" s="1"/>
      <c r="AW771" s="1"/>
      <c r="AX771" s="1"/>
      <c r="AY771" s="1"/>
      <c r="AZ771" s="1"/>
      <c r="BA771" s="1"/>
      <c r="BB771" s="1"/>
      <c r="BC771" s="1"/>
      <c r="BD771" s="2"/>
      <c r="BE771" s="1"/>
      <c r="BF771" s="1"/>
      <c r="BG771" s="1"/>
      <c r="BH771" s="1"/>
      <c r="BI771" s="1"/>
      <c r="BJ771" s="1"/>
      <c r="BK771" s="1"/>
      <c r="BL771" s="1"/>
      <c r="BM771" s="2"/>
      <c r="BN771" s="1"/>
      <c r="BO771" s="1"/>
      <c r="BP771" s="1"/>
      <c r="BQ771" s="1"/>
      <c r="BR771" s="1"/>
      <c r="BS771" s="1"/>
      <c r="BT771" s="1"/>
      <c r="BU771" s="1"/>
      <c r="BV771" s="2"/>
      <c r="BW771" s="1"/>
      <c r="BX771" s="1"/>
      <c r="BY771" s="1"/>
      <c r="BZ771" s="1"/>
      <c r="CA771" s="1"/>
      <c r="CB771" s="1"/>
      <c r="CC771" s="1"/>
      <c r="CD771" s="1"/>
      <c r="CE771" s="2"/>
      <c r="CF771" s="1"/>
      <c r="CG771" s="1"/>
      <c r="CH771" s="1"/>
      <c r="CI771" s="1"/>
      <c r="CJ771" s="1"/>
      <c r="CK771" s="1"/>
      <c r="CL771" s="1"/>
    </row>
    <row r="772" spans="1:90" ht="14.65" x14ac:dyDescent="0.4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2"/>
      <c r="L772" s="1"/>
      <c r="M772" s="1"/>
      <c r="N772" s="1"/>
      <c r="O772" s="1"/>
      <c r="P772" s="1"/>
      <c r="Q772" s="1"/>
      <c r="R772" s="1"/>
      <c r="S772" s="1"/>
      <c r="T772" s="2"/>
      <c r="U772" s="1"/>
      <c r="V772" s="1"/>
      <c r="W772" s="1"/>
      <c r="X772" s="1"/>
      <c r="Y772" s="1"/>
      <c r="Z772" s="1"/>
      <c r="AA772" s="1"/>
      <c r="AB772" s="1"/>
      <c r="AC772" s="2"/>
      <c r="AD772" s="1"/>
      <c r="AE772" s="1"/>
      <c r="AF772" s="1"/>
      <c r="AG772" s="1"/>
      <c r="AH772" s="1"/>
      <c r="AI772" s="1"/>
      <c r="AJ772" s="1"/>
      <c r="AK772" s="1"/>
      <c r="AL772" s="2"/>
      <c r="AM772" s="1"/>
      <c r="AN772" s="1"/>
      <c r="AO772" s="1"/>
      <c r="AP772" s="1"/>
      <c r="AQ772" s="1"/>
      <c r="AR772" s="1"/>
      <c r="AS772" s="1"/>
      <c r="AT772" s="1"/>
      <c r="AU772" s="2"/>
      <c r="AV772" s="1"/>
      <c r="AW772" s="1"/>
      <c r="AX772" s="1"/>
      <c r="AY772" s="1"/>
      <c r="AZ772" s="1"/>
      <c r="BA772" s="1"/>
      <c r="BB772" s="1"/>
      <c r="BC772" s="1"/>
      <c r="BD772" s="2"/>
      <c r="BE772" s="1"/>
      <c r="BF772" s="1"/>
      <c r="BG772" s="1"/>
      <c r="BH772" s="1"/>
      <c r="BI772" s="1"/>
      <c r="BJ772" s="1"/>
      <c r="BK772" s="1"/>
      <c r="BL772" s="1"/>
      <c r="BM772" s="2"/>
      <c r="BN772" s="1"/>
      <c r="BO772" s="1"/>
      <c r="BP772" s="1"/>
      <c r="BQ772" s="1"/>
      <c r="BR772" s="1"/>
      <c r="BS772" s="1"/>
      <c r="BT772" s="1"/>
      <c r="BU772" s="1"/>
      <c r="BV772" s="2"/>
      <c r="BW772" s="1"/>
      <c r="BX772" s="1"/>
      <c r="BY772" s="1"/>
      <c r="BZ772" s="1"/>
      <c r="CA772" s="1"/>
      <c r="CB772" s="1"/>
      <c r="CC772" s="1"/>
      <c r="CD772" s="1"/>
      <c r="CE772" s="2"/>
      <c r="CF772" s="1"/>
      <c r="CG772" s="1"/>
      <c r="CH772" s="1"/>
      <c r="CI772" s="1"/>
      <c r="CJ772" s="1"/>
      <c r="CK772" s="1"/>
      <c r="CL772" s="1"/>
    </row>
    <row r="773" spans="1:90" ht="14.65" x14ac:dyDescent="0.4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2"/>
      <c r="L773" s="1"/>
      <c r="M773" s="1"/>
      <c r="N773" s="1"/>
      <c r="O773" s="1"/>
      <c r="P773" s="1"/>
      <c r="Q773" s="1"/>
      <c r="R773" s="1"/>
      <c r="S773" s="1"/>
      <c r="T773" s="2"/>
      <c r="U773" s="1"/>
      <c r="V773" s="1"/>
      <c r="W773" s="1"/>
      <c r="X773" s="1"/>
      <c r="Y773" s="1"/>
      <c r="Z773" s="1"/>
      <c r="AA773" s="1"/>
      <c r="AB773" s="1"/>
      <c r="AC773" s="2"/>
      <c r="AD773" s="1"/>
      <c r="AE773" s="1"/>
      <c r="AF773" s="1"/>
      <c r="AG773" s="1"/>
      <c r="AH773" s="1"/>
      <c r="AI773" s="1"/>
      <c r="AJ773" s="1"/>
      <c r="AK773" s="1"/>
      <c r="AL773" s="2"/>
      <c r="AM773" s="1"/>
      <c r="AN773" s="1"/>
      <c r="AO773" s="1"/>
      <c r="AP773" s="1"/>
      <c r="AQ773" s="1"/>
      <c r="AR773" s="1"/>
      <c r="AS773" s="1"/>
      <c r="AT773" s="1"/>
      <c r="AU773" s="2"/>
      <c r="AV773" s="1"/>
      <c r="AW773" s="1"/>
      <c r="AX773" s="1"/>
      <c r="AY773" s="1"/>
      <c r="AZ773" s="1"/>
      <c r="BA773" s="1"/>
      <c r="BB773" s="1"/>
      <c r="BC773" s="1"/>
      <c r="BD773" s="2"/>
      <c r="BE773" s="1"/>
      <c r="BF773" s="1"/>
      <c r="BG773" s="1"/>
      <c r="BH773" s="1"/>
      <c r="BI773" s="1"/>
      <c r="BJ773" s="1"/>
      <c r="BK773" s="1"/>
      <c r="BL773" s="1"/>
      <c r="BM773" s="2"/>
      <c r="BN773" s="1"/>
      <c r="BO773" s="1"/>
      <c r="BP773" s="1"/>
      <c r="BQ773" s="1"/>
      <c r="BR773" s="1"/>
      <c r="BS773" s="1"/>
      <c r="BT773" s="1"/>
      <c r="BU773" s="1"/>
      <c r="BV773" s="2"/>
      <c r="BW773" s="1"/>
      <c r="BX773" s="1"/>
      <c r="BY773" s="1"/>
      <c r="BZ773" s="1"/>
      <c r="CA773" s="1"/>
      <c r="CB773" s="1"/>
      <c r="CC773" s="1"/>
      <c r="CD773" s="1"/>
      <c r="CE773" s="2"/>
      <c r="CF773" s="1"/>
      <c r="CG773" s="1"/>
      <c r="CH773" s="1"/>
      <c r="CI773" s="1"/>
      <c r="CJ773" s="1"/>
      <c r="CK773" s="1"/>
      <c r="CL773" s="1"/>
    </row>
    <row r="774" spans="1:90" ht="14.65" x14ac:dyDescent="0.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2"/>
      <c r="L774" s="1"/>
      <c r="M774" s="1"/>
      <c r="N774" s="1"/>
      <c r="O774" s="1"/>
      <c r="P774" s="1"/>
      <c r="Q774" s="1"/>
      <c r="R774" s="1"/>
      <c r="S774" s="1"/>
      <c r="T774" s="2"/>
      <c r="U774" s="1"/>
      <c r="V774" s="1"/>
      <c r="W774" s="1"/>
      <c r="X774" s="1"/>
      <c r="Y774" s="1"/>
      <c r="Z774" s="1"/>
      <c r="AA774" s="1"/>
      <c r="AB774" s="1"/>
      <c r="AC774" s="2"/>
      <c r="AD774" s="1"/>
      <c r="AE774" s="1"/>
      <c r="AF774" s="1"/>
      <c r="AG774" s="1"/>
      <c r="AH774" s="1"/>
      <c r="AI774" s="1"/>
      <c r="AJ774" s="1"/>
      <c r="AK774" s="1"/>
      <c r="AL774" s="2"/>
      <c r="AM774" s="1"/>
      <c r="AN774" s="1"/>
      <c r="AO774" s="1"/>
      <c r="AP774" s="1"/>
      <c r="AQ774" s="1"/>
      <c r="AR774" s="1"/>
      <c r="AS774" s="1"/>
      <c r="AT774" s="1"/>
      <c r="AU774" s="2"/>
      <c r="AV774" s="1"/>
      <c r="AW774" s="1"/>
      <c r="AX774" s="1"/>
      <c r="AY774" s="1"/>
      <c r="AZ774" s="1"/>
      <c r="BA774" s="1"/>
      <c r="BB774" s="1"/>
      <c r="BC774" s="1"/>
      <c r="BD774" s="2"/>
      <c r="BE774" s="1"/>
      <c r="BF774" s="1"/>
      <c r="BG774" s="1"/>
      <c r="BH774" s="1"/>
      <c r="BI774" s="1"/>
      <c r="BJ774" s="1"/>
      <c r="BK774" s="1"/>
      <c r="BL774" s="1"/>
      <c r="BM774" s="2"/>
      <c r="BN774" s="1"/>
      <c r="BO774" s="1"/>
      <c r="BP774" s="1"/>
      <c r="BQ774" s="1"/>
      <c r="BR774" s="1"/>
      <c r="BS774" s="1"/>
      <c r="BT774" s="1"/>
      <c r="BU774" s="1"/>
      <c r="BV774" s="2"/>
      <c r="BW774" s="1"/>
      <c r="BX774" s="1"/>
      <c r="BY774" s="1"/>
      <c r="BZ774" s="1"/>
      <c r="CA774" s="1"/>
      <c r="CB774" s="1"/>
      <c r="CC774" s="1"/>
      <c r="CD774" s="1"/>
      <c r="CE774" s="2"/>
      <c r="CF774" s="1"/>
      <c r="CG774" s="1"/>
      <c r="CH774" s="1"/>
      <c r="CI774" s="1"/>
      <c r="CJ774" s="1"/>
      <c r="CK774" s="1"/>
      <c r="CL774" s="1"/>
    </row>
    <row r="775" spans="1:90" ht="14.65" x14ac:dyDescent="0.4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2"/>
      <c r="L775" s="2"/>
      <c r="M775" s="1"/>
      <c r="N775" s="1"/>
      <c r="O775" s="1"/>
      <c r="P775" s="1"/>
      <c r="Q775" s="1"/>
      <c r="R775" s="1"/>
      <c r="S775" s="1"/>
      <c r="T775" s="2"/>
      <c r="U775" s="1"/>
      <c r="V775" s="1"/>
      <c r="W775" s="1"/>
      <c r="X775" s="1"/>
      <c r="Y775" s="1"/>
      <c r="Z775" s="1"/>
      <c r="AA775" s="1"/>
      <c r="AB775" s="1"/>
      <c r="AC775" s="2"/>
      <c r="AD775" s="1"/>
      <c r="AE775" s="3"/>
      <c r="AF775" s="1"/>
      <c r="AG775" s="1"/>
      <c r="AH775" s="1"/>
      <c r="AI775" s="1"/>
      <c r="AJ775" s="1"/>
      <c r="AK775" s="1"/>
      <c r="AL775" s="2"/>
      <c r="AM775" s="1"/>
      <c r="AN775" s="1"/>
      <c r="AO775" s="1"/>
      <c r="AP775" s="1"/>
      <c r="AQ775" s="1"/>
      <c r="AR775" s="1"/>
      <c r="AS775" s="1"/>
      <c r="AT775" s="1"/>
      <c r="AU775" s="2"/>
      <c r="AV775" s="1"/>
      <c r="AW775" s="1"/>
      <c r="AX775" s="1"/>
      <c r="AY775" s="1"/>
      <c r="AZ775" s="1"/>
      <c r="BA775" s="1"/>
      <c r="BB775" s="1"/>
      <c r="BC775" s="1"/>
      <c r="BD775" s="2"/>
      <c r="BE775" s="1"/>
      <c r="BF775" s="1"/>
      <c r="BG775" s="1"/>
      <c r="BH775" s="1"/>
      <c r="BI775" s="1"/>
      <c r="BJ775" s="1"/>
      <c r="BK775" s="1"/>
      <c r="BL775" s="1"/>
      <c r="BM775" s="2"/>
      <c r="BN775" s="1"/>
      <c r="BO775" s="1"/>
      <c r="BP775" s="1"/>
      <c r="BQ775" s="1"/>
      <c r="BR775" s="1"/>
      <c r="BS775" s="1"/>
      <c r="BT775" s="1"/>
      <c r="BU775" s="1"/>
      <c r="BV775" s="2"/>
      <c r="BW775" s="1"/>
      <c r="BX775" s="1"/>
      <c r="BY775" s="1"/>
      <c r="BZ775" s="1"/>
      <c r="CA775" s="1"/>
      <c r="CB775" s="1"/>
      <c r="CC775" s="1"/>
      <c r="CD775" s="1"/>
      <c r="CE775" s="2"/>
      <c r="CF775" s="1"/>
      <c r="CG775" s="1"/>
      <c r="CH775" s="1"/>
      <c r="CI775" s="1"/>
      <c r="CJ775" s="1"/>
      <c r="CK775" s="1"/>
      <c r="CL775" s="1"/>
    </row>
    <row r="776" spans="1:90" ht="14.65" x14ac:dyDescent="0.4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2"/>
      <c r="L776" s="2"/>
      <c r="M776" s="1"/>
      <c r="N776" s="1"/>
      <c r="O776" s="1"/>
      <c r="P776" s="1"/>
      <c r="Q776" s="1"/>
      <c r="R776" s="1"/>
      <c r="S776" s="1"/>
      <c r="T776" s="2"/>
      <c r="U776" s="1"/>
      <c r="V776" s="1"/>
      <c r="W776" s="1"/>
      <c r="X776" s="1"/>
      <c r="Y776" s="1"/>
      <c r="Z776" s="1"/>
      <c r="AA776" s="1"/>
      <c r="AB776" s="1"/>
      <c r="AC776" s="2"/>
      <c r="AD776" s="1"/>
      <c r="AE776" s="1"/>
      <c r="AF776" s="1"/>
      <c r="AG776" s="1"/>
      <c r="AH776" s="1"/>
      <c r="AI776" s="1"/>
      <c r="AJ776" s="1"/>
      <c r="AK776" s="1"/>
      <c r="AL776" s="2"/>
      <c r="AM776" s="1"/>
      <c r="AN776" s="1"/>
      <c r="AO776" s="1"/>
      <c r="AP776" s="1"/>
      <c r="AQ776" s="1"/>
      <c r="AR776" s="1"/>
      <c r="AS776" s="1"/>
      <c r="AT776" s="1"/>
      <c r="AU776" s="2"/>
      <c r="AV776" s="1"/>
      <c r="AW776" s="1"/>
      <c r="AX776" s="1"/>
      <c r="AY776" s="1"/>
      <c r="AZ776" s="1"/>
      <c r="BA776" s="1"/>
      <c r="BB776" s="1"/>
      <c r="BC776" s="1"/>
      <c r="BD776" s="2"/>
      <c r="BE776" s="1"/>
      <c r="BF776" s="1"/>
      <c r="BG776" s="1"/>
      <c r="BH776" s="1"/>
      <c r="BI776" s="1"/>
      <c r="BJ776" s="1"/>
      <c r="BK776" s="1"/>
      <c r="BL776" s="1"/>
      <c r="BM776" s="2"/>
      <c r="BN776" s="1"/>
      <c r="BO776" s="1"/>
      <c r="BP776" s="1"/>
      <c r="BQ776" s="1"/>
      <c r="BR776" s="1"/>
      <c r="BS776" s="1"/>
      <c r="BT776" s="1"/>
      <c r="BU776" s="1"/>
      <c r="BV776" s="2"/>
      <c r="BW776" s="1"/>
      <c r="BX776" s="1"/>
      <c r="BY776" s="1"/>
      <c r="BZ776" s="1"/>
      <c r="CA776" s="1"/>
      <c r="CB776" s="1"/>
      <c r="CC776" s="1"/>
      <c r="CD776" s="1"/>
      <c r="CE776" s="2"/>
      <c r="CF776" s="1"/>
      <c r="CG776" s="1"/>
      <c r="CH776" s="1"/>
      <c r="CI776" s="1"/>
      <c r="CJ776" s="1"/>
      <c r="CK776" s="1"/>
      <c r="CL776" s="1"/>
    </row>
    <row r="777" spans="1:90" ht="14.65" x14ac:dyDescent="0.4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2"/>
      <c r="L777" s="1"/>
      <c r="M777" s="1"/>
      <c r="N777" s="1"/>
      <c r="O777" s="1"/>
      <c r="P777" s="1"/>
      <c r="Q777" s="1"/>
      <c r="R777" s="1"/>
      <c r="S777" s="1"/>
      <c r="T777" s="2"/>
      <c r="U777" s="1"/>
      <c r="V777" s="1"/>
      <c r="W777" s="1"/>
      <c r="X777" s="1"/>
      <c r="Y777" s="1"/>
      <c r="Z777" s="1"/>
      <c r="AA777" s="1"/>
      <c r="AB777" s="1"/>
      <c r="AC777" s="2"/>
      <c r="AD777" s="1"/>
      <c r="AE777" s="1"/>
      <c r="AF777" s="1"/>
      <c r="AG777" s="1"/>
      <c r="AH777" s="1"/>
      <c r="AI777" s="1"/>
      <c r="AJ777" s="1"/>
      <c r="AK777" s="1"/>
      <c r="AL777" s="2"/>
      <c r="AM777" s="1"/>
      <c r="AN777" s="1"/>
      <c r="AO777" s="1"/>
      <c r="AP777" s="1"/>
      <c r="AQ777" s="1"/>
      <c r="AR777" s="1"/>
      <c r="AS777" s="1"/>
      <c r="AT777" s="1"/>
      <c r="AU777" s="2"/>
      <c r="AV777" s="1"/>
      <c r="AW777" s="1"/>
      <c r="AX777" s="1"/>
      <c r="AY777" s="1"/>
      <c r="AZ777" s="1"/>
      <c r="BA777" s="1"/>
      <c r="BB777" s="1"/>
      <c r="BC777" s="1"/>
      <c r="BD777" s="2"/>
      <c r="BE777" s="1"/>
      <c r="BF777" s="1"/>
      <c r="BG777" s="1"/>
      <c r="BH777" s="1"/>
      <c r="BI777" s="1"/>
      <c r="BJ777" s="1"/>
      <c r="BK777" s="1"/>
      <c r="BL777" s="1"/>
      <c r="BM777" s="2"/>
      <c r="BN777" s="1"/>
      <c r="BO777" s="1"/>
      <c r="BP777" s="1"/>
      <c r="BQ777" s="1"/>
      <c r="BR777" s="1"/>
      <c r="BS777" s="1"/>
      <c r="BT777" s="1"/>
      <c r="BU777" s="1"/>
      <c r="BV777" s="2"/>
      <c r="BW777" s="1"/>
      <c r="BX777" s="1"/>
      <c r="BY777" s="1"/>
      <c r="BZ777" s="1"/>
      <c r="CA777" s="1"/>
      <c r="CB777" s="1"/>
      <c r="CC777" s="1"/>
      <c r="CD777" s="1"/>
      <c r="CE777" s="2"/>
      <c r="CF777" s="1"/>
      <c r="CG777" s="1"/>
      <c r="CH777" s="1"/>
      <c r="CI777" s="1"/>
      <c r="CJ777" s="1"/>
      <c r="CK777" s="1"/>
      <c r="CL777" s="1"/>
    </row>
    <row r="778" spans="1:90" ht="14.65" x14ac:dyDescent="0.4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2"/>
      <c r="L778" s="1"/>
      <c r="M778" s="1"/>
      <c r="N778" s="1"/>
      <c r="O778" s="1"/>
      <c r="P778" s="1"/>
      <c r="Q778" s="1"/>
      <c r="R778" s="1"/>
      <c r="S778" s="1"/>
      <c r="T778" s="2"/>
      <c r="U778" s="1"/>
      <c r="V778" s="1"/>
      <c r="W778" s="1"/>
      <c r="X778" s="1"/>
      <c r="Y778" s="1"/>
      <c r="Z778" s="1"/>
      <c r="AA778" s="1"/>
      <c r="AB778" s="1"/>
      <c r="AC778" s="2"/>
      <c r="AD778" s="1"/>
      <c r="AE778" s="1"/>
      <c r="AF778" s="1"/>
      <c r="AG778" s="1"/>
      <c r="AH778" s="1"/>
      <c r="AI778" s="1"/>
      <c r="AJ778" s="1"/>
      <c r="AK778" s="1"/>
      <c r="AL778" s="2"/>
      <c r="AM778" s="1"/>
      <c r="AN778" s="1"/>
      <c r="AO778" s="1"/>
      <c r="AP778" s="1"/>
      <c r="AQ778" s="1"/>
      <c r="AR778" s="1"/>
      <c r="AS778" s="1"/>
      <c r="AT778" s="1"/>
      <c r="AU778" s="2"/>
      <c r="AV778" s="1"/>
      <c r="AW778" s="1"/>
      <c r="AX778" s="1"/>
      <c r="AY778" s="1"/>
      <c r="AZ778" s="1"/>
      <c r="BA778" s="1"/>
      <c r="BB778" s="1"/>
      <c r="BC778" s="1"/>
      <c r="BD778" s="2"/>
      <c r="BE778" s="1"/>
      <c r="BF778" s="1"/>
      <c r="BG778" s="1"/>
      <c r="BH778" s="1"/>
      <c r="BI778" s="1"/>
      <c r="BJ778" s="1"/>
      <c r="BK778" s="1"/>
      <c r="BL778" s="1"/>
      <c r="BM778" s="2"/>
      <c r="BN778" s="1"/>
      <c r="BO778" s="1"/>
      <c r="BP778" s="1"/>
      <c r="BQ778" s="1"/>
      <c r="BR778" s="1"/>
      <c r="BS778" s="1"/>
      <c r="BT778" s="1"/>
      <c r="BU778" s="1"/>
      <c r="BV778" s="2"/>
      <c r="BW778" s="1"/>
      <c r="BX778" s="1"/>
      <c r="BY778" s="1"/>
      <c r="BZ778" s="1"/>
      <c r="CA778" s="1"/>
      <c r="CB778" s="1"/>
      <c r="CC778" s="1"/>
      <c r="CD778" s="1"/>
      <c r="CE778" s="2"/>
      <c r="CF778" s="1"/>
      <c r="CG778" s="1"/>
      <c r="CH778" s="1"/>
      <c r="CI778" s="1"/>
      <c r="CJ778" s="1"/>
      <c r="CK778" s="1"/>
      <c r="CL778" s="1"/>
    </row>
    <row r="779" spans="1:90" ht="14.65" x14ac:dyDescent="0.4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2"/>
      <c r="L779" s="1"/>
      <c r="M779" s="1"/>
      <c r="N779" s="1"/>
      <c r="O779" s="1"/>
      <c r="P779" s="1"/>
      <c r="Q779" s="1"/>
      <c r="R779" s="1"/>
      <c r="S779" s="1"/>
      <c r="T779" s="2"/>
      <c r="U779" s="1"/>
      <c r="V779" s="1"/>
      <c r="W779" s="1"/>
      <c r="X779" s="1"/>
      <c r="Y779" s="1"/>
      <c r="Z779" s="1"/>
      <c r="AA779" s="1"/>
      <c r="AB779" s="1"/>
      <c r="AC779" s="2"/>
      <c r="AD779" s="1"/>
      <c r="AE779" s="1"/>
      <c r="AF779" s="1"/>
      <c r="AG779" s="1"/>
      <c r="AH779" s="1"/>
      <c r="AI779" s="1"/>
      <c r="AJ779" s="1"/>
      <c r="AK779" s="1"/>
      <c r="AL779" s="2"/>
      <c r="AM779" s="1"/>
      <c r="AN779" s="1"/>
      <c r="AO779" s="1"/>
      <c r="AP779" s="1"/>
      <c r="AQ779" s="1"/>
      <c r="AR779" s="1"/>
      <c r="AS779" s="1"/>
      <c r="AT779" s="1"/>
      <c r="AU779" s="2"/>
      <c r="AV779" s="1"/>
      <c r="AW779" s="1"/>
      <c r="AX779" s="1"/>
      <c r="AY779" s="1"/>
      <c r="AZ779" s="1"/>
      <c r="BA779" s="1"/>
      <c r="BB779" s="1"/>
      <c r="BC779" s="1"/>
      <c r="BD779" s="2"/>
      <c r="BE779" s="1"/>
      <c r="BF779" s="1"/>
      <c r="BG779" s="1"/>
      <c r="BH779" s="1"/>
      <c r="BI779" s="1"/>
      <c r="BJ779" s="1"/>
      <c r="BK779" s="1"/>
      <c r="BL779" s="1"/>
      <c r="BM779" s="2"/>
      <c r="BN779" s="1"/>
      <c r="BO779" s="1"/>
      <c r="BP779" s="1"/>
      <c r="BQ779" s="1"/>
      <c r="BR779" s="1"/>
      <c r="BS779" s="1"/>
      <c r="BT779" s="1"/>
      <c r="BU779" s="1"/>
      <c r="BV779" s="2"/>
      <c r="BW779" s="1"/>
      <c r="BX779" s="1"/>
      <c r="BY779" s="1"/>
      <c r="BZ779" s="1"/>
      <c r="CA779" s="1"/>
      <c r="CB779" s="1"/>
      <c r="CC779" s="1"/>
      <c r="CD779" s="1"/>
      <c r="CE779" s="2"/>
      <c r="CF779" s="1"/>
      <c r="CG779" s="1"/>
      <c r="CH779" s="1"/>
      <c r="CI779" s="1"/>
      <c r="CJ779" s="1"/>
      <c r="CK779" s="1"/>
      <c r="CL779" s="1"/>
    </row>
    <row r="780" spans="1:90" ht="14.65" x14ac:dyDescent="0.4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2"/>
      <c r="L780" s="1"/>
      <c r="M780" s="1"/>
      <c r="N780" s="1"/>
      <c r="O780" s="1"/>
      <c r="P780" s="1"/>
      <c r="Q780" s="1"/>
      <c r="R780" s="1"/>
      <c r="S780" s="1"/>
      <c r="T780" s="2"/>
      <c r="U780" s="1"/>
      <c r="V780" s="1"/>
      <c r="W780" s="1"/>
      <c r="X780" s="1"/>
      <c r="Y780" s="1"/>
      <c r="Z780" s="1"/>
      <c r="AA780" s="1"/>
      <c r="AB780" s="1"/>
      <c r="AC780" s="2"/>
      <c r="AD780" s="1"/>
      <c r="AE780" s="1"/>
      <c r="AF780" s="1"/>
      <c r="AG780" s="1"/>
      <c r="AH780" s="1"/>
      <c r="AI780" s="1"/>
      <c r="AJ780" s="1"/>
      <c r="AK780" s="1"/>
      <c r="AL780" s="2"/>
      <c r="AM780" s="1"/>
      <c r="AN780" s="1"/>
      <c r="AO780" s="1"/>
      <c r="AP780" s="1"/>
      <c r="AQ780" s="1"/>
      <c r="AR780" s="1"/>
      <c r="AS780" s="1"/>
      <c r="AT780" s="1"/>
      <c r="AU780" s="2"/>
      <c r="AV780" s="1"/>
      <c r="AW780" s="1"/>
      <c r="AX780" s="1"/>
      <c r="AY780" s="1"/>
      <c r="AZ780" s="1"/>
      <c r="BA780" s="1"/>
      <c r="BB780" s="1"/>
      <c r="BC780" s="1"/>
      <c r="BD780" s="2"/>
      <c r="BE780" s="1"/>
      <c r="BF780" s="1"/>
      <c r="BG780" s="1"/>
      <c r="BH780" s="1"/>
      <c r="BI780" s="1"/>
      <c r="BJ780" s="1"/>
      <c r="BK780" s="1"/>
      <c r="BL780" s="1"/>
      <c r="BM780" s="2"/>
      <c r="BN780" s="1"/>
      <c r="BO780" s="1"/>
      <c r="BP780" s="1"/>
      <c r="BQ780" s="1"/>
      <c r="BR780" s="1"/>
      <c r="BS780" s="1"/>
      <c r="BT780" s="1"/>
      <c r="BU780" s="1"/>
      <c r="BV780" s="2"/>
      <c r="BW780" s="1"/>
      <c r="BX780" s="1"/>
      <c r="BY780" s="1"/>
      <c r="BZ780" s="1"/>
      <c r="CA780" s="1"/>
      <c r="CB780" s="1"/>
      <c r="CC780" s="1"/>
      <c r="CD780" s="1"/>
      <c r="CE780" s="2"/>
      <c r="CF780" s="1"/>
      <c r="CG780" s="1"/>
      <c r="CH780" s="1"/>
      <c r="CI780" s="1"/>
      <c r="CJ780" s="1"/>
      <c r="CK780" s="1"/>
      <c r="CL780" s="1"/>
    </row>
    <row r="781" spans="1:90" ht="14.65" x14ac:dyDescent="0.4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2"/>
      <c r="L781" s="1"/>
      <c r="M781" s="1"/>
      <c r="N781" s="1"/>
      <c r="O781" s="1"/>
      <c r="P781" s="1"/>
      <c r="Q781" s="1"/>
      <c r="R781" s="1"/>
      <c r="S781" s="1"/>
      <c r="T781" s="2"/>
      <c r="U781" s="1"/>
      <c r="V781" s="1"/>
      <c r="W781" s="1"/>
      <c r="X781" s="1"/>
      <c r="Y781" s="1"/>
      <c r="Z781" s="1"/>
      <c r="AA781" s="1"/>
      <c r="AB781" s="1"/>
      <c r="AC781" s="2"/>
      <c r="AD781" s="1"/>
      <c r="AE781" s="1"/>
      <c r="AF781" s="1"/>
      <c r="AG781" s="1"/>
      <c r="AH781" s="1"/>
      <c r="AI781" s="1"/>
      <c r="AJ781" s="1"/>
      <c r="AK781" s="1"/>
      <c r="AL781" s="2"/>
      <c r="AM781" s="1"/>
      <c r="AN781" s="1"/>
      <c r="AO781" s="1"/>
      <c r="AP781" s="1"/>
      <c r="AQ781" s="1"/>
      <c r="AR781" s="1"/>
      <c r="AS781" s="1"/>
      <c r="AT781" s="1"/>
      <c r="AU781" s="2"/>
      <c r="AV781" s="1"/>
      <c r="AW781" s="1"/>
      <c r="AX781" s="1"/>
      <c r="AY781" s="1"/>
      <c r="AZ781" s="1"/>
      <c r="BA781" s="1"/>
      <c r="BB781" s="1"/>
      <c r="BC781" s="1"/>
      <c r="BD781" s="2"/>
      <c r="BE781" s="1"/>
      <c r="BF781" s="1"/>
      <c r="BG781" s="1"/>
      <c r="BH781" s="1"/>
      <c r="BI781" s="1"/>
      <c r="BJ781" s="1"/>
      <c r="BK781" s="1"/>
      <c r="BL781" s="1"/>
      <c r="BM781" s="2"/>
      <c r="BN781" s="1"/>
      <c r="BO781" s="1"/>
      <c r="BP781" s="1"/>
      <c r="BQ781" s="1"/>
      <c r="BR781" s="1"/>
      <c r="BS781" s="1"/>
      <c r="BT781" s="1"/>
      <c r="BU781" s="1"/>
      <c r="BV781" s="2"/>
      <c r="BW781" s="1"/>
      <c r="BX781" s="1"/>
      <c r="BY781" s="1"/>
      <c r="BZ781" s="1"/>
      <c r="CA781" s="1"/>
      <c r="CB781" s="1"/>
      <c r="CC781" s="1"/>
      <c r="CD781" s="1"/>
      <c r="CE781" s="2"/>
      <c r="CF781" s="1"/>
      <c r="CG781" s="1"/>
      <c r="CH781" s="1"/>
      <c r="CI781" s="1"/>
      <c r="CJ781" s="1"/>
      <c r="CK781" s="1"/>
      <c r="CL781" s="1"/>
    </row>
    <row r="782" spans="1:90" ht="14.65" x14ac:dyDescent="0.4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2"/>
      <c r="L782" s="1"/>
      <c r="M782" s="1"/>
      <c r="N782" s="1"/>
      <c r="O782" s="1"/>
      <c r="P782" s="1"/>
      <c r="Q782" s="1"/>
      <c r="R782" s="1"/>
      <c r="S782" s="1"/>
      <c r="T782" s="2"/>
      <c r="U782" s="1"/>
      <c r="V782" s="1"/>
      <c r="W782" s="1"/>
      <c r="X782" s="1"/>
      <c r="Y782" s="1"/>
      <c r="Z782" s="1"/>
      <c r="AA782" s="1"/>
      <c r="AB782" s="1"/>
      <c r="AC782" s="2"/>
      <c r="AD782" s="1"/>
      <c r="AE782" s="1"/>
      <c r="AF782" s="1"/>
      <c r="AG782" s="1"/>
      <c r="AH782" s="1"/>
      <c r="AI782" s="1"/>
      <c r="AJ782" s="1"/>
      <c r="AK782" s="1"/>
      <c r="AL782" s="2"/>
      <c r="AM782" s="1"/>
      <c r="AN782" s="1"/>
      <c r="AO782" s="1"/>
      <c r="AP782" s="1"/>
      <c r="AQ782" s="1"/>
      <c r="AR782" s="1"/>
      <c r="AS782" s="1"/>
      <c r="AT782" s="1"/>
      <c r="AU782" s="2"/>
      <c r="AV782" s="1"/>
      <c r="AW782" s="1"/>
      <c r="AX782" s="1"/>
      <c r="AY782" s="1"/>
      <c r="AZ782" s="1"/>
      <c r="BA782" s="1"/>
      <c r="BB782" s="1"/>
      <c r="BC782" s="1"/>
      <c r="BD782" s="2"/>
      <c r="BE782" s="1"/>
      <c r="BF782" s="1"/>
      <c r="BG782" s="1"/>
      <c r="BH782" s="1"/>
      <c r="BI782" s="1"/>
      <c r="BJ782" s="1"/>
      <c r="BK782" s="1"/>
      <c r="BL782" s="1"/>
      <c r="BM782" s="2"/>
      <c r="BN782" s="1"/>
      <c r="BO782" s="1"/>
      <c r="BP782" s="1"/>
      <c r="BQ782" s="1"/>
      <c r="BR782" s="1"/>
      <c r="BS782" s="1"/>
      <c r="BT782" s="1"/>
      <c r="BU782" s="1"/>
      <c r="BV782" s="2"/>
      <c r="BW782" s="1"/>
      <c r="BX782" s="1"/>
      <c r="BY782" s="1"/>
      <c r="BZ782" s="1"/>
      <c r="CA782" s="1"/>
      <c r="CB782" s="1"/>
      <c r="CC782" s="1"/>
      <c r="CD782" s="1"/>
      <c r="CE782" s="2"/>
      <c r="CF782" s="1"/>
      <c r="CG782" s="1"/>
      <c r="CH782" s="1"/>
      <c r="CI782" s="1"/>
      <c r="CJ782" s="1"/>
      <c r="CK782" s="1"/>
      <c r="CL782" s="1"/>
    </row>
    <row r="783" spans="1:90" ht="14.65" x14ac:dyDescent="0.4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2"/>
      <c r="L783" s="1"/>
      <c r="M783" s="1"/>
      <c r="N783" s="1"/>
      <c r="O783" s="1"/>
      <c r="P783" s="1"/>
      <c r="Q783" s="1"/>
      <c r="R783" s="1"/>
      <c r="S783" s="1"/>
      <c r="T783" s="2"/>
      <c r="U783" s="1"/>
      <c r="V783" s="1"/>
      <c r="W783" s="1"/>
      <c r="X783" s="1"/>
      <c r="Y783" s="1"/>
      <c r="Z783" s="1"/>
      <c r="AA783" s="1"/>
      <c r="AB783" s="1"/>
      <c r="AC783" s="2"/>
      <c r="AD783" s="1"/>
      <c r="AE783" s="1"/>
      <c r="AF783" s="1"/>
      <c r="AG783" s="1"/>
      <c r="AH783" s="1"/>
      <c r="AI783" s="1"/>
      <c r="AJ783" s="1"/>
      <c r="AK783" s="1"/>
      <c r="AL783" s="2"/>
      <c r="AM783" s="1"/>
      <c r="AN783" s="1"/>
      <c r="AO783" s="1"/>
      <c r="AP783" s="1"/>
      <c r="AQ783" s="1"/>
      <c r="AR783" s="1"/>
      <c r="AS783" s="1"/>
      <c r="AT783" s="1"/>
      <c r="AU783" s="2"/>
      <c r="AV783" s="1"/>
      <c r="AW783" s="1"/>
      <c r="AX783" s="1"/>
      <c r="AY783" s="1"/>
      <c r="AZ783" s="1"/>
      <c r="BA783" s="1"/>
      <c r="BB783" s="1"/>
      <c r="BC783" s="1"/>
      <c r="BD783" s="2"/>
      <c r="BE783" s="1"/>
      <c r="BF783" s="1"/>
      <c r="BG783" s="1"/>
      <c r="BH783" s="1"/>
      <c r="BI783" s="1"/>
      <c r="BJ783" s="1"/>
      <c r="BK783" s="1"/>
      <c r="BL783" s="1"/>
      <c r="BM783" s="2"/>
      <c r="BN783" s="1"/>
      <c r="BO783" s="1"/>
      <c r="BP783" s="1"/>
      <c r="BQ783" s="1"/>
      <c r="BR783" s="1"/>
      <c r="BS783" s="1"/>
      <c r="BT783" s="1"/>
      <c r="BU783" s="1"/>
      <c r="BV783" s="2"/>
      <c r="BW783" s="1"/>
      <c r="BX783" s="1"/>
      <c r="BY783" s="1"/>
      <c r="BZ783" s="1"/>
      <c r="CA783" s="1"/>
      <c r="CB783" s="1"/>
      <c r="CC783" s="1"/>
      <c r="CD783" s="1"/>
      <c r="CE783" s="2"/>
      <c r="CF783" s="1"/>
      <c r="CG783" s="1"/>
      <c r="CH783" s="1"/>
      <c r="CI783" s="1"/>
      <c r="CJ783" s="1"/>
      <c r="CK783" s="1"/>
      <c r="CL783" s="1"/>
    </row>
    <row r="784" spans="1:90" ht="14.65" x14ac:dyDescent="0.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2"/>
      <c r="L784" s="1"/>
      <c r="M784" s="1"/>
      <c r="N784" s="1"/>
      <c r="O784" s="1"/>
      <c r="P784" s="1"/>
      <c r="Q784" s="1"/>
      <c r="R784" s="1"/>
      <c r="S784" s="1"/>
      <c r="T784" s="2"/>
      <c r="U784" s="1"/>
      <c r="V784" s="1"/>
      <c r="W784" s="1"/>
      <c r="X784" s="1"/>
      <c r="Y784" s="1"/>
      <c r="Z784" s="1"/>
      <c r="AA784" s="1"/>
      <c r="AB784" s="1"/>
      <c r="AC784" s="2"/>
      <c r="AD784" s="1"/>
      <c r="AE784" s="1"/>
      <c r="AF784" s="1"/>
      <c r="AG784" s="1"/>
      <c r="AH784" s="1"/>
      <c r="AI784" s="1"/>
      <c r="AJ784" s="1"/>
      <c r="AK784" s="1"/>
      <c r="AL784" s="2"/>
      <c r="AM784" s="1"/>
      <c r="AN784" s="1"/>
      <c r="AO784" s="1"/>
      <c r="AP784" s="1"/>
      <c r="AQ784" s="1"/>
      <c r="AR784" s="1"/>
      <c r="AS784" s="1"/>
      <c r="AT784" s="1"/>
      <c r="AU784" s="2"/>
      <c r="AV784" s="1"/>
      <c r="AW784" s="1"/>
      <c r="AX784" s="1"/>
      <c r="AY784" s="1"/>
      <c r="AZ784" s="1"/>
      <c r="BA784" s="1"/>
      <c r="BB784" s="1"/>
      <c r="BC784" s="1"/>
      <c r="BD784" s="2"/>
      <c r="BE784" s="1"/>
      <c r="BF784" s="1"/>
      <c r="BG784" s="1"/>
      <c r="BH784" s="1"/>
      <c r="BI784" s="1"/>
      <c r="BJ784" s="1"/>
      <c r="BK784" s="1"/>
      <c r="BL784" s="1"/>
      <c r="BM784" s="2"/>
      <c r="BN784" s="1"/>
      <c r="BO784" s="1"/>
      <c r="BP784" s="1"/>
      <c r="BQ784" s="1"/>
      <c r="BR784" s="1"/>
      <c r="BS784" s="1"/>
      <c r="BT784" s="1"/>
      <c r="BU784" s="1"/>
      <c r="BV784" s="2"/>
      <c r="BW784" s="1"/>
      <c r="BX784" s="1"/>
      <c r="BY784" s="1"/>
      <c r="BZ784" s="1"/>
      <c r="CA784" s="1"/>
      <c r="CB784" s="1"/>
      <c r="CC784" s="1"/>
      <c r="CD784" s="1"/>
      <c r="CE784" s="2"/>
      <c r="CF784" s="1"/>
      <c r="CG784" s="1"/>
      <c r="CH784" s="1"/>
      <c r="CI784" s="1"/>
      <c r="CJ784" s="1"/>
      <c r="CK784" s="1"/>
      <c r="CL784" s="1"/>
    </row>
    <row r="785" spans="1:90" ht="14.65" x14ac:dyDescent="0.4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2"/>
      <c r="L785" s="1"/>
      <c r="M785" s="1"/>
      <c r="N785" s="1"/>
      <c r="O785" s="1"/>
      <c r="P785" s="1"/>
      <c r="Q785" s="1"/>
      <c r="R785" s="1"/>
      <c r="S785" s="1"/>
      <c r="T785" s="2"/>
      <c r="U785" s="1"/>
      <c r="V785" s="1"/>
      <c r="W785" s="1"/>
      <c r="X785" s="1"/>
      <c r="Y785" s="1"/>
      <c r="Z785" s="1"/>
      <c r="AA785" s="1"/>
      <c r="AB785" s="1"/>
      <c r="AC785" s="2"/>
      <c r="AD785" s="1"/>
      <c r="AE785" s="1"/>
      <c r="AF785" s="1"/>
      <c r="AG785" s="1"/>
      <c r="AH785" s="1"/>
      <c r="AI785" s="1"/>
      <c r="AJ785" s="1"/>
      <c r="AK785" s="1"/>
      <c r="AL785" s="2"/>
      <c r="AM785" s="1"/>
      <c r="AN785" s="1"/>
      <c r="AO785" s="1"/>
      <c r="AP785" s="1"/>
      <c r="AQ785" s="1"/>
      <c r="AR785" s="1"/>
      <c r="AS785" s="1"/>
      <c r="AT785" s="1"/>
      <c r="AU785" s="2"/>
      <c r="AV785" s="1"/>
      <c r="AW785" s="1"/>
      <c r="AX785" s="1"/>
      <c r="AY785" s="1"/>
      <c r="AZ785" s="1"/>
      <c r="BA785" s="1"/>
      <c r="BB785" s="1"/>
      <c r="BC785" s="1"/>
      <c r="BD785" s="2"/>
      <c r="BE785" s="1"/>
      <c r="BF785" s="1"/>
      <c r="BG785" s="1"/>
      <c r="BH785" s="1"/>
      <c r="BI785" s="1"/>
      <c r="BJ785" s="1"/>
      <c r="BK785" s="1"/>
      <c r="BL785" s="1"/>
      <c r="BM785" s="2"/>
      <c r="BN785" s="1"/>
      <c r="BO785" s="1"/>
      <c r="BP785" s="1"/>
      <c r="BQ785" s="1"/>
      <c r="BR785" s="1"/>
      <c r="BS785" s="1"/>
      <c r="BT785" s="1"/>
      <c r="BU785" s="1"/>
      <c r="BV785" s="2"/>
      <c r="BW785" s="1"/>
      <c r="BX785" s="1"/>
      <c r="BY785" s="1"/>
      <c r="BZ785" s="1"/>
      <c r="CA785" s="1"/>
      <c r="CB785" s="1"/>
      <c r="CC785" s="1"/>
      <c r="CD785" s="1"/>
      <c r="CE785" s="2"/>
      <c r="CF785" s="1"/>
      <c r="CG785" s="1"/>
      <c r="CH785" s="1"/>
      <c r="CI785" s="1"/>
      <c r="CJ785" s="1"/>
      <c r="CK785" s="1"/>
      <c r="CL785" s="1"/>
    </row>
    <row r="786" spans="1:90" ht="14.65" x14ac:dyDescent="0.4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2"/>
      <c r="L786" s="1"/>
      <c r="M786" s="1"/>
      <c r="N786" s="1"/>
      <c r="O786" s="1"/>
      <c r="P786" s="1"/>
      <c r="Q786" s="1"/>
      <c r="R786" s="1"/>
      <c r="S786" s="1"/>
      <c r="T786" s="2"/>
      <c r="U786" s="1"/>
      <c r="V786" s="1"/>
      <c r="W786" s="1"/>
      <c r="X786" s="1"/>
      <c r="Y786" s="1"/>
      <c r="Z786" s="1"/>
      <c r="AA786" s="1"/>
      <c r="AB786" s="1"/>
      <c r="AC786" s="2"/>
      <c r="AD786" s="1"/>
      <c r="AE786" s="1"/>
      <c r="AF786" s="1"/>
      <c r="AG786" s="1"/>
      <c r="AH786" s="1"/>
      <c r="AI786" s="1"/>
      <c r="AJ786" s="1"/>
      <c r="AK786" s="1"/>
      <c r="AL786" s="2"/>
      <c r="AM786" s="1"/>
      <c r="AN786" s="1"/>
      <c r="AO786" s="1"/>
      <c r="AP786" s="1"/>
      <c r="AQ786" s="1"/>
      <c r="AR786" s="1"/>
      <c r="AS786" s="1"/>
      <c r="AT786" s="1"/>
      <c r="AU786" s="2"/>
      <c r="AV786" s="1"/>
      <c r="AW786" s="1"/>
      <c r="AX786" s="1"/>
      <c r="AY786" s="1"/>
      <c r="AZ786" s="1"/>
      <c r="BA786" s="1"/>
      <c r="BB786" s="1"/>
      <c r="BC786" s="1"/>
      <c r="BD786" s="2"/>
      <c r="BE786" s="1"/>
      <c r="BF786" s="1"/>
      <c r="BG786" s="1"/>
      <c r="BH786" s="1"/>
      <c r="BI786" s="1"/>
      <c r="BJ786" s="1"/>
      <c r="BK786" s="1"/>
      <c r="BL786" s="1"/>
      <c r="BM786" s="2"/>
      <c r="BN786" s="1"/>
      <c r="BO786" s="1"/>
      <c r="BP786" s="1"/>
      <c r="BQ786" s="1"/>
      <c r="BR786" s="1"/>
      <c r="BS786" s="1"/>
      <c r="BT786" s="1"/>
      <c r="BU786" s="1"/>
      <c r="BV786" s="2"/>
      <c r="BW786" s="1"/>
      <c r="BX786" s="1"/>
      <c r="BY786" s="1"/>
      <c r="BZ786" s="1"/>
      <c r="CA786" s="1"/>
      <c r="CB786" s="1"/>
      <c r="CC786" s="1"/>
      <c r="CD786" s="1"/>
      <c r="CE786" s="2"/>
      <c r="CF786" s="1"/>
      <c r="CG786" s="1"/>
      <c r="CH786" s="1"/>
      <c r="CI786" s="1"/>
      <c r="CJ786" s="1"/>
      <c r="CK786" s="1"/>
      <c r="CL786" s="1"/>
    </row>
    <row r="787" spans="1:90" ht="14.65" x14ac:dyDescent="0.4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2"/>
      <c r="L787" s="1"/>
      <c r="M787" s="1"/>
      <c r="N787" s="1"/>
      <c r="O787" s="1"/>
      <c r="P787" s="1"/>
      <c r="Q787" s="1"/>
      <c r="R787" s="1"/>
      <c r="S787" s="1"/>
      <c r="T787" s="2"/>
      <c r="U787" s="1"/>
      <c r="V787" s="1"/>
      <c r="W787" s="1"/>
      <c r="X787" s="1"/>
      <c r="Y787" s="1"/>
      <c r="Z787" s="1"/>
      <c r="AA787" s="1"/>
      <c r="AB787" s="1"/>
      <c r="AC787" s="2"/>
      <c r="AD787" s="1"/>
      <c r="AE787" s="1"/>
      <c r="AF787" s="1"/>
      <c r="AG787" s="1"/>
      <c r="AH787" s="1"/>
      <c r="AI787" s="1"/>
      <c r="AJ787" s="1"/>
      <c r="AK787" s="1"/>
      <c r="AL787" s="2"/>
      <c r="AM787" s="1"/>
      <c r="AN787" s="1"/>
      <c r="AO787" s="1"/>
      <c r="AP787" s="1"/>
      <c r="AQ787" s="1"/>
      <c r="AR787" s="1"/>
      <c r="AS787" s="1"/>
      <c r="AT787" s="1"/>
      <c r="AU787" s="2"/>
      <c r="AV787" s="1"/>
      <c r="AW787" s="1"/>
      <c r="AX787" s="1"/>
      <c r="AY787" s="1"/>
      <c r="AZ787" s="1"/>
      <c r="BA787" s="1"/>
      <c r="BB787" s="1"/>
      <c r="BC787" s="1"/>
      <c r="BD787" s="2"/>
      <c r="BE787" s="1"/>
      <c r="BF787" s="1"/>
      <c r="BG787" s="1"/>
      <c r="BH787" s="1"/>
      <c r="BI787" s="1"/>
      <c r="BJ787" s="1"/>
      <c r="BK787" s="1"/>
      <c r="BL787" s="1"/>
      <c r="BM787" s="2"/>
      <c r="BN787" s="1"/>
      <c r="BO787" s="1"/>
      <c r="BP787" s="1"/>
      <c r="BQ787" s="1"/>
      <c r="BR787" s="1"/>
      <c r="BS787" s="1"/>
      <c r="BT787" s="1"/>
      <c r="BU787" s="1"/>
      <c r="BV787" s="2"/>
      <c r="BW787" s="1"/>
      <c r="BX787" s="1"/>
      <c r="BY787" s="1"/>
      <c r="BZ787" s="1"/>
      <c r="CA787" s="1"/>
      <c r="CB787" s="1"/>
      <c r="CC787" s="1"/>
      <c r="CD787" s="1"/>
      <c r="CE787" s="2"/>
      <c r="CF787" s="1"/>
      <c r="CG787" s="1"/>
      <c r="CH787" s="1"/>
      <c r="CI787" s="1"/>
      <c r="CJ787" s="1"/>
      <c r="CK787" s="1"/>
      <c r="CL787" s="1"/>
    </row>
    <row r="788" spans="1:90" ht="14.65" x14ac:dyDescent="0.4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2"/>
      <c r="L788" s="1"/>
      <c r="M788" s="1"/>
      <c r="N788" s="1"/>
      <c r="O788" s="1"/>
      <c r="P788" s="1"/>
      <c r="Q788" s="1"/>
      <c r="R788" s="1"/>
      <c r="S788" s="1"/>
      <c r="T788" s="2"/>
      <c r="U788" s="1"/>
      <c r="V788" s="1"/>
      <c r="W788" s="1"/>
      <c r="X788" s="1"/>
      <c r="Y788" s="1"/>
      <c r="Z788" s="1"/>
      <c r="AA788" s="1"/>
      <c r="AB788" s="1"/>
      <c r="AC788" s="2"/>
      <c r="AD788" s="1"/>
      <c r="AE788" s="1"/>
      <c r="AF788" s="1"/>
      <c r="AG788" s="1"/>
      <c r="AH788" s="1"/>
      <c r="AI788" s="1"/>
      <c r="AJ788" s="1"/>
      <c r="AK788" s="1"/>
      <c r="AL788" s="2"/>
      <c r="AM788" s="1"/>
      <c r="AN788" s="1"/>
      <c r="AO788" s="1"/>
      <c r="AP788" s="1"/>
      <c r="AQ788" s="1"/>
      <c r="AR788" s="1"/>
      <c r="AS788" s="1"/>
      <c r="AT788" s="1"/>
      <c r="AU788" s="2"/>
      <c r="AV788" s="1"/>
      <c r="AW788" s="1"/>
      <c r="AX788" s="1"/>
      <c r="AY788" s="1"/>
      <c r="AZ788" s="1"/>
      <c r="BA788" s="1"/>
      <c r="BB788" s="1"/>
      <c r="BC788" s="1"/>
      <c r="BD788" s="2"/>
      <c r="BE788" s="1"/>
      <c r="BF788" s="1"/>
      <c r="BG788" s="1"/>
      <c r="BH788" s="1"/>
      <c r="BI788" s="1"/>
      <c r="BJ788" s="1"/>
      <c r="BK788" s="1"/>
      <c r="BL788" s="1"/>
      <c r="BM788" s="2"/>
      <c r="BN788" s="1"/>
      <c r="BO788" s="1"/>
      <c r="BP788" s="1"/>
      <c r="BQ788" s="1"/>
      <c r="BR788" s="1"/>
      <c r="BS788" s="1"/>
      <c r="BT788" s="1"/>
      <c r="BU788" s="1"/>
      <c r="BV788" s="2"/>
      <c r="BW788" s="1"/>
      <c r="BX788" s="1"/>
      <c r="BY788" s="1"/>
      <c r="BZ788" s="1"/>
      <c r="CA788" s="1"/>
      <c r="CB788" s="1"/>
      <c r="CC788" s="1"/>
      <c r="CD788" s="1"/>
      <c r="CE788" s="2"/>
      <c r="CF788" s="1"/>
      <c r="CG788" s="1"/>
      <c r="CH788" s="1"/>
      <c r="CI788" s="1"/>
      <c r="CJ788" s="1"/>
      <c r="CK788" s="1"/>
      <c r="CL788" s="1"/>
    </row>
    <row r="789" spans="1:90" ht="14.65" x14ac:dyDescent="0.4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2"/>
      <c r="L789" s="1"/>
      <c r="M789" s="1"/>
      <c r="N789" s="1"/>
      <c r="O789" s="1"/>
      <c r="P789" s="1"/>
      <c r="Q789" s="1"/>
      <c r="R789" s="1"/>
      <c r="S789" s="1"/>
      <c r="T789" s="2"/>
      <c r="U789" s="1"/>
      <c r="V789" s="1"/>
      <c r="W789" s="1"/>
      <c r="X789" s="1"/>
      <c r="Y789" s="1"/>
      <c r="Z789" s="1"/>
      <c r="AA789" s="1"/>
      <c r="AB789" s="1"/>
      <c r="AC789" s="2"/>
      <c r="AD789" s="1"/>
      <c r="AE789" s="1"/>
      <c r="AF789" s="1"/>
      <c r="AG789" s="1"/>
      <c r="AH789" s="1"/>
      <c r="AI789" s="1"/>
      <c r="AJ789" s="1"/>
      <c r="AK789" s="1"/>
      <c r="AL789" s="2"/>
      <c r="AM789" s="1"/>
      <c r="AN789" s="1"/>
      <c r="AO789" s="1"/>
      <c r="AP789" s="1"/>
      <c r="AQ789" s="1"/>
      <c r="AR789" s="1"/>
      <c r="AS789" s="1"/>
      <c r="AT789" s="1"/>
      <c r="AU789" s="2"/>
      <c r="AV789" s="1"/>
      <c r="AW789" s="1"/>
      <c r="AX789" s="1"/>
      <c r="AY789" s="1"/>
      <c r="AZ789" s="1"/>
      <c r="BA789" s="1"/>
      <c r="BB789" s="1"/>
      <c r="BC789" s="1"/>
      <c r="BD789" s="2"/>
      <c r="BE789" s="1"/>
      <c r="BF789" s="1"/>
      <c r="BG789" s="1"/>
      <c r="BH789" s="1"/>
      <c r="BI789" s="1"/>
      <c r="BJ789" s="1"/>
      <c r="BK789" s="1"/>
      <c r="BL789" s="1"/>
      <c r="BM789" s="2"/>
      <c r="BN789" s="1"/>
      <c r="BO789" s="1"/>
      <c r="BP789" s="1"/>
      <c r="BQ789" s="1"/>
      <c r="BR789" s="1"/>
      <c r="BS789" s="1"/>
      <c r="BT789" s="1"/>
      <c r="BU789" s="1"/>
      <c r="BV789" s="2"/>
      <c r="BW789" s="1"/>
      <c r="BX789" s="1"/>
      <c r="BY789" s="1"/>
      <c r="BZ789" s="1"/>
      <c r="CA789" s="1"/>
      <c r="CB789" s="1"/>
      <c r="CC789" s="1"/>
      <c r="CD789" s="1"/>
      <c r="CE789" s="2"/>
      <c r="CF789" s="1"/>
      <c r="CG789" s="1"/>
      <c r="CH789" s="1"/>
      <c r="CI789" s="1"/>
      <c r="CJ789" s="1"/>
      <c r="CK789" s="1"/>
      <c r="CL789" s="1"/>
    </row>
    <row r="790" spans="1:90" ht="14.65" x14ac:dyDescent="0.4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2"/>
      <c r="L790" s="1"/>
      <c r="M790" s="1"/>
      <c r="N790" s="1"/>
      <c r="O790" s="1"/>
      <c r="P790" s="1"/>
      <c r="Q790" s="1"/>
      <c r="R790" s="1"/>
      <c r="S790" s="1"/>
      <c r="T790" s="2"/>
      <c r="U790" s="1"/>
      <c r="V790" s="1"/>
      <c r="W790" s="1"/>
      <c r="X790" s="1"/>
      <c r="Y790" s="1"/>
      <c r="Z790" s="1"/>
      <c r="AA790" s="1"/>
      <c r="AB790" s="1"/>
      <c r="AC790" s="2"/>
      <c r="AD790" s="1"/>
      <c r="AE790" s="1"/>
      <c r="AF790" s="1"/>
      <c r="AG790" s="1"/>
      <c r="AH790" s="1"/>
      <c r="AI790" s="1"/>
      <c r="AJ790" s="1"/>
      <c r="AK790" s="1"/>
      <c r="AL790" s="2"/>
      <c r="AM790" s="1"/>
      <c r="AN790" s="1"/>
      <c r="AO790" s="1"/>
      <c r="AP790" s="1"/>
      <c r="AQ790" s="1"/>
      <c r="AR790" s="1"/>
      <c r="AS790" s="1"/>
      <c r="AT790" s="1"/>
      <c r="AU790" s="2"/>
      <c r="AV790" s="1"/>
      <c r="AW790" s="1"/>
      <c r="AX790" s="1"/>
      <c r="AY790" s="1"/>
      <c r="AZ790" s="1"/>
      <c r="BA790" s="1"/>
      <c r="BB790" s="1"/>
      <c r="BC790" s="1"/>
      <c r="BD790" s="2"/>
      <c r="BE790" s="1"/>
      <c r="BF790" s="1"/>
      <c r="BG790" s="1"/>
      <c r="BH790" s="1"/>
      <c r="BI790" s="1"/>
      <c r="BJ790" s="1"/>
      <c r="BK790" s="1"/>
      <c r="BL790" s="1"/>
      <c r="BM790" s="2"/>
      <c r="BN790" s="1"/>
      <c r="BO790" s="1"/>
      <c r="BP790" s="1"/>
      <c r="BQ790" s="1"/>
      <c r="BR790" s="1"/>
      <c r="BS790" s="1"/>
      <c r="BT790" s="1"/>
      <c r="BU790" s="1"/>
      <c r="BV790" s="2"/>
      <c r="BW790" s="1"/>
      <c r="BX790" s="1"/>
      <c r="BY790" s="1"/>
      <c r="BZ790" s="1"/>
      <c r="CA790" s="1"/>
      <c r="CB790" s="1"/>
      <c r="CC790" s="1"/>
      <c r="CD790" s="1"/>
      <c r="CE790" s="2"/>
      <c r="CF790" s="1"/>
      <c r="CG790" s="1"/>
      <c r="CH790" s="1"/>
      <c r="CI790" s="1"/>
      <c r="CJ790" s="1"/>
      <c r="CK790" s="1"/>
      <c r="CL790" s="1"/>
    </row>
    <row r="791" spans="1:90" ht="14.65" x14ac:dyDescent="0.4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2"/>
      <c r="L791" s="1"/>
      <c r="M791" s="1"/>
      <c r="N791" s="1"/>
      <c r="O791" s="1"/>
      <c r="P791" s="1"/>
      <c r="Q791" s="1"/>
      <c r="R791" s="1"/>
      <c r="S791" s="1"/>
      <c r="T791" s="2"/>
      <c r="U791" s="1"/>
      <c r="V791" s="1"/>
      <c r="W791" s="1"/>
      <c r="X791" s="1"/>
      <c r="Y791" s="1"/>
      <c r="Z791" s="1"/>
      <c r="AA791" s="1"/>
      <c r="AB791" s="1"/>
      <c r="AC791" s="2"/>
      <c r="AD791" s="1"/>
      <c r="AE791" s="1"/>
      <c r="AF791" s="1"/>
      <c r="AG791" s="1"/>
      <c r="AH791" s="1"/>
      <c r="AI791" s="1"/>
      <c r="AJ791" s="1"/>
      <c r="AK791" s="1"/>
      <c r="AL791" s="2"/>
      <c r="AM791" s="1"/>
      <c r="AN791" s="1"/>
      <c r="AO791" s="1"/>
      <c r="AP791" s="1"/>
      <c r="AQ791" s="1"/>
      <c r="AR791" s="1"/>
      <c r="AS791" s="1"/>
      <c r="AT791" s="1"/>
      <c r="AU791" s="2"/>
      <c r="AV791" s="1"/>
      <c r="AW791" s="1"/>
      <c r="AX791" s="1"/>
      <c r="AY791" s="1"/>
      <c r="AZ791" s="1"/>
      <c r="BA791" s="1"/>
      <c r="BB791" s="1"/>
      <c r="BC791" s="1"/>
      <c r="BD791" s="2"/>
      <c r="BE791" s="1"/>
      <c r="BF791" s="1"/>
      <c r="BG791" s="1"/>
      <c r="BH791" s="1"/>
      <c r="BI791" s="1"/>
      <c r="BJ791" s="1"/>
      <c r="BK791" s="1"/>
      <c r="BL791" s="1"/>
      <c r="BM791" s="2"/>
      <c r="BN791" s="1"/>
      <c r="BO791" s="1"/>
      <c r="BP791" s="1"/>
      <c r="BQ791" s="1"/>
      <c r="BR791" s="1"/>
      <c r="BS791" s="1"/>
      <c r="BT791" s="1"/>
      <c r="BU791" s="1"/>
      <c r="BV791" s="2"/>
      <c r="BW791" s="1"/>
      <c r="BX791" s="1"/>
      <c r="BY791" s="1"/>
      <c r="BZ791" s="1"/>
      <c r="CA791" s="1"/>
      <c r="CB791" s="1"/>
      <c r="CC791" s="1"/>
      <c r="CD791" s="1"/>
      <c r="CE791" s="2"/>
      <c r="CF791" s="1"/>
      <c r="CG791" s="1"/>
      <c r="CH791" s="1"/>
      <c r="CI791" s="1"/>
      <c r="CJ791" s="1"/>
      <c r="CK791" s="1"/>
      <c r="CL791" s="1"/>
    </row>
    <row r="792" spans="1:90" ht="14.65" x14ac:dyDescent="0.4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2"/>
      <c r="L792" s="1"/>
      <c r="M792" s="1"/>
      <c r="N792" s="1"/>
      <c r="O792" s="1"/>
      <c r="P792" s="1"/>
      <c r="Q792" s="1"/>
      <c r="R792" s="1"/>
      <c r="S792" s="1"/>
      <c r="T792" s="2"/>
      <c r="U792" s="1"/>
      <c r="V792" s="1"/>
      <c r="W792" s="1"/>
      <c r="X792" s="1"/>
      <c r="Y792" s="1"/>
      <c r="Z792" s="1"/>
      <c r="AA792" s="1"/>
      <c r="AB792" s="1"/>
      <c r="AC792" s="2"/>
      <c r="AD792" s="1"/>
      <c r="AE792" s="1"/>
      <c r="AF792" s="1"/>
      <c r="AG792" s="1"/>
      <c r="AH792" s="1"/>
      <c r="AI792" s="1"/>
      <c r="AJ792" s="1"/>
      <c r="AK792" s="1"/>
      <c r="AL792" s="2"/>
      <c r="AM792" s="1"/>
      <c r="AN792" s="1"/>
      <c r="AO792" s="1"/>
      <c r="AP792" s="1"/>
      <c r="AQ792" s="1"/>
      <c r="AR792" s="1"/>
      <c r="AS792" s="1"/>
      <c r="AT792" s="1"/>
      <c r="AU792" s="2"/>
      <c r="AV792" s="1"/>
      <c r="AW792" s="1"/>
      <c r="AX792" s="1"/>
      <c r="AY792" s="1"/>
      <c r="AZ792" s="1"/>
      <c r="BA792" s="1"/>
      <c r="BB792" s="1"/>
      <c r="BC792" s="1"/>
      <c r="BD792" s="2"/>
      <c r="BE792" s="1"/>
      <c r="BF792" s="1"/>
      <c r="BG792" s="1"/>
      <c r="BH792" s="1"/>
      <c r="BI792" s="1"/>
      <c r="BJ792" s="1"/>
      <c r="BK792" s="1"/>
      <c r="BL792" s="1"/>
      <c r="BM792" s="2"/>
      <c r="BN792" s="1"/>
      <c r="BO792" s="1"/>
      <c r="BP792" s="1"/>
      <c r="BQ792" s="1"/>
      <c r="BR792" s="1"/>
      <c r="BS792" s="1"/>
      <c r="BT792" s="1"/>
      <c r="BU792" s="1"/>
      <c r="BV792" s="2"/>
      <c r="BW792" s="1"/>
      <c r="BX792" s="1"/>
      <c r="BY792" s="1"/>
      <c r="BZ792" s="1"/>
      <c r="CA792" s="1"/>
      <c r="CB792" s="1"/>
      <c r="CC792" s="1"/>
      <c r="CD792" s="1"/>
      <c r="CE792" s="2"/>
      <c r="CF792" s="1"/>
      <c r="CG792" s="1"/>
      <c r="CH792" s="1"/>
      <c r="CI792" s="1"/>
      <c r="CJ792" s="1"/>
      <c r="CK792" s="1"/>
      <c r="CL792" s="1"/>
    </row>
    <row r="793" spans="1:90" ht="14.65" x14ac:dyDescent="0.4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2"/>
      <c r="L793" s="1"/>
      <c r="M793" s="1"/>
      <c r="N793" s="1"/>
      <c r="O793" s="1"/>
      <c r="P793" s="1"/>
      <c r="Q793" s="1"/>
      <c r="R793" s="1"/>
      <c r="S793" s="1"/>
      <c r="T793" s="2"/>
      <c r="U793" s="1"/>
      <c r="V793" s="1"/>
      <c r="W793" s="1"/>
      <c r="X793" s="1"/>
      <c r="Y793" s="1"/>
      <c r="Z793" s="1"/>
      <c r="AA793" s="1"/>
      <c r="AB793" s="1"/>
      <c r="AC793" s="2"/>
      <c r="AD793" s="1"/>
      <c r="AE793" s="1"/>
      <c r="AF793" s="1"/>
      <c r="AG793" s="1"/>
      <c r="AH793" s="1"/>
      <c r="AI793" s="1"/>
      <c r="AJ793" s="1"/>
      <c r="AK793" s="1"/>
      <c r="AL793" s="2"/>
      <c r="AM793" s="1"/>
      <c r="AN793" s="1"/>
      <c r="AO793" s="1"/>
      <c r="AP793" s="1"/>
      <c r="AQ793" s="1"/>
      <c r="AR793" s="1"/>
      <c r="AS793" s="1"/>
      <c r="AT793" s="1"/>
      <c r="AU793" s="2"/>
      <c r="AV793" s="1"/>
      <c r="AW793" s="1"/>
      <c r="AX793" s="1"/>
      <c r="AY793" s="1"/>
      <c r="AZ793" s="1"/>
      <c r="BA793" s="1"/>
      <c r="BB793" s="1"/>
      <c r="BC793" s="1"/>
      <c r="BD793" s="2"/>
      <c r="BE793" s="1"/>
      <c r="BF793" s="1"/>
      <c r="BG793" s="1"/>
      <c r="BH793" s="1"/>
      <c r="BI793" s="1"/>
      <c r="BJ793" s="1"/>
      <c r="BK793" s="1"/>
      <c r="BL793" s="1"/>
      <c r="BM793" s="2"/>
      <c r="BN793" s="1"/>
      <c r="BO793" s="1"/>
      <c r="BP793" s="1"/>
      <c r="BQ793" s="1"/>
      <c r="BR793" s="1"/>
      <c r="BS793" s="1"/>
      <c r="BT793" s="1"/>
      <c r="BU793" s="1"/>
      <c r="BV793" s="2"/>
      <c r="BW793" s="1"/>
      <c r="BX793" s="1"/>
      <c r="BY793" s="1"/>
      <c r="BZ793" s="1"/>
      <c r="CA793" s="1"/>
      <c r="CB793" s="1"/>
      <c r="CC793" s="1"/>
      <c r="CD793" s="1"/>
      <c r="CE793" s="2"/>
      <c r="CF793" s="1"/>
      <c r="CG793" s="1"/>
      <c r="CH793" s="1"/>
      <c r="CI793" s="1"/>
      <c r="CJ793" s="1"/>
      <c r="CK793" s="1"/>
      <c r="CL793" s="1"/>
    </row>
    <row r="794" spans="1:90" ht="14.65" x14ac:dyDescent="0.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2"/>
      <c r="L794" s="1"/>
      <c r="M794" s="1"/>
      <c r="N794" s="1"/>
      <c r="O794" s="1"/>
      <c r="P794" s="1"/>
      <c r="Q794" s="1"/>
      <c r="R794" s="1"/>
      <c r="S794" s="1"/>
      <c r="T794" s="2"/>
      <c r="U794" s="1"/>
      <c r="V794" s="1"/>
      <c r="W794" s="1"/>
      <c r="X794" s="1"/>
      <c r="Y794" s="1"/>
      <c r="Z794" s="1"/>
      <c r="AA794" s="1"/>
      <c r="AB794" s="1"/>
      <c r="AC794" s="2"/>
      <c r="AD794" s="1"/>
      <c r="AE794" s="3"/>
      <c r="AF794" s="1"/>
      <c r="AG794" s="1"/>
      <c r="AH794" s="1"/>
      <c r="AI794" s="1"/>
      <c r="AJ794" s="1"/>
      <c r="AK794" s="1"/>
      <c r="AL794" s="2"/>
      <c r="AM794" s="1"/>
      <c r="AN794" s="1"/>
      <c r="AO794" s="1"/>
      <c r="AP794" s="1"/>
      <c r="AQ794" s="1"/>
      <c r="AR794" s="1"/>
      <c r="AS794" s="1"/>
      <c r="AT794" s="1"/>
      <c r="AU794" s="2"/>
      <c r="AV794" s="1"/>
      <c r="AW794" s="1"/>
      <c r="AX794" s="1"/>
      <c r="AY794" s="1"/>
      <c r="AZ794" s="1"/>
      <c r="BA794" s="1"/>
      <c r="BB794" s="1"/>
      <c r="BC794" s="1"/>
      <c r="BD794" s="2"/>
      <c r="BE794" s="1"/>
      <c r="BF794" s="1"/>
      <c r="BG794" s="1"/>
      <c r="BH794" s="1"/>
      <c r="BI794" s="1"/>
      <c r="BJ794" s="1"/>
      <c r="BK794" s="1"/>
      <c r="BL794" s="1"/>
      <c r="BM794" s="2"/>
      <c r="BN794" s="1"/>
      <c r="BO794" s="1"/>
      <c r="BP794" s="1"/>
      <c r="BQ794" s="1"/>
      <c r="BR794" s="1"/>
      <c r="BS794" s="1"/>
      <c r="BT794" s="1"/>
      <c r="BU794" s="1"/>
      <c r="BV794" s="2"/>
      <c r="BW794" s="1"/>
      <c r="BX794" s="1"/>
      <c r="BY794" s="1"/>
      <c r="BZ794" s="1"/>
      <c r="CA794" s="1"/>
      <c r="CB794" s="1"/>
      <c r="CC794" s="1"/>
      <c r="CD794" s="1"/>
      <c r="CE794" s="2"/>
      <c r="CF794" s="1"/>
      <c r="CG794" s="1"/>
      <c r="CH794" s="1"/>
      <c r="CI794" s="1"/>
      <c r="CJ794" s="1"/>
      <c r="CK794" s="1"/>
      <c r="CL794" s="1"/>
    </row>
    <row r="795" spans="1:90" ht="14.65" x14ac:dyDescent="0.4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2"/>
      <c r="L795" s="1"/>
      <c r="M795" s="1"/>
      <c r="N795" s="1"/>
      <c r="O795" s="1"/>
      <c r="P795" s="1"/>
      <c r="Q795" s="1"/>
      <c r="R795" s="1"/>
      <c r="S795" s="1"/>
      <c r="T795" s="2"/>
      <c r="U795" s="1"/>
      <c r="V795" s="1"/>
      <c r="W795" s="1"/>
      <c r="X795" s="1"/>
      <c r="Y795" s="1"/>
      <c r="Z795" s="1"/>
      <c r="AA795" s="1"/>
      <c r="AB795" s="1"/>
      <c r="AC795" s="2"/>
      <c r="AD795" s="1"/>
      <c r="AE795" s="1"/>
      <c r="AF795" s="1"/>
      <c r="AG795" s="1"/>
      <c r="AH795" s="1"/>
      <c r="AI795" s="1"/>
      <c r="AJ795" s="1"/>
      <c r="AK795" s="1"/>
      <c r="AL795" s="2"/>
      <c r="AM795" s="1"/>
      <c r="AN795" s="1"/>
      <c r="AO795" s="1"/>
      <c r="AP795" s="1"/>
      <c r="AQ795" s="1"/>
      <c r="AR795" s="1"/>
      <c r="AS795" s="1"/>
      <c r="AT795" s="1"/>
      <c r="AU795" s="2"/>
      <c r="AV795" s="1"/>
      <c r="AW795" s="1"/>
      <c r="AX795" s="1"/>
      <c r="AY795" s="1"/>
      <c r="AZ795" s="1"/>
      <c r="BA795" s="1"/>
      <c r="BB795" s="1"/>
      <c r="BC795" s="1"/>
      <c r="BD795" s="2"/>
      <c r="BE795" s="1"/>
      <c r="BF795" s="1"/>
      <c r="BG795" s="1"/>
      <c r="BH795" s="1"/>
      <c r="BI795" s="1"/>
      <c r="BJ795" s="1"/>
      <c r="BK795" s="1"/>
      <c r="BL795" s="1"/>
      <c r="BM795" s="2"/>
      <c r="BN795" s="1"/>
      <c r="BO795" s="1"/>
      <c r="BP795" s="1"/>
      <c r="BQ795" s="1"/>
      <c r="BR795" s="1"/>
      <c r="BS795" s="1"/>
      <c r="BT795" s="1"/>
      <c r="BU795" s="1"/>
      <c r="BV795" s="2"/>
      <c r="BW795" s="1"/>
      <c r="BX795" s="1"/>
      <c r="BY795" s="1"/>
      <c r="BZ795" s="1"/>
      <c r="CA795" s="1"/>
      <c r="CB795" s="1"/>
      <c r="CC795" s="1"/>
      <c r="CD795" s="1"/>
      <c r="CE795" s="2"/>
      <c r="CF795" s="1"/>
      <c r="CG795" s="1"/>
      <c r="CH795" s="1"/>
      <c r="CI795" s="1"/>
      <c r="CJ795" s="1"/>
      <c r="CK795" s="1"/>
      <c r="CL795" s="1"/>
    </row>
    <row r="796" spans="1:90" ht="14.65" x14ac:dyDescent="0.4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2"/>
      <c r="L796" s="1"/>
      <c r="M796" s="1"/>
      <c r="N796" s="1"/>
      <c r="O796" s="1"/>
      <c r="P796" s="1"/>
      <c r="Q796" s="1"/>
      <c r="R796" s="1"/>
      <c r="S796" s="1"/>
      <c r="T796" s="2"/>
      <c r="U796" s="1"/>
      <c r="V796" s="1"/>
      <c r="W796" s="1"/>
      <c r="X796" s="1"/>
      <c r="Y796" s="1"/>
      <c r="Z796" s="1"/>
      <c r="AA796" s="1"/>
      <c r="AB796" s="1"/>
      <c r="AC796" s="2"/>
      <c r="AD796" s="1"/>
      <c r="AE796" s="3"/>
      <c r="AF796" s="1"/>
      <c r="AG796" s="1"/>
      <c r="AH796" s="1"/>
      <c r="AI796" s="1"/>
      <c r="AJ796" s="1"/>
      <c r="AK796" s="1"/>
      <c r="AL796" s="2"/>
      <c r="AM796" s="1"/>
      <c r="AN796" s="1"/>
      <c r="AO796" s="1"/>
      <c r="AP796" s="1"/>
      <c r="AQ796" s="1"/>
      <c r="AR796" s="1"/>
      <c r="AS796" s="1"/>
      <c r="AT796" s="1"/>
      <c r="AU796" s="2"/>
      <c r="AV796" s="1"/>
      <c r="AW796" s="1"/>
      <c r="AX796" s="1"/>
      <c r="AY796" s="1"/>
      <c r="AZ796" s="1"/>
      <c r="BA796" s="1"/>
      <c r="BB796" s="1"/>
      <c r="BC796" s="1"/>
      <c r="BD796" s="2"/>
      <c r="BE796" s="1"/>
      <c r="BF796" s="1"/>
      <c r="BG796" s="1"/>
      <c r="BH796" s="1"/>
      <c r="BI796" s="1"/>
      <c r="BJ796" s="1"/>
      <c r="BK796" s="1"/>
      <c r="BL796" s="1"/>
      <c r="BM796" s="2"/>
      <c r="BN796" s="1"/>
      <c r="BO796" s="1"/>
      <c r="BP796" s="1"/>
      <c r="BQ796" s="1"/>
      <c r="BR796" s="1"/>
      <c r="BS796" s="1"/>
      <c r="BT796" s="1"/>
      <c r="BU796" s="1"/>
      <c r="BV796" s="2"/>
      <c r="BW796" s="1"/>
      <c r="BX796" s="1"/>
      <c r="BY796" s="1"/>
      <c r="BZ796" s="1"/>
      <c r="CA796" s="1"/>
      <c r="CB796" s="1"/>
      <c r="CC796" s="1"/>
      <c r="CD796" s="1"/>
      <c r="CE796" s="2"/>
      <c r="CF796" s="1"/>
      <c r="CG796" s="1"/>
      <c r="CH796" s="1"/>
      <c r="CI796" s="1"/>
      <c r="CJ796" s="1"/>
      <c r="CK796" s="1"/>
      <c r="CL796" s="1"/>
    </row>
    <row r="797" spans="1:90" ht="14.65" x14ac:dyDescent="0.4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2"/>
      <c r="L797" s="1"/>
      <c r="M797" s="1"/>
      <c r="N797" s="1"/>
      <c r="O797" s="1"/>
      <c r="P797" s="1"/>
      <c r="Q797" s="1"/>
      <c r="R797" s="1"/>
      <c r="S797" s="1"/>
      <c r="T797" s="2"/>
      <c r="U797" s="1"/>
      <c r="V797" s="1"/>
      <c r="W797" s="1"/>
      <c r="X797" s="1"/>
      <c r="Y797" s="1"/>
      <c r="Z797" s="1"/>
      <c r="AA797" s="1"/>
      <c r="AB797" s="1"/>
      <c r="AC797" s="2"/>
      <c r="AD797" s="1"/>
      <c r="AE797" s="1"/>
      <c r="AF797" s="1"/>
      <c r="AG797" s="1"/>
      <c r="AH797" s="1"/>
      <c r="AI797" s="1"/>
      <c r="AJ797" s="1"/>
      <c r="AK797" s="1"/>
      <c r="AL797" s="2"/>
      <c r="AM797" s="1"/>
      <c r="AN797" s="1"/>
      <c r="AO797" s="1"/>
      <c r="AP797" s="1"/>
      <c r="AQ797" s="1"/>
      <c r="AR797" s="1"/>
      <c r="AS797" s="1"/>
      <c r="AT797" s="1"/>
      <c r="AU797" s="2"/>
      <c r="AV797" s="1"/>
      <c r="AW797" s="1"/>
      <c r="AX797" s="1"/>
      <c r="AY797" s="1"/>
      <c r="AZ797" s="1"/>
      <c r="BA797" s="1"/>
      <c r="BB797" s="1"/>
      <c r="BC797" s="1"/>
      <c r="BD797" s="2"/>
      <c r="BE797" s="1"/>
      <c r="BF797" s="1"/>
      <c r="BG797" s="1"/>
      <c r="BH797" s="1"/>
      <c r="BI797" s="1"/>
      <c r="BJ797" s="1"/>
      <c r="BK797" s="1"/>
      <c r="BL797" s="1"/>
      <c r="BM797" s="2"/>
      <c r="BN797" s="1"/>
      <c r="BO797" s="1"/>
      <c r="BP797" s="1"/>
      <c r="BQ797" s="1"/>
      <c r="BR797" s="1"/>
      <c r="BS797" s="1"/>
      <c r="BT797" s="1"/>
      <c r="BU797" s="1"/>
      <c r="BV797" s="2"/>
      <c r="BW797" s="1"/>
      <c r="BX797" s="1"/>
      <c r="BY797" s="1"/>
      <c r="BZ797" s="1"/>
      <c r="CA797" s="1"/>
      <c r="CB797" s="1"/>
      <c r="CC797" s="1"/>
      <c r="CD797" s="1"/>
      <c r="CE797" s="2"/>
      <c r="CF797" s="1"/>
      <c r="CG797" s="1"/>
      <c r="CH797" s="1"/>
      <c r="CI797" s="1"/>
      <c r="CJ797" s="1"/>
      <c r="CK797" s="1"/>
      <c r="CL797" s="1"/>
    </row>
    <row r="798" spans="1:90" ht="14.65" x14ac:dyDescent="0.4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2"/>
      <c r="L798" s="3"/>
      <c r="M798" s="1"/>
      <c r="N798" s="1"/>
      <c r="O798" s="1"/>
      <c r="P798" s="1"/>
      <c r="Q798" s="1"/>
      <c r="R798" s="1"/>
      <c r="S798" s="1"/>
      <c r="T798" s="2"/>
      <c r="U798" s="1"/>
      <c r="V798" s="1"/>
      <c r="W798" s="1"/>
      <c r="X798" s="1"/>
      <c r="Y798" s="1"/>
      <c r="Z798" s="1"/>
      <c r="AA798" s="1"/>
      <c r="AB798" s="1"/>
      <c r="AC798" s="2"/>
      <c r="AD798" s="1"/>
      <c r="AE798" s="1"/>
      <c r="AF798" s="1"/>
      <c r="AG798" s="1"/>
      <c r="AH798" s="1"/>
      <c r="AI798" s="1"/>
      <c r="AJ798" s="1"/>
      <c r="AK798" s="1"/>
      <c r="AL798" s="2"/>
      <c r="AM798" s="1"/>
      <c r="AN798" s="1"/>
      <c r="AO798" s="1"/>
      <c r="AP798" s="1"/>
      <c r="AQ798" s="1"/>
      <c r="AR798" s="1"/>
      <c r="AS798" s="1"/>
      <c r="AT798" s="1"/>
      <c r="AU798" s="2"/>
      <c r="AV798" s="1"/>
      <c r="AW798" s="1"/>
      <c r="AX798" s="1"/>
      <c r="AY798" s="1"/>
      <c r="AZ798" s="1"/>
      <c r="BA798" s="1"/>
      <c r="BB798" s="1"/>
      <c r="BC798" s="1"/>
      <c r="BD798" s="2"/>
      <c r="BE798" s="1"/>
      <c r="BF798" s="1"/>
      <c r="BG798" s="1"/>
      <c r="BH798" s="1"/>
      <c r="BI798" s="1"/>
      <c r="BJ798" s="1"/>
      <c r="BK798" s="1"/>
      <c r="BL798" s="1"/>
      <c r="BM798" s="2"/>
      <c r="BN798" s="1"/>
      <c r="BO798" s="1"/>
      <c r="BP798" s="1"/>
      <c r="BQ798" s="1"/>
      <c r="BR798" s="1"/>
      <c r="BS798" s="1"/>
      <c r="BT798" s="1"/>
      <c r="BU798" s="1"/>
      <c r="BV798" s="2"/>
      <c r="BW798" s="1"/>
      <c r="BX798" s="1"/>
      <c r="BY798" s="1"/>
      <c r="BZ798" s="1"/>
      <c r="CA798" s="1"/>
      <c r="CB798" s="1"/>
      <c r="CC798" s="1"/>
      <c r="CD798" s="1"/>
      <c r="CE798" s="2"/>
      <c r="CF798" s="1"/>
      <c r="CG798" s="1"/>
      <c r="CH798" s="1"/>
      <c r="CI798" s="1"/>
      <c r="CJ798" s="1"/>
      <c r="CK798" s="1"/>
      <c r="CL798" s="1"/>
    </row>
    <row r="799" spans="1:90" ht="14.65" x14ac:dyDescent="0.4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2"/>
      <c r="L799" s="1"/>
      <c r="M799" s="1"/>
      <c r="N799" s="1"/>
      <c r="O799" s="1"/>
      <c r="P799" s="1"/>
      <c r="Q799" s="1"/>
      <c r="R799" s="1"/>
      <c r="S799" s="1"/>
      <c r="T799" s="2"/>
      <c r="U799" s="1"/>
      <c r="V799" s="1"/>
      <c r="W799" s="1"/>
      <c r="X799" s="1"/>
      <c r="Y799" s="1"/>
      <c r="Z799" s="1"/>
      <c r="AA799" s="1"/>
      <c r="AB799" s="1"/>
      <c r="AC799" s="2"/>
      <c r="AD799" s="1"/>
      <c r="AE799" s="1"/>
      <c r="AF799" s="1"/>
      <c r="AG799" s="1"/>
      <c r="AH799" s="1"/>
      <c r="AI799" s="1"/>
      <c r="AJ799" s="1"/>
      <c r="AK799" s="1"/>
      <c r="AL799" s="2"/>
      <c r="AM799" s="1"/>
      <c r="AN799" s="1"/>
      <c r="AO799" s="1"/>
      <c r="AP799" s="1"/>
      <c r="AQ799" s="1"/>
      <c r="AR799" s="1"/>
      <c r="AS799" s="1"/>
      <c r="AT799" s="1"/>
      <c r="AU799" s="2"/>
      <c r="AV799" s="1"/>
      <c r="AW799" s="1"/>
      <c r="AX799" s="1"/>
      <c r="AY799" s="1"/>
      <c r="AZ799" s="1"/>
      <c r="BA799" s="1"/>
      <c r="BB799" s="1"/>
      <c r="BC799" s="1"/>
      <c r="BD799" s="2"/>
      <c r="BE799" s="1"/>
      <c r="BF799" s="1"/>
      <c r="BG799" s="1"/>
      <c r="BH799" s="1"/>
      <c r="BI799" s="1"/>
      <c r="BJ799" s="1"/>
      <c r="BK799" s="1"/>
      <c r="BL799" s="1"/>
      <c r="BM799" s="2"/>
      <c r="BN799" s="1"/>
      <c r="BO799" s="1"/>
      <c r="BP799" s="1"/>
      <c r="BQ799" s="1"/>
      <c r="BR799" s="1"/>
      <c r="BS799" s="1"/>
      <c r="BT799" s="1"/>
      <c r="BU799" s="1"/>
      <c r="BV799" s="2"/>
      <c r="BW799" s="1"/>
      <c r="BX799" s="1"/>
      <c r="BY799" s="1"/>
      <c r="BZ799" s="1"/>
      <c r="CA799" s="1"/>
      <c r="CB799" s="1"/>
      <c r="CC799" s="1"/>
      <c r="CD799" s="1"/>
      <c r="CE799" s="2"/>
      <c r="CF799" s="1"/>
      <c r="CG799" s="1"/>
      <c r="CH799" s="1"/>
      <c r="CI799" s="1"/>
      <c r="CJ799" s="1"/>
      <c r="CK799" s="1"/>
      <c r="CL799" s="1"/>
    </row>
    <row r="800" spans="1:90" ht="14.65" x14ac:dyDescent="0.4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2"/>
      <c r="L800" s="1"/>
      <c r="M800" s="1"/>
      <c r="N800" s="1"/>
      <c r="O800" s="1"/>
      <c r="P800" s="1"/>
      <c r="Q800" s="1"/>
      <c r="R800" s="1"/>
      <c r="S800" s="1"/>
      <c r="T800" s="2"/>
      <c r="U800" s="1"/>
      <c r="V800" s="1"/>
      <c r="W800" s="1"/>
      <c r="X800" s="1"/>
      <c r="Y800" s="1"/>
      <c r="Z800" s="1"/>
      <c r="AA800" s="1"/>
      <c r="AB800" s="1"/>
      <c r="AC800" s="2"/>
      <c r="AD800" s="1"/>
      <c r="AE800" s="1"/>
      <c r="AF800" s="1"/>
      <c r="AG800" s="1"/>
      <c r="AH800" s="1"/>
      <c r="AI800" s="1"/>
      <c r="AJ800" s="1"/>
      <c r="AK800" s="1"/>
      <c r="AL800" s="2"/>
      <c r="AM800" s="1"/>
      <c r="AN800" s="1"/>
      <c r="AO800" s="1"/>
      <c r="AP800" s="1"/>
      <c r="AQ800" s="1"/>
      <c r="AR800" s="1"/>
      <c r="AS800" s="1"/>
      <c r="AT800" s="1"/>
      <c r="AU800" s="2"/>
      <c r="AV800" s="1"/>
      <c r="AW800" s="1"/>
      <c r="AX800" s="1"/>
      <c r="AY800" s="1"/>
      <c r="AZ800" s="1"/>
      <c r="BA800" s="1"/>
      <c r="BB800" s="1"/>
      <c r="BC800" s="1"/>
      <c r="BD800" s="2"/>
      <c r="BE800" s="1"/>
      <c r="BF800" s="1"/>
      <c r="BG800" s="1"/>
      <c r="BH800" s="1"/>
      <c r="BI800" s="1"/>
      <c r="BJ800" s="1"/>
      <c r="BK800" s="1"/>
      <c r="BL800" s="1"/>
      <c r="BM800" s="2"/>
      <c r="BN800" s="1"/>
      <c r="BO800" s="1"/>
      <c r="BP800" s="1"/>
      <c r="BQ800" s="1"/>
      <c r="BR800" s="1"/>
      <c r="BS800" s="1"/>
      <c r="BT800" s="1"/>
      <c r="BU800" s="1"/>
      <c r="BV800" s="2"/>
      <c r="BW800" s="1"/>
      <c r="BX800" s="1"/>
      <c r="BY800" s="1"/>
      <c r="BZ800" s="1"/>
      <c r="CA800" s="1"/>
      <c r="CB800" s="1"/>
      <c r="CC800" s="1"/>
      <c r="CD800" s="1"/>
      <c r="CE800" s="2"/>
      <c r="CF800" s="1"/>
      <c r="CG800" s="1"/>
      <c r="CH800" s="1"/>
      <c r="CI800" s="1"/>
      <c r="CJ800" s="1"/>
      <c r="CK800" s="1"/>
      <c r="CL800" s="1"/>
    </row>
    <row r="801" spans="1:90" ht="14.65" x14ac:dyDescent="0.4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2"/>
      <c r="L801" s="1"/>
      <c r="M801" s="1"/>
      <c r="N801" s="1"/>
      <c r="O801" s="1"/>
      <c r="P801" s="1"/>
      <c r="Q801" s="1"/>
      <c r="R801" s="1"/>
      <c r="S801" s="1"/>
      <c r="T801" s="2"/>
      <c r="U801" s="1"/>
      <c r="V801" s="1"/>
      <c r="W801" s="1"/>
      <c r="X801" s="1"/>
      <c r="Y801" s="1"/>
      <c r="Z801" s="1"/>
      <c r="AA801" s="1"/>
      <c r="AB801" s="1"/>
      <c r="AC801" s="2"/>
      <c r="AD801" s="1"/>
      <c r="AE801" s="1"/>
      <c r="AF801" s="1"/>
      <c r="AG801" s="1"/>
      <c r="AH801" s="1"/>
      <c r="AI801" s="1"/>
      <c r="AJ801" s="1"/>
      <c r="AK801" s="1"/>
      <c r="AL801" s="2"/>
      <c r="AM801" s="1"/>
      <c r="AN801" s="1"/>
      <c r="AO801" s="1"/>
      <c r="AP801" s="1"/>
      <c r="AQ801" s="1"/>
      <c r="AR801" s="1"/>
      <c r="AS801" s="1"/>
      <c r="AT801" s="1"/>
      <c r="AU801" s="2"/>
      <c r="AV801" s="1"/>
      <c r="AW801" s="1"/>
      <c r="AX801" s="1"/>
      <c r="AY801" s="1"/>
      <c r="AZ801" s="1"/>
      <c r="BA801" s="1"/>
      <c r="BB801" s="1"/>
      <c r="BC801" s="1"/>
      <c r="BD801" s="2"/>
      <c r="BE801" s="1"/>
      <c r="BF801" s="1"/>
      <c r="BG801" s="1"/>
      <c r="BH801" s="1"/>
      <c r="BI801" s="1"/>
      <c r="BJ801" s="1"/>
      <c r="BK801" s="1"/>
      <c r="BL801" s="1"/>
      <c r="BM801" s="2"/>
      <c r="BN801" s="1"/>
      <c r="BO801" s="1"/>
      <c r="BP801" s="1"/>
      <c r="BQ801" s="1"/>
      <c r="BR801" s="1"/>
      <c r="BS801" s="1"/>
      <c r="BT801" s="1"/>
      <c r="BU801" s="1"/>
      <c r="BV801" s="2"/>
      <c r="BW801" s="1"/>
      <c r="BX801" s="1"/>
      <c r="BY801" s="1"/>
      <c r="BZ801" s="1"/>
      <c r="CA801" s="1"/>
      <c r="CB801" s="1"/>
      <c r="CC801" s="1"/>
      <c r="CD801" s="1"/>
      <c r="CE801" s="2"/>
      <c r="CF801" s="1"/>
      <c r="CG801" s="1"/>
      <c r="CH801" s="1"/>
      <c r="CI801" s="1"/>
      <c r="CJ801" s="1"/>
      <c r="CK801" s="1"/>
      <c r="CL801" s="1"/>
    </row>
    <row r="802" spans="1:90" ht="14.65" x14ac:dyDescent="0.4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2"/>
      <c r="L802" s="1"/>
      <c r="M802" s="1"/>
      <c r="N802" s="1"/>
      <c r="O802" s="1"/>
      <c r="P802" s="1"/>
      <c r="Q802" s="1"/>
      <c r="R802" s="1"/>
      <c r="S802" s="1"/>
      <c r="T802" s="2"/>
      <c r="U802" s="1"/>
      <c r="V802" s="1"/>
      <c r="W802" s="1"/>
      <c r="X802" s="1"/>
      <c r="Y802" s="1"/>
      <c r="Z802" s="1"/>
      <c r="AA802" s="1"/>
      <c r="AB802" s="1"/>
      <c r="AC802" s="2"/>
      <c r="AD802" s="1"/>
      <c r="AE802" s="1"/>
      <c r="AF802" s="1"/>
      <c r="AG802" s="1"/>
      <c r="AH802" s="1"/>
      <c r="AI802" s="1"/>
      <c r="AJ802" s="1"/>
      <c r="AK802" s="1"/>
      <c r="AL802" s="2"/>
      <c r="AM802" s="1"/>
      <c r="AN802" s="1"/>
      <c r="AO802" s="1"/>
      <c r="AP802" s="1"/>
      <c r="AQ802" s="1"/>
      <c r="AR802" s="1"/>
      <c r="AS802" s="1"/>
      <c r="AT802" s="1"/>
      <c r="AU802" s="2"/>
      <c r="AV802" s="1"/>
      <c r="AW802" s="1"/>
      <c r="AX802" s="1"/>
      <c r="AY802" s="1"/>
      <c r="AZ802" s="1"/>
      <c r="BA802" s="1"/>
      <c r="BB802" s="1"/>
      <c r="BC802" s="1"/>
      <c r="BD802" s="2"/>
      <c r="BE802" s="1"/>
      <c r="BF802" s="1"/>
      <c r="BG802" s="1"/>
      <c r="BH802" s="1"/>
      <c r="BI802" s="1"/>
      <c r="BJ802" s="1"/>
      <c r="BK802" s="1"/>
      <c r="BL802" s="1"/>
      <c r="BM802" s="2"/>
      <c r="BN802" s="1"/>
      <c r="BO802" s="1"/>
      <c r="BP802" s="1"/>
      <c r="BQ802" s="1"/>
      <c r="BR802" s="1"/>
      <c r="BS802" s="1"/>
      <c r="BT802" s="1"/>
      <c r="BU802" s="1"/>
      <c r="BV802" s="2"/>
      <c r="BW802" s="1"/>
      <c r="BX802" s="1"/>
      <c r="BY802" s="1"/>
      <c r="BZ802" s="1"/>
      <c r="CA802" s="1"/>
      <c r="CB802" s="1"/>
      <c r="CC802" s="1"/>
      <c r="CD802" s="1"/>
      <c r="CE802" s="2"/>
      <c r="CF802" s="1"/>
      <c r="CG802" s="1"/>
      <c r="CH802" s="1"/>
      <c r="CI802" s="1"/>
      <c r="CJ802" s="1"/>
      <c r="CK802" s="1"/>
      <c r="CL802" s="1"/>
    </row>
    <row r="803" spans="1:90" ht="14.65" x14ac:dyDescent="0.4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2"/>
      <c r="L803" s="1"/>
      <c r="M803" s="1"/>
      <c r="N803" s="1"/>
      <c r="O803" s="1"/>
      <c r="P803" s="1"/>
      <c r="Q803" s="1"/>
      <c r="R803" s="1"/>
      <c r="S803" s="1"/>
      <c r="T803" s="2"/>
      <c r="U803" s="1"/>
      <c r="V803" s="1"/>
      <c r="W803" s="1"/>
      <c r="X803" s="1"/>
      <c r="Y803" s="1"/>
      <c r="Z803" s="1"/>
      <c r="AA803" s="1"/>
      <c r="AB803" s="1"/>
      <c r="AC803" s="2"/>
      <c r="AD803" s="1"/>
      <c r="AE803" s="1"/>
      <c r="AF803" s="1"/>
      <c r="AG803" s="1"/>
      <c r="AH803" s="1"/>
      <c r="AI803" s="1"/>
      <c r="AJ803" s="1"/>
      <c r="AK803" s="1"/>
      <c r="AL803" s="2"/>
      <c r="AM803" s="1"/>
      <c r="AN803" s="1"/>
      <c r="AO803" s="1"/>
      <c r="AP803" s="1"/>
      <c r="AQ803" s="1"/>
      <c r="AR803" s="1"/>
      <c r="AS803" s="1"/>
      <c r="AT803" s="1"/>
      <c r="AU803" s="2"/>
      <c r="AV803" s="1"/>
      <c r="AW803" s="1"/>
      <c r="AX803" s="1"/>
      <c r="AY803" s="1"/>
      <c r="AZ803" s="1"/>
      <c r="BA803" s="1"/>
      <c r="BB803" s="1"/>
      <c r="BC803" s="1"/>
      <c r="BD803" s="2"/>
      <c r="BE803" s="1"/>
      <c r="BF803" s="1"/>
      <c r="BG803" s="1"/>
      <c r="BH803" s="1"/>
      <c r="BI803" s="1"/>
      <c r="BJ803" s="1"/>
      <c r="BK803" s="1"/>
      <c r="BL803" s="1"/>
      <c r="BM803" s="2"/>
      <c r="BN803" s="1"/>
      <c r="BO803" s="1"/>
      <c r="BP803" s="1"/>
      <c r="BQ803" s="1"/>
      <c r="BR803" s="1"/>
      <c r="BS803" s="1"/>
      <c r="BT803" s="1"/>
      <c r="BU803" s="1"/>
      <c r="BV803" s="2"/>
      <c r="BW803" s="1"/>
      <c r="BX803" s="1"/>
      <c r="BY803" s="1"/>
      <c r="BZ803" s="1"/>
      <c r="CA803" s="1"/>
      <c r="CB803" s="1"/>
      <c r="CC803" s="1"/>
      <c r="CD803" s="1"/>
      <c r="CE803" s="2"/>
      <c r="CF803" s="1"/>
      <c r="CG803" s="1"/>
      <c r="CH803" s="1"/>
      <c r="CI803" s="1"/>
      <c r="CJ803" s="1"/>
      <c r="CK803" s="1"/>
      <c r="CL803" s="1"/>
    </row>
    <row r="804" spans="1:90" ht="14.65" x14ac:dyDescent="0.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2"/>
      <c r="L804" s="1"/>
      <c r="M804" s="1"/>
      <c r="N804" s="1"/>
      <c r="O804" s="1"/>
      <c r="P804" s="1"/>
      <c r="Q804" s="1"/>
      <c r="R804" s="1"/>
      <c r="S804" s="1"/>
      <c r="T804" s="2"/>
      <c r="U804" s="1"/>
      <c r="V804" s="1"/>
      <c r="W804" s="1"/>
      <c r="X804" s="1"/>
      <c r="Y804" s="1"/>
      <c r="Z804" s="1"/>
      <c r="AA804" s="1"/>
      <c r="AB804" s="1"/>
      <c r="AC804" s="2"/>
      <c r="AD804" s="1"/>
      <c r="AE804" s="1"/>
      <c r="AF804" s="1"/>
      <c r="AG804" s="1"/>
      <c r="AH804" s="1"/>
      <c r="AI804" s="1"/>
      <c r="AJ804" s="1"/>
      <c r="AK804" s="1"/>
      <c r="AL804" s="2"/>
      <c r="AM804" s="1"/>
      <c r="AN804" s="1"/>
      <c r="AO804" s="1"/>
      <c r="AP804" s="1"/>
      <c r="AQ804" s="1"/>
      <c r="AR804" s="1"/>
      <c r="AS804" s="1"/>
      <c r="AT804" s="1"/>
      <c r="AU804" s="2"/>
      <c r="AV804" s="1"/>
      <c r="AW804" s="1"/>
      <c r="AX804" s="1"/>
      <c r="AY804" s="1"/>
      <c r="AZ804" s="1"/>
      <c r="BA804" s="1"/>
      <c r="BB804" s="1"/>
      <c r="BC804" s="1"/>
      <c r="BD804" s="2"/>
      <c r="BE804" s="1"/>
      <c r="BF804" s="1"/>
      <c r="BG804" s="1"/>
      <c r="BH804" s="1"/>
      <c r="BI804" s="1"/>
      <c r="BJ804" s="1"/>
      <c r="BK804" s="1"/>
      <c r="BL804" s="1"/>
      <c r="BM804" s="2"/>
      <c r="BN804" s="1"/>
      <c r="BO804" s="1"/>
      <c r="BP804" s="1"/>
      <c r="BQ804" s="1"/>
      <c r="BR804" s="1"/>
      <c r="BS804" s="1"/>
      <c r="BT804" s="1"/>
      <c r="BU804" s="1"/>
      <c r="BV804" s="2"/>
      <c r="BW804" s="1"/>
      <c r="BX804" s="1"/>
      <c r="BY804" s="1"/>
      <c r="BZ804" s="1"/>
      <c r="CA804" s="1"/>
      <c r="CB804" s="1"/>
      <c r="CC804" s="1"/>
      <c r="CD804" s="1"/>
      <c r="CE804" s="2"/>
      <c r="CF804" s="1"/>
      <c r="CG804" s="1"/>
      <c r="CH804" s="1"/>
      <c r="CI804" s="1"/>
      <c r="CJ804" s="1"/>
      <c r="CK804" s="1"/>
      <c r="CL804" s="1"/>
    </row>
    <row r="805" spans="1:90" ht="14.65" x14ac:dyDescent="0.4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2"/>
      <c r="L805" s="1"/>
      <c r="M805" s="1"/>
      <c r="N805" s="1"/>
      <c r="O805" s="1"/>
      <c r="P805" s="1"/>
      <c r="Q805" s="1"/>
      <c r="R805" s="1"/>
      <c r="S805" s="1"/>
      <c r="T805" s="2"/>
      <c r="U805" s="1"/>
      <c r="V805" s="1"/>
      <c r="W805" s="1"/>
      <c r="X805" s="1"/>
      <c r="Y805" s="1"/>
      <c r="Z805" s="1"/>
      <c r="AA805" s="1"/>
      <c r="AB805" s="1"/>
      <c r="AC805" s="2"/>
      <c r="AD805" s="1"/>
      <c r="AE805" s="1"/>
      <c r="AF805" s="1"/>
      <c r="AG805" s="1"/>
      <c r="AH805" s="1"/>
      <c r="AI805" s="1"/>
      <c r="AJ805" s="1"/>
      <c r="AK805" s="1"/>
      <c r="AL805" s="2"/>
      <c r="AM805" s="1"/>
      <c r="AN805" s="1"/>
      <c r="AO805" s="1"/>
      <c r="AP805" s="1"/>
      <c r="AQ805" s="1"/>
      <c r="AR805" s="1"/>
      <c r="AS805" s="1"/>
      <c r="AT805" s="1"/>
      <c r="AU805" s="2"/>
      <c r="AV805" s="1"/>
      <c r="AW805" s="1"/>
      <c r="AX805" s="1"/>
      <c r="AY805" s="1"/>
      <c r="AZ805" s="1"/>
      <c r="BA805" s="1"/>
      <c r="BB805" s="1"/>
      <c r="BC805" s="1"/>
      <c r="BD805" s="2"/>
      <c r="BE805" s="1"/>
      <c r="BF805" s="1"/>
      <c r="BG805" s="1"/>
      <c r="BH805" s="1"/>
      <c r="BI805" s="1"/>
      <c r="BJ805" s="1"/>
      <c r="BK805" s="1"/>
      <c r="BL805" s="1"/>
      <c r="BM805" s="2"/>
      <c r="BN805" s="1"/>
      <c r="BO805" s="1"/>
      <c r="BP805" s="1"/>
      <c r="BQ805" s="1"/>
      <c r="BR805" s="1"/>
      <c r="BS805" s="1"/>
      <c r="BT805" s="1"/>
      <c r="BU805" s="1"/>
      <c r="BV805" s="2"/>
      <c r="BW805" s="1"/>
      <c r="BX805" s="1"/>
      <c r="BY805" s="1"/>
      <c r="BZ805" s="1"/>
      <c r="CA805" s="1"/>
      <c r="CB805" s="1"/>
      <c r="CC805" s="1"/>
      <c r="CD805" s="1"/>
      <c r="CE805" s="2"/>
      <c r="CF805" s="1"/>
      <c r="CG805" s="1"/>
      <c r="CH805" s="1"/>
      <c r="CI805" s="1"/>
      <c r="CJ805" s="1"/>
      <c r="CK805" s="1"/>
      <c r="CL805" s="1"/>
    </row>
    <row r="806" spans="1:90" ht="14.65" x14ac:dyDescent="0.4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2"/>
      <c r="L806" s="1"/>
      <c r="M806" s="1"/>
      <c r="N806" s="1"/>
      <c r="O806" s="1"/>
      <c r="P806" s="1"/>
      <c r="Q806" s="1"/>
      <c r="R806" s="1"/>
      <c r="S806" s="1"/>
      <c r="T806" s="2"/>
      <c r="U806" s="1"/>
      <c r="V806" s="1"/>
      <c r="W806" s="1"/>
      <c r="X806" s="1"/>
      <c r="Y806" s="1"/>
      <c r="Z806" s="1"/>
      <c r="AA806" s="1"/>
      <c r="AB806" s="1"/>
      <c r="AC806" s="2"/>
      <c r="AD806" s="1"/>
      <c r="AE806" s="1"/>
      <c r="AF806" s="1"/>
      <c r="AG806" s="1"/>
      <c r="AH806" s="1"/>
      <c r="AI806" s="1"/>
      <c r="AJ806" s="1"/>
      <c r="AK806" s="1"/>
      <c r="AL806" s="2"/>
      <c r="AM806" s="1"/>
      <c r="AN806" s="1"/>
      <c r="AO806" s="1"/>
      <c r="AP806" s="1"/>
      <c r="AQ806" s="1"/>
      <c r="AR806" s="1"/>
      <c r="AS806" s="1"/>
      <c r="AT806" s="1"/>
      <c r="AU806" s="2"/>
      <c r="AV806" s="1"/>
      <c r="AW806" s="1"/>
      <c r="AX806" s="1"/>
      <c r="AY806" s="1"/>
      <c r="AZ806" s="1"/>
      <c r="BA806" s="1"/>
      <c r="BB806" s="1"/>
      <c r="BC806" s="1"/>
      <c r="BD806" s="2"/>
      <c r="BE806" s="1"/>
      <c r="BF806" s="1"/>
      <c r="BG806" s="1"/>
      <c r="BH806" s="1"/>
      <c r="BI806" s="1"/>
      <c r="BJ806" s="1"/>
      <c r="BK806" s="1"/>
      <c r="BL806" s="1"/>
      <c r="BM806" s="2"/>
      <c r="BN806" s="1"/>
      <c r="BO806" s="1"/>
      <c r="BP806" s="1"/>
      <c r="BQ806" s="1"/>
      <c r="BR806" s="1"/>
      <c r="BS806" s="1"/>
      <c r="BT806" s="1"/>
      <c r="BU806" s="1"/>
      <c r="BV806" s="2"/>
      <c r="BW806" s="1"/>
      <c r="BX806" s="1"/>
      <c r="BY806" s="1"/>
      <c r="BZ806" s="1"/>
      <c r="CA806" s="1"/>
      <c r="CB806" s="1"/>
      <c r="CC806" s="1"/>
      <c r="CD806" s="1"/>
      <c r="CE806" s="2"/>
      <c r="CF806" s="1"/>
      <c r="CG806" s="1"/>
      <c r="CH806" s="1"/>
      <c r="CI806" s="1"/>
      <c r="CJ806" s="1"/>
      <c r="CK806" s="1"/>
      <c r="CL806" s="1"/>
    </row>
    <row r="807" spans="1:90" ht="14.65" x14ac:dyDescent="0.4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2"/>
      <c r="L807" s="1"/>
      <c r="M807" s="1"/>
      <c r="N807" s="1"/>
      <c r="O807" s="1"/>
      <c r="P807" s="1"/>
      <c r="Q807" s="1"/>
      <c r="R807" s="1"/>
      <c r="S807" s="1"/>
      <c r="T807" s="2"/>
      <c r="U807" s="1"/>
      <c r="V807" s="1"/>
      <c r="W807" s="1"/>
      <c r="X807" s="1"/>
      <c r="Y807" s="1"/>
      <c r="Z807" s="1"/>
      <c r="AA807" s="1"/>
      <c r="AB807" s="1"/>
      <c r="AC807" s="2"/>
      <c r="AD807" s="1"/>
      <c r="AE807" s="1"/>
      <c r="AF807" s="1"/>
      <c r="AG807" s="1"/>
      <c r="AH807" s="1"/>
      <c r="AI807" s="1"/>
      <c r="AJ807" s="1"/>
      <c r="AK807" s="1"/>
      <c r="AL807" s="2"/>
      <c r="AM807" s="1"/>
      <c r="AN807" s="1"/>
      <c r="AO807" s="1"/>
      <c r="AP807" s="1"/>
      <c r="AQ807" s="1"/>
      <c r="AR807" s="1"/>
      <c r="AS807" s="1"/>
      <c r="AT807" s="1"/>
      <c r="AU807" s="2"/>
      <c r="AV807" s="1"/>
      <c r="AW807" s="1"/>
      <c r="AX807" s="1"/>
      <c r="AY807" s="1"/>
      <c r="AZ807" s="1"/>
      <c r="BA807" s="1"/>
      <c r="BB807" s="1"/>
      <c r="BC807" s="1"/>
      <c r="BD807" s="2"/>
      <c r="BE807" s="1"/>
      <c r="BF807" s="1"/>
      <c r="BG807" s="1"/>
      <c r="BH807" s="1"/>
      <c r="BI807" s="1"/>
      <c r="BJ807" s="1"/>
      <c r="BK807" s="1"/>
      <c r="BL807" s="1"/>
      <c r="BM807" s="2"/>
      <c r="BN807" s="1"/>
      <c r="BO807" s="1"/>
      <c r="BP807" s="1"/>
      <c r="BQ807" s="1"/>
      <c r="BR807" s="1"/>
      <c r="BS807" s="1"/>
      <c r="BT807" s="1"/>
      <c r="BU807" s="1"/>
      <c r="BV807" s="2"/>
      <c r="BW807" s="1"/>
      <c r="BX807" s="1"/>
      <c r="BY807" s="1"/>
      <c r="BZ807" s="1"/>
      <c r="CA807" s="1"/>
      <c r="CB807" s="1"/>
      <c r="CC807" s="1"/>
      <c r="CD807" s="1"/>
      <c r="CE807" s="2"/>
      <c r="CF807" s="1"/>
      <c r="CG807" s="1"/>
      <c r="CH807" s="1"/>
      <c r="CI807" s="1"/>
      <c r="CJ807" s="1"/>
      <c r="CK807" s="1"/>
      <c r="CL807" s="1"/>
    </row>
    <row r="808" spans="1:90" ht="14.65" x14ac:dyDescent="0.4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2"/>
      <c r="L808" s="1"/>
      <c r="M808" s="1"/>
      <c r="N808" s="1"/>
      <c r="O808" s="1"/>
      <c r="P808" s="1"/>
      <c r="Q808" s="1"/>
      <c r="R808" s="1"/>
      <c r="S808" s="1"/>
      <c r="T808" s="2"/>
      <c r="U808" s="1"/>
      <c r="V808" s="1"/>
      <c r="W808" s="1"/>
      <c r="X808" s="1"/>
      <c r="Y808" s="1"/>
      <c r="Z808" s="1"/>
      <c r="AA808" s="1"/>
      <c r="AB808" s="1"/>
      <c r="AC808" s="2"/>
      <c r="AD808" s="1"/>
      <c r="AE808" s="1"/>
      <c r="AF808" s="1"/>
      <c r="AG808" s="1"/>
      <c r="AH808" s="1"/>
      <c r="AI808" s="1"/>
      <c r="AJ808" s="1"/>
      <c r="AK808" s="1"/>
      <c r="AL808" s="2"/>
      <c r="AM808" s="1"/>
      <c r="AN808" s="1"/>
      <c r="AO808" s="1"/>
      <c r="AP808" s="1"/>
      <c r="AQ808" s="1"/>
      <c r="AR808" s="1"/>
      <c r="AS808" s="1"/>
      <c r="AT808" s="1"/>
      <c r="AU808" s="2"/>
      <c r="AV808" s="1"/>
      <c r="AW808" s="1"/>
      <c r="AX808" s="1"/>
      <c r="AY808" s="1"/>
      <c r="AZ808" s="1"/>
      <c r="BA808" s="1"/>
      <c r="BB808" s="1"/>
      <c r="BC808" s="1"/>
      <c r="BD808" s="2"/>
      <c r="BE808" s="1"/>
      <c r="BF808" s="1"/>
      <c r="BG808" s="1"/>
      <c r="BH808" s="1"/>
      <c r="BI808" s="1"/>
      <c r="BJ808" s="1"/>
      <c r="BK808" s="1"/>
      <c r="BL808" s="1"/>
      <c r="BM808" s="2"/>
      <c r="BN808" s="1"/>
      <c r="BO808" s="1"/>
      <c r="BP808" s="1"/>
      <c r="BQ808" s="1"/>
      <c r="BR808" s="1"/>
      <c r="BS808" s="1"/>
      <c r="BT808" s="1"/>
      <c r="BU808" s="1"/>
      <c r="BV808" s="2"/>
      <c r="BW808" s="1"/>
      <c r="BX808" s="1"/>
      <c r="BY808" s="1"/>
      <c r="BZ808" s="1"/>
      <c r="CA808" s="1"/>
      <c r="CB808" s="1"/>
      <c r="CC808" s="1"/>
      <c r="CD808" s="1"/>
      <c r="CE808" s="2"/>
      <c r="CF808" s="1"/>
      <c r="CG808" s="1"/>
      <c r="CH808" s="1"/>
      <c r="CI808" s="1"/>
      <c r="CJ808" s="1"/>
      <c r="CK808" s="1"/>
      <c r="CL808" s="1"/>
    </row>
    <row r="809" spans="1:90" ht="14.65" x14ac:dyDescent="0.4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2"/>
      <c r="L809" s="1"/>
      <c r="M809" s="1"/>
      <c r="N809" s="1"/>
      <c r="O809" s="1"/>
      <c r="P809" s="1"/>
      <c r="Q809" s="1"/>
      <c r="R809" s="1"/>
      <c r="S809" s="1"/>
      <c r="T809" s="2"/>
      <c r="U809" s="1"/>
      <c r="V809" s="1"/>
      <c r="W809" s="1"/>
      <c r="X809" s="1"/>
      <c r="Y809" s="1"/>
      <c r="Z809" s="1"/>
      <c r="AA809" s="1"/>
      <c r="AB809" s="1"/>
      <c r="AC809" s="2"/>
      <c r="AD809" s="1"/>
      <c r="AE809" s="1"/>
      <c r="AF809" s="1"/>
      <c r="AG809" s="1"/>
      <c r="AH809" s="1"/>
      <c r="AI809" s="1"/>
      <c r="AJ809" s="1"/>
      <c r="AK809" s="1"/>
      <c r="AL809" s="2"/>
      <c r="AM809" s="1"/>
      <c r="AN809" s="1"/>
      <c r="AO809" s="1"/>
      <c r="AP809" s="1"/>
      <c r="AQ809" s="1"/>
      <c r="AR809" s="1"/>
      <c r="AS809" s="1"/>
      <c r="AT809" s="1"/>
      <c r="AU809" s="2"/>
      <c r="AV809" s="1"/>
      <c r="AW809" s="1"/>
      <c r="AX809" s="1"/>
      <c r="AY809" s="1"/>
      <c r="AZ809" s="1"/>
      <c r="BA809" s="1"/>
      <c r="BB809" s="1"/>
      <c r="BC809" s="1"/>
      <c r="BD809" s="2"/>
      <c r="BE809" s="1"/>
      <c r="BF809" s="1"/>
      <c r="BG809" s="1"/>
      <c r="BH809" s="1"/>
      <c r="BI809" s="1"/>
      <c r="BJ809" s="1"/>
      <c r="BK809" s="1"/>
      <c r="BL809" s="1"/>
      <c r="BM809" s="2"/>
      <c r="BN809" s="1"/>
      <c r="BO809" s="1"/>
      <c r="BP809" s="1"/>
      <c r="BQ809" s="1"/>
      <c r="BR809" s="1"/>
      <c r="BS809" s="1"/>
      <c r="BT809" s="1"/>
      <c r="BU809" s="1"/>
      <c r="BV809" s="2"/>
      <c r="BW809" s="1"/>
      <c r="BX809" s="1"/>
      <c r="BY809" s="1"/>
      <c r="BZ809" s="1"/>
      <c r="CA809" s="1"/>
      <c r="CB809" s="1"/>
      <c r="CC809" s="1"/>
      <c r="CD809" s="1"/>
      <c r="CE809" s="2"/>
      <c r="CF809" s="1"/>
      <c r="CG809" s="1"/>
      <c r="CH809" s="1"/>
      <c r="CI809" s="1"/>
      <c r="CJ809" s="1"/>
      <c r="CK809" s="1"/>
      <c r="CL809" s="1"/>
    </row>
    <row r="810" spans="1:90" ht="14.65" x14ac:dyDescent="0.4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2"/>
      <c r="L810" s="1"/>
      <c r="M810" s="1"/>
      <c r="N810" s="1"/>
      <c r="O810" s="1"/>
      <c r="P810" s="1"/>
      <c r="Q810" s="1"/>
      <c r="R810" s="1"/>
      <c r="S810" s="1"/>
      <c r="T810" s="2"/>
      <c r="U810" s="1"/>
      <c r="V810" s="1"/>
      <c r="W810" s="1"/>
      <c r="X810" s="1"/>
      <c r="Y810" s="1"/>
      <c r="Z810" s="1"/>
      <c r="AA810" s="1"/>
      <c r="AB810" s="1"/>
      <c r="AC810" s="2"/>
      <c r="AD810" s="1"/>
      <c r="AE810" s="1"/>
      <c r="AF810" s="1"/>
      <c r="AG810" s="1"/>
      <c r="AH810" s="1"/>
      <c r="AI810" s="1"/>
      <c r="AJ810" s="1"/>
      <c r="AK810" s="1"/>
      <c r="AL810" s="2"/>
      <c r="AM810" s="1"/>
      <c r="AN810" s="1"/>
      <c r="AO810" s="1"/>
      <c r="AP810" s="1"/>
      <c r="AQ810" s="1"/>
      <c r="AR810" s="1"/>
      <c r="AS810" s="1"/>
      <c r="AT810" s="1"/>
      <c r="AU810" s="2"/>
      <c r="AV810" s="1"/>
      <c r="AW810" s="1"/>
      <c r="AX810" s="1"/>
      <c r="AY810" s="1"/>
      <c r="AZ810" s="1"/>
      <c r="BA810" s="1"/>
      <c r="BB810" s="1"/>
      <c r="BC810" s="1"/>
      <c r="BD810" s="2"/>
      <c r="BE810" s="1"/>
      <c r="BF810" s="1"/>
      <c r="BG810" s="1"/>
      <c r="BH810" s="1"/>
      <c r="BI810" s="1"/>
      <c r="BJ810" s="1"/>
      <c r="BK810" s="1"/>
      <c r="BL810" s="1"/>
      <c r="BM810" s="2"/>
      <c r="BN810" s="1"/>
      <c r="BO810" s="1"/>
      <c r="BP810" s="1"/>
      <c r="BQ810" s="1"/>
      <c r="BR810" s="1"/>
      <c r="BS810" s="1"/>
      <c r="BT810" s="1"/>
      <c r="BU810" s="1"/>
      <c r="BV810" s="2"/>
      <c r="BW810" s="1"/>
      <c r="BX810" s="1"/>
      <c r="BY810" s="1"/>
      <c r="BZ810" s="1"/>
      <c r="CA810" s="1"/>
      <c r="CB810" s="1"/>
      <c r="CC810" s="1"/>
      <c r="CD810" s="1"/>
      <c r="CE810" s="2"/>
      <c r="CF810" s="1"/>
      <c r="CG810" s="1"/>
      <c r="CH810" s="1"/>
      <c r="CI810" s="1"/>
      <c r="CJ810" s="1"/>
      <c r="CK810" s="1"/>
      <c r="CL810" s="1"/>
    </row>
    <row r="811" spans="1:90" ht="14.65" x14ac:dyDescent="0.4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2"/>
      <c r="L811" s="1"/>
      <c r="M811" s="1"/>
      <c r="N811" s="1"/>
      <c r="O811" s="1"/>
      <c r="P811" s="1"/>
      <c r="Q811" s="1"/>
      <c r="R811" s="1"/>
      <c r="S811" s="1"/>
      <c r="T811" s="2"/>
      <c r="U811" s="1"/>
      <c r="V811" s="1"/>
      <c r="W811" s="1"/>
      <c r="X811" s="1"/>
      <c r="Y811" s="1"/>
      <c r="Z811" s="1"/>
      <c r="AA811" s="1"/>
      <c r="AB811" s="1"/>
      <c r="AC811" s="2"/>
      <c r="AD811" s="1"/>
      <c r="AE811" s="1"/>
      <c r="AF811" s="1"/>
      <c r="AG811" s="1"/>
      <c r="AH811" s="1"/>
      <c r="AI811" s="1"/>
      <c r="AJ811" s="1"/>
      <c r="AK811" s="1"/>
      <c r="AL811" s="2"/>
      <c r="AM811" s="1"/>
      <c r="AN811" s="1"/>
      <c r="AO811" s="1"/>
      <c r="AP811" s="1"/>
      <c r="AQ811" s="1"/>
      <c r="AR811" s="1"/>
      <c r="AS811" s="1"/>
      <c r="AT811" s="1"/>
      <c r="AU811" s="2"/>
      <c r="AV811" s="1"/>
      <c r="AW811" s="1"/>
      <c r="AX811" s="1"/>
      <c r="AY811" s="1"/>
      <c r="AZ811" s="1"/>
      <c r="BA811" s="1"/>
      <c r="BB811" s="1"/>
      <c r="BC811" s="1"/>
      <c r="BD811" s="2"/>
      <c r="BE811" s="1"/>
      <c r="BF811" s="1"/>
      <c r="BG811" s="1"/>
      <c r="BH811" s="1"/>
      <c r="BI811" s="1"/>
      <c r="BJ811" s="1"/>
      <c r="BK811" s="1"/>
      <c r="BL811" s="1"/>
      <c r="BM811" s="2"/>
      <c r="BN811" s="1"/>
      <c r="BO811" s="1"/>
      <c r="BP811" s="1"/>
      <c r="BQ811" s="1"/>
      <c r="BR811" s="1"/>
      <c r="BS811" s="1"/>
      <c r="BT811" s="1"/>
      <c r="BU811" s="1"/>
      <c r="BV811" s="2"/>
      <c r="BW811" s="1"/>
      <c r="BX811" s="1"/>
      <c r="BY811" s="1"/>
      <c r="BZ811" s="1"/>
      <c r="CA811" s="1"/>
      <c r="CB811" s="1"/>
      <c r="CC811" s="1"/>
      <c r="CD811" s="1"/>
      <c r="CE811" s="2"/>
      <c r="CF811" s="1"/>
      <c r="CG811" s="1"/>
      <c r="CH811" s="1"/>
      <c r="CI811" s="1"/>
      <c r="CJ811" s="1"/>
      <c r="CK811" s="1"/>
      <c r="CL811" s="1"/>
    </row>
    <row r="812" spans="1:90" ht="14.65" x14ac:dyDescent="0.4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2"/>
      <c r="L812" s="1"/>
      <c r="M812" s="1"/>
      <c r="N812" s="1"/>
      <c r="O812" s="1"/>
      <c r="P812" s="1"/>
      <c r="Q812" s="1"/>
      <c r="R812" s="1"/>
      <c r="S812" s="1"/>
      <c r="T812" s="2"/>
      <c r="U812" s="1"/>
      <c r="V812" s="1"/>
      <c r="W812" s="1"/>
      <c r="X812" s="1"/>
      <c r="Y812" s="1"/>
      <c r="Z812" s="1"/>
      <c r="AA812" s="1"/>
      <c r="AB812" s="1"/>
      <c r="AC812" s="2"/>
      <c r="AD812" s="1"/>
      <c r="AE812" s="1"/>
      <c r="AF812" s="1"/>
      <c r="AG812" s="1"/>
      <c r="AH812" s="1"/>
      <c r="AI812" s="1"/>
      <c r="AJ812" s="1"/>
      <c r="AK812" s="1"/>
      <c r="AL812" s="2"/>
      <c r="AM812" s="1"/>
      <c r="AN812" s="1"/>
      <c r="AO812" s="1"/>
      <c r="AP812" s="1"/>
      <c r="AQ812" s="1"/>
      <c r="AR812" s="1"/>
      <c r="AS812" s="1"/>
      <c r="AT812" s="1"/>
      <c r="AU812" s="2"/>
      <c r="AV812" s="1"/>
      <c r="AW812" s="1"/>
      <c r="AX812" s="1"/>
      <c r="AY812" s="1"/>
      <c r="AZ812" s="1"/>
      <c r="BA812" s="1"/>
      <c r="BB812" s="1"/>
      <c r="BC812" s="1"/>
      <c r="BD812" s="2"/>
      <c r="BE812" s="1"/>
      <c r="BF812" s="1"/>
      <c r="BG812" s="1"/>
      <c r="BH812" s="1"/>
      <c r="BI812" s="1"/>
      <c r="BJ812" s="1"/>
      <c r="BK812" s="1"/>
      <c r="BL812" s="1"/>
      <c r="BM812" s="2"/>
      <c r="BN812" s="1"/>
      <c r="BO812" s="1"/>
      <c r="BP812" s="1"/>
      <c r="BQ812" s="1"/>
      <c r="BR812" s="1"/>
      <c r="BS812" s="1"/>
      <c r="BT812" s="1"/>
      <c r="BU812" s="1"/>
      <c r="BV812" s="2"/>
      <c r="BW812" s="1"/>
      <c r="BX812" s="1"/>
      <c r="BY812" s="1"/>
      <c r="BZ812" s="1"/>
      <c r="CA812" s="1"/>
      <c r="CB812" s="1"/>
      <c r="CC812" s="1"/>
      <c r="CD812" s="1"/>
      <c r="CE812" s="2"/>
      <c r="CF812" s="1"/>
      <c r="CG812" s="1"/>
      <c r="CH812" s="1"/>
      <c r="CI812" s="1"/>
      <c r="CJ812" s="1"/>
      <c r="CK812" s="1"/>
      <c r="CL812" s="1"/>
    </row>
    <row r="813" spans="1:90" ht="14.65" x14ac:dyDescent="0.4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2"/>
      <c r="L813" s="1"/>
      <c r="M813" s="1"/>
      <c r="N813" s="1"/>
      <c r="O813" s="1"/>
      <c r="P813" s="1"/>
      <c r="Q813" s="1"/>
      <c r="R813" s="1"/>
      <c r="S813" s="1"/>
      <c r="T813" s="2"/>
      <c r="U813" s="1"/>
      <c r="V813" s="1"/>
      <c r="W813" s="1"/>
      <c r="X813" s="1"/>
      <c r="Y813" s="1"/>
      <c r="Z813" s="1"/>
      <c r="AA813" s="1"/>
      <c r="AB813" s="1"/>
      <c r="AC813" s="2"/>
      <c r="AD813" s="1"/>
      <c r="AE813" s="1"/>
      <c r="AF813" s="1"/>
      <c r="AG813" s="1"/>
      <c r="AH813" s="1"/>
      <c r="AI813" s="1"/>
      <c r="AJ813" s="1"/>
      <c r="AK813" s="1"/>
      <c r="AL813" s="2"/>
      <c r="AM813" s="1"/>
      <c r="AN813" s="1"/>
      <c r="AO813" s="1"/>
      <c r="AP813" s="1"/>
      <c r="AQ813" s="1"/>
      <c r="AR813" s="1"/>
      <c r="AS813" s="1"/>
      <c r="AT813" s="1"/>
      <c r="AU813" s="2"/>
      <c r="AV813" s="1"/>
      <c r="AW813" s="1"/>
      <c r="AX813" s="1"/>
      <c r="AY813" s="1"/>
      <c r="AZ813" s="1"/>
      <c r="BA813" s="1"/>
      <c r="BB813" s="1"/>
      <c r="BC813" s="1"/>
      <c r="BD813" s="2"/>
      <c r="BE813" s="1"/>
      <c r="BF813" s="1"/>
      <c r="BG813" s="1"/>
      <c r="BH813" s="1"/>
      <c r="BI813" s="1"/>
      <c r="BJ813" s="1"/>
      <c r="BK813" s="1"/>
      <c r="BL813" s="1"/>
      <c r="BM813" s="2"/>
      <c r="BN813" s="1"/>
      <c r="BO813" s="1"/>
      <c r="BP813" s="1"/>
      <c r="BQ813" s="1"/>
      <c r="BR813" s="1"/>
      <c r="BS813" s="1"/>
      <c r="BT813" s="1"/>
      <c r="BU813" s="1"/>
      <c r="BV813" s="2"/>
      <c r="BW813" s="1"/>
      <c r="BX813" s="1"/>
      <c r="BY813" s="1"/>
      <c r="BZ813" s="1"/>
      <c r="CA813" s="1"/>
      <c r="CB813" s="1"/>
      <c r="CC813" s="1"/>
      <c r="CD813" s="1"/>
      <c r="CE813" s="2"/>
      <c r="CF813" s="1"/>
      <c r="CG813" s="1"/>
      <c r="CH813" s="1"/>
      <c r="CI813" s="1"/>
      <c r="CJ813" s="1"/>
      <c r="CK813" s="1"/>
      <c r="CL813" s="1"/>
    </row>
    <row r="814" spans="1:90" ht="14.65" x14ac:dyDescent="0.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2"/>
      <c r="L814" s="1"/>
      <c r="M814" s="1"/>
      <c r="N814" s="1"/>
      <c r="O814" s="1"/>
      <c r="P814" s="1"/>
      <c r="Q814" s="1"/>
      <c r="R814" s="1"/>
      <c r="S814" s="1"/>
      <c r="T814" s="2"/>
      <c r="U814" s="1"/>
      <c r="V814" s="1"/>
      <c r="W814" s="1"/>
      <c r="X814" s="1"/>
      <c r="Y814" s="1"/>
      <c r="Z814" s="1"/>
      <c r="AA814" s="1"/>
      <c r="AB814" s="1"/>
      <c r="AC814" s="2"/>
      <c r="AD814" s="1"/>
      <c r="AE814" s="1"/>
      <c r="AF814" s="1"/>
      <c r="AG814" s="1"/>
      <c r="AH814" s="1"/>
      <c r="AI814" s="1"/>
      <c r="AJ814" s="1"/>
      <c r="AK814" s="1"/>
      <c r="AL814" s="2"/>
      <c r="AM814" s="1"/>
      <c r="AN814" s="1"/>
      <c r="AO814" s="1"/>
      <c r="AP814" s="1"/>
      <c r="AQ814" s="1"/>
      <c r="AR814" s="1"/>
      <c r="AS814" s="1"/>
      <c r="AT814" s="1"/>
      <c r="AU814" s="2"/>
      <c r="AV814" s="1"/>
      <c r="AW814" s="1"/>
      <c r="AX814" s="1"/>
      <c r="AY814" s="1"/>
      <c r="AZ814" s="1"/>
      <c r="BA814" s="1"/>
      <c r="BB814" s="1"/>
      <c r="BC814" s="1"/>
      <c r="BD814" s="2"/>
      <c r="BE814" s="1"/>
      <c r="BF814" s="1"/>
      <c r="BG814" s="1"/>
      <c r="BH814" s="1"/>
      <c r="BI814" s="1"/>
      <c r="BJ814" s="1"/>
      <c r="BK814" s="1"/>
      <c r="BL814" s="1"/>
      <c r="BM814" s="2"/>
      <c r="BN814" s="1"/>
      <c r="BO814" s="1"/>
      <c r="BP814" s="1"/>
      <c r="BQ814" s="1"/>
      <c r="BR814" s="1"/>
      <c r="BS814" s="1"/>
      <c r="BT814" s="1"/>
      <c r="BU814" s="1"/>
      <c r="BV814" s="2"/>
      <c r="BW814" s="1"/>
      <c r="BX814" s="1"/>
      <c r="BY814" s="1"/>
      <c r="BZ814" s="1"/>
      <c r="CA814" s="1"/>
      <c r="CB814" s="1"/>
      <c r="CC814" s="1"/>
      <c r="CD814" s="1"/>
      <c r="CE814" s="2"/>
      <c r="CF814" s="1"/>
      <c r="CG814" s="1"/>
      <c r="CH814" s="1"/>
      <c r="CI814" s="1"/>
      <c r="CJ814" s="1"/>
      <c r="CK814" s="1"/>
      <c r="CL814" s="1"/>
    </row>
    <row r="815" spans="1:90" ht="14.65" x14ac:dyDescent="0.4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2"/>
      <c r="L815" s="1"/>
      <c r="M815" s="1"/>
      <c r="N815" s="1"/>
      <c r="O815" s="1"/>
      <c r="P815" s="1"/>
      <c r="Q815" s="1"/>
      <c r="R815" s="1"/>
      <c r="S815" s="1"/>
      <c r="T815" s="2"/>
      <c r="U815" s="1"/>
      <c r="V815" s="1"/>
      <c r="W815" s="1"/>
      <c r="X815" s="1"/>
      <c r="Y815" s="1"/>
      <c r="Z815" s="1"/>
      <c r="AA815" s="1"/>
      <c r="AB815" s="1"/>
      <c r="AC815" s="2"/>
      <c r="AD815" s="1"/>
      <c r="AE815" s="1"/>
      <c r="AF815" s="1"/>
      <c r="AG815" s="1"/>
      <c r="AH815" s="1"/>
      <c r="AI815" s="1"/>
      <c r="AJ815" s="1"/>
      <c r="AK815" s="1"/>
      <c r="AL815" s="2"/>
      <c r="AM815" s="1"/>
      <c r="AN815" s="1"/>
      <c r="AO815" s="1"/>
      <c r="AP815" s="1"/>
      <c r="AQ815" s="1"/>
      <c r="AR815" s="1"/>
      <c r="AS815" s="1"/>
      <c r="AT815" s="1"/>
      <c r="AU815" s="2"/>
      <c r="AV815" s="1"/>
      <c r="AW815" s="1"/>
      <c r="AX815" s="1"/>
      <c r="AY815" s="1"/>
      <c r="AZ815" s="1"/>
      <c r="BA815" s="1"/>
      <c r="BB815" s="1"/>
      <c r="BC815" s="1"/>
      <c r="BD815" s="2"/>
      <c r="BE815" s="1"/>
      <c r="BF815" s="1"/>
      <c r="BG815" s="1"/>
      <c r="BH815" s="1"/>
      <c r="BI815" s="1"/>
      <c r="BJ815" s="1"/>
      <c r="BK815" s="1"/>
      <c r="BL815" s="1"/>
      <c r="BM815" s="2"/>
      <c r="BN815" s="1"/>
      <c r="BO815" s="1"/>
      <c r="BP815" s="1"/>
      <c r="BQ815" s="1"/>
      <c r="BR815" s="1"/>
      <c r="BS815" s="1"/>
      <c r="BT815" s="1"/>
      <c r="BU815" s="1"/>
      <c r="BV815" s="2"/>
      <c r="BW815" s="1"/>
      <c r="BX815" s="1"/>
      <c r="BY815" s="1"/>
      <c r="BZ815" s="1"/>
      <c r="CA815" s="1"/>
      <c r="CB815" s="1"/>
      <c r="CC815" s="1"/>
      <c r="CD815" s="1"/>
      <c r="CE815" s="2"/>
      <c r="CF815" s="1"/>
      <c r="CG815" s="1"/>
      <c r="CH815" s="1"/>
      <c r="CI815" s="1"/>
      <c r="CJ815" s="1"/>
      <c r="CK815" s="1"/>
      <c r="CL815" s="1"/>
    </row>
    <row r="816" spans="1:90" ht="14.65" x14ac:dyDescent="0.4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2"/>
      <c r="L816" s="1"/>
      <c r="M816" s="1"/>
      <c r="N816" s="1"/>
      <c r="O816" s="1"/>
      <c r="P816" s="1"/>
      <c r="Q816" s="1"/>
      <c r="R816" s="1"/>
      <c r="S816" s="1"/>
      <c r="T816" s="2"/>
      <c r="U816" s="1"/>
      <c r="V816" s="1"/>
      <c r="W816" s="1"/>
      <c r="X816" s="1"/>
      <c r="Y816" s="1"/>
      <c r="Z816" s="1"/>
      <c r="AA816" s="1"/>
      <c r="AB816" s="1"/>
      <c r="AC816" s="2"/>
      <c r="AD816" s="1"/>
      <c r="AE816" s="1"/>
      <c r="AF816" s="1"/>
      <c r="AG816" s="1"/>
      <c r="AH816" s="1"/>
      <c r="AI816" s="1"/>
      <c r="AJ816" s="1"/>
      <c r="AK816" s="1"/>
      <c r="AL816" s="2"/>
      <c r="AM816" s="1"/>
      <c r="AN816" s="1"/>
      <c r="AO816" s="1"/>
      <c r="AP816" s="1"/>
      <c r="AQ816" s="1"/>
      <c r="AR816" s="1"/>
      <c r="AS816" s="1"/>
      <c r="AT816" s="1"/>
      <c r="AU816" s="2"/>
      <c r="AV816" s="1"/>
      <c r="AW816" s="1"/>
      <c r="AX816" s="1"/>
      <c r="AY816" s="1"/>
      <c r="AZ816" s="1"/>
      <c r="BA816" s="1"/>
      <c r="BB816" s="1"/>
      <c r="BC816" s="1"/>
      <c r="BD816" s="2"/>
      <c r="BE816" s="1"/>
      <c r="BF816" s="1"/>
      <c r="BG816" s="1"/>
      <c r="BH816" s="1"/>
      <c r="BI816" s="1"/>
      <c r="BJ816" s="1"/>
      <c r="BK816" s="1"/>
      <c r="BL816" s="1"/>
      <c r="BM816" s="2"/>
      <c r="BN816" s="1"/>
      <c r="BO816" s="1"/>
      <c r="BP816" s="1"/>
      <c r="BQ816" s="1"/>
      <c r="BR816" s="1"/>
      <c r="BS816" s="1"/>
      <c r="BT816" s="1"/>
      <c r="BU816" s="1"/>
      <c r="BV816" s="2"/>
      <c r="BW816" s="1"/>
      <c r="BX816" s="1"/>
      <c r="BY816" s="1"/>
      <c r="BZ816" s="1"/>
      <c r="CA816" s="1"/>
      <c r="CB816" s="1"/>
      <c r="CC816" s="1"/>
      <c r="CD816" s="1"/>
      <c r="CE816" s="2"/>
      <c r="CF816" s="1"/>
      <c r="CG816" s="1"/>
      <c r="CH816" s="1"/>
      <c r="CI816" s="1"/>
      <c r="CJ816" s="1"/>
      <c r="CK816" s="1"/>
      <c r="CL816" s="1"/>
    </row>
    <row r="817" spans="1:90" ht="14.65" x14ac:dyDescent="0.4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2"/>
      <c r="L817" s="1"/>
      <c r="M817" s="1"/>
      <c r="N817" s="1"/>
      <c r="O817" s="1"/>
      <c r="P817" s="1"/>
      <c r="Q817" s="1"/>
      <c r="R817" s="1"/>
      <c r="S817" s="1"/>
      <c r="T817" s="2"/>
      <c r="U817" s="1"/>
      <c r="V817" s="1"/>
      <c r="W817" s="1"/>
      <c r="X817" s="1"/>
      <c r="Y817" s="1"/>
      <c r="Z817" s="1"/>
      <c r="AA817" s="1"/>
      <c r="AB817" s="1"/>
      <c r="AC817" s="2"/>
      <c r="AD817" s="1"/>
      <c r="AE817" s="1"/>
      <c r="AF817" s="1"/>
      <c r="AG817" s="1"/>
      <c r="AH817" s="1"/>
      <c r="AI817" s="1"/>
      <c r="AJ817" s="1"/>
      <c r="AK817" s="1"/>
      <c r="AL817" s="2"/>
      <c r="AM817" s="1"/>
      <c r="AN817" s="1"/>
      <c r="AO817" s="1"/>
      <c r="AP817" s="1"/>
      <c r="AQ817" s="1"/>
      <c r="AR817" s="1"/>
      <c r="AS817" s="1"/>
      <c r="AT817" s="1"/>
      <c r="AU817" s="2"/>
      <c r="AV817" s="1"/>
      <c r="AW817" s="1"/>
      <c r="AX817" s="1"/>
      <c r="AY817" s="1"/>
      <c r="AZ817" s="1"/>
      <c r="BA817" s="1"/>
      <c r="BB817" s="1"/>
      <c r="BC817" s="1"/>
      <c r="BD817" s="2"/>
      <c r="BE817" s="1"/>
      <c r="BF817" s="1"/>
      <c r="BG817" s="1"/>
      <c r="BH817" s="1"/>
      <c r="BI817" s="1"/>
      <c r="BJ817" s="1"/>
      <c r="BK817" s="1"/>
      <c r="BL817" s="1"/>
      <c r="BM817" s="2"/>
      <c r="BN817" s="1"/>
      <c r="BO817" s="1"/>
      <c r="BP817" s="1"/>
      <c r="BQ817" s="1"/>
      <c r="BR817" s="1"/>
      <c r="BS817" s="1"/>
      <c r="BT817" s="1"/>
      <c r="BU817" s="1"/>
      <c r="BV817" s="2"/>
      <c r="BW817" s="1"/>
      <c r="BX817" s="1"/>
      <c r="BY817" s="1"/>
      <c r="BZ817" s="1"/>
      <c r="CA817" s="1"/>
      <c r="CB817" s="1"/>
      <c r="CC817" s="1"/>
      <c r="CD817" s="1"/>
      <c r="CE817" s="2"/>
      <c r="CF817" s="1"/>
      <c r="CG817" s="1"/>
      <c r="CH817" s="1"/>
      <c r="CI817" s="1"/>
      <c r="CJ817" s="1"/>
      <c r="CK817" s="1"/>
      <c r="CL817" s="1"/>
    </row>
    <row r="818" spans="1:90" ht="14.65" x14ac:dyDescent="0.4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2"/>
      <c r="L818" s="1"/>
      <c r="M818" s="1"/>
      <c r="N818" s="1"/>
      <c r="O818" s="1"/>
      <c r="P818" s="1"/>
      <c r="Q818" s="1"/>
      <c r="R818" s="1"/>
      <c r="S818" s="1"/>
      <c r="T818" s="2"/>
      <c r="U818" s="1"/>
      <c r="V818" s="1"/>
      <c r="W818" s="1"/>
      <c r="X818" s="1"/>
      <c r="Y818" s="1"/>
      <c r="Z818" s="1"/>
      <c r="AA818" s="1"/>
      <c r="AB818" s="1"/>
      <c r="AC818" s="2"/>
      <c r="AD818" s="1"/>
      <c r="AE818" s="1"/>
      <c r="AF818" s="1"/>
      <c r="AG818" s="1"/>
      <c r="AH818" s="1"/>
      <c r="AI818" s="1"/>
      <c r="AJ818" s="1"/>
      <c r="AK818" s="1"/>
      <c r="AL818" s="2"/>
      <c r="AM818" s="1"/>
      <c r="AN818" s="1"/>
      <c r="AO818" s="1"/>
      <c r="AP818" s="1"/>
      <c r="AQ818" s="1"/>
      <c r="AR818" s="1"/>
      <c r="AS818" s="1"/>
      <c r="AT818" s="1"/>
      <c r="AU818" s="2"/>
      <c r="AV818" s="1"/>
      <c r="AW818" s="1"/>
      <c r="AX818" s="1"/>
      <c r="AY818" s="1"/>
      <c r="AZ818" s="1"/>
      <c r="BA818" s="1"/>
      <c r="BB818" s="1"/>
      <c r="BC818" s="1"/>
      <c r="BD818" s="2"/>
      <c r="BE818" s="1"/>
      <c r="BF818" s="1"/>
      <c r="BG818" s="1"/>
      <c r="BH818" s="1"/>
      <c r="BI818" s="1"/>
      <c r="BJ818" s="1"/>
      <c r="BK818" s="1"/>
      <c r="BL818" s="1"/>
      <c r="BM818" s="2"/>
      <c r="BN818" s="1"/>
      <c r="BO818" s="1"/>
      <c r="BP818" s="1"/>
      <c r="BQ818" s="1"/>
      <c r="BR818" s="1"/>
      <c r="BS818" s="1"/>
      <c r="BT818" s="1"/>
      <c r="BU818" s="1"/>
      <c r="BV818" s="2"/>
      <c r="BW818" s="1"/>
      <c r="BX818" s="1"/>
      <c r="BY818" s="1"/>
      <c r="BZ818" s="1"/>
      <c r="CA818" s="1"/>
      <c r="CB818" s="1"/>
      <c r="CC818" s="1"/>
      <c r="CD818" s="1"/>
      <c r="CE818" s="2"/>
      <c r="CF818" s="1"/>
      <c r="CG818" s="1"/>
      <c r="CH818" s="1"/>
      <c r="CI818" s="1"/>
      <c r="CJ818" s="1"/>
      <c r="CK818" s="1"/>
      <c r="CL818" s="1"/>
    </row>
    <row r="819" spans="1:90" ht="14.65" x14ac:dyDescent="0.4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2"/>
      <c r="L819" s="1"/>
      <c r="M819" s="1"/>
      <c r="N819" s="1"/>
      <c r="O819" s="1"/>
      <c r="P819" s="1"/>
      <c r="Q819" s="1"/>
      <c r="R819" s="1"/>
      <c r="S819" s="1"/>
      <c r="T819" s="2"/>
      <c r="U819" s="1"/>
      <c r="V819" s="1"/>
      <c r="W819" s="1"/>
      <c r="X819" s="1"/>
      <c r="Y819" s="1"/>
      <c r="Z819" s="1"/>
      <c r="AA819" s="1"/>
      <c r="AB819" s="1"/>
      <c r="AC819" s="2"/>
      <c r="AD819" s="1"/>
      <c r="AE819" s="1"/>
      <c r="AF819" s="1"/>
      <c r="AG819" s="1"/>
      <c r="AH819" s="1"/>
      <c r="AI819" s="1"/>
      <c r="AJ819" s="1"/>
      <c r="AK819" s="1"/>
      <c r="AL819" s="2"/>
      <c r="AM819" s="1"/>
      <c r="AN819" s="1"/>
      <c r="AO819" s="1"/>
      <c r="AP819" s="1"/>
      <c r="AQ819" s="1"/>
      <c r="AR819" s="1"/>
      <c r="AS819" s="1"/>
      <c r="AT819" s="1"/>
      <c r="AU819" s="2"/>
      <c r="AV819" s="1"/>
      <c r="AW819" s="1"/>
      <c r="AX819" s="1"/>
      <c r="AY819" s="1"/>
      <c r="AZ819" s="1"/>
      <c r="BA819" s="1"/>
      <c r="BB819" s="1"/>
      <c r="BC819" s="1"/>
      <c r="BD819" s="2"/>
      <c r="BE819" s="1"/>
      <c r="BF819" s="1"/>
      <c r="BG819" s="1"/>
      <c r="BH819" s="1"/>
      <c r="BI819" s="1"/>
      <c r="BJ819" s="1"/>
      <c r="BK819" s="1"/>
      <c r="BL819" s="1"/>
      <c r="BM819" s="2"/>
      <c r="BN819" s="1"/>
      <c r="BO819" s="1"/>
      <c r="BP819" s="1"/>
      <c r="BQ819" s="1"/>
      <c r="BR819" s="1"/>
      <c r="BS819" s="1"/>
      <c r="BT819" s="1"/>
      <c r="BU819" s="1"/>
      <c r="BV819" s="2"/>
      <c r="BW819" s="1"/>
      <c r="BX819" s="1"/>
      <c r="BY819" s="1"/>
      <c r="BZ819" s="1"/>
      <c r="CA819" s="1"/>
      <c r="CB819" s="1"/>
      <c r="CC819" s="1"/>
      <c r="CD819" s="1"/>
      <c r="CE819" s="2"/>
      <c r="CF819" s="1"/>
      <c r="CG819" s="1"/>
      <c r="CH819" s="1"/>
      <c r="CI819" s="1"/>
      <c r="CJ819" s="1"/>
      <c r="CK819" s="1"/>
      <c r="CL819" s="1"/>
    </row>
    <row r="820" spans="1:90" ht="14.65" x14ac:dyDescent="0.4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2"/>
      <c r="L820" s="1"/>
      <c r="M820" s="1"/>
      <c r="N820" s="1"/>
      <c r="O820" s="1"/>
      <c r="P820" s="1"/>
      <c r="Q820" s="1"/>
      <c r="R820" s="1"/>
      <c r="S820" s="1"/>
      <c r="T820" s="2"/>
      <c r="U820" s="1"/>
      <c r="V820" s="1"/>
      <c r="W820" s="1"/>
      <c r="X820" s="1"/>
      <c r="Y820" s="1"/>
      <c r="Z820" s="1"/>
      <c r="AA820" s="1"/>
      <c r="AB820" s="1"/>
      <c r="AC820" s="2"/>
      <c r="AD820" s="1"/>
      <c r="AE820" s="1"/>
      <c r="AF820" s="1"/>
      <c r="AG820" s="1"/>
      <c r="AH820" s="1"/>
      <c r="AI820" s="1"/>
      <c r="AJ820" s="1"/>
      <c r="AK820" s="1"/>
      <c r="AL820" s="2"/>
      <c r="AM820" s="1"/>
      <c r="AN820" s="1"/>
      <c r="AO820" s="1"/>
      <c r="AP820" s="1"/>
      <c r="AQ820" s="1"/>
      <c r="AR820" s="1"/>
      <c r="AS820" s="1"/>
      <c r="AT820" s="1"/>
      <c r="AU820" s="2"/>
      <c r="AV820" s="1"/>
      <c r="AW820" s="1"/>
      <c r="AX820" s="1"/>
      <c r="AY820" s="1"/>
      <c r="AZ820" s="1"/>
      <c r="BA820" s="1"/>
      <c r="BB820" s="1"/>
      <c r="BC820" s="1"/>
      <c r="BD820" s="2"/>
      <c r="BE820" s="1"/>
      <c r="BF820" s="1"/>
      <c r="BG820" s="1"/>
      <c r="BH820" s="1"/>
      <c r="BI820" s="1"/>
      <c r="BJ820" s="1"/>
      <c r="BK820" s="1"/>
      <c r="BL820" s="1"/>
      <c r="BM820" s="2"/>
      <c r="BN820" s="1"/>
      <c r="BO820" s="1"/>
      <c r="BP820" s="1"/>
      <c r="BQ820" s="1"/>
      <c r="BR820" s="1"/>
      <c r="BS820" s="1"/>
      <c r="BT820" s="1"/>
      <c r="BU820" s="1"/>
      <c r="BV820" s="2"/>
      <c r="BW820" s="1"/>
      <c r="BX820" s="1"/>
      <c r="BY820" s="1"/>
      <c r="BZ820" s="1"/>
      <c r="CA820" s="1"/>
      <c r="CB820" s="1"/>
      <c r="CC820" s="1"/>
      <c r="CD820" s="1"/>
      <c r="CE820" s="2"/>
      <c r="CF820" s="1"/>
      <c r="CG820" s="1"/>
      <c r="CH820" s="1"/>
      <c r="CI820" s="1"/>
      <c r="CJ820" s="1"/>
      <c r="CK820" s="1"/>
      <c r="CL820" s="1"/>
    </row>
    <row r="821" spans="1:90" ht="14.65" x14ac:dyDescent="0.4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2"/>
      <c r="L821" s="1"/>
      <c r="M821" s="1"/>
      <c r="N821" s="1"/>
      <c r="O821" s="1"/>
      <c r="P821" s="1"/>
      <c r="Q821" s="1"/>
      <c r="R821" s="1"/>
      <c r="S821" s="1"/>
      <c r="T821" s="2"/>
      <c r="U821" s="1"/>
      <c r="V821" s="1"/>
      <c r="W821" s="1"/>
      <c r="X821" s="1"/>
      <c r="Y821" s="1"/>
      <c r="Z821" s="1"/>
      <c r="AA821" s="1"/>
      <c r="AB821" s="1"/>
      <c r="AC821" s="2"/>
      <c r="AD821" s="1"/>
      <c r="AE821" s="1"/>
      <c r="AF821" s="1"/>
      <c r="AG821" s="1"/>
      <c r="AH821" s="1"/>
      <c r="AI821" s="1"/>
      <c r="AJ821" s="1"/>
      <c r="AK821" s="1"/>
      <c r="AL821" s="2"/>
      <c r="AM821" s="1"/>
      <c r="AN821" s="1"/>
      <c r="AO821" s="1"/>
      <c r="AP821" s="1"/>
      <c r="AQ821" s="1"/>
      <c r="AR821" s="1"/>
      <c r="AS821" s="1"/>
      <c r="AT821" s="1"/>
      <c r="AU821" s="2"/>
      <c r="AV821" s="1"/>
      <c r="AW821" s="1"/>
      <c r="AX821" s="1"/>
      <c r="AY821" s="1"/>
      <c r="AZ821" s="1"/>
      <c r="BA821" s="1"/>
      <c r="BB821" s="1"/>
      <c r="BC821" s="1"/>
      <c r="BD821" s="2"/>
      <c r="BE821" s="1"/>
      <c r="BF821" s="1"/>
      <c r="BG821" s="1"/>
      <c r="BH821" s="1"/>
      <c r="BI821" s="1"/>
      <c r="BJ821" s="1"/>
      <c r="BK821" s="1"/>
      <c r="BL821" s="1"/>
      <c r="BM821" s="2"/>
      <c r="BN821" s="1"/>
      <c r="BO821" s="1"/>
      <c r="BP821" s="1"/>
      <c r="BQ821" s="1"/>
      <c r="BR821" s="1"/>
      <c r="BS821" s="1"/>
      <c r="BT821" s="1"/>
      <c r="BU821" s="1"/>
      <c r="BV821" s="2"/>
      <c r="BW821" s="1"/>
      <c r="BX821" s="1"/>
      <c r="BY821" s="1"/>
      <c r="BZ821" s="1"/>
      <c r="CA821" s="1"/>
      <c r="CB821" s="1"/>
      <c r="CC821" s="1"/>
      <c r="CD821" s="1"/>
      <c r="CE821" s="2"/>
      <c r="CF821" s="1"/>
      <c r="CG821" s="1"/>
      <c r="CH821" s="1"/>
      <c r="CI821" s="1"/>
      <c r="CJ821" s="1"/>
      <c r="CK821" s="1"/>
      <c r="CL821" s="1"/>
    </row>
    <row r="822" spans="1:90" ht="14.65" x14ac:dyDescent="0.4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2"/>
      <c r="L822" s="1"/>
      <c r="M822" s="1"/>
      <c r="N822" s="1"/>
      <c r="O822" s="1"/>
      <c r="P822" s="1"/>
      <c r="Q822" s="1"/>
      <c r="R822" s="1"/>
      <c r="S822" s="1"/>
      <c r="T822" s="2"/>
      <c r="U822" s="1"/>
      <c r="V822" s="1"/>
      <c r="W822" s="1"/>
      <c r="X822" s="1"/>
      <c r="Y822" s="1"/>
      <c r="Z822" s="1"/>
      <c r="AA822" s="1"/>
      <c r="AB822" s="1"/>
      <c r="AC822" s="2"/>
      <c r="AD822" s="1"/>
      <c r="AE822" s="1"/>
      <c r="AF822" s="1"/>
      <c r="AG822" s="1"/>
      <c r="AH822" s="1"/>
      <c r="AI822" s="1"/>
      <c r="AJ822" s="1"/>
      <c r="AK822" s="1"/>
      <c r="AL822" s="2"/>
      <c r="AM822" s="1"/>
      <c r="AN822" s="1"/>
      <c r="AO822" s="1"/>
      <c r="AP822" s="1"/>
      <c r="AQ822" s="1"/>
      <c r="AR822" s="1"/>
      <c r="AS822" s="1"/>
      <c r="AT822" s="1"/>
      <c r="AU822" s="2"/>
      <c r="AV822" s="1"/>
      <c r="AW822" s="1"/>
      <c r="AX822" s="1"/>
      <c r="AY822" s="1"/>
      <c r="AZ822" s="1"/>
      <c r="BA822" s="1"/>
      <c r="BB822" s="1"/>
      <c r="BC822" s="1"/>
      <c r="BD822" s="2"/>
      <c r="BE822" s="1"/>
      <c r="BF822" s="1"/>
      <c r="BG822" s="1"/>
      <c r="BH822" s="1"/>
      <c r="BI822" s="1"/>
      <c r="BJ822" s="1"/>
      <c r="BK822" s="1"/>
      <c r="BL822" s="1"/>
      <c r="BM822" s="2"/>
      <c r="BN822" s="1"/>
      <c r="BO822" s="1"/>
      <c r="BP822" s="1"/>
      <c r="BQ822" s="1"/>
      <c r="BR822" s="1"/>
      <c r="BS822" s="1"/>
      <c r="BT822" s="1"/>
      <c r="BU822" s="1"/>
      <c r="BV822" s="2"/>
      <c r="BW822" s="1"/>
      <c r="BX822" s="1"/>
      <c r="BY822" s="1"/>
      <c r="BZ822" s="1"/>
      <c r="CA822" s="1"/>
      <c r="CB822" s="1"/>
      <c r="CC822" s="1"/>
      <c r="CD822" s="1"/>
      <c r="CE822" s="2"/>
      <c r="CF822" s="1"/>
      <c r="CG822" s="1"/>
      <c r="CH822" s="1"/>
      <c r="CI822" s="1"/>
      <c r="CJ822" s="1"/>
      <c r="CK822" s="1"/>
      <c r="CL822" s="1"/>
    </row>
    <row r="823" spans="1:90" ht="14.65" x14ac:dyDescent="0.4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2"/>
      <c r="L823" s="1"/>
      <c r="M823" s="1"/>
      <c r="N823" s="1"/>
      <c r="O823" s="1"/>
      <c r="P823" s="1"/>
      <c r="Q823" s="1"/>
      <c r="R823" s="1"/>
      <c r="S823" s="1"/>
      <c r="T823" s="2"/>
      <c r="U823" s="1"/>
      <c r="V823" s="1"/>
      <c r="W823" s="1"/>
      <c r="X823" s="1"/>
      <c r="Y823" s="1"/>
      <c r="Z823" s="1"/>
      <c r="AA823" s="1"/>
      <c r="AB823" s="1"/>
      <c r="AC823" s="2"/>
      <c r="AD823" s="1"/>
      <c r="AE823" s="1"/>
      <c r="AF823" s="1"/>
      <c r="AG823" s="1"/>
      <c r="AH823" s="1"/>
      <c r="AI823" s="1"/>
      <c r="AJ823" s="1"/>
      <c r="AK823" s="1"/>
      <c r="AL823" s="2"/>
      <c r="AM823" s="1"/>
      <c r="AN823" s="1"/>
      <c r="AO823" s="1"/>
      <c r="AP823" s="1"/>
      <c r="AQ823" s="1"/>
      <c r="AR823" s="1"/>
      <c r="AS823" s="1"/>
      <c r="AT823" s="1"/>
      <c r="AU823" s="2"/>
      <c r="AV823" s="1"/>
      <c r="AW823" s="1"/>
      <c r="AX823" s="1"/>
      <c r="AY823" s="1"/>
      <c r="AZ823" s="1"/>
      <c r="BA823" s="1"/>
      <c r="BB823" s="1"/>
      <c r="BC823" s="1"/>
      <c r="BD823" s="2"/>
      <c r="BE823" s="1"/>
      <c r="BF823" s="1"/>
      <c r="BG823" s="1"/>
      <c r="BH823" s="1"/>
      <c r="BI823" s="1"/>
      <c r="BJ823" s="1"/>
      <c r="BK823" s="1"/>
      <c r="BL823" s="1"/>
      <c r="BM823" s="2"/>
      <c r="BN823" s="1"/>
      <c r="BO823" s="1"/>
      <c r="BP823" s="1"/>
      <c r="BQ823" s="1"/>
      <c r="BR823" s="1"/>
      <c r="BS823" s="1"/>
      <c r="BT823" s="1"/>
      <c r="BU823" s="1"/>
      <c r="BV823" s="2"/>
      <c r="BW823" s="1"/>
      <c r="BX823" s="1"/>
      <c r="BY823" s="1"/>
      <c r="BZ823" s="1"/>
      <c r="CA823" s="1"/>
      <c r="CB823" s="1"/>
      <c r="CC823" s="1"/>
      <c r="CD823" s="1"/>
      <c r="CE823" s="2"/>
      <c r="CF823" s="1"/>
      <c r="CG823" s="1"/>
      <c r="CH823" s="1"/>
      <c r="CI823" s="1"/>
      <c r="CJ823" s="1"/>
      <c r="CK823" s="1"/>
      <c r="CL823" s="1"/>
    </row>
    <row r="824" spans="1:90" ht="14.65" x14ac:dyDescent="0.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2"/>
      <c r="L824" s="1"/>
      <c r="M824" s="1"/>
      <c r="N824" s="1"/>
      <c r="O824" s="1"/>
      <c r="P824" s="1"/>
      <c r="Q824" s="1"/>
      <c r="R824" s="1"/>
      <c r="S824" s="1"/>
      <c r="T824" s="2"/>
      <c r="U824" s="1"/>
      <c r="V824" s="1"/>
      <c r="W824" s="1"/>
      <c r="X824" s="1"/>
      <c r="Y824" s="1"/>
      <c r="Z824" s="1"/>
      <c r="AA824" s="1"/>
      <c r="AB824" s="1"/>
      <c r="AC824" s="2"/>
      <c r="AD824" s="1"/>
      <c r="AE824" s="1"/>
      <c r="AF824" s="1"/>
      <c r="AG824" s="1"/>
      <c r="AH824" s="1"/>
      <c r="AI824" s="1"/>
      <c r="AJ824" s="1"/>
      <c r="AK824" s="1"/>
      <c r="AL824" s="2"/>
      <c r="AM824" s="1"/>
      <c r="AN824" s="1"/>
      <c r="AO824" s="1"/>
      <c r="AP824" s="1"/>
      <c r="AQ824" s="1"/>
      <c r="AR824" s="1"/>
      <c r="AS824" s="1"/>
      <c r="AT824" s="1"/>
      <c r="AU824" s="2"/>
      <c r="AV824" s="1"/>
      <c r="AW824" s="1"/>
      <c r="AX824" s="1"/>
      <c r="AY824" s="1"/>
      <c r="AZ824" s="1"/>
      <c r="BA824" s="1"/>
      <c r="BB824" s="1"/>
      <c r="BC824" s="1"/>
      <c r="BD824" s="2"/>
      <c r="BE824" s="1"/>
      <c r="BF824" s="1"/>
      <c r="BG824" s="1"/>
      <c r="BH824" s="1"/>
      <c r="BI824" s="1"/>
      <c r="BJ824" s="1"/>
      <c r="BK824" s="1"/>
      <c r="BL824" s="1"/>
      <c r="BM824" s="2"/>
      <c r="BN824" s="1"/>
      <c r="BO824" s="1"/>
      <c r="BP824" s="1"/>
      <c r="BQ824" s="1"/>
      <c r="BR824" s="1"/>
      <c r="BS824" s="1"/>
      <c r="BT824" s="1"/>
      <c r="BU824" s="1"/>
      <c r="BV824" s="2"/>
      <c r="BW824" s="1"/>
      <c r="BX824" s="1"/>
      <c r="BY824" s="1"/>
      <c r="BZ824" s="1"/>
      <c r="CA824" s="1"/>
      <c r="CB824" s="1"/>
      <c r="CC824" s="1"/>
      <c r="CD824" s="1"/>
      <c r="CE824" s="2"/>
      <c r="CF824" s="1"/>
      <c r="CG824" s="1"/>
      <c r="CH824" s="1"/>
      <c r="CI824" s="1"/>
      <c r="CJ824" s="1"/>
      <c r="CK824" s="1"/>
      <c r="CL824" s="1"/>
    </row>
    <row r="825" spans="1:90" ht="14.65" x14ac:dyDescent="0.4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2"/>
      <c r="L825" s="1"/>
      <c r="M825" s="1"/>
      <c r="N825" s="1"/>
      <c r="O825" s="1"/>
      <c r="P825" s="1"/>
      <c r="Q825" s="1"/>
      <c r="R825" s="1"/>
      <c r="S825" s="1"/>
      <c r="T825" s="2"/>
      <c r="U825" s="1"/>
      <c r="V825" s="1"/>
      <c r="W825" s="1"/>
      <c r="X825" s="1"/>
      <c r="Y825" s="1"/>
      <c r="Z825" s="1"/>
      <c r="AA825" s="1"/>
      <c r="AB825" s="1"/>
      <c r="AC825" s="2"/>
      <c r="AD825" s="1"/>
      <c r="AE825" s="1"/>
      <c r="AF825" s="1"/>
      <c r="AG825" s="1"/>
      <c r="AH825" s="1"/>
      <c r="AI825" s="1"/>
      <c r="AJ825" s="1"/>
      <c r="AK825" s="1"/>
      <c r="AL825" s="2"/>
      <c r="AM825" s="1"/>
      <c r="AN825" s="1"/>
      <c r="AO825" s="1"/>
      <c r="AP825" s="1"/>
      <c r="AQ825" s="1"/>
      <c r="AR825" s="1"/>
      <c r="AS825" s="1"/>
      <c r="AT825" s="1"/>
      <c r="AU825" s="2"/>
      <c r="AV825" s="1"/>
      <c r="AW825" s="1"/>
      <c r="AX825" s="1"/>
      <c r="AY825" s="1"/>
      <c r="AZ825" s="1"/>
      <c r="BA825" s="1"/>
      <c r="BB825" s="1"/>
      <c r="BC825" s="1"/>
      <c r="BD825" s="2"/>
      <c r="BE825" s="1"/>
      <c r="BF825" s="1"/>
      <c r="BG825" s="1"/>
      <c r="BH825" s="1"/>
      <c r="BI825" s="1"/>
      <c r="BJ825" s="1"/>
      <c r="BK825" s="1"/>
      <c r="BL825" s="1"/>
      <c r="BM825" s="2"/>
      <c r="BN825" s="1"/>
      <c r="BO825" s="1"/>
      <c r="BP825" s="1"/>
      <c r="BQ825" s="1"/>
      <c r="BR825" s="1"/>
      <c r="BS825" s="1"/>
      <c r="BT825" s="1"/>
      <c r="BU825" s="1"/>
      <c r="BV825" s="2"/>
      <c r="BW825" s="1"/>
      <c r="BX825" s="1"/>
      <c r="BY825" s="1"/>
      <c r="BZ825" s="1"/>
      <c r="CA825" s="1"/>
      <c r="CB825" s="1"/>
      <c r="CC825" s="1"/>
      <c r="CD825" s="1"/>
      <c r="CE825" s="2"/>
      <c r="CF825" s="1"/>
      <c r="CG825" s="1"/>
      <c r="CH825" s="1"/>
      <c r="CI825" s="1"/>
      <c r="CJ825" s="1"/>
      <c r="CK825" s="1"/>
      <c r="CL825" s="1"/>
    </row>
    <row r="826" spans="1:90" ht="14.65" x14ac:dyDescent="0.4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2"/>
      <c r="L826" s="1"/>
      <c r="M826" s="1"/>
      <c r="N826" s="1"/>
      <c r="O826" s="1"/>
      <c r="P826" s="1"/>
      <c r="Q826" s="1"/>
      <c r="R826" s="1"/>
      <c r="S826" s="1"/>
      <c r="T826" s="2"/>
      <c r="U826" s="1"/>
      <c r="V826" s="1"/>
      <c r="W826" s="1"/>
      <c r="X826" s="1"/>
      <c r="Y826" s="1"/>
      <c r="Z826" s="1"/>
      <c r="AA826" s="1"/>
      <c r="AB826" s="1"/>
      <c r="AC826" s="2"/>
      <c r="AD826" s="1"/>
      <c r="AE826" s="1"/>
      <c r="AF826" s="1"/>
      <c r="AG826" s="1"/>
      <c r="AH826" s="1"/>
      <c r="AI826" s="1"/>
      <c r="AJ826" s="1"/>
      <c r="AK826" s="1"/>
      <c r="AL826" s="2"/>
      <c r="AM826" s="1"/>
      <c r="AN826" s="1"/>
      <c r="AO826" s="1"/>
      <c r="AP826" s="1"/>
      <c r="AQ826" s="1"/>
      <c r="AR826" s="1"/>
      <c r="AS826" s="1"/>
      <c r="AT826" s="1"/>
      <c r="AU826" s="2"/>
      <c r="AV826" s="1"/>
      <c r="AW826" s="1"/>
      <c r="AX826" s="1"/>
      <c r="AY826" s="1"/>
      <c r="AZ826" s="1"/>
      <c r="BA826" s="1"/>
      <c r="BB826" s="1"/>
      <c r="BC826" s="1"/>
      <c r="BD826" s="2"/>
      <c r="BE826" s="1"/>
      <c r="BF826" s="1"/>
      <c r="BG826" s="1"/>
      <c r="BH826" s="1"/>
      <c r="BI826" s="1"/>
      <c r="BJ826" s="1"/>
      <c r="BK826" s="1"/>
      <c r="BL826" s="1"/>
      <c r="BM826" s="2"/>
      <c r="BN826" s="1"/>
      <c r="BO826" s="1"/>
      <c r="BP826" s="1"/>
      <c r="BQ826" s="1"/>
      <c r="BR826" s="1"/>
      <c r="BS826" s="1"/>
      <c r="BT826" s="1"/>
      <c r="BU826" s="1"/>
      <c r="BV826" s="2"/>
      <c r="BW826" s="1"/>
      <c r="BX826" s="1"/>
      <c r="BY826" s="1"/>
      <c r="BZ826" s="1"/>
      <c r="CA826" s="1"/>
      <c r="CB826" s="1"/>
      <c r="CC826" s="1"/>
      <c r="CD826" s="1"/>
      <c r="CE826" s="2"/>
      <c r="CF826" s="1"/>
      <c r="CG826" s="1"/>
      <c r="CH826" s="1"/>
      <c r="CI826" s="1"/>
      <c r="CJ826" s="1"/>
      <c r="CK826" s="1"/>
      <c r="CL826" s="1"/>
    </row>
    <row r="827" spans="1:90" ht="14.65" x14ac:dyDescent="0.4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2"/>
      <c r="L827" s="1"/>
      <c r="M827" s="1"/>
      <c r="N827" s="1"/>
      <c r="O827" s="1"/>
      <c r="P827" s="1"/>
      <c r="Q827" s="1"/>
      <c r="R827" s="1"/>
      <c r="S827" s="1"/>
      <c r="T827" s="2"/>
      <c r="U827" s="1"/>
      <c r="V827" s="1"/>
      <c r="W827" s="1"/>
      <c r="X827" s="1"/>
      <c r="Y827" s="1"/>
      <c r="Z827" s="1"/>
      <c r="AA827" s="1"/>
      <c r="AB827" s="1"/>
      <c r="AC827" s="2"/>
      <c r="AD827" s="1"/>
      <c r="AE827" s="1"/>
      <c r="AF827" s="1"/>
      <c r="AG827" s="1"/>
      <c r="AH827" s="1"/>
      <c r="AI827" s="1"/>
      <c r="AJ827" s="1"/>
      <c r="AK827" s="1"/>
      <c r="AL827" s="2"/>
      <c r="AM827" s="1"/>
      <c r="AN827" s="1"/>
      <c r="AO827" s="1"/>
      <c r="AP827" s="1"/>
      <c r="AQ827" s="1"/>
      <c r="AR827" s="1"/>
      <c r="AS827" s="1"/>
      <c r="AT827" s="1"/>
      <c r="AU827" s="2"/>
      <c r="AV827" s="1"/>
      <c r="AW827" s="1"/>
      <c r="AX827" s="1"/>
      <c r="AY827" s="1"/>
      <c r="AZ827" s="1"/>
      <c r="BA827" s="1"/>
      <c r="BB827" s="1"/>
      <c r="BC827" s="1"/>
      <c r="BD827" s="2"/>
      <c r="BE827" s="1"/>
      <c r="BF827" s="1"/>
      <c r="BG827" s="1"/>
      <c r="BH827" s="1"/>
      <c r="BI827" s="1"/>
      <c r="BJ827" s="1"/>
      <c r="BK827" s="1"/>
      <c r="BL827" s="1"/>
      <c r="BM827" s="2"/>
      <c r="BN827" s="1"/>
      <c r="BO827" s="1"/>
      <c r="BP827" s="1"/>
      <c r="BQ827" s="1"/>
      <c r="BR827" s="1"/>
      <c r="BS827" s="1"/>
      <c r="BT827" s="1"/>
      <c r="BU827" s="1"/>
      <c r="BV827" s="2"/>
      <c r="BW827" s="1"/>
      <c r="BX827" s="1"/>
      <c r="BY827" s="1"/>
      <c r="BZ827" s="1"/>
      <c r="CA827" s="1"/>
      <c r="CB827" s="1"/>
      <c r="CC827" s="1"/>
      <c r="CD827" s="1"/>
      <c r="CE827" s="2"/>
      <c r="CF827" s="1"/>
      <c r="CG827" s="1"/>
      <c r="CH827" s="1"/>
      <c r="CI827" s="1"/>
      <c r="CJ827" s="1"/>
      <c r="CK827" s="1"/>
      <c r="CL827" s="1"/>
    </row>
    <row r="828" spans="1:90" ht="14.65" x14ac:dyDescent="0.4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2"/>
      <c r="L828" s="1"/>
      <c r="M828" s="1"/>
      <c r="N828" s="1"/>
      <c r="O828" s="1"/>
      <c r="P828" s="1"/>
      <c r="Q828" s="1"/>
      <c r="R828" s="1"/>
      <c r="S828" s="1"/>
      <c r="T828" s="2"/>
      <c r="U828" s="1"/>
      <c r="V828" s="1"/>
      <c r="W828" s="1"/>
      <c r="X828" s="1"/>
      <c r="Y828" s="1"/>
      <c r="Z828" s="1"/>
      <c r="AA828" s="1"/>
      <c r="AB828" s="1"/>
      <c r="AC828" s="2"/>
      <c r="AD828" s="1"/>
      <c r="AE828" s="1"/>
      <c r="AF828" s="1"/>
      <c r="AG828" s="1"/>
      <c r="AH828" s="1"/>
      <c r="AI828" s="1"/>
      <c r="AJ828" s="1"/>
      <c r="AK828" s="1"/>
      <c r="AL828" s="2"/>
      <c r="AM828" s="1"/>
      <c r="AN828" s="1"/>
      <c r="AO828" s="1"/>
      <c r="AP828" s="1"/>
      <c r="AQ828" s="1"/>
      <c r="AR828" s="1"/>
      <c r="AS828" s="1"/>
      <c r="AT828" s="1"/>
      <c r="AU828" s="2"/>
      <c r="AV828" s="1"/>
      <c r="AW828" s="1"/>
      <c r="AX828" s="1"/>
      <c r="AY828" s="1"/>
      <c r="AZ828" s="1"/>
      <c r="BA828" s="1"/>
      <c r="BB828" s="1"/>
      <c r="BC828" s="1"/>
      <c r="BD828" s="2"/>
      <c r="BE828" s="1"/>
      <c r="BF828" s="1"/>
      <c r="BG828" s="1"/>
      <c r="BH828" s="1"/>
      <c r="BI828" s="1"/>
      <c r="BJ828" s="1"/>
      <c r="BK828" s="1"/>
      <c r="BL828" s="1"/>
      <c r="BM828" s="2"/>
      <c r="BN828" s="1"/>
      <c r="BO828" s="1"/>
      <c r="BP828" s="1"/>
      <c r="BQ828" s="1"/>
      <c r="BR828" s="1"/>
      <c r="BS828" s="1"/>
      <c r="BT828" s="1"/>
      <c r="BU828" s="1"/>
      <c r="BV828" s="2"/>
      <c r="BW828" s="1"/>
      <c r="BX828" s="1"/>
      <c r="BY828" s="1"/>
      <c r="BZ828" s="1"/>
      <c r="CA828" s="1"/>
      <c r="CB828" s="1"/>
      <c r="CC828" s="1"/>
      <c r="CD828" s="1"/>
      <c r="CE828" s="2"/>
      <c r="CF828" s="1"/>
      <c r="CG828" s="1"/>
      <c r="CH828" s="1"/>
      <c r="CI828" s="1"/>
      <c r="CJ828" s="1"/>
      <c r="CK828" s="1"/>
      <c r="CL828" s="1"/>
    </row>
    <row r="829" spans="1:90" ht="14.65" x14ac:dyDescent="0.4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2"/>
      <c r="L829" s="1"/>
      <c r="M829" s="1"/>
      <c r="N829" s="1"/>
      <c r="O829" s="1"/>
      <c r="P829" s="1"/>
      <c r="Q829" s="1"/>
      <c r="R829" s="1"/>
      <c r="S829" s="1"/>
      <c r="T829" s="2"/>
      <c r="U829" s="1"/>
      <c r="V829" s="1"/>
      <c r="W829" s="1"/>
      <c r="X829" s="1"/>
      <c r="Y829" s="1"/>
      <c r="Z829" s="1"/>
      <c r="AA829" s="1"/>
      <c r="AB829" s="1"/>
      <c r="AC829" s="2"/>
      <c r="AD829" s="1"/>
      <c r="AE829" s="1"/>
      <c r="AF829" s="1"/>
      <c r="AG829" s="1"/>
      <c r="AH829" s="1"/>
      <c r="AI829" s="1"/>
      <c r="AJ829" s="1"/>
      <c r="AK829" s="1"/>
      <c r="AL829" s="2"/>
      <c r="AM829" s="1"/>
      <c r="AN829" s="1"/>
      <c r="AO829" s="1"/>
      <c r="AP829" s="1"/>
      <c r="AQ829" s="1"/>
      <c r="AR829" s="1"/>
      <c r="AS829" s="1"/>
      <c r="AT829" s="1"/>
      <c r="AU829" s="2"/>
      <c r="AV829" s="1"/>
      <c r="AW829" s="1"/>
      <c r="AX829" s="1"/>
      <c r="AY829" s="1"/>
      <c r="AZ829" s="1"/>
      <c r="BA829" s="1"/>
      <c r="BB829" s="1"/>
      <c r="BC829" s="1"/>
      <c r="BD829" s="2"/>
      <c r="BE829" s="1"/>
      <c r="BF829" s="1"/>
      <c r="BG829" s="1"/>
      <c r="BH829" s="1"/>
      <c r="BI829" s="1"/>
      <c r="BJ829" s="1"/>
      <c r="BK829" s="1"/>
      <c r="BL829" s="1"/>
      <c r="BM829" s="2"/>
      <c r="BN829" s="1"/>
      <c r="BO829" s="1"/>
      <c r="BP829" s="1"/>
      <c r="BQ829" s="1"/>
      <c r="BR829" s="1"/>
      <c r="BS829" s="1"/>
      <c r="BT829" s="1"/>
      <c r="BU829" s="1"/>
      <c r="BV829" s="2"/>
      <c r="BW829" s="1"/>
      <c r="BX829" s="1"/>
      <c r="BY829" s="1"/>
      <c r="BZ829" s="1"/>
      <c r="CA829" s="1"/>
      <c r="CB829" s="1"/>
      <c r="CC829" s="1"/>
      <c r="CD829" s="1"/>
      <c r="CE829" s="2"/>
      <c r="CF829" s="1"/>
      <c r="CG829" s="1"/>
      <c r="CH829" s="1"/>
      <c r="CI829" s="1"/>
      <c r="CJ829" s="1"/>
      <c r="CK829" s="1"/>
      <c r="CL829" s="1"/>
    </row>
    <row r="830" spans="1:90" ht="14.65" x14ac:dyDescent="0.4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2"/>
      <c r="L830" s="1"/>
      <c r="M830" s="1"/>
      <c r="N830" s="1"/>
      <c r="O830" s="1"/>
      <c r="P830" s="1"/>
      <c r="Q830" s="1"/>
      <c r="R830" s="1"/>
      <c r="S830" s="1"/>
      <c r="T830" s="2"/>
      <c r="U830" s="1"/>
      <c r="V830" s="1"/>
      <c r="W830" s="1"/>
      <c r="X830" s="1"/>
      <c r="Y830" s="1"/>
      <c r="Z830" s="1"/>
      <c r="AA830" s="1"/>
      <c r="AB830" s="1"/>
      <c r="AC830" s="2"/>
      <c r="AD830" s="1"/>
      <c r="AE830" s="1"/>
      <c r="AF830" s="1"/>
      <c r="AG830" s="1"/>
      <c r="AH830" s="1"/>
      <c r="AI830" s="1"/>
      <c r="AJ830" s="1"/>
      <c r="AK830" s="1"/>
      <c r="AL830" s="2"/>
      <c r="AM830" s="1"/>
      <c r="AN830" s="1"/>
      <c r="AO830" s="1"/>
      <c r="AP830" s="1"/>
      <c r="AQ830" s="1"/>
      <c r="AR830" s="1"/>
      <c r="AS830" s="1"/>
      <c r="AT830" s="1"/>
      <c r="AU830" s="2"/>
      <c r="AV830" s="1"/>
      <c r="AW830" s="1"/>
      <c r="AX830" s="1"/>
      <c r="AY830" s="1"/>
      <c r="AZ830" s="1"/>
      <c r="BA830" s="1"/>
      <c r="BB830" s="1"/>
      <c r="BC830" s="1"/>
      <c r="BD830" s="2"/>
      <c r="BE830" s="1"/>
      <c r="BF830" s="1"/>
      <c r="BG830" s="1"/>
      <c r="BH830" s="1"/>
      <c r="BI830" s="1"/>
      <c r="BJ830" s="1"/>
      <c r="BK830" s="1"/>
      <c r="BL830" s="1"/>
      <c r="BM830" s="2"/>
      <c r="BN830" s="1"/>
      <c r="BO830" s="1"/>
      <c r="BP830" s="1"/>
      <c r="BQ830" s="1"/>
      <c r="BR830" s="1"/>
      <c r="BS830" s="1"/>
      <c r="BT830" s="1"/>
      <c r="BU830" s="1"/>
      <c r="BV830" s="2"/>
      <c r="BW830" s="1"/>
      <c r="BX830" s="1"/>
      <c r="BY830" s="1"/>
      <c r="BZ830" s="1"/>
      <c r="CA830" s="1"/>
      <c r="CB830" s="1"/>
      <c r="CC830" s="1"/>
      <c r="CD830" s="1"/>
      <c r="CE830" s="2"/>
      <c r="CF830" s="1"/>
      <c r="CG830" s="1"/>
      <c r="CH830" s="1"/>
      <c r="CI830" s="1"/>
      <c r="CJ830" s="1"/>
      <c r="CK830" s="1"/>
      <c r="CL830" s="1"/>
    </row>
    <row r="831" spans="1:90" ht="14.65" x14ac:dyDescent="0.4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2"/>
      <c r="L831" s="1"/>
      <c r="M831" s="1"/>
      <c r="N831" s="1"/>
      <c r="O831" s="1"/>
      <c r="P831" s="1"/>
      <c r="Q831" s="1"/>
      <c r="R831" s="1"/>
      <c r="S831" s="1"/>
      <c r="T831" s="2"/>
      <c r="U831" s="1"/>
      <c r="V831" s="1"/>
      <c r="W831" s="1"/>
      <c r="X831" s="1"/>
      <c r="Y831" s="1"/>
      <c r="Z831" s="1"/>
      <c r="AA831" s="1"/>
      <c r="AB831" s="1"/>
      <c r="AC831" s="2"/>
      <c r="AD831" s="1"/>
      <c r="AE831" s="1"/>
      <c r="AF831" s="1"/>
      <c r="AG831" s="1"/>
      <c r="AH831" s="1"/>
      <c r="AI831" s="1"/>
      <c r="AJ831" s="1"/>
      <c r="AK831" s="1"/>
      <c r="AL831" s="2"/>
      <c r="AM831" s="1"/>
      <c r="AN831" s="1"/>
      <c r="AO831" s="1"/>
      <c r="AP831" s="1"/>
      <c r="AQ831" s="1"/>
      <c r="AR831" s="1"/>
      <c r="AS831" s="1"/>
      <c r="AT831" s="1"/>
      <c r="AU831" s="2"/>
      <c r="AV831" s="1"/>
      <c r="AW831" s="1"/>
      <c r="AX831" s="1"/>
      <c r="AY831" s="1"/>
      <c r="AZ831" s="1"/>
      <c r="BA831" s="1"/>
      <c r="BB831" s="1"/>
      <c r="BC831" s="1"/>
      <c r="BD831" s="2"/>
      <c r="BE831" s="1"/>
      <c r="BF831" s="1"/>
      <c r="BG831" s="1"/>
      <c r="BH831" s="1"/>
      <c r="BI831" s="1"/>
      <c r="BJ831" s="1"/>
      <c r="BK831" s="1"/>
      <c r="BL831" s="1"/>
      <c r="BM831" s="2"/>
      <c r="BN831" s="1"/>
      <c r="BO831" s="1"/>
      <c r="BP831" s="1"/>
      <c r="BQ831" s="1"/>
      <c r="BR831" s="1"/>
      <c r="BS831" s="1"/>
      <c r="BT831" s="1"/>
      <c r="BU831" s="1"/>
      <c r="BV831" s="2"/>
      <c r="BW831" s="1"/>
      <c r="BX831" s="1"/>
      <c r="BY831" s="1"/>
      <c r="BZ831" s="1"/>
      <c r="CA831" s="1"/>
      <c r="CB831" s="1"/>
      <c r="CC831" s="1"/>
      <c r="CD831" s="1"/>
      <c r="CE831" s="2"/>
      <c r="CF831" s="1"/>
      <c r="CG831" s="1"/>
      <c r="CH831" s="1"/>
      <c r="CI831" s="1"/>
      <c r="CJ831" s="1"/>
      <c r="CK831" s="1"/>
      <c r="CL831" s="1"/>
    </row>
    <row r="832" spans="1:90" ht="14.65" x14ac:dyDescent="0.4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2"/>
      <c r="L832" s="1"/>
      <c r="M832" s="1"/>
      <c r="N832" s="1"/>
      <c r="O832" s="1"/>
      <c r="P832" s="1"/>
      <c r="Q832" s="1"/>
      <c r="R832" s="1"/>
      <c r="S832" s="1"/>
      <c r="T832" s="2"/>
      <c r="U832" s="1"/>
      <c r="V832" s="1"/>
      <c r="W832" s="1"/>
      <c r="X832" s="1"/>
      <c r="Y832" s="1"/>
      <c r="Z832" s="1"/>
      <c r="AA832" s="1"/>
      <c r="AB832" s="1"/>
      <c r="AC832" s="2"/>
      <c r="AD832" s="1"/>
      <c r="AE832" s="1"/>
      <c r="AF832" s="1"/>
      <c r="AG832" s="1"/>
      <c r="AH832" s="1"/>
      <c r="AI832" s="1"/>
      <c r="AJ832" s="1"/>
      <c r="AK832" s="1"/>
      <c r="AL832" s="2"/>
      <c r="AM832" s="1"/>
      <c r="AN832" s="1"/>
      <c r="AO832" s="1"/>
      <c r="AP832" s="1"/>
      <c r="AQ832" s="1"/>
      <c r="AR832" s="1"/>
      <c r="AS832" s="1"/>
      <c r="AT832" s="1"/>
      <c r="AU832" s="2"/>
      <c r="AV832" s="1"/>
      <c r="AW832" s="1"/>
      <c r="AX832" s="1"/>
      <c r="AY832" s="1"/>
      <c r="AZ832" s="1"/>
      <c r="BA832" s="1"/>
      <c r="BB832" s="1"/>
      <c r="BC832" s="1"/>
      <c r="BD832" s="2"/>
      <c r="BE832" s="1"/>
      <c r="BF832" s="1"/>
      <c r="BG832" s="1"/>
      <c r="BH832" s="1"/>
      <c r="BI832" s="1"/>
      <c r="BJ832" s="1"/>
      <c r="BK832" s="1"/>
      <c r="BL832" s="1"/>
      <c r="BM832" s="2"/>
      <c r="BN832" s="1"/>
      <c r="BO832" s="1"/>
      <c r="BP832" s="1"/>
      <c r="BQ832" s="1"/>
      <c r="BR832" s="1"/>
      <c r="BS832" s="1"/>
      <c r="BT832" s="1"/>
      <c r="BU832" s="1"/>
      <c r="BV832" s="2"/>
      <c r="BW832" s="1"/>
      <c r="BX832" s="1"/>
      <c r="BY832" s="1"/>
      <c r="BZ832" s="1"/>
      <c r="CA832" s="1"/>
      <c r="CB832" s="1"/>
      <c r="CC832" s="1"/>
      <c r="CD832" s="1"/>
      <c r="CE832" s="2"/>
      <c r="CF832" s="1"/>
      <c r="CG832" s="1"/>
      <c r="CH832" s="1"/>
      <c r="CI832" s="1"/>
      <c r="CJ832" s="1"/>
      <c r="CK832" s="1"/>
      <c r="CL832" s="1"/>
    </row>
    <row r="833" spans="1:90" ht="14.65" x14ac:dyDescent="0.4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2"/>
      <c r="L833" s="1"/>
      <c r="M833" s="1"/>
      <c r="N833" s="1"/>
      <c r="O833" s="1"/>
      <c r="P833" s="1"/>
      <c r="Q833" s="1"/>
      <c r="R833" s="1"/>
      <c r="S833" s="1"/>
      <c r="T833" s="2"/>
      <c r="U833" s="1"/>
      <c r="V833" s="1"/>
      <c r="W833" s="1"/>
      <c r="X833" s="1"/>
      <c r="Y833" s="1"/>
      <c r="Z833" s="1"/>
      <c r="AA833" s="1"/>
      <c r="AB833" s="1"/>
      <c r="AC833" s="2"/>
      <c r="AD833" s="1"/>
      <c r="AE833" s="1"/>
      <c r="AF833" s="1"/>
      <c r="AG833" s="1"/>
      <c r="AH833" s="1"/>
      <c r="AI833" s="1"/>
      <c r="AJ833" s="1"/>
      <c r="AK833" s="1"/>
      <c r="AL833" s="2"/>
      <c r="AM833" s="1"/>
      <c r="AN833" s="1"/>
      <c r="AO833" s="1"/>
      <c r="AP833" s="1"/>
      <c r="AQ833" s="1"/>
      <c r="AR833" s="1"/>
      <c r="AS833" s="1"/>
      <c r="AT833" s="1"/>
      <c r="AU833" s="2"/>
      <c r="AV833" s="1"/>
      <c r="AW833" s="1"/>
      <c r="AX833" s="1"/>
      <c r="AY833" s="1"/>
      <c r="AZ833" s="1"/>
      <c r="BA833" s="1"/>
      <c r="BB833" s="1"/>
      <c r="BC833" s="1"/>
      <c r="BD833" s="2"/>
      <c r="BE833" s="1"/>
      <c r="BF833" s="1"/>
      <c r="BG833" s="1"/>
      <c r="BH833" s="1"/>
      <c r="BI833" s="1"/>
      <c r="BJ833" s="1"/>
      <c r="BK833" s="1"/>
      <c r="BL833" s="1"/>
      <c r="BM833" s="2"/>
      <c r="BN833" s="1"/>
      <c r="BO833" s="1"/>
      <c r="BP833" s="1"/>
      <c r="BQ833" s="1"/>
      <c r="BR833" s="1"/>
      <c r="BS833" s="1"/>
      <c r="BT833" s="1"/>
      <c r="BU833" s="1"/>
      <c r="BV833" s="2"/>
      <c r="BW833" s="1"/>
      <c r="BX833" s="1"/>
      <c r="BY833" s="1"/>
      <c r="BZ833" s="1"/>
      <c r="CA833" s="1"/>
      <c r="CB833" s="1"/>
      <c r="CC833" s="1"/>
      <c r="CD833" s="1"/>
      <c r="CE833" s="2"/>
      <c r="CF833" s="1"/>
      <c r="CG833" s="1"/>
      <c r="CH833" s="1"/>
      <c r="CI833" s="1"/>
      <c r="CJ833" s="1"/>
      <c r="CK833" s="1"/>
      <c r="CL833" s="1"/>
    </row>
    <row r="834" spans="1:90" ht="14.65" x14ac:dyDescent="0.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2"/>
      <c r="L834" s="1"/>
      <c r="M834" s="1"/>
      <c r="N834" s="1"/>
      <c r="O834" s="1"/>
      <c r="P834" s="1"/>
      <c r="Q834" s="1"/>
      <c r="R834" s="1"/>
      <c r="S834" s="1"/>
      <c r="T834" s="2"/>
      <c r="U834" s="1"/>
      <c r="V834" s="1"/>
      <c r="W834" s="1"/>
      <c r="X834" s="1"/>
      <c r="Y834" s="1"/>
      <c r="Z834" s="1"/>
      <c r="AA834" s="1"/>
      <c r="AB834" s="1"/>
      <c r="AC834" s="2"/>
      <c r="AD834" s="1"/>
      <c r="AE834" s="1"/>
      <c r="AF834" s="1"/>
      <c r="AG834" s="1"/>
      <c r="AH834" s="1"/>
      <c r="AI834" s="1"/>
      <c r="AJ834" s="1"/>
      <c r="AK834" s="1"/>
      <c r="AL834" s="2"/>
      <c r="AM834" s="1"/>
      <c r="AN834" s="1"/>
      <c r="AO834" s="1"/>
      <c r="AP834" s="1"/>
      <c r="AQ834" s="1"/>
      <c r="AR834" s="1"/>
      <c r="AS834" s="1"/>
      <c r="AT834" s="1"/>
      <c r="AU834" s="2"/>
      <c r="AV834" s="1"/>
      <c r="AW834" s="1"/>
      <c r="AX834" s="1"/>
      <c r="AY834" s="1"/>
      <c r="AZ834" s="1"/>
      <c r="BA834" s="1"/>
      <c r="BB834" s="1"/>
      <c r="BC834" s="1"/>
      <c r="BD834" s="2"/>
      <c r="BE834" s="1"/>
      <c r="BF834" s="1"/>
      <c r="BG834" s="1"/>
      <c r="BH834" s="1"/>
      <c r="BI834" s="1"/>
      <c r="BJ834" s="1"/>
      <c r="BK834" s="1"/>
      <c r="BL834" s="1"/>
      <c r="BM834" s="2"/>
      <c r="BN834" s="1"/>
      <c r="BO834" s="1"/>
      <c r="BP834" s="1"/>
      <c r="BQ834" s="1"/>
      <c r="BR834" s="1"/>
      <c r="BS834" s="1"/>
      <c r="BT834" s="1"/>
      <c r="BU834" s="1"/>
      <c r="BV834" s="2"/>
      <c r="BW834" s="1"/>
      <c r="BX834" s="1"/>
      <c r="BY834" s="1"/>
      <c r="BZ834" s="1"/>
      <c r="CA834" s="1"/>
      <c r="CB834" s="1"/>
      <c r="CC834" s="1"/>
      <c r="CD834" s="1"/>
      <c r="CE834" s="2"/>
      <c r="CF834" s="1"/>
      <c r="CG834" s="1"/>
      <c r="CH834" s="1"/>
      <c r="CI834" s="1"/>
      <c r="CJ834" s="1"/>
      <c r="CK834" s="1"/>
      <c r="CL834" s="1"/>
    </row>
    <row r="835" spans="1:90" ht="14.65" x14ac:dyDescent="0.4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2"/>
      <c r="L835" s="1"/>
      <c r="M835" s="1"/>
      <c r="N835" s="1"/>
      <c r="O835" s="1"/>
      <c r="P835" s="1"/>
      <c r="Q835" s="1"/>
      <c r="R835" s="1"/>
      <c r="S835" s="1"/>
      <c r="T835" s="2"/>
      <c r="U835" s="1"/>
      <c r="V835" s="1"/>
      <c r="W835" s="1"/>
      <c r="X835" s="1"/>
      <c r="Y835" s="1"/>
      <c r="Z835" s="1"/>
      <c r="AA835" s="1"/>
      <c r="AB835" s="1"/>
      <c r="AC835" s="2"/>
      <c r="AD835" s="1"/>
      <c r="AE835" s="1"/>
      <c r="AF835" s="1"/>
      <c r="AG835" s="1"/>
      <c r="AH835" s="1"/>
      <c r="AI835" s="1"/>
      <c r="AJ835" s="1"/>
      <c r="AK835" s="1"/>
      <c r="AL835" s="2"/>
      <c r="AM835" s="1"/>
      <c r="AN835" s="1"/>
      <c r="AO835" s="1"/>
      <c r="AP835" s="1"/>
      <c r="AQ835" s="1"/>
      <c r="AR835" s="1"/>
      <c r="AS835" s="1"/>
      <c r="AT835" s="1"/>
      <c r="AU835" s="2"/>
      <c r="AV835" s="1"/>
      <c r="AW835" s="1"/>
      <c r="AX835" s="1"/>
      <c r="AY835" s="1"/>
      <c r="AZ835" s="1"/>
      <c r="BA835" s="1"/>
      <c r="BB835" s="1"/>
      <c r="BC835" s="1"/>
      <c r="BD835" s="2"/>
      <c r="BE835" s="1"/>
      <c r="BF835" s="1"/>
      <c r="BG835" s="1"/>
      <c r="BH835" s="1"/>
      <c r="BI835" s="1"/>
      <c r="BJ835" s="1"/>
      <c r="BK835" s="1"/>
      <c r="BL835" s="1"/>
      <c r="BM835" s="2"/>
      <c r="BN835" s="1"/>
      <c r="BO835" s="1"/>
      <c r="BP835" s="1"/>
      <c r="BQ835" s="1"/>
      <c r="BR835" s="1"/>
      <c r="BS835" s="1"/>
      <c r="BT835" s="1"/>
      <c r="BU835" s="1"/>
      <c r="BV835" s="2"/>
      <c r="BW835" s="1"/>
      <c r="BX835" s="1"/>
      <c r="BY835" s="1"/>
      <c r="BZ835" s="1"/>
      <c r="CA835" s="1"/>
      <c r="CB835" s="1"/>
      <c r="CC835" s="1"/>
      <c r="CD835" s="1"/>
      <c r="CE835" s="2"/>
      <c r="CF835" s="1"/>
      <c r="CG835" s="1"/>
      <c r="CH835" s="1"/>
      <c r="CI835" s="1"/>
      <c r="CJ835" s="1"/>
      <c r="CK835" s="1"/>
      <c r="CL835" s="1"/>
    </row>
    <row r="836" spans="1:90" ht="14.65" x14ac:dyDescent="0.4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2"/>
      <c r="L836" s="1"/>
      <c r="M836" s="1"/>
      <c r="N836" s="1"/>
      <c r="O836" s="1"/>
      <c r="P836" s="1"/>
      <c r="Q836" s="1"/>
      <c r="R836" s="1"/>
      <c r="S836" s="1"/>
      <c r="T836" s="2"/>
      <c r="U836" s="1"/>
      <c r="V836" s="1"/>
      <c r="W836" s="1"/>
      <c r="X836" s="1"/>
      <c r="Y836" s="1"/>
      <c r="Z836" s="1"/>
      <c r="AA836" s="1"/>
      <c r="AB836" s="1"/>
      <c r="AC836" s="2"/>
      <c r="AD836" s="1"/>
      <c r="AE836" s="1"/>
      <c r="AF836" s="1"/>
      <c r="AG836" s="1"/>
      <c r="AH836" s="1"/>
      <c r="AI836" s="1"/>
      <c r="AJ836" s="1"/>
      <c r="AK836" s="1"/>
      <c r="AL836" s="2"/>
      <c r="AM836" s="1"/>
      <c r="AN836" s="1"/>
      <c r="AO836" s="1"/>
      <c r="AP836" s="1"/>
      <c r="AQ836" s="1"/>
      <c r="AR836" s="1"/>
      <c r="AS836" s="1"/>
      <c r="AT836" s="1"/>
      <c r="AU836" s="2"/>
      <c r="AV836" s="1"/>
      <c r="AW836" s="1"/>
      <c r="AX836" s="1"/>
      <c r="AY836" s="1"/>
      <c r="AZ836" s="1"/>
      <c r="BA836" s="1"/>
      <c r="BB836" s="1"/>
      <c r="BC836" s="1"/>
      <c r="BD836" s="2"/>
      <c r="BE836" s="1"/>
      <c r="BF836" s="1"/>
      <c r="BG836" s="1"/>
      <c r="BH836" s="1"/>
      <c r="BI836" s="1"/>
      <c r="BJ836" s="1"/>
      <c r="BK836" s="1"/>
      <c r="BL836" s="1"/>
      <c r="BM836" s="2"/>
      <c r="BN836" s="1"/>
      <c r="BO836" s="1"/>
      <c r="BP836" s="1"/>
      <c r="BQ836" s="1"/>
      <c r="BR836" s="1"/>
      <c r="BS836" s="1"/>
      <c r="BT836" s="1"/>
      <c r="BU836" s="1"/>
      <c r="BV836" s="2"/>
      <c r="BW836" s="1"/>
      <c r="BX836" s="1"/>
      <c r="BY836" s="1"/>
      <c r="BZ836" s="1"/>
      <c r="CA836" s="1"/>
      <c r="CB836" s="1"/>
      <c r="CC836" s="1"/>
      <c r="CD836" s="1"/>
      <c r="CE836" s="2"/>
      <c r="CF836" s="1"/>
      <c r="CG836" s="1"/>
      <c r="CH836" s="1"/>
      <c r="CI836" s="1"/>
      <c r="CJ836" s="1"/>
      <c r="CK836" s="1"/>
      <c r="CL836" s="1"/>
    </row>
    <row r="837" spans="1:90" ht="14.65" x14ac:dyDescent="0.4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2"/>
      <c r="L837" s="2"/>
      <c r="M837" s="1"/>
      <c r="N837" s="1"/>
      <c r="O837" s="1"/>
      <c r="P837" s="1"/>
      <c r="Q837" s="1"/>
      <c r="R837" s="1"/>
      <c r="S837" s="1"/>
      <c r="T837" s="2"/>
      <c r="U837" s="1"/>
      <c r="V837" s="1"/>
      <c r="W837" s="1"/>
      <c r="X837" s="1"/>
      <c r="Y837" s="1"/>
      <c r="Z837" s="1"/>
      <c r="AA837" s="1"/>
      <c r="AB837" s="1"/>
      <c r="AC837" s="2"/>
      <c r="AD837" s="1"/>
      <c r="AE837" s="1"/>
      <c r="AF837" s="1"/>
      <c r="AG837" s="1"/>
      <c r="AH837" s="1"/>
      <c r="AI837" s="1"/>
      <c r="AJ837" s="1"/>
      <c r="AK837" s="1"/>
      <c r="AL837" s="2"/>
      <c r="AM837" s="1"/>
      <c r="AN837" s="1"/>
      <c r="AO837" s="1"/>
      <c r="AP837" s="1"/>
      <c r="AQ837" s="1"/>
      <c r="AR837" s="1"/>
      <c r="AS837" s="1"/>
      <c r="AT837" s="1"/>
      <c r="AU837" s="2"/>
      <c r="AV837" s="1"/>
      <c r="AW837" s="1"/>
      <c r="AX837" s="1"/>
      <c r="AY837" s="1"/>
      <c r="AZ837" s="1"/>
      <c r="BA837" s="1"/>
      <c r="BB837" s="1"/>
      <c r="BC837" s="1"/>
      <c r="BD837" s="2"/>
      <c r="BE837" s="1"/>
      <c r="BF837" s="1"/>
      <c r="BG837" s="1"/>
      <c r="BH837" s="1"/>
      <c r="BI837" s="1"/>
      <c r="BJ837" s="1"/>
      <c r="BK837" s="1"/>
      <c r="BL837" s="1"/>
      <c r="BM837" s="2"/>
      <c r="BN837" s="1"/>
      <c r="BO837" s="1"/>
      <c r="BP837" s="1"/>
      <c r="BQ837" s="1"/>
      <c r="BR837" s="1"/>
      <c r="BS837" s="1"/>
      <c r="BT837" s="1"/>
      <c r="BU837" s="1"/>
      <c r="BV837" s="2"/>
      <c r="BW837" s="1"/>
      <c r="BX837" s="1"/>
      <c r="BY837" s="1"/>
      <c r="BZ837" s="1"/>
      <c r="CA837" s="1"/>
      <c r="CB837" s="1"/>
      <c r="CC837" s="1"/>
      <c r="CD837" s="1"/>
      <c r="CE837" s="2"/>
      <c r="CF837" s="1"/>
      <c r="CG837" s="1"/>
      <c r="CH837" s="1"/>
      <c r="CI837" s="1"/>
      <c r="CJ837" s="1"/>
      <c r="CK837" s="1"/>
      <c r="CL837" s="1"/>
    </row>
    <row r="838" spans="1:90" ht="14.65" x14ac:dyDescent="0.4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2"/>
      <c r="L838" s="2"/>
      <c r="M838" s="1"/>
      <c r="N838" s="1"/>
      <c r="O838" s="1"/>
      <c r="P838" s="1"/>
      <c r="Q838" s="1"/>
      <c r="R838" s="1"/>
      <c r="S838" s="1"/>
      <c r="T838" s="2"/>
      <c r="U838" s="1"/>
      <c r="V838" s="1"/>
      <c r="W838" s="1"/>
      <c r="X838" s="1"/>
      <c r="Y838" s="1"/>
      <c r="Z838" s="1"/>
      <c r="AA838" s="1"/>
      <c r="AB838" s="1"/>
      <c r="AC838" s="2"/>
      <c r="AD838" s="1"/>
      <c r="AE838" s="1"/>
      <c r="AF838" s="1"/>
      <c r="AG838" s="1"/>
      <c r="AH838" s="1"/>
      <c r="AI838" s="1"/>
      <c r="AJ838" s="1"/>
      <c r="AK838" s="1"/>
      <c r="AL838" s="2"/>
      <c r="AM838" s="1"/>
      <c r="AN838" s="1"/>
      <c r="AO838" s="1"/>
      <c r="AP838" s="1"/>
      <c r="AQ838" s="1"/>
      <c r="AR838" s="1"/>
      <c r="AS838" s="1"/>
      <c r="AT838" s="1"/>
      <c r="AU838" s="2"/>
      <c r="AV838" s="1"/>
      <c r="AW838" s="1"/>
      <c r="AX838" s="1"/>
      <c r="AY838" s="1"/>
      <c r="AZ838" s="1"/>
      <c r="BA838" s="1"/>
      <c r="BB838" s="1"/>
      <c r="BC838" s="1"/>
      <c r="BD838" s="2"/>
      <c r="BE838" s="1"/>
      <c r="BF838" s="1"/>
      <c r="BG838" s="1"/>
      <c r="BH838" s="1"/>
      <c r="BI838" s="1"/>
      <c r="BJ838" s="1"/>
      <c r="BK838" s="1"/>
      <c r="BL838" s="1"/>
      <c r="BM838" s="2"/>
      <c r="BN838" s="1"/>
      <c r="BO838" s="1"/>
      <c r="BP838" s="1"/>
      <c r="BQ838" s="1"/>
      <c r="BR838" s="1"/>
      <c r="BS838" s="1"/>
      <c r="BT838" s="1"/>
      <c r="BU838" s="1"/>
      <c r="BV838" s="2"/>
      <c r="BW838" s="1"/>
      <c r="BX838" s="1"/>
      <c r="BY838" s="1"/>
      <c r="BZ838" s="1"/>
      <c r="CA838" s="1"/>
      <c r="CB838" s="1"/>
      <c r="CC838" s="1"/>
      <c r="CD838" s="1"/>
      <c r="CE838" s="2"/>
      <c r="CF838" s="1"/>
      <c r="CG838" s="1"/>
      <c r="CH838" s="1"/>
      <c r="CI838" s="1"/>
      <c r="CJ838" s="1"/>
      <c r="CK838" s="1"/>
      <c r="CL838" s="1"/>
    </row>
    <row r="839" spans="1:90" ht="14.65" x14ac:dyDescent="0.4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2"/>
      <c r="L839" s="2"/>
      <c r="M839" s="1"/>
      <c r="N839" s="1"/>
      <c r="O839" s="1"/>
      <c r="P839" s="1"/>
      <c r="Q839" s="1"/>
      <c r="R839" s="1"/>
      <c r="S839" s="1"/>
      <c r="T839" s="2"/>
      <c r="U839" s="1"/>
      <c r="V839" s="1"/>
      <c r="W839" s="1"/>
      <c r="X839" s="1"/>
      <c r="Y839" s="1"/>
      <c r="Z839" s="1"/>
      <c r="AA839" s="1"/>
      <c r="AB839" s="1"/>
      <c r="AC839" s="2"/>
      <c r="AD839" s="1"/>
      <c r="AE839" s="1"/>
      <c r="AF839" s="1"/>
      <c r="AG839" s="1"/>
      <c r="AH839" s="1"/>
      <c r="AI839" s="1"/>
      <c r="AJ839" s="1"/>
      <c r="AK839" s="1"/>
      <c r="AL839" s="2"/>
      <c r="AM839" s="1"/>
      <c r="AN839" s="1"/>
      <c r="AO839" s="1"/>
      <c r="AP839" s="1"/>
      <c r="AQ839" s="1"/>
      <c r="AR839" s="1"/>
      <c r="AS839" s="1"/>
      <c r="AT839" s="1"/>
      <c r="AU839" s="2"/>
      <c r="AV839" s="1"/>
      <c r="AW839" s="1"/>
      <c r="AX839" s="1"/>
      <c r="AY839" s="1"/>
      <c r="AZ839" s="1"/>
      <c r="BA839" s="1"/>
      <c r="BB839" s="1"/>
      <c r="BC839" s="1"/>
      <c r="BD839" s="2"/>
      <c r="BE839" s="1"/>
      <c r="BF839" s="1"/>
      <c r="BG839" s="1"/>
      <c r="BH839" s="1"/>
      <c r="BI839" s="1"/>
      <c r="BJ839" s="1"/>
      <c r="BK839" s="1"/>
      <c r="BL839" s="1"/>
      <c r="BM839" s="2"/>
      <c r="BN839" s="1"/>
      <c r="BO839" s="1"/>
      <c r="BP839" s="1"/>
      <c r="BQ839" s="1"/>
      <c r="BR839" s="1"/>
      <c r="BS839" s="1"/>
      <c r="BT839" s="1"/>
      <c r="BU839" s="1"/>
      <c r="BV839" s="2"/>
      <c r="BW839" s="1"/>
      <c r="BX839" s="1"/>
      <c r="BY839" s="1"/>
      <c r="BZ839" s="1"/>
      <c r="CA839" s="1"/>
      <c r="CB839" s="1"/>
      <c r="CC839" s="1"/>
      <c r="CD839" s="1"/>
      <c r="CE839" s="2"/>
      <c r="CF839" s="1"/>
      <c r="CG839" s="1"/>
      <c r="CH839" s="1"/>
      <c r="CI839" s="1"/>
      <c r="CJ839" s="1"/>
      <c r="CK839" s="1"/>
      <c r="CL839" s="1"/>
    </row>
    <row r="840" spans="1:90" ht="14.65" x14ac:dyDescent="0.4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2"/>
      <c r="L840" s="2"/>
      <c r="M840" s="1"/>
      <c r="N840" s="1"/>
      <c r="O840" s="1"/>
      <c r="P840" s="1"/>
      <c r="Q840" s="1"/>
      <c r="R840" s="1"/>
      <c r="S840" s="1"/>
      <c r="T840" s="2"/>
      <c r="U840" s="1"/>
      <c r="V840" s="1"/>
      <c r="W840" s="1"/>
      <c r="X840" s="1"/>
      <c r="Y840" s="1"/>
      <c r="Z840" s="1"/>
      <c r="AA840" s="1"/>
      <c r="AB840" s="1"/>
      <c r="AC840" s="2"/>
      <c r="AD840" s="1"/>
      <c r="AE840" s="1"/>
      <c r="AF840" s="1"/>
      <c r="AG840" s="1"/>
      <c r="AH840" s="1"/>
      <c r="AI840" s="1"/>
      <c r="AJ840" s="1"/>
      <c r="AK840" s="1"/>
      <c r="AL840" s="2"/>
      <c r="AM840" s="1"/>
      <c r="AN840" s="1"/>
      <c r="AO840" s="1"/>
      <c r="AP840" s="1"/>
      <c r="AQ840" s="1"/>
      <c r="AR840" s="1"/>
      <c r="AS840" s="1"/>
      <c r="AT840" s="1"/>
      <c r="AU840" s="2"/>
      <c r="AV840" s="1"/>
      <c r="AW840" s="1"/>
      <c r="AX840" s="1"/>
      <c r="AY840" s="1"/>
      <c r="AZ840" s="1"/>
      <c r="BA840" s="1"/>
      <c r="BB840" s="1"/>
      <c r="BC840" s="1"/>
      <c r="BD840" s="2"/>
      <c r="BE840" s="1"/>
      <c r="BF840" s="1"/>
      <c r="BG840" s="1"/>
      <c r="BH840" s="1"/>
      <c r="BI840" s="1"/>
      <c r="BJ840" s="1"/>
      <c r="BK840" s="1"/>
      <c r="BL840" s="1"/>
      <c r="BM840" s="2"/>
      <c r="BN840" s="1"/>
      <c r="BO840" s="1"/>
      <c r="BP840" s="1"/>
      <c r="BQ840" s="1"/>
      <c r="BR840" s="1"/>
      <c r="BS840" s="1"/>
      <c r="BT840" s="1"/>
      <c r="BU840" s="1"/>
      <c r="BV840" s="2"/>
      <c r="BW840" s="1"/>
      <c r="BX840" s="1"/>
      <c r="BY840" s="1"/>
      <c r="BZ840" s="1"/>
      <c r="CA840" s="1"/>
      <c r="CB840" s="1"/>
      <c r="CC840" s="1"/>
      <c r="CD840" s="1"/>
      <c r="CE840" s="2"/>
      <c r="CF840" s="1"/>
      <c r="CG840" s="1"/>
      <c r="CH840" s="1"/>
      <c r="CI840" s="1"/>
      <c r="CJ840" s="1"/>
      <c r="CK840" s="1"/>
      <c r="CL840" s="1"/>
    </row>
    <row r="841" spans="1:90" ht="14.65" x14ac:dyDescent="0.4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2"/>
      <c r="L841" s="1"/>
      <c r="M841" s="1"/>
      <c r="N841" s="1"/>
      <c r="O841" s="1"/>
      <c r="P841" s="1"/>
      <c r="Q841" s="1"/>
      <c r="R841" s="1"/>
      <c r="S841" s="1"/>
      <c r="T841" s="2"/>
      <c r="U841" s="1"/>
      <c r="V841" s="1"/>
      <c r="W841" s="1"/>
      <c r="X841" s="1"/>
      <c r="Y841" s="1"/>
      <c r="Z841" s="1"/>
      <c r="AA841" s="1"/>
      <c r="AB841" s="1"/>
      <c r="AC841" s="2"/>
      <c r="AD841" s="1"/>
      <c r="AE841" s="1"/>
      <c r="AF841" s="1"/>
      <c r="AG841" s="1"/>
      <c r="AH841" s="1"/>
      <c r="AI841" s="1"/>
      <c r="AJ841" s="1"/>
      <c r="AK841" s="1"/>
      <c r="AL841" s="2"/>
      <c r="AM841" s="1"/>
      <c r="AN841" s="1"/>
      <c r="AO841" s="1"/>
      <c r="AP841" s="1"/>
      <c r="AQ841" s="1"/>
      <c r="AR841" s="1"/>
      <c r="AS841" s="1"/>
      <c r="AT841" s="1"/>
      <c r="AU841" s="2"/>
      <c r="AV841" s="1"/>
      <c r="AW841" s="1"/>
      <c r="AX841" s="1"/>
      <c r="AY841" s="1"/>
      <c r="AZ841" s="1"/>
      <c r="BA841" s="1"/>
      <c r="BB841" s="1"/>
      <c r="BC841" s="1"/>
      <c r="BD841" s="2"/>
      <c r="BE841" s="1"/>
      <c r="BF841" s="1"/>
      <c r="BG841" s="1"/>
      <c r="BH841" s="1"/>
      <c r="BI841" s="1"/>
      <c r="BJ841" s="1"/>
      <c r="BK841" s="1"/>
      <c r="BL841" s="1"/>
      <c r="BM841" s="2"/>
      <c r="BN841" s="1"/>
      <c r="BO841" s="1"/>
      <c r="BP841" s="1"/>
      <c r="BQ841" s="1"/>
      <c r="BR841" s="1"/>
      <c r="BS841" s="1"/>
      <c r="BT841" s="1"/>
      <c r="BU841" s="1"/>
      <c r="BV841" s="2"/>
      <c r="BW841" s="1"/>
      <c r="BX841" s="1"/>
      <c r="BY841" s="1"/>
      <c r="BZ841" s="1"/>
      <c r="CA841" s="1"/>
      <c r="CB841" s="1"/>
      <c r="CC841" s="1"/>
      <c r="CD841" s="1"/>
      <c r="CE841" s="2"/>
      <c r="CF841" s="1"/>
      <c r="CG841" s="1"/>
      <c r="CH841" s="1"/>
      <c r="CI841" s="1"/>
      <c r="CJ841" s="1"/>
      <c r="CK841" s="1"/>
      <c r="CL841" s="1"/>
    </row>
    <row r="842" spans="1:90" ht="14.65" x14ac:dyDescent="0.4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2"/>
      <c r="L842" s="1"/>
      <c r="M842" s="1"/>
      <c r="N842" s="1"/>
      <c r="O842" s="1"/>
      <c r="P842" s="1"/>
      <c r="Q842" s="1"/>
      <c r="R842" s="1"/>
      <c r="S842" s="1"/>
      <c r="T842" s="2"/>
      <c r="U842" s="1"/>
      <c r="V842" s="1"/>
      <c r="W842" s="1"/>
      <c r="X842" s="1"/>
      <c r="Y842" s="1"/>
      <c r="Z842" s="1"/>
      <c r="AA842" s="1"/>
      <c r="AB842" s="1"/>
      <c r="AC842" s="2"/>
      <c r="AD842" s="1"/>
      <c r="AE842" s="1"/>
      <c r="AF842" s="1"/>
      <c r="AG842" s="1"/>
      <c r="AH842" s="1"/>
      <c r="AI842" s="1"/>
      <c r="AJ842" s="1"/>
      <c r="AK842" s="1"/>
      <c r="AL842" s="2"/>
      <c r="AM842" s="1"/>
      <c r="AN842" s="1"/>
      <c r="AO842" s="1"/>
      <c r="AP842" s="1"/>
      <c r="AQ842" s="1"/>
      <c r="AR842" s="1"/>
      <c r="AS842" s="1"/>
      <c r="AT842" s="1"/>
      <c r="AU842" s="2"/>
      <c r="AV842" s="1"/>
      <c r="AW842" s="1"/>
      <c r="AX842" s="1"/>
      <c r="AY842" s="1"/>
      <c r="AZ842" s="1"/>
      <c r="BA842" s="1"/>
      <c r="BB842" s="1"/>
      <c r="BC842" s="1"/>
      <c r="BD842" s="2"/>
      <c r="BE842" s="1"/>
      <c r="BF842" s="1"/>
      <c r="BG842" s="1"/>
      <c r="BH842" s="1"/>
      <c r="BI842" s="1"/>
      <c r="BJ842" s="1"/>
      <c r="BK842" s="1"/>
      <c r="BL842" s="1"/>
      <c r="BM842" s="2"/>
      <c r="BN842" s="1"/>
      <c r="BO842" s="1"/>
      <c r="BP842" s="1"/>
      <c r="BQ842" s="1"/>
      <c r="BR842" s="1"/>
      <c r="BS842" s="1"/>
      <c r="BT842" s="1"/>
      <c r="BU842" s="1"/>
      <c r="BV842" s="2"/>
      <c r="BW842" s="1"/>
      <c r="BX842" s="1"/>
      <c r="BY842" s="1"/>
      <c r="BZ842" s="1"/>
      <c r="CA842" s="1"/>
      <c r="CB842" s="1"/>
      <c r="CC842" s="1"/>
      <c r="CD842" s="1"/>
      <c r="CE842" s="2"/>
      <c r="CF842" s="1"/>
      <c r="CG842" s="1"/>
      <c r="CH842" s="1"/>
      <c r="CI842" s="1"/>
      <c r="CJ842" s="1"/>
      <c r="CK842" s="1"/>
      <c r="CL842" s="1"/>
    </row>
    <row r="843" spans="1:90" ht="14.65" x14ac:dyDescent="0.4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2"/>
      <c r="L843" s="1"/>
      <c r="M843" s="1"/>
      <c r="N843" s="1"/>
      <c r="O843" s="1"/>
      <c r="P843" s="1"/>
      <c r="Q843" s="1"/>
      <c r="R843" s="1"/>
      <c r="S843" s="1"/>
      <c r="T843" s="2"/>
      <c r="U843" s="1"/>
      <c r="V843" s="1"/>
      <c r="W843" s="1"/>
      <c r="X843" s="1"/>
      <c r="Y843" s="1"/>
      <c r="Z843" s="1"/>
      <c r="AA843" s="1"/>
      <c r="AB843" s="1"/>
      <c r="AC843" s="2"/>
      <c r="AD843" s="1"/>
      <c r="AE843" s="1"/>
      <c r="AF843" s="1"/>
      <c r="AG843" s="1"/>
      <c r="AH843" s="1"/>
      <c r="AI843" s="1"/>
      <c r="AJ843" s="1"/>
      <c r="AK843" s="1"/>
      <c r="AL843" s="2"/>
      <c r="AM843" s="1"/>
      <c r="AN843" s="1"/>
      <c r="AO843" s="1"/>
      <c r="AP843" s="1"/>
      <c r="AQ843" s="1"/>
      <c r="AR843" s="1"/>
      <c r="AS843" s="1"/>
      <c r="AT843" s="1"/>
      <c r="AU843" s="2"/>
      <c r="AV843" s="1"/>
      <c r="AW843" s="1"/>
      <c r="AX843" s="1"/>
      <c r="AY843" s="1"/>
      <c r="AZ843" s="1"/>
      <c r="BA843" s="1"/>
      <c r="BB843" s="1"/>
      <c r="BC843" s="1"/>
      <c r="BD843" s="2"/>
      <c r="BE843" s="1"/>
      <c r="BF843" s="1"/>
      <c r="BG843" s="1"/>
      <c r="BH843" s="1"/>
      <c r="BI843" s="1"/>
      <c r="BJ843" s="1"/>
      <c r="BK843" s="1"/>
      <c r="BL843" s="1"/>
      <c r="BM843" s="2"/>
      <c r="BN843" s="1"/>
      <c r="BO843" s="1"/>
      <c r="BP843" s="1"/>
      <c r="BQ843" s="1"/>
      <c r="BR843" s="1"/>
      <c r="BS843" s="1"/>
      <c r="BT843" s="1"/>
      <c r="BU843" s="1"/>
      <c r="BV843" s="2"/>
      <c r="BW843" s="1"/>
      <c r="BX843" s="1"/>
      <c r="BY843" s="1"/>
      <c r="BZ843" s="1"/>
      <c r="CA843" s="1"/>
      <c r="CB843" s="1"/>
      <c r="CC843" s="1"/>
      <c r="CD843" s="1"/>
      <c r="CE843" s="2"/>
      <c r="CF843" s="1"/>
      <c r="CG843" s="1"/>
      <c r="CH843" s="1"/>
      <c r="CI843" s="1"/>
      <c r="CJ843" s="1"/>
      <c r="CK843" s="1"/>
      <c r="CL843" s="1"/>
    </row>
    <row r="844" spans="1:90" ht="14.65" x14ac:dyDescent="0.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2"/>
      <c r="L844" s="1"/>
      <c r="M844" s="1"/>
      <c r="N844" s="1"/>
      <c r="O844" s="1"/>
      <c r="P844" s="1"/>
      <c r="Q844" s="1"/>
      <c r="R844" s="1"/>
      <c r="S844" s="1"/>
      <c r="T844" s="2"/>
      <c r="U844" s="1"/>
      <c r="V844" s="1"/>
      <c r="W844" s="1"/>
      <c r="X844" s="1"/>
      <c r="Y844" s="1"/>
      <c r="Z844" s="1"/>
      <c r="AA844" s="1"/>
      <c r="AB844" s="1"/>
      <c r="AC844" s="2"/>
      <c r="AD844" s="1"/>
      <c r="AE844" s="1"/>
      <c r="AF844" s="1"/>
      <c r="AG844" s="1"/>
      <c r="AH844" s="1"/>
      <c r="AI844" s="1"/>
      <c r="AJ844" s="1"/>
      <c r="AK844" s="1"/>
      <c r="AL844" s="2"/>
      <c r="AM844" s="1"/>
      <c r="AN844" s="1"/>
      <c r="AO844" s="1"/>
      <c r="AP844" s="1"/>
      <c r="AQ844" s="1"/>
      <c r="AR844" s="1"/>
      <c r="AS844" s="1"/>
      <c r="AT844" s="1"/>
      <c r="AU844" s="2"/>
      <c r="AV844" s="1"/>
      <c r="AW844" s="1"/>
      <c r="AX844" s="1"/>
      <c r="AY844" s="1"/>
      <c r="AZ844" s="1"/>
      <c r="BA844" s="1"/>
      <c r="BB844" s="1"/>
      <c r="BC844" s="1"/>
      <c r="BD844" s="2"/>
      <c r="BE844" s="1"/>
      <c r="BF844" s="1"/>
      <c r="BG844" s="1"/>
      <c r="BH844" s="1"/>
      <c r="BI844" s="1"/>
      <c r="BJ844" s="1"/>
      <c r="BK844" s="1"/>
      <c r="BL844" s="1"/>
      <c r="BM844" s="2"/>
      <c r="BN844" s="1"/>
      <c r="BO844" s="1"/>
      <c r="BP844" s="1"/>
      <c r="BQ844" s="1"/>
      <c r="BR844" s="1"/>
      <c r="BS844" s="1"/>
      <c r="BT844" s="1"/>
      <c r="BU844" s="1"/>
      <c r="BV844" s="2"/>
      <c r="BW844" s="1"/>
      <c r="BX844" s="1"/>
      <c r="BY844" s="1"/>
      <c r="BZ844" s="1"/>
      <c r="CA844" s="1"/>
      <c r="CB844" s="1"/>
      <c r="CC844" s="1"/>
      <c r="CD844" s="1"/>
      <c r="CE844" s="2"/>
      <c r="CF844" s="1"/>
      <c r="CG844" s="1"/>
      <c r="CH844" s="1"/>
      <c r="CI844" s="1"/>
      <c r="CJ844" s="1"/>
      <c r="CK844" s="1"/>
      <c r="CL844" s="1"/>
    </row>
    <row r="845" spans="1:90" ht="14.65" x14ac:dyDescent="0.4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2"/>
      <c r="L845" s="1"/>
      <c r="M845" s="1"/>
      <c r="N845" s="1"/>
      <c r="O845" s="1"/>
      <c r="P845" s="1"/>
      <c r="Q845" s="1"/>
      <c r="R845" s="1"/>
      <c r="S845" s="1"/>
      <c r="T845" s="2"/>
      <c r="U845" s="1"/>
      <c r="V845" s="1"/>
      <c r="W845" s="1"/>
      <c r="X845" s="1"/>
      <c r="Y845" s="1"/>
      <c r="Z845" s="1"/>
      <c r="AA845" s="1"/>
      <c r="AB845" s="1"/>
      <c r="AC845" s="2"/>
      <c r="AD845" s="1"/>
      <c r="AE845" s="1"/>
      <c r="AF845" s="1"/>
      <c r="AG845" s="1"/>
      <c r="AH845" s="1"/>
      <c r="AI845" s="1"/>
      <c r="AJ845" s="1"/>
      <c r="AK845" s="1"/>
      <c r="AL845" s="2"/>
      <c r="AM845" s="1"/>
      <c r="AN845" s="1"/>
      <c r="AO845" s="1"/>
      <c r="AP845" s="1"/>
      <c r="AQ845" s="1"/>
      <c r="AR845" s="1"/>
      <c r="AS845" s="1"/>
      <c r="AT845" s="1"/>
      <c r="AU845" s="2"/>
      <c r="AV845" s="1"/>
      <c r="AW845" s="1"/>
      <c r="AX845" s="1"/>
      <c r="AY845" s="1"/>
      <c r="AZ845" s="1"/>
      <c r="BA845" s="1"/>
      <c r="BB845" s="1"/>
      <c r="BC845" s="1"/>
      <c r="BD845" s="2"/>
      <c r="BE845" s="1"/>
      <c r="BF845" s="1"/>
      <c r="BG845" s="1"/>
      <c r="BH845" s="1"/>
      <c r="BI845" s="1"/>
      <c r="BJ845" s="1"/>
      <c r="BK845" s="1"/>
      <c r="BL845" s="1"/>
      <c r="BM845" s="2"/>
      <c r="BN845" s="1"/>
      <c r="BO845" s="1"/>
      <c r="BP845" s="1"/>
      <c r="BQ845" s="1"/>
      <c r="BR845" s="1"/>
      <c r="BS845" s="1"/>
      <c r="BT845" s="1"/>
      <c r="BU845" s="1"/>
      <c r="BV845" s="2"/>
      <c r="BW845" s="1"/>
      <c r="BX845" s="1"/>
      <c r="BY845" s="1"/>
      <c r="BZ845" s="1"/>
      <c r="CA845" s="1"/>
      <c r="CB845" s="1"/>
      <c r="CC845" s="1"/>
      <c r="CD845" s="1"/>
      <c r="CE845" s="2"/>
      <c r="CF845" s="1"/>
      <c r="CG845" s="1"/>
      <c r="CH845" s="1"/>
      <c r="CI845" s="1"/>
      <c r="CJ845" s="1"/>
      <c r="CK845" s="1"/>
      <c r="CL845" s="1"/>
    </row>
    <row r="846" spans="1:90" ht="14.65" x14ac:dyDescent="0.4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2"/>
      <c r="L846" s="1"/>
      <c r="M846" s="1"/>
      <c r="N846" s="1"/>
      <c r="O846" s="1"/>
      <c r="P846" s="1"/>
      <c r="Q846" s="1"/>
      <c r="R846" s="1"/>
      <c r="S846" s="1"/>
      <c r="T846" s="2"/>
      <c r="U846" s="1"/>
      <c r="V846" s="1"/>
      <c r="W846" s="1"/>
      <c r="X846" s="1"/>
      <c r="Y846" s="1"/>
      <c r="Z846" s="1"/>
      <c r="AA846" s="1"/>
      <c r="AB846" s="1"/>
      <c r="AC846" s="2"/>
      <c r="AD846" s="1"/>
      <c r="AE846" s="1"/>
      <c r="AF846" s="1"/>
      <c r="AG846" s="1"/>
      <c r="AH846" s="1"/>
      <c r="AI846" s="1"/>
      <c r="AJ846" s="1"/>
      <c r="AK846" s="1"/>
      <c r="AL846" s="2"/>
      <c r="AM846" s="1"/>
      <c r="AN846" s="1"/>
      <c r="AO846" s="1"/>
      <c r="AP846" s="1"/>
      <c r="AQ846" s="1"/>
      <c r="AR846" s="1"/>
      <c r="AS846" s="1"/>
      <c r="AT846" s="1"/>
      <c r="AU846" s="2"/>
      <c r="AV846" s="1"/>
      <c r="AW846" s="1"/>
      <c r="AX846" s="1"/>
      <c r="AY846" s="1"/>
      <c r="AZ846" s="1"/>
      <c r="BA846" s="1"/>
      <c r="BB846" s="1"/>
      <c r="BC846" s="1"/>
      <c r="BD846" s="2"/>
      <c r="BE846" s="1"/>
      <c r="BF846" s="1"/>
      <c r="BG846" s="1"/>
      <c r="BH846" s="1"/>
      <c r="BI846" s="1"/>
      <c r="BJ846" s="1"/>
      <c r="BK846" s="1"/>
      <c r="BL846" s="1"/>
      <c r="BM846" s="2"/>
      <c r="BN846" s="1"/>
      <c r="BO846" s="1"/>
      <c r="BP846" s="1"/>
      <c r="BQ846" s="1"/>
      <c r="BR846" s="1"/>
      <c r="BS846" s="1"/>
      <c r="BT846" s="1"/>
      <c r="BU846" s="1"/>
      <c r="BV846" s="2"/>
      <c r="BW846" s="1"/>
      <c r="BX846" s="1"/>
      <c r="BY846" s="1"/>
      <c r="BZ846" s="1"/>
      <c r="CA846" s="1"/>
      <c r="CB846" s="1"/>
      <c r="CC846" s="1"/>
      <c r="CD846" s="1"/>
      <c r="CE846" s="2"/>
      <c r="CF846" s="1"/>
      <c r="CG846" s="1"/>
      <c r="CH846" s="1"/>
      <c r="CI846" s="1"/>
      <c r="CJ846" s="1"/>
      <c r="CK846" s="1"/>
      <c r="CL846" s="1"/>
    </row>
    <row r="847" spans="1:90" ht="14.65" x14ac:dyDescent="0.4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2"/>
      <c r="L847" s="1"/>
      <c r="M847" s="1"/>
      <c r="N847" s="1"/>
      <c r="O847" s="1"/>
      <c r="P847" s="1"/>
      <c r="Q847" s="1"/>
      <c r="R847" s="1"/>
      <c r="S847" s="1"/>
      <c r="T847" s="2"/>
      <c r="U847" s="1"/>
      <c r="V847" s="1"/>
      <c r="W847" s="1"/>
      <c r="X847" s="1"/>
      <c r="Y847" s="1"/>
      <c r="Z847" s="1"/>
      <c r="AA847" s="1"/>
      <c r="AB847" s="1"/>
      <c r="AC847" s="2"/>
      <c r="AD847" s="1"/>
      <c r="AE847" s="1"/>
      <c r="AF847" s="1"/>
      <c r="AG847" s="1"/>
      <c r="AH847" s="1"/>
      <c r="AI847" s="1"/>
      <c r="AJ847" s="1"/>
      <c r="AK847" s="1"/>
      <c r="AL847" s="2"/>
      <c r="AM847" s="1"/>
      <c r="AN847" s="1"/>
      <c r="AO847" s="1"/>
      <c r="AP847" s="1"/>
      <c r="AQ847" s="1"/>
      <c r="AR847" s="1"/>
      <c r="AS847" s="1"/>
      <c r="AT847" s="1"/>
      <c r="AU847" s="2"/>
      <c r="AV847" s="1"/>
      <c r="AW847" s="1"/>
      <c r="AX847" s="1"/>
      <c r="AY847" s="1"/>
      <c r="AZ847" s="1"/>
      <c r="BA847" s="1"/>
      <c r="BB847" s="1"/>
      <c r="BC847" s="1"/>
      <c r="BD847" s="2"/>
      <c r="BE847" s="1"/>
      <c r="BF847" s="1"/>
      <c r="BG847" s="1"/>
      <c r="BH847" s="1"/>
      <c r="BI847" s="1"/>
      <c r="BJ847" s="1"/>
      <c r="BK847" s="1"/>
      <c r="BL847" s="1"/>
      <c r="BM847" s="2"/>
      <c r="BN847" s="1"/>
      <c r="BO847" s="1"/>
      <c r="BP847" s="1"/>
      <c r="BQ847" s="1"/>
      <c r="BR847" s="1"/>
      <c r="BS847" s="1"/>
      <c r="BT847" s="1"/>
      <c r="BU847" s="1"/>
      <c r="BV847" s="2"/>
      <c r="BW847" s="1"/>
      <c r="BX847" s="1"/>
      <c r="BY847" s="1"/>
      <c r="BZ847" s="1"/>
      <c r="CA847" s="1"/>
      <c r="CB847" s="1"/>
      <c r="CC847" s="1"/>
      <c r="CD847" s="1"/>
      <c r="CE847" s="2"/>
      <c r="CF847" s="1"/>
      <c r="CG847" s="1"/>
      <c r="CH847" s="1"/>
      <c r="CI847" s="1"/>
      <c r="CJ847" s="1"/>
      <c r="CK847" s="1"/>
      <c r="CL847" s="1"/>
    </row>
    <row r="848" spans="1:90" ht="14.65" x14ac:dyDescent="0.4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2"/>
      <c r="L848" s="1"/>
      <c r="M848" s="1"/>
      <c r="N848" s="1"/>
      <c r="O848" s="1"/>
      <c r="P848" s="1"/>
      <c r="Q848" s="1"/>
      <c r="R848" s="1"/>
      <c r="S848" s="1"/>
      <c r="T848" s="2"/>
      <c r="U848" s="1"/>
      <c r="V848" s="1"/>
      <c r="W848" s="1"/>
      <c r="X848" s="1"/>
      <c r="Y848" s="1"/>
      <c r="Z848" s="1"/>
      <c r="AA848" s="1"/>
      <c r="AB848" s="1"/>
      <c r="AC848" s="2"/>
      <c r="AD848" s="1"/>
      <c r="AE848" s="1"/>
      <c r="AF848" s="1"/>
      <c r="AG848" s="1"/>
      <c r="AH848" s="1"/>
      <c r="AI848" s="1"/>
      <c r="AJ848" s="1"/>
      <c r="AK848" s="1"/>
      <c r="AL848" s="2"/>
      <c r="AM848" s="1"/>
      <c r="AN848" s="1"/>
      <c r="AO848" s="1"/>
      <c r="AP848" s="1"/>
      <c r="AQ848" s="1"/>
      <c r="AR848" s="1"/>
      <c r="AS848" s="1"/>
      <c r="AT848" s="1"/>
      <c r="AU848" s="2"/>
      <c r="AV848" s="1"/>
      <c r="AW848" s="1"/>
      <c r="AX848" s="1"/>
      <c r="AY848" s="1"/>
      <c r="AZ848" s="1"/>
      <c r="BA848" s="1"/>
      <c r="BB848" s="1"/>
      <c r="BC848" s="1"/>
      <c r="BD848" s="2"/>
      <c r="BE848" s="1"/>
      <c r="BF848" s="1"/>
      <c r="BG848" s="1"/>
      <c r="BH848" s="1"/>
      <c r="BI848" s="1"/>
      <c r="BJ848" s="1"/>
      <c r="BK848" s="1"/>
      <c r="BL848" s="1"/>
      <c r="BM848" s="2"/>
      <c r="BN848" s="1"/>
      <c r="BO848" s="1"/>
      <c r="BP848" s="1"/>
      <c r="BQ848" s="1"/>
      <c r="BR848" s="1"/>
      <c r="BS848" s="1"/>
      <c r="BT848" s="1"/>
      <c r="BU848" s="1"/>
      <c r="BV848" s="2"/>
      <c r="BW848" s="1"/>
      <c r="BX848" s="1"/>
      <c r="BY848" s="1"/>
      <c r="BZ848" s="1"/>
      <c r="CA848" s="1"/>
      <c r="CB848" s="1"/>
      <c r="CC848" s="1"/>
      <c r="CD848" s="1"/>
      <c r="CE848" s="2"/>
      <c r="CF848" s="1"/>
      <c r="CG848" s="1"/>
      <c r="CH848" s="1"/>
      <c r="CI848" s="1"/>
      <c r="CJ848" s="1"/>
      <c r="CK848" s="1"/>
      <c r="CL848" s="1"/>
    </row>
    <row r="849" spans="1:90" ht="14.65" x14ac:dyDescent="0.4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2"/>
      <c r="L849" s="1"/>
      <c r="M849" s="1"/>
      <c r="N849" s="1"/>
      <c r="O849" s="1"/>
      <c r="P849" s="1"/>
      <c r="Q849" s="1"/>
      <c r="R849" s="1"/>
      <c r="S849" s="1"/>
      <c r="T849" s="2"/>
      <c r="U849" s="1"/>
      <c r="V849" s="1"/>
      <c r="W849" s="1"/>
      <c r="X849" s="1"/>
      <c r="Y849" s="1"/>
      <c r="Z849" s="1"/>
      <c r="AA849" s="1"/>
      <c r="AB849" s="1"/>
      <c r="AC849" s="2"/>
      <c r="AD849" s="1"/>
      <c r="AE849" s="1"/>
      <c r="AF849" s="1"/>
      <c r="AG849" s="1"/>
      <c r="AH849" s="1"/>
      <c r="AI849" s="1"/>
      <c r="AJ849" s="1"/>
      <c r="AK849" s="1"/>
      <c r="AL849" s="2"/>
      <c r="AM849" s="1"/>
      <c r="AN849" s="1"/>
      <c r="AO849" s="1"/>
      <c r="AP849" s="1"/>
      <c r="AQ849" s="1"/>
      <c r="AR849" s="1"/>
      <c r="AS849" s="1"/>
      <c r="AT849" s="1"/>
      <c r="AU849" s="2"/>
      <c r="AV849" s="1"/>
      <c r="AW849" s="1"/>
      <c r="AX849" s="1"/>
      <c r="AY849" s="1"/>
      <c r="AZ849" s="1"/>
      <c r="BA849" s="1"/>
      <c r="BB849" s="1"/>
      <c r="BC849" s="1"/>
      <c r="BD849" s="2"/>
      <c r="BE849" s="1"/>
      <c r="BF849" s="1"/>
      <c r="BG849" s="1"/>
      <c r="BH849" s="1"/>
      <c r="BI849" s="1"/>
      <c r="BJ849" s="1"/>
      <c r="BK849" s="1"/>
      <c r="BL849" s="1"/>
      <c r="BM849" s="2"/>
      <c r="BN849" s="1"/>
      <c r="BO849" s="1"/>
      <c r="BP849" s="1"/>
      <c r="BQ849" s="1"/>
      <c r="BR849" s="1"/>
      <c r="BS849" s="1"/>
      <c r="BT849" s="1"/>
      <c r="BU849" s="1"/>
      <c r="BV849" s="2"/>
      <c r="BW849" s="1"/>
      <c r="BX849" s="1"/>
      <c r="BY849" s="1"/>
      <c r="BZ849" s="1"/>
      <c r="CA849" s="1"/>
      <c r="CB849" s="1"/>
      <c r="CC849" s="1"/>
      <c r="CD849" s="1"/>
      <c r="CE849" s="2"/>
      <c r="CF849" s="1"/>
      <c r="CG849" s="1"/>
      <c r="CH849" s="1"/>
      <c r="CI849" s="1"/>
      <c r="CJ849" s="1"/>
      <c r="CK849" s="1"/>
      <c r="CL849" s="1"/>
    </row>
    <row r="850" spans="1:90" ht="14.65" x14ac:dyDescent="0.4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2"/>
      <c r="L850" s="1"/>
      <c r="M850" s="1"/>
      <c r="N850" s="1"/>
      <c r="O850" s="1"/>
      <c r="P850" s="1"/>
      <c r="Q850" s="1"/>
      <c r="R850" s="1"/>
      <c r="S850" s="1"/>
      <c r="T850" s="2"/>
      <c r="U850" s="1"/>
      <c r="V850" s="1"/>
      <c r="W850" s="1"/>
      <c r="X850" s="1"/>
      <c r="Y850" s="1"/>
      <c r="Z850" s="1"/>
      <c r="AA850" s="1"/>
      <c r="AB850" s="1"/>
      <c r="AC850" s="2"/>
      <c r="AD850" s="1"/>
      <c r="AE850" s="1"/>
      <c r="AF850" s="1"/>
      <c r="AG850" s="1"/>
      <c r="AH850" s="1"/>
      <c r="AI850" s="1"/>
      <c r="AJ850" s="1"/>
      <c r="AK850" s="1"/>
      <c r="AL850" s="2"/>
      <c r="AM850" s="1"/>
      <c r="AN850" s="1"/>
      <c r="AO850" s="1"/>
      <c r="AP850" s="1"/>
      <c r="AQ850" s="1"/>
      <c r="AR850" s="1"/>
      <c r="AS850" s="1"/>
      <c r="AT850" s="1"/>
      <c r="AU850" s="2"/>
      <c r="AV850" s="1"/>
      <c r="AW850" s="1"/>
      <c r="AX850" s="1"/>
      <c r="AY850" s="1"/>
      <c r="AZ850" s="1"/>
      <c r="BA850" s="1"/>
      <c r="BB850" s="1"/>
      <c r="BC850" s="1"/>
      <c r="BD850" s="2"/>
      <c r="BE850" s="1"/>
      <c r="BF850" s="1"/>
      <c r="BG850" s="1"/>
      <c r="BH850" s="1"/>
      <c r="BI850" s="1"/>
      <c r="BJ850" s="1"/>
      <c r="BK850" s="1"/>
      <c r="BL850" s="1"/>
      <c r="BM850" s="2"/>
      <c r="BN850" s="1"/>
      <c r="BO850" s="1"/>
      <c r="BP850" s="1"/>
      <c r="BQ850" s="1"/>
      <c r="BR850" s="1"/>
      <c r="BS850" s="1"/>
      <c r="BT850" s="1"/>
      <c r="BU850" s="1"/>
      <c r="BV850" s="2"/>
      <c r="BW850" s="1"/>
      <c r="BX850" s="1"/>
      <c r="BY850" s="1"/>
      <c r="BZ850" s="1"/>
      <c r="CA850" s="1"/>
      <c r="CB850" s="1"/>
      <c r="CC850" s="1"/>
      <c r="CD850" s="1"/>
      <c r="CE850" s="2"/>
      <c r="CF850" s="1"/>
      <c r="CG850" s="1"/>
      <c r="CH850" s="1"/>
      <c r="CI850" s="1"/>
      <c r="CJ850" s="1"/>
      <c r="CK850" s="1"/>
      <c r="CL850" s="1"/>
    </row>
    <row r="851" spans="1:90" ht="14.65" x14ac:dyDescent="0.4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2"/>
      <c r="L851" s="1"/>
      <c r="M851" s="1"/>
      <c r="N851" s="1"/>
      <c r="O851" s="1"/>
      <c r="P851" s="1"/>
      <c r="Q851" s="1"/>
      <c r="R851" s="1"/>
      <c r="S851" s="1"/>
      <c r="T851" s="2"/>
      <c r="U851" s="1"/>
      <c r="V851" s="1"/>
      <c r="W851" s="1"/>
      <c r="X851" s="1"/>
      <c r="Y851" s="1"/>
      <c r="Z851" s="1"/>
      <c r="AA851" s="1"/>
      <c r="AB851" s="1"/>
      <c r="AC851" s="2"/>
      <c r="AD851" s="1"/>
      <c r="AE851" s="1"/>
      <c r="AF851" s="1"/>
      <c r="AG851" s="1"/>
      <c r="AH851" s="1"/>
      <c r="AI851" s="1"/>
      <c r="AJ851" s="1"/>
      <c r="AK851" s="1"/>
      <c r="AL851" s="2"/>
      <c r="AM851" s="1"/>
      <c r="AN851" s="1"/>
      <c r="AO851" s="1"/>
      <c r="AP851" s="1"/>
      <c r="AQ851" s="1"/>
      <c r="AR851" s="1"/>
      <c r="AS851" s="1"/>
      <c r="AT851" s="1"/>
      <c r="AU851" s="2"/>
      <c r="AV851" s="1"/>
      <c r="AW851" s="1"/>
      <c r="AX851" s="1"/>
      <c r="AY851" s="1"/>
      <c r="AZ851" s="1"/>
      <c r="BA851" s="1"/>
      <c r="BB851" s="1"/>
      <c r="BC851" s="1"/>
      <c r="BD851" s="2"/>
      <c r="BE851" s="1"/>
      <c r="BF851" s="1"/>
      <c r="BG851" s="1"/>
      <c r="BH851" s="1"/>
      <c r="BI851" s="1"/>
      <c r="BJ851" s="1"/>
      <c r="BK851" s="1"/>
      <c r="BL851" s="1"/>
      <c r="BM851" s="2"/>
      <c r="BN851" s="1"/>
      <c r="BO851" s="1"/>
      <c r="BP851" s="1"/>
      <c r="BQ851" s="1"/>
      <c r="BR851" s="1"/>
      <c r="BS851" s="1"/>
      <c r="BT851" s="1"/>
      <c r="BU851" s="1"/>
      <c r="BV851" s="2"/>
      <c r="BW851" s="1"/>
      <c r="BX851" s="1"/>
      <c r="BY851" s="1"/>
      <c r="BZ851" s="1"/>
      <c r="CA851" s="1"/>
      <c r="CB851" s="1"/>
      <c r="CC851" s="1"/>
      <c r="CD851" s="1"/>
      <c r="CE851" s="2"/>
      <c r="CF851" s="1"/>
      <c r="CG851" s="1"/>
      <c r="CH851" s="1"/>
      <c r="CI851" s="1"/>
      <c r="CJ851" s="1"/>
      <c r="CK851" s="1"/>
      <c r="CL851" s="1"/>
    </row>
    <row r="852" spans="1:90" ht="14.65" x14ac:dyDescent="0.4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2"/>
      <c r="L852" s="1"/>
      <c r="M852" s="1"/>
      <c r="N852" s="1"/>
      <c r="O852" s="1"/>
      <c r="P852" s="1"/>
      <c r="Q852" s="1"/>
      <c r="R852" s="1"/>
      <c r="S852" s="1"/>
      <c r="T852" s="2"/>
      <c r="U852" s="1"/>
      <c r="V852" s="1"/>
      <c r="W852" s="1"/>
      <c r="X852" s="1"/>
      <c r="Y852" s="1"/>
      <c r="Z852" s="1"/>
      <c r="AA852" s="1"/>
      <c r="AB852" s="1"/>
      <c r="AC852" s="2"/>
      <c r="AD852" s="1"/>
      <c r="AE852" s="1"/>
      <c r="AF852" s="1"/>
      <c r="AG852" s="1"/>
      <c r="AH852" s="1"/>
      <c r="AI852" s="1"/>
      <c r="AJ852" s="1"/>
      <c r="AK852" s="1"/>
      <c r="AL852" s="2"/>
      <c r="AM852" s="1"/>
      <c r="AN852" s="1"/>
      <c r="AO852" s="1"/>
      <c r="AP852" s="1"/>
      <c r="AQ852" s="1"/>
      <c r="AR852" s="1"/>
      <c r="AS852" s="1"/>
      <c r="AT852" s="1"/>
      <c r="AU852" s="2"/>
      <c r="AV852" s="1"/>
      <c r="AW852" s="1"/>
      <c r="AX852" s="1"/>
      <c r="AY852" s="1"/>
      <c r="AZ852" s="1"/>
      <c r="BA852" s="1"/>
      <c r="BB852" s="1"/>
      <c r="BC852" s="1"/>
      <c r="BD852" s="2"/>
      <c r="BE852" s="1"/>
      <c r="BF852" s="1"/>
      <c r="BG852" s="1"/>
      <c r="BH852" s="1"/>
      <c r="BI852" s="1"/>
      <c r="BJ852" s="1"/>
      <c r="BK852" s="1"/>
      <c r="BL852" s="1"/>
      <c r="BM852" s="2"/>
      <c r="BN852" s="1"/>
      <c r="BO852" s="1"/>
      <c r="BP852" s="1"/>
      <c r="BQ852" s="1"/>
      <c r="BR852" s="1"/>
      <c r="BS852" s="1"/>
      <c r="BT852" s="1"/>
      <c r="BU852" s="1"/>
      <c r="BV852" s="2"/>
      <c r="BW852" s="1"/>
      <c r="BX852" s="1"/>
      <c r="BY852" s="1"/>
      <c r="BZ852" s="1"/>
      <c r="CA852" s="1"/>
      <c r="CB852" s="1"/>
      <c r="CC852" s="1"/>
      <c r="CD852" s="1"/>
      <c r="CE852" s="2"/>
      <c r="CF852" s="1"/>
      <c r="CG852" s="1"/>
      <c r="CH852" s="1"/>
      <c r="CI852" s="1"/>
      <c r="CJ852" s="1"/>
      <c r="CK852" s="1"/>
      <c r="CL852" s="1"/>
    </row>
    <row r="853" spans="1:90" ht="14.65" x14ac:dyDescent="0.4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2"/>
      <c r="L853" s="1"/>
      <c r="M853" s="1"/>
      <c r="N853" s="1"/>
      <c r="O853" s="1"/>
      <c r="P853" s="1"/>
      <c r="Q853" s="1"/>
      <c r="R853" s="1"/>
      <c r="S853" s="1"/>
      <c r="T853" s="2"/>
      <c r="U853" s="1"/>
      <c r="V853" s="1"/>
      <c r="W853" s="1"/>
      <c r="X853" s="1"/>
      <c r="Y853" s="1"/>
      <c r="Z853" s="1"/>
      <c r="AA853" s="1"/>
      <c r="AB853" s="1"/>
      <c r="AC853" s="2"/>
      <c r="AD853" s="1"/>
      <c r="AE853" s="1"/>
      <c r="AF853" s="1"/>
      <c r="AG853" s="1"/>
      <c r="AH853" s="1"/>
      <c r="AI853" s="1"/>
      <c r="AJ853" s="1"/>
      <c r="AK853" s="1"/>
      <c r="AL853" s="2"/>
      <c r="AM853" s="1"/>
      <c r="AN853" s="1"/>
      <c r="AO853" s="1"/>
      <c r="AP853" s="1"/>
      <c r="AQ853" s="1"/>
      <c r="AR853" s="1"/>
      <c r="AS853" s="1"/>
      <c r="AT853" s="1"/>
      <c r="AU853" s="2"/>
      <c r="AV853" s="1"/>
      <c r="AW853" s="1"/>
      <c r="AX853" s="1"/>
      <c r="AY853" s="1"/>
      <c r="AZ853" s="1"/>
      <c r="BA853" s="1"/>
      <c r="BB853" s="1"/>
      <c r="BC853" s="1"/>
      <c r="BD853" s="2"/>
      <c r="BE853" s="1"/>
      <c r="BF853" s="1"/>
      <c r="BG853" s="1"/>
      <c r="BH853" s="1"/>
      <c r="BI853" s="1"/>
      <c r="BJ853" s="1"/>
      <c r="BK853" s="1"/>
      <c r="BL853" s="1"/>
      <c r="BM853" s="2"/>
      <c r="BN853" s="1"/>
      <c r="BO853" s="1"/>
      <c r="BP853" s="1"/>
      <c r="BQ853" s="1"/>
      <c r="BR853" s="1"/>
      <c r="BS853" s="1"/>
      <c r="BT853" s="1"/>
      <c r="BU853" s="1"/>
      <c r="BV853" s="2"/>
      <c r="BW853" s="1"/>
      <c r="BX853" s="1"/>
      <c r="BY853" s="1"/>
      <c r="BZ853" s="1"/>
      <c r="CA853" s="1"/>
      <c r="CB853" s="1"/>
      <c r="CC853" s="1"/>
      <c r="CD853" s="1"/>
      <c r="CE853" s="2"/>
      <c r="CF853" s="1"/>
      <c r="CG853" s="1"/>
      <c r="CH853" s="1"/>
      <c r="CI853" s="1"/>
      <c r="CJ853" s="1"/>
      <c r="CK853" s="1"/>
      <c r="CL853" s="1"/>
    </row>
    <row r="854" spans="1:90" ht="14.65" x14ac:dyDescent="0.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2"/>
      <c r="L854" s="1"/>
      <c r="M854" s="1"/>
      <c r="N854" s="1"/>
      <c r="O854" s="1"/>
      <c r="P854" s="1"/>
      <c r="Q854" s="1"/>
      <c r="R854" s="1"/>
      <c r="S854" s="1"/>
      <c r="T854" s="2"/>
      <c r="U854" s="1"/>
      <c r="V854" s="1"/>
      <c r="W854" s="1"/>
      <c r="X854" s="1"/>
      <c r="Y854" s="1"/>
      <c r="Z854" s="1"/>
      <c r="AA854" s="1"/>
      <c r="AB854" s="1"/>
      <c r="AC854" s="2"/>
      <c r="AD854" s="1"/>
      <c r="AE854" s="1"/>
      <c r="AF854" s="1"/>
      <c r="AG854" s="1"/>
      <c r="AH854" s="1"/>
      <c r="AI854" s="1"/>
      <c r="AJ854" s="1"/>
      <c r="AK854" s="1"/>
      <c r="AL854" s="2"/>
      <c r="AM854" s="1"/>
      <c r="AN854" s="1"/>
      <c r="AO854" s="1"/>
      <c r="AP854" s="1"/>
      <c r="AQ854" s="1"/>
      <c r="AR854" s="1"/>
      <c r="AS854" s="1"/>
      <c r="AT854" s="1"/>
      <c r="AU854" s="2"/>
      <c r="AV854" s="1"/>
      <c r="AW854" s="1"/>
      <c r="AX854" s="1"/>
      <c r="AY854" s="1"/>
      <c r="AZ854" s="1"/>
      <c r="BA854" s="1"/>
      <c r="BB854" s="1"/>
      <c r="BC854" s="1"/>
      <c r="BD854" s="2"/>
      <c r="BE854" s="1"/>
      <c r="BF854" s="1"/>
      <c r="BG854" s="1"/>
      <c r="BH854" s="1"/>
      <c r="BI854" s="1"/>
      <c r="BJ854" s="1"/>
      <c r="BK854" s="1"/>
      <c r="BL854" s="1"/>
      <c r="BM854" s="2"/>
      <c r="BN854" s="1"/>
      <c r="BO854" s="1"/>
      <c r="BP854" s="1"/>
      <c r="BQ854" s="1"/>
      <c r="BR854" s="1"/>
      <c r="BS854" s="1"/>
      <c r="BT854" s="1"/>
      <c r="BU854" s="1"/>
      <c r="BV854" s="2"/>
      <c r="BW854" s="1"/>
      <c r="BX854" s="1"/>
      <c r="BY854" s="1"/>
      <c r="BZ854" s="1"/>
      <c r="CA854" s="1"/>
      <c r="CB854" s="1"/>
      <c r="CC854" s="1"/>
      <c r="CD854" s="1"/>
      <c r="CE854" s="2"/>
      <c r="CF854" s="1"/>
      <c r="CG854" s="1"/>
      <c r="CH854" s="1"/>
      <c r="CI854" s="1"/>
      <c r="CJ854" s="1"/>
      <c r="CK854" s="1"/>
      <c r="CL854" s="1"/>
    </row>
    <row r="855" spans="1:90" ht="14.65" x14ac:dyDescent="0.4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2"/>
      <c r="L855" s="1"/>
      <c r="M855" s="1"/>
      <c r="N855" s="1"/>
      <c r="O855" s="1"/>
      <c r="P855" s="1"/>
      <c r="Q855" s="1"/>
      <c r="R855" s="1"/>
      <c r="S855" s="1"/>
      <c r="T855" s="2"/>
      <c r="U855" s="1"/>
      <c r="V855" s="1"/>
      <c r="W855" s="1"/>
      <c r="X855" s="1"/>
      <c r="Y855" s="1"/>
      <c r="Z855" s="1"/>
      <c r="AA855" s="1"/>
      <c r="AB855" s="1"/>
      <c r="AC855" s="2"/>
      <c r="AD855" s="1"/>
      <c r="AE855" s="1"/>
      <c r="AF855" s="1"/>
      <c r="AG855" s="1"/>
      <c r="AH855" s="1"/>
      <c r="AI855" s="1"/>
      <c r="AJ855" s="1"/>
      <c r="AK855" s="1"/>
      <c r="AL855" s="2"/>
      <c r="AM855" s="1"/>
      <c r="AN855" s="1"/>
      <c r="AO855" s="1"/>
      <c r="AP855" s="1"/>
      <c r="AQ855" s="1"/>
      <c r="AR855" s="1"/>
      <c r="AS855" s="1"/>
      <c r="AT855" s="1"/>
      <c r="AU855" s="2"/>
      <c r="AV855" s="1"/>
      <c r="AW855" s="1"/>
      <c r="AX855" s="1"/>
      <c r="AY855" s="1"/>
      <c r="AZ855" s="1"/>
      <c r="BA855" s="1"/>
      <c r="BB855" s="1"/>
      <c r="BC855" s="1"/>
      <c r="BD855" s="2"/>
      <c r="BE855" s="1"/>
      <c r="BF855" s="1"/>
      <c r="BG855" s="1"/>
      <c r="BH855" s="1"/>
      <c r="BI855" s="1"/>
      <c r="BJ855" s="1"/>
      <c r="BK855" s="1"/>
      <c r="BL855" s="1"/>
      <c r="BM855" s="2"/>
      <c r="BN855" s="1"/>
      <c r="BO855" s="1"/>
      <c r="BP855" s="1"/>
      <c r="BQ855" s="1"/>
      <c r="BR855" s="1"/>
      <c r="BS855" s="1"/>
      <c r="BT855" s="1"/>
      <c r="BU855" s="1"/>
      <c r="BV855" s="2"/>
      <c r="BW855" s="1"/>
      <c r="BX855" s="1"/>
      <c r="BY855" s="1"/>
      <c r="BZ855" s="1"/>
      <c r="CA855" s="1"/>
      <c r="CB855" s="1"/>
      <c r="CC855" s="1"/>
      <c r="CD855" s="1"/>
      <c r="CE855" s="2"/>
      <c r="CF855" s="1"/>
      <c r="CG855" s="1"/>
      <c r="CH855" s="1"/>
      <c r="CI855" s="1"/>
      <c r="CJ855" s="1"/>
      <c r="CK855" s="1"/>
      <c r="CL855" s="1"/>
    </row>
    <row r="856" spans="1:90" ht="14.65" x14ac:dyDescent="0.4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2"/>
      <c r="L856" s="1"/>
      <c r="M856" s="1"/>
      <c r="N856" s="1"/>
      <c r="O856" s="1"/>
      <c r="P856" s="1"/>
      <c r="Q856" s="1"/>
      <c r="R856" s="1"/>
      <c r="S856" s="1"/>
      <c r="T856" s="2"/>
      <c r="U856" s="1"/>
      <c r="V856" s="1"/>
      <c r="W856" s="1"/>
      <c r="X856" s="1"/>
      <c r="Y856" s="1"/>
      <c r="Z856" s="1"/>
      <c r="AA856" s="1"/>
      <c r="AB856" s="1"/>
      <c r="AC856" s="2"/>
      <c r="AD856" s="1"/>
      <c r="AE856" s="1"/>
      <c r="AF856" s="1"/>
      <c r="AG856" s="1"/>
      <c r="AH856" s="1"/>
      <c r="AI856" s="1"/>
      <c r="AJ856" s="1"/>
      <c r="AK856" s="1"/>
      <c r="AL856" s="2"/>
      <c r="AM856" s="1"/>
      <c r="AN856" s="1"/>
      <c r="AO856" s="1"/>
      <c r="AP856" s="1"/>
      <c r="AQ856" s="1"/>
      <c r="AR856" s="1"/>
      <c r="AS856" s="1"/>
      <c r="AT856" s="1"/>
      <c r="AU856" s="2"/>
      <c r="AV856" s="1"/>
      <c r="AW856" s="1"/>
      <c r="AX856" s="1"/>
      <c r="AY856" s="1"/>
      <c r="AZ856" s="1"/>
      <c r="BA856" s="1"/>
      <c r="BB856" s="1"/>
      <c r="BC856" s="1"/>
      <c r="BD856" s="2"/>
      <c r="BE856" s="1"/>
      <c r="BF856" s="1"/>
      <c r="BG856" s="1"/>
      <c r="BH856" s="1"/>
      <c r="BI856" s="1"/>
      <c r="BJ856" s="1"/>
      <c r="BK856" s="1"/>
      <c r="BL856" s="1"/>
      <c r="BM856" s="2"/>
      <c r="BN856" s="1"/>
      <c r="BO856" s="1"/>
      <c r="BP856" s="1"/>
      <c r="BQ856" s="1"/>
      <c r="BR856" s="1"/>
      <c r="BS856" s="1"/>
      <c r="BT856" s="1"/>
      <c r="BU856" s="1"/>
      <c r="BV856" s="2"/>
      <c r="BW856" s="1"/>
      <c r="BX856" s="1"/>
      <c r="BY856" s="1"/>
      <c r="BZ856" s="1"/>
      <c r="CA856" s="1"/>
      <c r="CB856" s="1"/>
      <c r="CC856" s="1"/>
      <c r="CD856" s="1"/>
      <c r="CE856" s="2"/>
      <c r="CF856" s="1"/>
      <c r="CG856" s="1"/>
      <c r="CH856" s="1"/>
      <c r="CI856" s="1"/>
      <c r="CJ856" s="1"/>
      <c r="CK856" s="1"/>
      <c r="CL856" s="1"/>
    </row>
    <row r="857" spans="1:90" ht="14.65" x14ac:dyDescent="0.4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2"/>
      <c r="L857" s="1"/>
      <c r="M857" s="1"/>
      <c r="N857" s="1"/>
      <c r="O857" s="1"/>
      <c r="P857" s="1"/>
      <c r="Q857" s="1"/>
      <c r="R857" s="1"/>
      <c r="S857" s="1"/>
      <c r="T857" s="2"/>
      <c r="U857" s="1"/>
      <c r="V857" s="1"/>
      <c r="W857" s="1"/>
      <c r="X857" s="1"/>
      <c r="Y857" s="1"/>
      <c r="Z857" s="1"/>
      <c r="AA857" s="1"/>
      <c r="AB857" s="1"/>
      <c r="AC857" s="2"/>
      <c r="AD857" s="1"/>
      <c r="AE857" s="1"/>
      <c r="AF857" s="1"/>
      <c r="AG857" s="1"/>
      <c r="AH857" s="1"/>
      <c r="AI857" s="1"/>
      <c r="AJ857" s="1"/>
      <c r="AK857" s="1"/>
      <c r="AL857" s="2"/>
      <c r="AM857" s="1"/>
      <c r="AN857" s="1"/>
      <c r="AO857" s="1"/>
      <c r="AP857" s="1"/>
      <c r="AQ857" s="1"/>
      <c r="AR857" s="1"/>
      <c r="AS857" s="1"/>
      <c r="AT857" s="1"/>
      <c r="AU857" s="2"/>
      <c r="AV857" s="1"/>
      <c r="AW857" s="1"/>
      <c r="AX857" s="1"/>
      <c r="AY857" s="1"/>
      <c r="AZ857" s="1"/>
      <c r="BA857" s="1"/>
      <c r="BB857" s="1"/>
      <c r="BC857" s="1"/>
      <c r="BD857" s="2"/>
      <c r="BE857" s="1"/>
      <c r="BF857" s="1"/>
      <c r="BG857" s="1"/>
      <c r="BH857" s="1"/>
      <c r="BI857" s="1"/>
      <c r="BJ857" s="1"/>
      <c r="BK857" s="1"/>
      <c r="BL857" s="1"/>
      <c r="BM857" s="2"/>
      <c r="BN857" s="1"/>
      <c r="BO857" s="1"/>
      <c r="BP857" s="1"/>
      <c r="BQ857" s="1"/>
      <c r="BR857" s="1"/>
      <c r="BS857" s="1"/>
      <c r="BT857" s="1"/>
      <c r="BU857" s="1"/>
      <c r="BV857" s="2"/>
      <c r="BW857" s="1"/>
      <c r="BX857" s="1"/>
      <c r="BY857" s="1"/>
      <c r="BZ857" s="1"/>
      <c r="CA857" s="1"/>
      <c r="CB857" s="1"/>
      <c r="CC857" s="1"/>
      <c r="CD857" s="1"/>
      <c r="CE857" s="2"/>
      <c r="CF857" s="1"/>
      <c r="CG857" s="1"/>
      <c r="CH857" s="1"/>
      <c r="CI857" s="1"/>
      <c r="CJ857" s="1"/>
      <c r="CK857" s="1"/>
      <c r="CL857" s="1"/>
    </row>
    <row r="858" spans="1:90" ht="14.65" x14ac:dyDescent="0.4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2"/>
      <c r="L858" s="1"/>
      <c r="M858" s="1"/>
      <c r="N858" s="1"/>
      <c r="O858" s="1"/>
      <c r="P858" s="1"/>
      <c r="Q858" s="1"/>
      <c r="R858" s="1"/>
      <c r="S858" s="1"/>
      <c r="T858" s="2"/>
      <c r="U858" s="1"/>
      <c r="V858" s="1"/>
      <c r="W858" s="1"/>
      <c r="X858" s="1"/>
      <c r="Y858" s="1"/>
      <c r="Z858" s="1"/>
      <c r="AA858" s="1"/>
      <c r="AB858" s="1"/>
      <c r="AC858" s="2"/>
      <c r="AD858" s="1"/>
      <c r="AE858" s="1"/>
      <c r="AF858" s="1"/>
      <c r="AG858" s="1"/>
      <c r="AH858" s="1"/>
      <c r="AI858" s="1"/>
      <c r="AJ858" s="1"/>
      <c r="AK858" s="1"/>
      <c r="AL858" s="2"/>
      <c r="AM858" s="1"/>
      <c r="AN858" s="1"/>
      <c r="AO858" s="1"/>
      <c r="AP858" s="1"/>
      <c r="AQ858" s="1"/>
      <c r="AR858" s="1"/>
      <c r="AS858" s="1"/>
      <c r="AT858" s="1"/>
      <c r="AU858" s="2"/>
      <c r="AV858" s="1"/>
      <c r="AW858" s="1"/>
      <c r="AX858" s="1"/>
      <c r="AY858" s="1"/>
      <c r="AZ858" s="1"/>
      <c r="BA858" s="1"/>
      <c r="BB858" s="1"/>
      <c r="BC858" s="1"/>
      <c r="BD858" s="2"/>
      <c r="BE858" s="1"/>
      <c r="BF858" s="1"/>
      <c r="BG858" s="1"/>
      <c r="BH858" s="1"/>
      <c r="BI858" s="1"/>
      <c r="BJ858" s="1"/>
      <c r="BK858" s="1"/>
      <c r="BL858" s="1"/>
      <c r="BM858" s="2"/>
      <c r="BN858" s="1"/>
      <c r="BO858" s="1"/>
      <c r="BP858" s="1"/>
      <c r="BQ858" s="1"/>
      <c r="BR858" s="1"/>
      <c r="BS858" s="1"/>
      <c r="BT858" s="1"/>
      <c r="BU858" s="1"/>
      <c r="BV858" s="2"/>
      <c r="BW858" s="1"/>
      <c r="BX858" s="1"/>
      <c r="BY858" s="1"/>
      <c r="BZ858" s="1"/>
      <c r="CA858" s="1"/>
      <c r="CB858" s="1"/>
      <c r="CC858" s="1"/>
      <c r="CD858" s="1"/>
      <c r="CE858" s="2"/>
      <c r="CF858" s="1"/>
      <c r="CG858" s="1"/>
      <c r="CH858" s="1"/>
      <c r="CI858" s="1"/>
      <c r="CJ858" s="1"/>
      <c r="CK858" s="1"/>
      <c r="CL858" s="1"/>
    </row>
    <row r="859" spans="1:90" ht="14.65" x14ac:dyDescent="0.4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2"/>
      <c r="L859" s="1"/>
      <c r="M859" s="1"/>
      <c r="N859" s="1"/>
      <c r="O859" s="1"/>
      <c r="P859" s="1"/>
      <c r="Q859" s="1"/>
      <c r="R859" s="1"/>
      <c r="S859" s="1"/>
      <c r="T859" s="2"/>
      <c r="U859" s="1"/>
      <c r="V859" s="1"/>
      <c r="W859" s="1"/>
      <c r="X859" s="1"/>
      <c r="Y859" s="1"/>
      <c r="Z859" s="1"/>
      <c r="AA859" s="1"/>
      <c r="AB859" s="1"/>
      <c r="AC859" s="2"/>
      <c r="AD859" s="1"/>
      <c r="AE859" s="1"/>
      <c r="AF859" s="1"/>
      <c r="AG859" s="1"/>
      <c r="AH859" s="1"/>
      <c r="AI859" s="1"/>
      <c r="AJ859" s="1"/>
      <c r="AK859" s="1"/>
      <c r="AL859" s="2"/>
      <c r="AM859" s="1"/>
      <c r="AN859" s="1"/>
      <c r="AO859" s="1"/>
      <c r="AP859" s="1"/>
      <c r="AQ859" s="1"/>
      <c r="AR859" s="1"/>
      <c r="AS859" s="1"/>
      <c r="AT859" s="1"/>
      <c r="AU859" s="2"/>
      <c r="AV859" s="1"/>
      <c r="AW859" s="1"/>
      <c r="AX859" s="1"/>
      <c r="AY859" s="1"/>
      <c r="AZ859" s="1"/>
      <c r="BA859" s="1"/>
      <c r="BB859" s="1"/>
      <c r="BC859" s="1"/>
      <c r="BD859" s="2"/>
      <c r="BE859" s="1"/>
      <c r="BF859" s="1"/>
      <c r="BG859" s="1"/>
      <c r="BH859" s="1"/>
      <c r="BI859" s="1"/>
      <c r="BJ859" s="1"/>
      <c r="BK859" s="1"/>
      <c r="BL859" s="1"/>
      <c r="BM859" s="2"/>
      <c r="BN859" s="1"/>
      <c r="BO859" s="1"/>
      <c r="BP859" s="1"/>
      <c r="BQ859" s="1"/>
      <c r="BR859" s="1"/>
      <c r="BS859" s="1"/>
      <c r="BT859" s="1"/>
      <c r="BU859" s="1"/>
      <c r="BV859" s="2"/>
      <c r="BW859" s="1"/>
      <c r="BX859" s="1"/>
      <c r="BY859" s="1"/>
      <c r="BZ859" s="1"/>
      <c r="CA859" s="1"/>
      <c r="CB859" s="1"/>
      <c r="CC859" s="1"/>
      <c r="CD859" s="1"/>
      <c r="CE859" s="2"/>
      <c r="CF859" s="1"/>
      <c r="CG859" s="1"/>
      <c r="CH859" s="1"/>
      <c r="CI859" s="1"/>
      <c r="CJ859" s="1"/>
      <c r="CK859" s="1"/>
      <c r="CL859" s="1"/>
    </row>
    <row r="860" spans="1:90" ht="14.65" x14ac:dyDescent="0.4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2"/>
      <c r="L860" s="1"/>
      <c r="M860" s="1"/>
      <c r="N860" s="1"/>
      <c r="O860" s="1"/>
      <c r="P860" s="1"/>
      <c r="Q860" s="1"/>
      <c r="R860" s="1"/>
      <c r="S860" s="1"/>
      <c r="T860" s="2"/>
      <c r="U860" s="1"/>
      <c r="V860" s="1"/>
      <c r="W860" s="1"/>
      <c r="X860" s="1"/>
      <c r="Y860" s="1"/>
      <c r="Z860" s="1"/>
      <c r="AA860" s="1"/>
      <c r="AB860" s="1"/>
      <c r="AC860" s="2"/>
      <c r="AD860" s="1"/>
      <c r="AE860" s="1"/>
      <c r="AF860" s="1"/>
      <c r="AG860" s="1"/>
      <c r="AH860" s="1"/>
      <c r="AI860" s="1"/>
      <c r="AJ860" s="1"/>
      <c r="AK860" s="1"/>
      <c r="AL860" s="2"/>
      <c r="AM860" s="1"/>
      <c r="AN860" s="1"/>
      <c r="AO860" s="1"/>
      <c r="AP860" s="1"/>
      <c r="AQ860" s="1"/>
      <c r="AR860" s="1"/>
      <c r="AS860" s="1"/>
      <c r="AT860" s="1"/>
      <c r="AU860" s="2"/>
      <c r="AV860" s="1"/>
      <c r="AW860" s="1"/>
      <c r="AX860" s="1"/>
      <c r="AY860" s="1"/>
      <c r="AZ860" s="1"/>
      <c r="BA860" s="1"/>
      <c r="BB860" s="1"/>
      <c r="BC860" s="1"/>
      <c r="BD860" s="2"/>
      <c r="BE860" s="1"/>
      <c r="BF860" s="1"/>
      <c r="BG860" s="1"/>
      <c r="BH860" s="1"/>
      <c r="BI860" s="1"/>
      <c r="BJ860" s="1"/>
      <c r="BK860" s="1"/>
      <c r="BL860" s="1"/>
      <c r="BM860" s="2"/>
      <c r="BN860" s="1"/>
      <c r="BO860" s="1"/>
      <c r="BP860" s="1"/>
      <c r="BQ860" s="1"/>
      <c r="BR860" s="1"/>
      <c r="BS860" s="1"/>
      <c r="BT860" s="1"/>
      <c r="BU860" s="1"/>
      <c r="BV860" s="2"/>
      <c r="BW860" s="1"/>
      <c r="BX860" s="1"/>
      <c r="BY860" s="1"/>
      <c r="BZ860" s="1"/>
      <c r="CA860" s="1"/>
      <c r="CB860" s="1"/>
      <c r="CC860" s="1"/>
      <c r="CD860" s="1"/>
      <c r="CE860" s="2"/>
      <c r="CF860" s="1"/>
      <c r="CG860" s="1"/>
      <c r="CH860" s="1"/>
      <c r="CI860" s="1"/>
      <c r="CJ860" s="1"/>
      <c r="CK860" s="1"/>
      <c r="CL860" s="1"/>
    </row>
    <row r="861" spans="1:90" ht="14.65" x14ac:dyDescent="0.4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2"/>
      <c r="L861" s="1"/>
      <c r="M861" s="1"/>
      <c r="N861" s="1"/>
      <c r="O861" s="1"/>
      <c r="P861" s="1"/>
      <c r="Q861" s="1"/>
      <c r="R861" s="1"/>
      <c r="S861" s="1"/>
      <c r="T861" s="2"/>
      <c r="U861" s="1"/>
      <c r="V861" s="1"/>
      <c r="W861" s="1"/>
      <c r="X861" s="1"/>
      <c r="Y861" s="1"/>
      <c r="Z861" s="1"/>
      <c r="AA861" s="1"/>
      <c r="AB861" s="1"/>
      <c r="AC861" s="2"/>
      <c r="AD861" s="1"/>
      <c r="AE861" s="1"/>
      <c r="AF861" s="1"/>
      <c r="AG861" s="1"/>
      <c r="AH861" s="1"/>
      <c r="AI861" s="1"/>
      <c r="AJ861" s="1"/>
      <c r="AK861" s="1"/>
      <c r="AL861" s="2"/>
      <c r="AM861" s="1"/>
      <c r="AN861" s="1"/>
      <c r="AO861" s="1"/>
      <c r="AP861" s="1"/>
      <c r="AQ861" s="1"/>
      <c r="AR861" s="1"/>
      <c r="AS861" s="1"/>
      <c r="AT861" s="1"/>
      <c r="AU861" s="2"/>
      <c r="AV861" s="1"/>
      <c r="AW861" s="1"/>
      <c r="AX861" s="1"/>
      <c r="AY861" s="1"/>
      <c r="AZ861" s="1"/>
      <c r="BA861" s="1"/>
      <c r="BB861" s="1"/>
      <c r="BC861" s="1"/>
      <c r="BD861" s="2"/>
      <c r="BE861" s="1"/>
      <c r="BF861" s="1"/>
      <c r="BG861" s="1"/>
      <c r="BH861" s="1"/>
      <c r="BI861" s="1"/>
      <c r="BJ861" s="1"/>
      <c r="BK861" s="1"/>
      <c r="BL861" s="1"/>
      <c r="BM861" s="2"/>
      <c r="BN861" s="1"/>
      <c r="BO861" s="1"/>
      <c r="BP861" s="1"/>
      <c r="BQ861" s="1"/>
      <c r="BR861" s="1"/>
      <c r="BS861" s="1"/>
      <c r="BT861" s="1"/>
      <c r="BU861" s="1"/>
      <c r="BV861" s="2"/>
      <c r="BW861" s="1"/>
      <c r="BX861" s="1"/>
      <c r="BY861" s="1"/>
      <c r="BZ861" s="1"/>
      <c r="CA861" s="1"/>
      <c r="CB861" s="1"/>
      <c r="CC861" s="1"/>
      <c r="CD861" s="1"/>
      <c r="CE861" s="2"/>
      <c r="CF861" s="1"/>
      <c r="CG861" s="1"/>
      <c r="CH861" s="1"/>
      <c r="CI861" s="1"/>
      <c r="CJ861" s="1"/>
      <c r="CK861" s="1"/>
      <c r="CL861" s="1"/>
    </row>
    <row r="862" spans="1:90" ht="14.65" x14ac:dyDescent="0.4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2"/>
      <c r="L862" s="1"/>
      <c r="M862" s="1"/>
      <c r="N862" s="1"/>
      <c r="O862" s="1"/>
      <c r="P862" s="1"/>
      <c r="Q862" s="1"/>
      <c r="R862" s="1"/>
      <c r="S862" s="1"/>
      <c r="T862" s="2"/>
      <c r="U862" s="1"/>
      <c r="V862" s="1"/>
      <c r="W862" s="1"/>
      <c r="X862" s="1"/>
      <c r="Y862" s="1"/>
      <c r="Z862" s="1"/>
      <c r="AA862" s="1"/>
      <c r="AB862" s="1"/>
      <c r="AC862" s="2"/>
      <c r="AD862" s="1"/>
      <c r="AE862" s="1"/>
      <c r="AF862" s="1"/>
      <c r="AG862" s="1"/>
      <c r="AH862" s="1"/>
      <c r="AI862" s="1"/>
      <c r="AJ862" s="1"/>
      <c r="AK862" s="1"/>
      <c r="AL862" s="2"/>
      <c r="AM862" s="1"/>
      <c r="AN862" s="1"/>
      <c r="AO862" s="1"/>
      <c r="AP862" s="1"/>
      <c r="AQ862" s="1"/>
      <c r="AR862" s="1"/>
      <c r="AS862" s="1"/>
      <c r="AT862" s="1"/>
      <c r="AU862" s="2"/>
      <c r="AV862" s="1"/>
      <c r="AW862" s="1"/>
      <c r="AX862" s="1"/>
      <c r="AY862" s="1"/>
      <c r="AZ862" s="1"/>
      <c r="BA862" s="1"/>
      <c r="BB862" s="1"/>
      <c r="BC862" s="1"/>
      <c r="BD862" s="2"/>
      <c r="BE862" s="1"/>
      <c r="BF862" s="1"/>
      <c r="BG862" s="1"/>
      <c r="BH862" s="1"/>
      <c r="BI862" s="1"/>
      <c r="BJ862" s="1"/>
      <c r="BK862" s="1"/>
      <c r="BL862" s="1"/>
      <c r="BM862" s="2"/>
      <c r="BN862" s="1"/>
      <c r="BO862" s="1"/>
      <c r="BP862" s="1"/>
      <c r="BQ862" s="1"/>
      <c r="BR862" s="1"/>
      <c r="BS862" s="1"/>
      <c r="BT862" s="1"/>
      <c r="BU862" s="1"/>
      <c r="BV862" s="2"/>
      <c r="BW862" s="1"/>
      <c r="BX862" s="1"/>
      <c r="BY862" s="1"/>
      <c r="BZ862" s="1"/>
      <c r="CA862" s="1"/>
      <c r="CB862" s="1"/>
      <c r="CC862" s="1"/>
      <c r="CD862" s="1"/>
      <c r="CE862" s="2"/>
      <c r="CF862" s="1"/>
      <c r="CG862" s="1"/>
      <c r="CH862" s="1"/>
      <c r="CI862" s="1"/>
      <c r="CJ862" s="1"/>
      <c r="CK862" s="1"/>
      <c r="CL862" s="1"/>
    </row>
    <row r="863" spans="1:90" ht="14.65" x14ac:dyDescent="0.4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2"/>
      <c r="L863" s="1"/>
      <c r="M863" s="1"/>
      <c r="N863" s="1"/>
      <c r="O863" s="1"/>
      <c r="P863" s="1"/>
      <c r="Q863" s="1"/>
      <c r="R863" s="1"/>
      <c r="S863" s="1"/>
      <c r="T863" s="2"/>
      <c r="U863" s="1"/>
      <c r="V863" s="1"/>
      <c r="W863" s="1"/>
      <c r="X863" s="1"/>
      <c r="Y863" s="1"/>
      <c r="Z863" s="1"/>
      <c r="AA863" s="1"/>
      <c r="AB863" s="1"/>
      <c r="AC863" s="2"/>
      <c r="AD863" s="1"/>
      <c r="AE863" s="1"/>
      <c r="AF863" s="1"/>
      <c r="AG863" s="1"/>
      <c r="AH863" s="1"/>
      <c r="AI863" s="1"/>
      <c r="AJ863" s="1"/>
      <c r="AK863" s="1"/>
      <c r="AL863" s="2"/>
      <c r="AM863" s="1"/>
      <c r="AN863" s="1"/>
      <c r="AO863" s="1"/>
      <c r="AP863" s="1"/>
      <c r="AQ863" s="1"/>
      <c r="AR863" s="1"/>
      <c r="AS863" s="1"/>
      <c r="AT863" s="1"/>
      <c r="AU863" s="2"/>
      <c r="AV863" s="1"/>
      <c r="AW863" s="1"/>
      <c r="AX863" s="1"/>
      <c r="AY863" s="1"/>
      <c r="AZ863" s="1"/>
      <c r="BA863" s="1"/>
      <c r="BB863" s="1"/>
      <c r="BC863" s="1"/>
      <c r="BD863" s="2"/>
      <c r="BE863" s="1"/>
      <c r="BF863" s="1"/>
      <c r="BG863" s="1"/>
      <c r="BH863" s="1"/>
      <c r="BI863" s="1"/>
      <c r="BJ863" s="1"/>
      <c r="BK863" s="1"/>
      <c r="BL863" s="1"/>
      <c r="BM863" s="2"/>
      <c r="BN863" s="1"/>
      <c r="BO863" s="1"/>
      <c r="BP863" s="1"/>
      <c r="BQ863" s="1"/>
      <c r="BR863" s="1"/>
      <c r="BS863" s="1"/>
      <c r="BT863" s="1"/>
      <c r="BU863" s="1"/>
      <c r="BV863" s="2"/>
      <c r="BW863" s="1"/>
      <c r="BX863" s="1"/>
      <c r="BY863" s="1"/>
      <c r="BZ863" s="1"/>
      <c r="CA863" s="1"/>
      <c r="CB863" s="1"/>
      <c r="CC863" s="1"/>
      <c r="CD863" s="1"/>
      <c r="CE863" s="2"/>
      <c r="CF863" s="1"/>
      <c r="CG863" s="1"/>
      <c r="CH863" s="1"/>
      <c r="CI863" s="1"/>
      <c r="CJ863" s="1"/>
      <c r="CK863" s="1"/>
      <c r="CL863" s="1"/>
    </row>
    <row r="864" spans="1:90" ht="14.65" x14ac:dyDescent="0.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2"/>
      <c r="L864" s="1"/>
      <c r="M864" s="1"/>
      <c r="N864" s="1"/>
      <c r="O864" s="1"/>
      <c r="P864" s="1"/>
      <c r="Q864" s="1"/>
      <c r="R864" s="1"/>
      <c r="S864" s="1"/>
      <c r="T864" s="2"/>
      <c r="U864" s="1"/>
      <c r="V864" s="1"/>
      <c r="W864" s="1"/>
      <c r="X864" s="1"/>
      <c r="Y864" s="1"/>
      <c r="Z864" s="1"/>
      <c r="AA864" s="1"/>
      <c r="AB864" s="1"/>
      <c r="AC864" s="2"/>
      <c r="AD864" s="1"/>
      <c r="AE864" s="1"/>
      <c r="AF864" s="1"/>
      <c r="AG864" s="1"/>
      <c r="AH864" s="1"/>
      <c r="AI864" s="1"/>
      <c r="AJ864" s="1"/>
      <c r="AK864" s="1"/>
      <c r="AL864" s="2"/>
      <c r="AM864" s="1"/>
      <c r="AN864" s="1"/>
      <c r="AO864" s="1"/>
      <c r="AP864" s="1"/>
      <c r="AQ864" s="1"/>
      <c r="AR864" s="1"/>
      <c r="AS864" s="1"/>
      <c r="AT864" s="1"/>
      <c r="AU864" s="2"/>
      <c r="AV864" s="1"/>
      <c r="AW864" s="1"/>
      <c r="AX864" s="1"/>
      <c r="AY864" s="1"/>
      <c r="AZ864" s="1"/>
      <c r="BA864" s="1"/>
      <c r="BB864" s="1"/>
      <c r="BC864" s="1"/>
      <c r="BD864" s="2"/>
      <c r="BE864" s="1"/>
      <c r="BF864" s="1"/>
      <c r="BG864" s="1"/>
      <c r="BH864" s="1"/>
      <c r="BI864" s="1"/>
      <c r="BJ864" s="1"/>
      <c r="BK864" s="1"/>
      <c r="BL864" s="1"/>
      <c r="BM864" s="2"/>
      <c r="BN864" s="1"/>
      <c r="BO864" s="1"/>
      <c r="BP864" s="1"/>
      <c r="BQ864" s="1"/>
      <c r="BR864" s="1"/>
      <c r="BS864" s="1"/>
      <c r="BT864" s="1"/>
      <c r="BU864" s="1"/>
      <c r="BV864" s="2"/>
      <c r="BW864" s="1"/>
      <c r="BX864" s="1"/>
      <c r="BY864" s="1"/>
      <c r="BZ864" s="1"/>
      <c r="CA864" s="1"/>
      <c r="CB864" s="1"/>
      <c r="CC864" s="1"/>
      <c r="CD864" s="1"/>
      <c r="CE864" s="2"/>
      <c r="CF864" s="1"/>
      <c r="CG864" s="1"/>
      <c r="CH864" s="1"/>
      <c r="CI864" s="1"/>
      <c r="CJ864" s="1"/>
      <c r="CK864" s="1"/>
      <c r="CL864" s="1"/>
    </row>
    <row r="865" spans="1:90" ht="14.65" x14ac:dyDescent="0.4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2"/>
      <c r="L865" s="1"/>
      <c r="M865" s="1"/>
      <c r="N865" s="1"/>
      <c r="O865" s="1"/>
      <c r="P865" s="1"/>
      <c r="Q865" s="1"/>
      <c r="R865" s="1"/>
      <c r="S865" s="1"/>
      <c r="T865" s="2"/>
      <c r="U865" s="1"/>
      <c r="V865" s="1"/>
      <c r="W865" s="1"/>
      <c r="X865" s="1"/>
      <c r="Y865" s="1"/>
      <c r="Z865" s="1"/>
      <c r="AA865" s="1"/>
      <c r="AB865" s="1"/>
      <c r="AC865" s="2"/>
      <c r="AD865" s="1"/>
      <c r="AE865" s="1"/>
      <c r="AF865" s="1"/>
      <c r="AG865" s="1"/>
      <c r="AH865" s="1"/>
      <c r="AI865" s="1"/>
      <c r="AJ865" s="1"/>
      <c r="AK865" s="1"/>
      <c r="AL865" s="2"/>
      <c r="AM865" s="1"/>
      <c r="AN865" s="1"/>
      <c r="AO865" s="1"/>
      <c r="AP865" s="1"/>
      <c r="AQ865" s="1"/>
      <c r="AR865" s="1"/>
      <c r="AS865" s="1"/>
      <c r="AT865" s="1"/>
      <c r="AU865" s="2"/>
      <c r="AV865" s="1"/>
      <c r="AW865" s="1"/>
      <c r="AX865" s="1"/>
      <c r="AY865" s="1"/>
      <c r="AZ865" s="1"/>
      <c r="BA865" s="1"/>
      <c r="BB865" s="1"/>
      <c r="BC865" s="1"/>
      <c r="BD865" s="2"/>
      <c r="BE865" s="1"/>
      <c r="BF865" s="1"/>
      <c r="BG865" s="1"/>
      <c r="BH865" s="1"/>
      <c r="BI865" s="1"/>
      <c r="BJ865" s="1"/>
      <c r="BK865" s="1"/>
      <c r="BL865" s="1"/>
      <c r="BM865" s="2"/>
      <c r="BN865" s="1"/>
      <c r="BO865" s="1"/>
      <c r="BP865" s="1"/>
      <c r="BQ865" s="1"/>
      <c r="BR865" s="1"/>
      <c r="BS865" s="1"/>
      <c r="BT865" s="1"/>
      <c r="BU865" s="1"/>
      <c r="BV865" s="2"/>
      <c r="BW865" s="1"/>
      <c r="BX865" s="1"/>
      <c r="BY865" s="1"/>
      <c r="BZ865" s="1"/>
      <c r="CA865" s="1"/>
      <c r="CB865" s="1"/>
      <c r="CC865" s="1"/>
      <c r="CD865" s="1"/>
      <c r="CE865" s="2"/>
      <c r="CF865" s="1"/>
      <c r="CG865" s="1"/>
      <c r="CH865" s="1"/>
      <c r="CI865" s="1"/>
      <c r="CJ865" s="1"/>
      <c r="CK865" s="1"/>
      <c r="CL865" s="1"/>
    </row>
    <row r="866" spans="1:90" ht="14.65" x14ac:dyDescent="0.4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2"/>
      <c r="L866" s="1"/>
      <c r="M866" s="1"/>
      <c r="N866" s="1"/>
      <c r="O866" s="1"/>
      <c r="P866" s="1"/>
      <c r="Q866" s="1"/>
      <c r="R866" s="1"/>
      <c r="S866" s="1"/>
      <c r="T866" s="2"/>
      <c r="U866" s="1"/>
      <c r="V866" s="1"/>
      <c r="W866" s="1"/>
      <c r="X866" s="1"/>
      <c r="Y866" s="1"/>
      <c r="Z866" s="1"/>
      <c r="AA866" s="1"/>
      <c r="AB866" s="1"/>
      <c r="AC866" s="2"/>
      <c r="AD866" s="1"/>
      <c r="AE866" s="1"/>
      <c r="AF866" s="1"/>
      <c r="AG866" s="1"/>
      <c r="AH866" s="1"/>
      <c r="AI866" s="1"/>
      <c r="AJ866" s="1"/>
      <c r="AK866" s="1"/>
      <c r="AL866" s="2"/>
      <c r="AM866" s="1"/>
      <c r="AN866" s="1"/>
      <c r="AO866" s="1"/>
      <c r="AP866" s="1"/>
      <c r="AQ866" s="1"/>
      <c r="AR866" s="1"/>
      <c r="AS866" s="1"/>
      <c r="AT866" s="1"/>
      <c r="AU866" s="2"/>
      <c r="AV866" s="1"/>
      <c r="AW866" s="1"/>
      <c r="AX866" s="1"/>
      <c r="AY866" s="1"/>
      <c r="AZ866" s="1"/>
      <c r="BA866" s="1"/>
      <c r="BB866" s="1"/>
      <c r="BC866" s="1"/>
      <c r="BD866" s="2"/>
      <c r="BE866" s="1"/>
      <c r="BF866" s="1"/>
      <c r="BG866" s="1"/>
      <c r="BH866" s="1"/>
      <c r="BI866" s="1"/>
      <c r="BJ866" s="1"/>
      <c r="BK866" s="1"/>
      <c r="BL866" s="1"/>
      <c r="BM866" s="2"/>
      <c r="BN866" s="1"/>
      <c r="BO866" s="1"/>
      <c r="BP866" s="1"/>
      <c r="BQ866" s="1"/>
      <c r="BR866" s="1"/>
      <c r="BS866" s="1"/>
      <c r="BT866" s="1"/>
      <c r="BU866" s="1"/>
      <c r="BV866" s="2"/>
      <c r="BW866" s="1"/>
      <c r="BX866" s="1"/>
      <c r="BY866" s="1"/>
      <c r="BZ866" s="1"/>
      <c r="CA866" s="1"/>
      <c r="CB866" s="1"/>
      <c r="CC866" s="1"/>
      <c r="CD866" s="1"/>
      <c r="CE866" s="2"/>
      <c r="CF866" s="1"/>
      <c r="CG866" s="1"/>
      <c r="CH866" s="1"/>
      <c r="CI866" s="1"/>
      <c r="CJ866" s="1"/>
      <c r="CK866" s="1"/>
      <c r="CL866" s="1"/>
    </row>
    <row r="867" spans="1:90" ht="14.65" x14ac:dyDescent="0.4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2"/>
      <c r="L867" s="1"/>
      <c r="M867" s="1"/>
      <c r="N867" s="1"/>
      <c r="O867" s="1"/>
      <c r="P867" s="1"/>
      <c r="Q867" s="1"/>
      <c r="R867" s="1"/>
      <c r="S867" s="1"/>
      <c r="T867" s="2"/>
      <c r="U867" s="1"/>
      <c r="V867" s="1"/>
      <c r="W867" s="1"/>
      <c r="X867" s="1"/>
      <c r="Y867" s="1"/>
      <c r="Z867" s="1"/>
      <c r="AA867" s="1"/>
      <c r="AB867" s="1"/>
      <c r="AC867" s="2"/>
      <c r="AD867" s="1"/>
      <c r="AE867" s="1"/>
      <c r="AF867" s="1"/>
      <c r="AG867" s="1"/>
      <c r="AH867" s="1"/>
      <c r="AI867" s="1"/>
      <c r="AJ867" s="1"/>
      <c r="AK867" s="1"/>
      <c r="AL867" s="2"/>
      <c r="AM867" s="1"/>
      <c r="AN867" s="1"/>
      <c r="AO867" s="1"/>
      <c r="AP867" s="1"/>
      <c r="AQ867" s="1"/>
      <c r="AR867" s="1"/>
      <c r="AS867" s="1"/>
      <c r="AT867" s="1"/>
      <c r="AU867" s="2"/>
      <c r="AV867" s="1"/>
      <c r="AW867" s="1"/>
      <c r="AX867" s="1"/>
      <c r="AY867" s="1"/>
      <c r="AZ867" s="1"/>
      <c r="BA867" s="1"/>
      <c r="BB867" s="1"/>
      <c r="BC867" s="1"/>
      <c r="BD867" s="2"/>
      <c r="BE867" s="1"/>
      <c r="BF867" s="1"/>
      <c r="BG867" s="1"/>
      <c r="BH867" s="1"/>
      <c r="BI867" s="1"/>
      <c r="BJ867" s="1"/>
      <c r="BK867" s="1"/>
      <c r="BL867" s="1"/>
      <c r="BM867" s="2"/>
      <c r="BN867" s="1"/>
      <c r="BO867" s="1"/>
      <c r="BP867" s="1"/>
      <c r="BQ867" s="1"/>
      <c r="BR867" s="1"/>
      <c r="BS867" s="1"/>
      <c r="BT867" s="1"/>
      <c r="BU867" s="1"/>
      <c r="BV867" s="2"/>
      <c r="BW867" s="1"/>
      <c r="BX867" s="1"/>
      <c r="BY867" s="1"/>
      <c r="BZ867" s="1"/>
      <c r="CA867" s="1"/>
      <c r="CB867" s="1"/>
      <c r="CC867" s="1"/>
      <c r="CD867" s="1"/>
      <c r="CE867" s="2"/>
      <c r="CF867" s="1"/>
      <c r="CG867" s="1"/>
      <c r="CH867" s="1"/>
      <c r="CI867" s="1"/>
      <c r="CJ867" s="1"/>
      <c r="CK867" s="1"/>
      <c r="CL867" s="1"/>
    </row>
    <row r="868" spans="1:90" ht="14.65" x14ac:dyDescent="0.4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2"/>
      <c r="L868" s="1"/>
      <c r="M868" s="1"/>
      <c r="N868" s="1"/>
      <c r="O868" s="1"/>
      <c r="P868" s="1"/>
      <c r="Q868" s="1"/>
      <c r="R868" s="1"/>
      <c r="S868" s="1"/>
      <c r="T868" s="2"/>
      <c r="U868" s="1"/>
      <c r="V868" s="1"/>
      <c r="W868" s="1"/>
      <c r="X868" s="1"/>
      <c r="Y868" s="1"/>
      <c r="Z868" s="1"/>
      <c r="AA868" s="1"/>
      <c r="AB868" s="1"/>
      <c r="AC868" s="2"/>
      <c r="AD868" s="1"/>
      <c r="AE868" s="1"/>
      <c r="AF868" s="1"/>
      <c r="AG868" s="1"/>
      <c r="AH868" s="1"/>
      <c r="AI868" s="1"/>
      <c r="AJ868" s="1"/>
      <c r="AK868" s="1"/>
      <c r="AL868" s="2"/>
      <c r="AM868" s="1"/>
      <c r="AN868" s="1"/>
      <c r="AO868" s="1"/>
      <c r="AP868" s="1"/>
      <c r="AQ868" s="1"/>
      <c r="AR868" s="1"/>
      <c r="AS868" s="1"/>
      <c r="AT868" s="1"/>
      <c r="AU868" s="2"/>
      <c r="AV868" s="1"/>
      <c r="AW868" s="1"/>
      <c r="AX868" s="1"/>
      <c r="AY868" s="1"/>
      <c r="AZ868" s="1"/>
      <c r="BA868" s="1"/>
      <c r="BB868" s="1"/>
      <c r="BC868" s="1"/>
      <c r="BD868" s="2"/>
      <c r="BE868" s="1"/>
      <c r="BF868" s="1"/>
      <c r="BG868" s="1"/>
      <c r="BH868" s="1"/>
      <c r="BI868" s="1"/>
      <c r="BJ868" s="1"/>
      <c r="BK868" s="1"/>
      <c r="BL868" s="1"/>
      <c r="BM868" s="2"/>
      <c r="BN868" s="1"/>
      <c r="BO868" s="1"/>
      <c r="BP868" s="1"/>
      <c r="BQ868" s="1"/>
      <c r="BR868" s="1"/>
      <c r="BS868" s="1"/>
      <c r="BT868" s="1"/>
      <c r="BU868" s="1"/>
      <c r="BV868" s="2"/>
      <c r="BW868" s="1"/>
      <c r="BX868" s="1"/>
      <c r="BY868" s="1"/>
      <c r="BZ868" s="1"/>
      <c r="CA868" s="1"/>
      <c r="CB868" s="1"/>
      <c r="CC868" s="1"/>
      <c r="CD868" s="1"/>
      <c r="CE868" s="2"/>
      <c r="CF868" s="1"/>
      <c r="CG868" s="1"/>
      <c r="CH868" s="1"/>
      <c r="CI868" s="1"/>
      <c r="CJ868" s="1"/>
      <c r="CK868" s="1"/>
      <c r="CL868" s="1"/>
    </row>
    <row r="869" spans="1:90" ht="14.65" x14ac:dyDescent="0.4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2"/>
      <c r="L869" s="1"/>
      <c r="M869" s="1"/>
      <c r="N869" s="1"/>
      <c r="O869" s="1"/>
      <c r="P869" s="1"/>
      <c r="Q869" s="1"/>
      <c r="R869" s="1"/>
      <c r="S869" s="1"/>
      <c r="T869" s="2"/>
      <c r="U869" s="1"/>
      <c r="V869" s="1"/>
      <c r="W869" s="1"/>
      <c r="X869" s="1"/>
      <c r="Y869" s="1"/>
      <c r="Z869" s="1"/>
      <c r="AA869" s="1"/>
      <c r="AB869" s="1"/>
      <c r="AC869" s="2"/>
      <c r="AD869" s="1"/>
      <c r="AE869" s="1"/>
      <c r="AF869" s="1"/>
      <c r="AG869" s="1"/>
      <c r="AH869" s="1"/>
      <c r="AI869" s="1"/>
      <c r="AJ869" s="1"/>
      <c r="AK869" s="1"/>
      <c r="AL869" s="2"/>
      <c r="AM869" s="1"/>
      <c r="AN869" s="1"/>
      <c r="AO869" s="1"/>
      <c r="AP869" s="1"/>
      <c r="AQ869" s="1"/>
      <c r="AR869" s="1"/>
      <c r="AS869" s="1"/>
      <c r="AT869" s="1"/>
      <c r="AU869" s="2"/>
      <c r="AV869" s="1"/>
      <c r="AW869" s="1"/>
      <c r="AX869" s="1"/>
      <c r="AY869" s="1"/>
      <c r="AZ869" s="1"/>
      <c r="BA869" s="1"/>
      <c r="BB869" s="1"/>
      <c r="BC869" s="1"/>
      <c r="BD869" s="2"/>
      <c r="BE869" s="1"/>
      <c r="BF869" s="1"/>
      <c r="BG869" s="1"/>
      <c r="BH869" s="1"/>
      <c r="BI869" s="1"/>
      <c r="BJ869" s="1"/>
      <c r="BK869" s="1"/>
      <c r="BL869" s="1"/>
      <c r="BM869" s="2"/>
      <c r="BN869" s="1"/>
      <c r="BO869" s="1"/>
      <c r="BP869" s="1"/>
      <c r="BQ869" s="1"/>
      <c r="BR869" s="1"/>
      <c r="BS869" s="1"/>
      <c r="BT869" s="1"/>
      <c r="BU869" s="1"/>
      <c r="BV869" s="2"/>
      <c r="BW869" s="1"/>
      <c r="BX869" s="1"/>
      <c r="BY869" s="1"/>
      <c r="BZ869" s="1"/>
      <c r="CA869" s="1"/>
      <c r="CB869" s="1"/>
      <c r="CC869" s="1"/>
      <c r="CD869" s="1"/>
      <c r="CE869" s="2"/>
      <c r="CF869" s="1"/>
      <c r="CG869" s="1"/>
      <c r="CH869" s="1"/>
      <c r="CI869" s="1"/>
      <c r="CJ869" s="1"/>
      <c r="CK869" s="1"/>
      <c r="CL869" s="1"/>
    </row>
    <row r="870" spans="1:90" ht="14.65" x14ac:dyDescent="0.4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2"/>
      <c r="L870" s="1"/>
      <c r="M870" s="1"/>
      <c r="N870" s="1"/>
      <c r="O870" s="1"/>
      <c r="P870" s="1"/>
      <c r="Q870" s="1"/>
      <c r="R870" s="1"/>
      <c r="S870" s="1"/>
      <c r="T870" s="2"/>
      <c r="U870" s="1"/>
      <c r="V870" s="4"/>
      <c r="W870" s="1"/>
      <c r="X870" s="1"/>
      <c r="Y870" s="1"/>
      <c r="Z870" s="1"/>
      <c r="AA870" s="1"/>
      <c r="AB870" s="1"/>
      <c r="AC870" s="2"/>
      <c r="AD870" s="1"/>
      <c r="AE870" s="1"/>
      <c r="AF870" s="1"/>
      <c r="AG870" s="1"/>
      <c r="AH870" s="1"/>
      <c r="AI870" s="1"/>
      <c r="AJ870" s="1"/>
      <c r="AK870" s="1"/>
      <c r="AL870" s="2"/>
      <c r="AM870" s="1"/>
      <c r="AN870" s="1"/>
      <c r="AO870" s="1"/>
      <c r="AP870" s="1"/>
      <c r="AQ870" s="1"/>
      <c r="AR870" s="1"/>
      <c r="AS870" s="1"/>
      <c r="AT870" s="1"/>
      <c r="AU870" s="2"/>
      <c r="AV870" s="1"/>
      <c r="AW870" s="1"/>
      <c r="AX870" s="1"/>
      <c r="AY870" s="1"/>
      <c r="AZ870" s="1"/>
      <c r="BA870" s="1"/>
      <c r="BB870" s="1"/>
      <c r="BC870" s="1"/>
      <c r="BD870" s="2"/>
      <c r="BE870" s="1"/>
      <c r="BF870" s="1"/>
      <c r="BG870" s="1"/>
      <c r="BH870" s="1"/>
      <c r="BI870" s="1"/>
      <c r="BJ870" s="1"/>
      <c r="BK870" s="1"/>
      <c r="BL870" s="1"/>
      <c r="BM870" s="2"/>
      <c r="BN870" s="1"/>
      <c r="BO870" s="1"/>
      <c r="BP870" s="1"/>
      <c r="BQ870" s="1"/>
      <c r="BR870" s="1"/>
      <c r="BS870" s="1"/>
      <c r="BT870" s="1"/>
      <c r="BU870" s="1"/>
      <c r="BV870" s="2"/>
      <c r="BW870" s="1"/>
      <c r="BX870" s="1"/>
      <c r="BY870" s="1"/>
      <c r="BZ870" s="1"/>
      <c r="CA870" s="1"/>
      <c r="CB870" s="1"/>
      <c r="CC870" s="1"/>
      <c r="CD870" s="1"/>
      <c r="CE870" s="2"/>
      <c r="CF870" s="1"/>
      <c r="CG870" s="1"/>
      <c r="CH870" s="1"/>
      <c r="CI870" s="1"/>
      <c r="CJ870" s="1"/>
      <c r="CK870" s="1"/>
      <c r="CL870" s="1"/>
    </row>
    <row r="871" spans="1:90" ht="14.65" x14ac:dyDescent="0.4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2"/>
      <c r="L871" s="1"/>
      <c r="M871" s="1"/>
      <c r="N871" s="1"/>
      <c r="O871" s="1"/>
      <c r="P871" s="1"/>
      <c r="Q871" s="1"/>
      <c r="R871" s="1"/>
      <c r="S871" s="1"/>
      <c r="T871" s="2"/>
      <c r="U871" s="1"/>
      <c r="V871" s="1"/>
      <c r="W871" s="1"/>
      <c r="X871" s="1"/>
      <c r="Y871" s="1"/>
      <c r="Z871" s="1"/>
      <c r="AA871" s="1"/>
      <c r="AB871" s="1"/>
      <c r="AC871" s="2"/>
      <c r="AD871" s="1"/>
      <c r="AE871" s="1"/>
      <c r="AF871" s="1"/>
      <c r="AG871" s="1"/>
      <c r="AH871" s="1"/>
      <c r="AI871" s="1"/>
      <c r="AJ871" s="1"/>
      <c r="AK871" s="1"/>
      <c r="AL871" s="2"/>
      <c r="AM871" s="1"/>
      <c r="AN871" s="1"/>
      <c r="AO871" s="1"/>
      <c r="AP871" s="1"/>
      <c r="AQ871" s="1"/>
      <c r="AR871" s="1"/>
      <c r="AS871" s="1"/>
      <c r="AT871" s="1"/>
      <c r="AU871" s="2"/>
      <c r="AV871" s="1"/>
      <c r="AW871" s="1"/>
      <c r="AX871" s="1"/>
      <c r="AY871" s="1"/>
      <c r="AZ871" s="1"/>
      <c r="BA871" s="1"/>
      <c r="BB871" s="1"/>
      <c r="BC871" s="1"/>
      <c r="BD871" s="2"/>
      <c r="BE871" s="1"/>
      <c r="BF871" s="1"/>
      <c r="BG871" s="1"/>
      <c r="BH871" s="1"/>
      <c r="BI871" s="1"/>
      <c r="BJ871" s="1"/>
      <c r="BK871" s="1"/>
      <c r="BL871" s="1"/>
      <c r="BM871" s="2"/>
      <c r="BN871" s="1"/>
      <c r="BO871" s="1"/>
      <c r="BP871" s="1"/>
      <c r="BQ871" s="1"/>
      <c r="BR871" s="1"/>
      <c r="BS871" s="1"/>
      <c r="BT871" s="1"/>
      <c r="BU871" s="1"/>
      <c r="BV871" s="2"/>
      <c r="BW871" s="1"/>
      <c r="BX871" s="1"/>
      <c r="BY871" s="1"/>
      <c r="BZ871" s="1"/>
      <c r="CA871" s="1"/>
      <c r="CB871" s="1"/>
      <c r="CC871" s="1"/>
      <c r="CD871" s="1"/>
      <c r="CE871" s="2"/>
      <c r="CF871" s="1"/>
      <c r="CG871" s="1"/>
      <c r="CH871" s="1"/>
      <c r="CI871" s="1"/>
      <c r="CJ871" s="1"/>
      <c r="CK871" s="1"/>
      <c r="CL871" s="1"/>
    </row>
    <row r="872" spans="1:90" ht="14.65" x14ac:dyDescent="0.4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2"/>
      <c r="L872" s="1"/>
      <c r="M872" s="1"/>
      <c r="N872" s="1"/>
      <c r="O872" s="1"/>
      <c r="P872" s="1"/>
      <c r="Q872" s="1"/>
      <c r="R872" s="1"/>
      <c r="S872" s="1"/>
      <c r="T872" s="2"/>
      <c r="U872" s="1"/>
      <c r="V872" s="1"/>
      <c r="W872" s="1"/>
      <c r="X872" s="1"/>
      <c r="Y872" s="1"/>
      <c r="Z872" s="1"/>
      <c r="AA872" s="1"/>
      <c r="AB872" s="1"/>
      <c r="AC872" s="2"/>
      <c r="AD872" s="1"/>
      <c r="AE872" s="1"/>
      <c r="AF872" s="1"/>
      <c r="AG872" s="1"/>
      <c r="AH872" s="1"/>
      <c r="AI872" s="1"/>
      <c r="AJ872" s="1"/>
      <c r="AK872" s="1"/>
      <c r="AL872" s="2"/>
      <c r="AM872" s="1"/>
      <c r="AN872" s="1"/>
      <c r="AO872" s="1"/>
      <c r="AP872" s="1"/>
      <c r="AQ872" s="1"/>
      <c r="AR872" s="1"/>
      <c r="AS872" s="1"/>
      <c r="AT872" s="1"/>
      <c r="AU872" s="2"/>
      <c r="AV872" s="1"/>
      <c r="AW872" s="1"/>
      <c r="AX872" s="1"/>
      <c r="AY872" s="1"/>
      <c r="AZ872" s="1"/>
      <c r="BA872" s="1"/>
      <c r="BB872" s="1"/>
      <c r="BC872" s="1"/>
      <c r="BD872" s="2"/>
      <c r="BE872" s="1"/>
      <c r="BF872" s="1"/>
      <c r="BG872" s="1"/>
      <c r="BH872" s="1"/>
      <c r="BI872" s="1"/>
      <c r="BJ872" s="1"/>
      <c r="BK872" s="1"/>
      <c r="BL872" s="1"/>
      <c r="BM872" s="2"/>
      <c r="BN872" s="1"/>
      <c r="BO872" s="1"/>
      <c r="BP872" s="1"/>
      <c r="BQ872" s="1"/>
      <c r="BR872" s="1"/>
      <c r="BS872" s="1"/>
      <c r="BT872" s="1"/>
      <c r="BU872" s="1"/>
      <c r="BV872" s="2"/>
      <c r="BW872" s="1"/>
      <c r="BX872" s="1"/>
      <c r="BY872" s="1"/>
      <c r="BZ872" s="1"/>
      <c r="CA872" s="1"/>
      <c r="CB872" s="1"/>
      <c r="CC872" s="1"/>
      <c r="CD872" s="1"/>
      <c r="CE872" s="2"/>
      <c r="CF872" s="1"/>
      <c r="CG872" s="1"/>
      <c r="CH872" s="1"/>
      <c r="CI872" s="1"/>
      <c r="CJ872" s="1"/>
      <c r="CK872" s="1"/>
      <c r="CL872" s="1"/>
    </row>
    <row r="873" spans="1:90" ht="14.65" x14ac:dyDescent="0.4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2"/>
      <c r="L873" s="1"/>
      <c r="M873" s="1"/>
      <c r="N873" s="1"/>
      <c r="O873" s="1"/>
      <c r="P873" s="1"/>
      <c r="Q873" s="1"/>
      <c r="R873" s="1"/>
      <c r="S873" s="1"/>
      <c r="T873" s="2"/>
      <c r="U873" s="1"/>
      <c r="V873" s="1"/>
      <c r="W873" s="1"/>
      <c r="X873" s="1"/>
      <c r="Y873" s="1"/>
      <c r="Z873" s="1"/>
      <c r="AA873" s="1"/>
      <c r="AB873" s="1"/>
      <c r="AC873" s="2"/>
      <c r="AD873" s="1"/>
      <c r="AE873" s="1"/>
      <c r="AF873" s="1"/>
      <c r="AG873" s="1"/>
      <c r="AH873" s="1"/>
      <c r="AI873" s="1"/>
      <c r="AJ873" s="1"/>
      <c r="AK873" s="1"/>
      <c r="AL873" s="2"/>
      <c r="AM873" s="1"/>
      <c r="AN873" s="1"/>
      <c r="AO873" s="1"/>
      <c r="AP873" s="1"/>
      <c r="AQ873" s="1"/>
      <c r="AR873" s="1"/>
      <c r="AS873" s="1"/>
      <c r="AT873" s="1"/>
      <c r="AU873" s="2"/>
      <c r="AV873" s="1"/>
      <c r="AW873" s="1"/>
      <c r="AX873" s="1"/>
      <c r="AY873" s="1"/>
      <c r="AZ873" s="1"/>
      <c r="BA873" s="1"/>
      <c r="BB873" s="1"/>
      <c r="BC873" s="1"/>
      <c r="BD873" s="2"/>
      <c r="BE873" s="1"/>
      <c r="BF873" s="1"/>
      <c r="BG873" s="1"/>
      <c r="BH873" s="1"/>
      <c r="BI873" s="1"/>
      <c r="BJ873" s="1"/>
      <c r="BK873" s="1"/>
      <c r="BL873" s="1"/>
      <c r="BM873" s="2"/>
      <c r="BN873" s="1"/>
      <c r="BO873" s="1"/>
      <c r="BP873" s="1"/>
      <c r="BQ873" s="1"/>
      <c r="BR873" s="1"/>
      <c r="BS873" s="1"/>
      <c r="BT873" s="1"/>
      <c r="BU873" s="1"/>
      <c r="BV873" s="2"/>
      <c r="BW873" s="1"/>
      <c r="BX873" s="1"/>
      <c r="BY873" s="1"/>
      <c r="BZ873" s="1"/>
      <c r="CA873" s="1"/>
      <c r="CB873" s="1"/>
      <c r="CC873" s="1"/>
      <c r="CD873" s="1"/>
      <c r="CE873" s="2"/>
      <c r="CF873" s="1"/>
      <c r="CG873" s="1"/>
      <c r="CH873" s="1"/>
      <c r="CI873" s="1"/>
      <c r="CJ873" s="1"/>
      <c r="CK873" s="1"/>
      <c r="CL873" s="1"/>
    </row>
    <row r="874" spans="1:90" ht="14.65" x14ac:dyDescent="0.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2"/>
      <c r="L874" s="1"/>
      <c r="M874" s="1"/>
      <c r="N874" s="1"/>
      <c r="O874" s="1"/>
      <c r="P874" s="1"/>
      <c r="Q874" s="1"/>
      <c r="R874" s="1"/>
      <c r="S874" s="1"/>
      <c r="T874" s="2"/>
      <c r="U874" s="1"/>
      <c r="V874" s="1"/>
      <c r="W874" s="1"/>
      <c r="X874" s="1"/>
      <c r="Y874" s="1"/>
      <c r="Z874" s="1"/>
      <c r="AA874" s="1"/>
      <c r="AB874" s="1"/>
      <c r="AC874" s="2"/>
      <c r="AD874" s="1"/>
      <c r="AE874" s="1"/>
      <c r="AF874" s="1"/>
      <c r="AG874" s="1"/>
      <c r="AH874" s="1"/>
      <c r="AI874" s="1"/>
      <c r="AJ874" s="1"/>
      <c r="AK874" s="1"/>
      <c r="AL874" s="2"/>
      <c r="AM874" s="1"/>
      <c r="AN874" s="1"/>
      <c r="AO874" s="1"/>
      <c r="AP874" s="1"/>
      <c r="AQ874" s="1"/>
      <c r="AR874" s="1"/>
      <c r="AS874" s="1"/>
      <c r="AT874" s="1"/>
      <c r="AU874" s="2"/>
      <c r="AV874" s="1"/>
      <c r="AW874" s="1"/>
      <c r="AX874" s="1"/>
      <c r="AY874" s="1"/>
      <c r="AZ874" s="1"/>
      <c r="BA874" s="1"/>
      <c r="BB874" s="1"/>
      <c r="BC874" s="1"/>
      <c r="BD874" s="2"/>
      <c r="BE874" s="1"/>
      <c r="BF874" s="1"/>
      <c r="BG874" s="1"/>
      <c r="BH874" s="1"/>
      <c r="BI874" s="1"/>
      <c r="BJ874" s="1"/>
      <c r="BK874" s="1"/>
      <c r="BL874" s="1"/>
      <c r="BM874" s="2"/>
      <c r="BN874" s="1"/>
      <c r="BO874" s="1"/>
      <c r="BP874" s="1"/>
      <c r="BQ874" s="1"/>
      <c r="BR874" s="1"/>
      <c r="BS874" s="1"/>
      <c r="BT874" s="1"/>
      <c r="BU874" s="1"/>
      <c r="BV874" s="2"/>
      <c r="BW874" s="1"/>
      <c r="BX874" s="1"/>
      <c r="BY874" s="1"/>
      <c r="BZ874" s="1"/>
      <c r="CA874" s="1"/>
      <c r="CB874" s="1"/>
      <c r="CC874" s="1"/>
      <c r="CD874" s="1"/>
      <c r="CE874" s="2"/>
      <c r="CF874" s="1"/>
      <c r="CG874" s="1"/>
      <c r="CH874" s="1"/>
      <c r="CI874" s="1"/>
      <c r="CJ874" s="1"/>
      <c r="CK874" s="1"/>
      <c r="CL874" s="1"/>
    </row>
    <row r="875" spans="1:90" ht="14.65" x14ac:dyDescent="0.4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2"/>
      <c r="L875" s="1"/>
      <c r="M875" s="1"/>
      <c r="N875" s="1"/>
      <c r="O875" s="1"/>
      <c r="P875" s="1"/>
      <c r="Q875" s="1"/>
      <c r="R875" s="1"/>
      <c r="S875" s="1"/>
      <c r="T875" s="2"/>
      <c r="U875" s="1"/>
      <c r="V875" s="1"/>
      <c r="W875" s="1"/>
      <c r="X875" s="1"/>
      <c r="Y875" s="1"/>
      <c r="Z875" s="1"/>
      <c r="AA875" s="1"/>
      <c r="AB875" s="1"/>
      <c r="AC875" s="2"/>
      <c r="AD875" s="1"/>
      <c r="AE875" s="1"/>
      <c r="AF875" s="1"/>
      <c r="AG875" s="1"/>
      <c r="AH875" s="1"/>
      <c r="AI875" s="1"/>
      <c r="AJ875" s="1"/>
      <c r="AK875" s="1"/>
      <c r="AL875" s="2"/>
      <c r="AM875" s="1"/>
      <c r="AN875" s="1"/>
      <c r="AO875" s="1"/>
      <c r="AP875" s="1"/>
      <c r="AQ875" s="1"/>
      <c r="AR875" s="1"/>
      <c r="AS875" s="1"/>
      <c r="AT875" s="1"/>
      <c r="AU875" s="2"/>
      <c r="AV875" s="1"/>
      <c r="AW875" s="1"/>
      <c r="AX875" s="1"/>
      <c r="AY875" s="1"/>
      <c r="AZ875" s="1"/>
      <c r="BA875" s="1"/>
      <c r="BB875" s="1"/>
      <c r="BC875" s="1"/>
      <c r="BD875" s="2"/>
      <c r="BE875" s="1"/>
      <c r="BF875" s="1"/>
      <c r="BG875" s="1"/>
      <c r="BH875" s="1"/>
      <c r="BI875" s="1"/>
      <c r="BJ875" s="1"/>
      <c r="BK875" s="1"/>
      <c r="BL875" s="1"/>
      <c r="BM875" s="2"/>
      <c r="BN875" s="1"/>
      <c r="BO875" s="1"/>
      <c r="BP875" s="1"/>
      <c r="BQ875" s="1"/>
      <c r="BR875" s="1"/>
      <c r="BS875" s="1"/>
      <c r="BT875" s="1"/>
      <c r="BU875" s="1"/>
      <c r="BV875" s="2"/>
      <c r="BW875" s="1"/>
      <c r="BX875" s="1"/>
      <c r="BY875" s="1"/>
      <c r="BZ875" s="1"/>
      <c r="CA875" s="1"/>
      <c r="CB875" s="1"/>
      <c r="CC875" s="1"/>
      <c r="CD875" s="1"/>
      <c r="CE875" s="2"/>
      <c r="CF875" s="1"/>
      <c r="CG875" s="1"/>
      <c r="CH875" s="1"/>
      <c r="CI875" s="1"/>
      <c r="CJ875" s="1"/>
      <c r="CK875" s="1"/>
      <c r="CL875" s="1"/>
    </row>
    <row r="876" spans="1:90" ht="14.65" x14ac:dyDescent="0.4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2"/>
      <c r="L876" s="1"/>
      <c r="M876" s="1"/>
      <c r="N876" s="1"/>
      <c r="O876" s="1"/>
      <c r="P876" s="1"/>
      <c r="Q876" s="1"/>
      <c r="R876" s="1"/>
      <c r="S876" s="1"/>
      <c r="T876" s="2"/>
      <c r="U876" s="1"/>
      <c r="V876" s="1"/>
      <c r="W876" s="1"/>
      <c r="X876" s="1"/>
      <c r="Y876" s="1"/>
      <c r="Z876" s="1"/>
      <c r="AA876" s="1"/>
      <c r="AB876" s="1"/>
      <c r="AC876" s="2"/>
      <c r="AD876" s="1"/>
      <c r="AE876" s="1"/>
      <c r="AF876" s="1"/>
      <c r="AG876" s="1"/>
      <c r="AH876" s="1"/>
      <c r="AI876" s="1"/>
      <c r="AJ876" s="1"/>
      <c r="AK876" s="1"/>
      <c r="AL876" s="2"/>
      <c r="AM876" s="1"/>
      <c r="AN876" s="1"/>
      <c r="AO876" s="1"/>
      <c r="AP876" s="1"/>
      <c r="AQ876" s="1"/>
      <c r="AR876" s="1"/>
      <c r="AS876" s="1"/>
      <c r="AT876" s="1"/>
      <c r="AU876" s="2"/>
      <c r="AV876" s="1"/>
      <c r="AW876" s="1"/>
      <c r="AX876" s="1"/>
      <c r="AY876" s="1"/>
      <c r="AZ876" s="1"/>
      <c r="BA876" s="1"/>
      <c r="BB876" s="1"/>
      <c r="BC876" s="1"/>
      <c r="BD876" s="2"/>
      <c r="BE876" s="1"/>
      <c r="BF876" s="1"/>
      <c r="BG876" s="1"/>
      <c r="BH876" s="1"/>
      <c r="BI876" s="1"/>
      <c r="BJ876" s="1"/>
      <c r="BK876" s="1"/>
      <c r="BL876" s="1"/>
      <c r="BM876" s="2"/>
      <c r="BN876" s="1"/>
      <c r="BO876" s="1"/>
      <c r="BP876" s="1"/>
      <c r="BQ876" s="1"/>
      <c r="BR876" s="1"/>
      <c r="BS876" s="1"/>
      <c r="BT876" s="1"/>
      <c r="BU876" s="1"/>
      <c r="BV876" s="2"/>
      <c r="BW876" s="1"/>
      <c r="BX876" s="1"/>
      <c r="BY876" s="1"/>
      <c r="BZ876" s="1"/>
      <c r="CA876" s="1"/>
      <c r="CB876" s="1"/>
      <c r="CC876" s="1"/>
      <c r="CD876" s="1"/>
      <c r="CE876" s="2"/>
      <c r="CF876" s="1"/>
      <c r="CG876" s="1"/>
      <c r="CH876" s="1"/>
      <c r="CI876" s="1"/>
      <c r="CJ876" s="1"/>
      <c r="CK876" s="1"/>
      <c r="CL876" s="1"/>
    </row>
    <row r="877" spans="1:90" ht="14.65" x14ac:dyDescent="0.4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2"/>
      <c r="L877" s="1"/>
      <c r="M877" s="1"/>
      <c r="N877" s="1"/>
      <c r="O877" s="1"/>
      <c r="P877" s="1"/>
      <c r="Q877" s="1"/>
      <c r="R877" s="1"/>
      <c r="S877" s="1"/>
      <c r="T877" s="2"/>
      <c r="U877" s="1"/>
      <c r="V877" s="1"/>
      <c r="W877" s="1"/>
      <c r="X877" s="1"/>
      <c r="Y877" s="1"/>
      <c r="Z877" s="1"/>
      <c r="AA877" s="1"/>
      <c r="AB877" s="1"/>
      <c r="AC877" s="2"/>
      <c r="AD877" s="1"/>
      <c r="AE877" s="1"/>
      <c r="AF877" s="1"/>
      <c r="AG877" s="1"/>
      <c r="AH877" s="1"/>
      <c r="AI877" s="1"/>
      <c r="AJ877" s="1"/>
      <c r="AK877" s="1"/>
      <c r="AL877" s="2"/>
      <c r="AM877" s="1"/>
      <c r="AN877" s="1"/>
      <c r="AO877" s="1"/>
      <c r="AP877" s="1"/>
      <c r="AQ877" s="1"/>
      <c r="AR877" s="1"/>
      <c r="AS877" s="1"/>
      <c r="AT877" s="1"/>
      <c r="AU877" s="2"/>
      <c r="AV877" s="1"/>
      <c r="AW877" s="1"/>
      <c r="AX877" s="1"/>
      <c r="AY877" s="1"/>
      <c r="AZ877" s="1"/>
      <c r="BA877" s="1"/>
      <c r="BB877" s="1"/>
      <c r="BC877" s="1"/>
      <c r="BD877" s="2"/>
      <c r="BE877" s="1"/>
      <c r="BF877" s="1"/>
      <c r="BG877" s="1"/>
      <c r="BH877" s="1"/>
      <c r="BI877" s="1"/>
      <c r="BJ877" s="1"/>
      <c r="BK877" s="1"/>
      <c r="BL877" s="1"/>
      <c r="BM877" s="2"/>
      <c r="BN877" s="1"/>
      <c r="BO877" s="1"/>
      <c r="BP877" s="1"/>
      <c r="BQ877" s="1"/>
      <c r="BR877" s="1"/>
      <c r="BS877" s="1"/>
      <c r="BT877" s="1"/>
      <c r="BU877" s="1"/>
      <c r="BV877" s="2"/>
      <c r="BW877" s="1"/>
      <c r="BX877" s="1"/>
      <c r="BY877" s="1"/>
      <c r="BZ877" s="1"/>
      <c r="CA877" s="1"/>
      <c r="CB877" s="1"/>
      <c r="CC877" s="1"/>
      <c r="CD877" s="1"/>
      <c r="CE877" s="2"/>
      <c r="CF877" s="1"/>
      <c r="CG877" s="1"/>
      <c r="CH877" s="1"/>
      <c r="CI877" s="1"/>
      <c r="CJ877" s="1"/>
      <c r="CK877" s="1"/>
      <c r="CL877" s="1"/>
    </row>
    <row r="878" spans="1:90" ht="14.65" x14ac:dyDescent="0.4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2"/>
      <c r="L878" s="1"/>
      <c r="M878" s="1"/>
      <c r="N878" s="1"/>
      <c r="O878" s="1"/>
      <c r="P878" s="1"/>
      <c r="Q878" s="1"/>
      <c r="R878" s="1"/>
      <c r="S878" s="1"/>
      <c r="T878" s="2"/>
      <c r="U878" s="1"/>
      <c r="V878" s="1"/>
      <c r="W878" s="1"/>
      <c r="X878" s="1"/>
      <c r="Y878" s="1"/>
      <c r="Z878" s="1"/>
      <c r="AA878" s="1"/>
      <c r="AB878" s="1"/>
      <c r="AC878" s="2"/>
      <c r="AD878" s="1"/>
      <c r="AE878" s="1"/>
      <c r="AF878" s="1"/>
      <c r="AG878" s="1"/>
      <c r="AH878" s="1"/>
      <c r="AI878" s="1"/>
      <c r="AJ878" s="1"/>
      <c r="AK878" s="1"/>
      <c r="AL878" s="2"/>
      <c r="AM878" s="1"/>
      <c r="AN878" s="1"/>
      <c r="AO878" s="1"/>
      <c r="AP878" s="1"/>
      <c r="AQ878" s="1"/>
      <c r="AR878" s="1"/>
      <c r="AS878" s="1"/>
      <c r="AT878" s="1"/>
      <c r="AU878" s="2"/>
      <c r="AV878" s="1"/>
      <c r="AW878" s="1"/>
      <c r="AX878" s="1"/>
      <c r="AY878" s="1"/>
      <c r="AZ878" s="1"/>
      <c r="BA878" s="1"/>
      <c r="BB878" s="1"/>
      <c r="BC878" s="1"/>
      <c r="BD878" s="2"/>
      <c r="BE878" s="1"/>
      <c r="BF878" s="1"/>
      <c r="BG878" s="1"/>
      <c r="BH878" s="1"/>
      <c r="BI878" s="1"/>
      <c r="BJ878" s="1"/>
      <c r="BK878" s="1"/>
      <c r="BL878" s="1"/>
      <c r="BM878" s="2"/>
      <c r="BN878" s="1"/>
      <c r="BO878" s="1"/>
      <c r="BP878" s="1"/>
      <c r="BQ878" s="1"/>
      <c r="BR878" s="1"/>
      <c r="BS878" s="1"/>
      <c r="BT878" s="1"/>
      <c r="BU878" s="1"/>
      <c r="BV878" s="2"/>
      <c r="BW878" s="1"/>
      <c r="BX878" s="1"/>
      <c r="BY878" s="1"/>
      <c r="BZ878" s="1"/>
      <c r="CA878" s="1"/>
      <c r="CB878" s="1"/>
      <c r="CC878" s="1"/>
      <c r="CD878" s="1"/>
      <c r="CE878" s="2"/>
      <c r="CF878" s="1"/>
      <c r="CG878" s="1"/>
      <c r="CH878" s="1"/>
      <c r="CI878" s="1"/>
      <c r="CJ878" s="1"/>
      <c r="CK878" s="1"/>
      <c r="CL878" s="1"/>
    </row>
    <row r="879" spans="1:90" ht="14.65" x14ac:dyDescent="0.4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2"/>
      <c r="L879" s="1"/>
      <c r="M879" s="1"/>
      <c r="N879" s="1"/>
      <c r="O879" s="1"/>
      <c r="P879" s="1"/>
      <c r="Q879" s="1"/>
      <c r="R879" s="1"/>
      <c r="S879" s="1"/>
      <c r="T879" s="2"/>
      <c r="U879" s="1"/>
      <c r="V879" s="1"/>
      <c r="W879" s="1"/>
      <c r="X879" s="1"/>
      <c r="Y879" s="1"/>
      <c r="Z879" s="1"/>
      <c r="AA879" s="1"/>
      <c r="AB879" s="1"/>
      <c r="AC879" s="2"/>
      <c r="AD879" s="1"/>
      <c r="AE879" s="1"/>
      <c r="AF879" s="1"/>
      <c r="AG879" s="1"/>
      <c r="AH879" s="1"/>
      <c r="AI879" s="1"/>
      <c r="AJ879" s="1"/>
      <c r="AK879" s="1"/>
      <c r="AL879" s="2"/>
      <c r="AM879" s="1"/>
      <c r="AN879" s="1"/>
      <c r="AO879" s="1"/>
      <c r="AP879" s="1"/>
      <c r="AQ879" s="1"/>
      <c r="AR879" s="1"/>
      <c r="AS879" s="1"/>
      <c r="AT879" s="1"/>
      <c r="AU879" s="2"/>
      <c r="AV879" s="1"/>
      <c r="AW879" s="1"/>
      <c r="AX879" s="1"/>
      <c r="AY879" s="1"/>
      <c r="AZ879" s="1"/>
      <c r="BA879" s="1"/>
      <c r="BB879" s="1"/>
      <c r="BC879" s="1"/>
      <c r="BD879" s="2"/>
      <c r="BE879" s="1"/>
      <c r="BF879" s="1"/>
      <c r="BG879" s="1"/>
      <c r="BH879" s="1"/>
      <c r="BI879" s="1"/>
      <c r="BJ879" s="1"/>
      <c r="BK879" s="1"/>
      <c r="BL879" s="1"/>
      <c r="BM879" s="2"/>
      <c r="BN879" s="1"/>
      <c r="BO879" s="1"/>
      <c r="BP879" s="1"/>
      <c r="BQ879" s="1"/>
      <c r="BR879" s="1"/>
      <c r="BS879" s="1"/>
      <c r="BT879" s="1"/>
      <c r="BU879" s="1"/>
      <c r="BV879" s="2"/>
      <c r="BW879" s="1"/>
      <c r="BX879" s="1"/>
      <c r="BY879" s="1"/>
      <c r="BZ879" s="1"/>
      <c r="CA879" s="1"/>
      <c r="CB879" s="1"/>
      <c r="CC879" s="1"/>
      <c r="CD879" s="1"/>
      <c r="CE879" s="2"/>
      <c r="CF879" s="1"/>
      <c r="CG879" s="1"/>
      <c r="CH879" s="1"/>
      <c r="CI879" s="1"/>
      <c r="CJ879" s="1"/>
      <c r="CK879" s="1"/>
      <c r="CL879" s="1"/>
    </row>
    <row r="880" spans="1:90" ht="14.65" x14ac:dyDescent="0.4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2"/>
      <c r="L880" s="1"/>
      <c r="M880" s="1"/>
      <c r="N880" s="1"/>
      <c r="O880" s="1"/>
      <c r="P880" s="1"/>
      <c r="Q880" s="1"/>
      <c r="R880" s="1"/>
      <c r="S880" s="1"/>
      <c r="T880" s="2"/>
      <c r="U880" s="1"/>
      <c r="V880" s="1"/>
      <c r="W880" s="1"/>
      <c r="X880" s="1"/>
      <c r="Y880" s="1"/>
      <c r="Z880" s="1"/>
      <c r="AA880" s="1"/>
      <c r="AB880" s="1"/>
      <c r="AC880" s="2"/>
      <c r="AD880" s="1"/>
      <c r="AE880" s="1"/>
      <c r="AF880" s="1"/>
      <c r="AG880" s="1"/>
      <c r="AH880" s="1"/>
      <c r="AI880" s="1"/>
      <c r="AJ880" s="1"/>
      <c r="AK880" s="1"/>
      <c r="AL880" s="2"/>
      <c r="AM880" s="1"/>
      <c r="AN880" s="1"/>
      <c r="AO880" s="1"/>
      <c r="AP880" s="1"/>
      <c r="AQ880" s="1"/>
      <c r="AR880" s="1"/>
      <c r="AS880" s="1"/>
      <c r="AT880" s="1"/>
      <c r="AU880" s="2"/>
      <c r="AV880" s="1"/>
      <c r="AW880" s="1"/>
      <c r="AX880" s="1"/>
      <c r="AY880" s="1"/>
      <c r="AZ880" s="1"/>
      <c r="BA880" s="1"/>
      <c r="BB880" s="1"/>
      <c r="BC880" s="1"/>
      <c r="BD880" s="2"/>
      <c r="BE880" s="1"/>
      <c r="BF880" s="1"/>
      <c r="BG880" s="1"/>
      <c r="BH880" s="1"/>
      <c r="BI880" s="1"/>
      <c r="BJ880" s="1"/>
      <c r="BK880" s="1"/>
      <c r="BL880" s="1"/>
      <c r="BM880" s="2"/>
      <c r="BN880" s="1"/>
      <c r="BO880" s="1"/>
      <c r="BP880" s="1"/>
      <c r="BQ880" s="1"/>
      <c r="BR880" s="1"/>
      <c r="BS880" s="1"/>
      <c r="BT880" s="1"/>
      <c r="BU880" s="1"/>
      <c r="BV880" s="2"/>
      <c r="BW880" s="1"/>
      <c r="BX880" s="1"/>
      <c r="BY880" s="1"/>
      <c r="BZ880" s="1"/>
      <c r="CA880" s="1"/>
      <c r="CB880" s="1"/>
      <c r="CC880" s="1"/>
      <c r="CD880" s="1"/>
      <c r="CE880" s="2"/>
      <c r="CF880" s="1"/>
      <c r="CG880" s="1"/>
      <c r="CH880" s="1"/>
      <c r="CI880" s="1"/>
      <c r="CJ880" s="1"/>
      <c r="CK880" s="1"/>
      <c r="CL880" s="1"/>
    </row>
    <row r="881" spans="1:90" ht="14.65" x14ac:dyDescent="0.4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2"/>
      <c r="L881" s="1"/>
      <c r="M881" s="1"/>
      <c r="N881" s="1"/>
      <c r="O881" s="1"/>
      <c r="P881" s="1"/>
      <c r="Q881" s="1"/>
      <c r="R881" s="1"/>
      <c r="S881" s="1"/>
      <c r="T881" s="2"/>
      <c r="U881" s="1"/>
      <c r="V881" s="1"/>
      <c r="W881" s="1"/>
      <c r="X881" s="1"/>
      <c r="Y881" s="1"/>
      <c r="Z881" s="1"/>
      <c r="AA881" s="1"/>
      <c r="AB881" s="1"/>
      <c r="AC881" s="2"/>
      <c r="AD881" s="1"/>
      <c r="AE881" s="1"/>
      <c r="AF881" s="1"/>
      <c r="AG881" s="1"/>
      <c r="AH881" s="1"/>
      <c r="AI881" s="1"/>
      <c r="AJ881" s="1"/>
      <c r="AK881" s="1"/>
      <c r="AL881" s="2"/>
      <c r="AM881" s="1"/>
      <c r="AN881" s="1"/>
      <c r="AO881" s="1"/>
      <c r="AP881" s="1"/>
      <c r="AQ881" s="1"/>
      <c r="AR881" s="1"/>
      <c r="AS881" s="1"/>
      <c r="AT881" s="1"/>
      <c r="AU881" s="2"/>
      <c r="AV881" s="1"/>
      <c r="AW881" s="1"/>
      <c r="AX881" s="1"/>
      <c r="AY881" s="1"/>
      <c r="AZ881" s="1"/>
      <c r="BA881" s="1"/>
      <c r="BB881" s="1"/>
      <c r="BC881" s="1"/>
      <c r="BD881" s="2"/>
      <c r="BE881" s="1"/>
      <c r="BF881" s="1"/>
      <c r="BG881" s="1"/>
      <c r="BH881" s="1"/>
      <c r="BI881" s="1"/>
      <c r="BJ881" s="1"/>
      <c r="BK881" s="1"/>
      <c r="BL881" s="1"/>
      <c r="BM881" s="2"/>
      <c r="BN881" s="1"/>
      <c r="BO881" s="1"/>
      <c r="BP881" s="1"/>
      <c r="BQ881" s="1"/>
      <c r="BR881" s="1"/>
      <c r="BS881" s="1"/>
      <c r="BT881" s="1"/>
      <c r="BU881" s="1"/>
      <c r="BV881" s="2"/>
      <c r="BW881" s="1"/>
      <c r="BX881" s="1"/>
      <c r="BY881" s="1"/>
      <c r="BZ881" s="1"/>
      <c r="CA881" s="1"/>
      <c r="CB881" s="1"/>
      <c r="CC881" s="1"/>
      <c r="CD881" s="1"/>
      <c r="CE881" s="2"/>
      <c r="CF881" s="1"/>
      <c r="CG881" s="1"/>
      <c r="CH881" s="1"/>
      <c r="CI881" s="1"/>
      <c r="CJ881" s="1"/>
      <c r="CK881" s="1"/>
      <c r="CL881" s="1"/>
    </row>
    <row r="882" spans="1:90" ht="14.65" x14ac:dyDescent="0.4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2"/>
      <c r="L882" s="1"/>
      <c r="M882" s="1"/>
      <c r="N882" s="1"/>
      <c r="O882" s="1"/>
      <c r="P882" s="1"/>
      <c r="Q882" s="1"/>
      <c r="R882" s="1"/>
      <c r="S882" s="1"/>
      <c r="T882" s="2"/>
      <c r="U882" s="1"/>
      <c r="V882" s="1"/>
      <c r="W882" s="1"/>
      <c r="X882" s="1"/>
      <c r="Y882" s="1"/>
      <c r="Z882" s="1"/>
      <c r="AA882" s="1"/>
      <c r="AB882" s="1"/>
      <c r="AC882" s="2"/>
      <c r="AD882" s="1"/>
      <c r="AE882" s="1"/>
      <c r="AF882" s="1"/>
      <c r="AG882" s="1"/>
      <c r="AH882" s="1"/>
      <c r="AI882" s="1"/>
      <c r="AJ882" s="1"/>
      <c r="AK882" s="1"/>
      <c r="AL882" s="2"/>
      <c r="AM882" s="1"/>
      <c r="AN882" s="1"/>
      <c r="AO882" s="1"/>
      <c r="AP882" s="1"/>
      <c r="AQ882" s="1"/>
      <c r="AR882" s="1"/>
      <c r="AS882" s="1"/>
      <c r="AT882" s="1"/>
      <c r="AU882" s="2"/>
      <c r="AV882" s="1"/>
      <c r="AW882" s="1"/>
      <c r="AX882" s="1"/>
      <c r="AY882" s="1"/>
      <c r="AZ882" s="1"/>
      <c r="BA882" s="1"/>
      <c r="BB882" s="1"/>
      <c r="BC882" s="1"/>
      <c r="BD882" s="2"/>
      <c r="BE882" s="1"/>
      <c r="BF882" s="1"/>
      <c r="BG882" s="1"/>
      <c r="BH882" s="1"/>
      <c r="BI882" s="1"/>
      <c r="BJ882" s="1"/>
      <c r="BK882" s="1"/>
      <c r="BL882" s="1"/>
      <c r="BM882" s="2"/>
      <c r="BN882" s="1"/>
      <c r="BO882" s="1"/>
      <c r="BP882" s="1"/>
      <c r="BQ882" s="1"/>
      <c r="BR882" s="1"/>
      <c r="BS882" s="1"/>
      <c r="BT882" s="1"/>
      <c r="BU882" s="1"/>
      <c r="BV882" s="2"/>
      <c r="BW882" s="1"/>
      <c r="BX882" s="1"/>
      <c r="BY882" s="1"/>
      <c r="BZ882" s="1"/>
      <c r="CA882" s="1"/>
      <c r="CB882" s="1"/>
      <c r="CC882" s="1"/>
      <c r="CD882" s="1"/>
      <c r="CE882" s="2"/>
      <c r="CF882" s="1"/>
      <c r="CG882" s="1"/>
      <c r="CH882" s="1"/>
      <c r="CI882" s="1"/>
      <c r="CJ882" s="1"/>
      <c r="CK882" s="1"/>
      <c r="CL882" s="1"/>
    </row>
    <row r="883" spans="1:90" ht="14.65" x14ac:dyDescent="0.4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2"/>
      <c r="L883" s="1"/>
      <c r="M883" s="1"/>
      <c r="N883" s="1"/>
      <c r="O883" s="1"/>
      <c r="P883" s="1"/>
      <c r="Q883" s="1"/>
      <c r="R883" s="1"/>
      <c r="S883" s="1"/>
      <c r="T883" s="2"/>
      <c r="U883" s="1"/>
      <c r="V883" s="1"/>
      <c r="W883" s="1"/>
      <c r="X883" s="1"/>
      <c r="Y883" s="1"/>
      <c r="Z883" s="1"/>
      <c r="AA883" s="1"/>
      <c r="AB883" s="1"/>
      <c r="AC883" s="2"/>
      <c r="AD883" s="1"/>
      <c r="AE883" s="1"/>
      <c r="AF883" s="1"/>
      <c r="AG883" s="1"/>
      <c r="AH883" s="1"/>
      <c r="AI883" s="1"/>
      <c r="AJ883" s="1"/>
      <c r="AK883" s="1"/>
      <c r="AL883" s="2"/>
      <c r="AM883" s="1"/>
      <c r="AN883" s="1"/>
      <c r="AO883" s="1"/>
      <c r="AP883" s="1"/>
      <c r="AQ883" s="1"/>
      <c r="AR883" s="1"/>
      <c r="AS883" s="1"/>
      <c r="AT883" s="1"/>
      <c r="AU883" s="2"/>
      <c r="AV883" s="1"/>
      <c r="AW883" s="1"/>
      <c r="AX883" s="1"/>
      <c r="AY883" s="1"/>
      <c r="AZ883" s="1"/>
      <c r="BA883" s="1"/>
      <c r="BB883" s="1"/>
      <c r="BC883" s="1"/>
      <c r="BD883" s="2"/>
      <c r="BE883" s="1"/>
      <c r="BF883" s="1"/>
      <c r="BG883" s="1"/>
      <c r="BH883" s="1"/>
      <c r="BI883" s="1"/>
      <c r="BJ883" s="1"/>
      <c r="BK883" s="1"/>
      <c r="BL883" s="1"/>
      <c r="BM883" s="2"/>
      <c r="BN883" s="1"/>
      <c r="BO883" s="1"/>
      <c r="BP883" s="1"/>
      <c r="BQ883" s="1"/>
      <c r="BR883" s="1"/>
      <c r="BS883" s="1"/>
      <c r="BT883" s="1"/>
      <c r="BU883" s="1"/>
      <c r="BV883" s="2"/>
      <c r="BW883" s="1"/>
      <c r="BX883" s="1"/>
      <c r="BY883" s="1"/>
      <c r="BZ883" s="1"/>
      <c r="CA883" s="1"/>
      <c r="CB883" s="1"/>
      <c r="CC883" s="1"/>
      <c r="CD883" s="1"/>
      <c r="CE883" s="2"/>
      <c r="CF883" s="1"/>
      <c r="CG883" s="1"/>
      <c r="CH883" s="1"/>
      <c r="CI883" s="1"/>
      <c r="CJ883" s="1"/>
      <c r="CK883" s="1"/>
      <c r="CL883" s="1"/>
    </row>
    <row r="884" spans="1:90" ht="14.65" x14ac:dyDescent="0.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2"/>
      <c r="L884" s="1"/>
      <c r="M884" s="1"/>
      <c r="N884" s="1"/>
      <c r="O884" s="1"/>
      <c r="P884" s="1"/>
      <c r="Q884" s="1"/>
      <c r="R884" s="1"/>
      <c r="S884" s="1"/>
      <c r="T884" s="2"/>
      <c r="U884" s="1"/>
      <c r="V884" s="1"/>
      <c r="W884" s="1"/>
      <c r="X884" s="1"/>
      <c r="Y884" s="1"/>
      <c r="Z884" s="1"/>
      <c r="AA884" s="1"/>
      <c r="AB884" s="1"/>
      <c r="AC884" s="2"/>
      <c r="AD884" s="1"/>
      <c r="AE884" s="1"/>
      <c r="AF884" s="1"/>
      <c r="AG884" s="1"/>
      <c r="AH884" s="1"/>
      <c r="AI884" s="1"/>
      <c r="AJ884" s="1"/>
      <c r="AK884" s="1"/>
      <c r="AL884" s="2"/>
      <c r="AM884" s="1"/>
      <c r="AN884" s="1"/>
      <c r="AO884" s="1"/>
      <c r="AP884" s="1"/>
      <c r="AQ884" s="1"/>
      <c r="AR884" s="1"/>
      <c r="AS884" s="1"/>
      <c r="AT884" s="1"/>
      <c r="AU884" s="2"/>
      <c r="AV884" s="1"/>
      <c r="AW884" s="1"/>
      <c r="AX884" s="1"/>
      <c r="AY884" s="1"/>
      <c r="AZ884" s="1"/>
      <c r="BA884" s="1"/>
      <c r="BB884" s="1"/>
      <c r="BC884" s="1"/>
      <c r="BD884" s="2"/>
      <c r="BE884" s="1"/>
      <c r="BF884" s="1"/>
      <c r="BG884" s="1"/>
      <c r="BH884" s="1"/>
      <c r="BI884" s="1"/>
      <c r="BJ884" s="1"/>
      <c r="BK884" s="1"/>
      <c r="BL884" s="1"/>
      <c r="BM884" s="2"/>
      <c r="BN884" s="1"/>
      <c r="BO884" s="1"/>
      <c r="BP884" s="1"/>
      <c r="BQ884" s="1"/>
      <c r="BR884" s="1"/>
      <c r="BS884" s="1"/>
      <c r="BT884" s="1"/>
      <c r="BU884" s="1"/>
      <c r="BV884" s="2"/>
      <c r="BW884" s="1"/>
      <c r="BX884" s="1"/>
      <c r="BY884" s="1"/>
      <c r="BZ884" s="1"/>
      <c r="CA884" s="1"/>
      <c r="CB884" s="1"/>
      <c r="CC884" s="1"/>
      <c r="CD884" s="1"/>
      <c r="CE884" s="2"/>
      <c r="CF884" s="1"/>
      <c r="CG884" s="1"/>
      <c r="CH884" s="1"/>
      <c r="CI884" s="1"/>
      <c r="CJ884" s="1"/>
      <c r="CK884" s="1"/>
      <c r="CL884" s="1"/>
    </row>
    <row r="885" spans="1:90" ht="14.65" x14ac:dyDescent="0.4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2"/>
      <c r="L885" s="1"/>
      <c r="M885" s="1"/>
      <c r="N885" s="1"/>
      <c r="O885" s="1"/>
      <c r="P885" s="1"/>
      <c r="Q885" s="1"/>
      <c r="R885" s="1"/>
      <c r="S885" s="1"/>
      <c r="T885" s="2"/>
      <c r="U885" s="1"/>
      <c r="V885" s="1"/>
      <c r="W885" s="1"/>
      <c r="X885" s="1"/>
      <c r="Y885" s="1"/>
      <c r="Z885" s="1"/>
      <c r="AA885" s="1"/>
      <c r="AB885" s="1"/>
      <c r="AC885" s="2"/>
      <c r="AD885" s="1"/>
      <c r="AE885" s="1"/>
      <c r="AF885" s="1"/>
      <c r="AG885" s="1"/>
      <c r="AH885" s="1"/>
      <c r="AI885" s="1"/>
      <c r="AJ885" s="1"/>
      <c r="AK885" s="1"/>
      <c r="AL885" s="2"/>
      <c r="AM885" s="1"/>
      <c r="AN885" s="1"/>
      <c r="AO885" s="1"/>
      <c r="AP885" s="1"/>
      <c r="AQ885" s="1"/>
      <c r="AR885" s="1"/>
      <c r="AS885" s="1"/>
      <c r="AT885" s="1"/>
      <c r="AU885" s="2"/>
      <c r="AV885" s="1"/>
      <c r="AW885" s="1"/>
      <c r="AX885" s="1"/>
      <c r="AY885" s="1"/>
      <c r="AZ885" s="1"/>
      <c r="BA885" s="1"/>
      <c r="BB885" s="1"/>
      <c r="BC885" s="1"/>
      <c r="BD885" s="2"/>
      <c r="BE885" s="1"/>
      <c r="BF885" s="1"/>
      <c r="BG885" s="1"/>
      <c r="BH885" s="1"/>
      <c r="BI885" s="1"/>
      <c r="BJ885" s="1"/>
      <c r="BK885" s="1"/>
      <c r="BL885" s="1"/>
      <c r="BM885" s="2"/>
      <c r="BN885" s="1"/>
      <c r="BO885" s="1"/>
      <c r="BP885" s="1"/>
      <c r="BQ885" s="1"/>
      <c r="BR885" s="1"/>
      <c r="BS885" s="1"/>
      <c r="BT885" s="1"/>
      <c r="BU885" s="1"/>
      <c r="BV885" s="2"/>
      <c r="BW885" s="1"/>
      <c r="BX885" s="1"/>
      <c r="BY885" s="1"/>
      <c r="BZ885" s="1"/>
      <c r="CA885" s="1"/>
      <c r="CB885" s="1"/>
      <c r="CC885" s="1"/>
      <c r="CD885" s="1"/>
      <c r="CE885" s="2"/>
      <c r="CF885" s="1"/>
      <c r="CG885" s="1"/>
      <c r="CH885" s="1"/>
      <c r="CI885" s="1"/>
      <c r="CJ885" s="1"/>
      <c r="CK885" s="1"/>
      <c r="CL885" s="1"/>
    </row>
    <row r="886" spans="1:90" ht="14.65" x14ac:dyDescent="0.4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2"/>
      <c r="L886" s="1"/>
      <c r="M886" s="1"/>
      <c r="N886" s="1"/>
      <c r="O886" s="1"/>
      <c r="P886" s="1"/>
      <c r="Q886" s="1"/>
      <c r="R886" s="1"/>
      <c r="S886" s="1"/>
      <c r="T886" s="2"/>
      <c r="U886" s="1"/>
      <c r="V886" s="1"/>
      <c r="W886" s="1"/>
      <c r="X886" s="1"/>
      <c r="Y886" s="1"/>
      <c r="Z886" s="1"/>
      <c r="AA886" s="1"/>
      <c r="AB886" s="1"/>
      <c r="AC886" s="2"/>
      <c r="AD886" s="1"/>
      <c r="AE886" s="1"/>
      <c r="AF886" s="1"/>
      <c r="AG886" s="1"/>
      <c r="AH886" s="1"/>
      <c r="AI886" s="1"/>
      <c r="AJ886" s="1"/>
      <c r="AK886" s="1"/>
      <c r="AL886" s="2"/>
      <c r="AM886" s="1"/>
      <c r="AN886" s="1"/>
      <c r="AO886" s="1"/>
      <c r="AP886" s="1"/>
      <c r="AQ886" s="1"/>
      <c r="AR886" s="1"/>
      <c r="AS886" s="1"/>
      <c r="AT886" s="1"/>
      <c r="AU886" s="2"/>
      <c r="AV886" s="1"/>
      <c r="AW886" s="1"/>
      <c r="AX886" s="1"/>
      <c r="AY886" s="1"/>
      <c r="AZ886" s="1"/>
      <c r="BA886" s="1"/>
      <c r="BB886" s="1"/>
      <c r="BC886" s="1"/>
      <c r="BD886" s="2"/>
      <c r="BE886" s="1"/>
      <c r="BF886" s="1"/>
      <c r="BG886" s="1"/>
      <c r="BH886" s="1"/>
      <c r="BI886" s="1"/>
      <c r="BJ886" s="1"/>
      <c r="BK886" s="1"/>
      <c r="BL886" s="1"/>
      <c r="BM886" s="2"/>
      <c r="BN886" s="1"/>
      <c r="BO886" s="1"/>
      <c r="BP886" s="1"/>
      <c r="BQ886" s="1"/>
      <c r="BR886" s="1"/>
      <c r="BS886" s="1"/>
      <c r="BT886" s="1"/>
      <c r="BU886" s="1"/>
      <c r="BV886" s="2"/>
      <c r="BW886" s="1"/>
      <c r="BX886" s="1"/>
      <c r="BY886" s="1"/>
      <c r="BZ886" s="1"/>
      <c r="CA886" s="1"/>
      <c r="CB886" s="1"/>
      <c r="CC886" s="1"/>
      <c r="CD886" s="1"/>
      <c r="CE886" s="2"/>
      <c r="CF886" s="1"/>
      <c r="CG886" s="1"/>
      <c r="CH886" s="1"/>
      <c r="CI886" s="1"/>
      <c r="CJ886" s="1"/>
      <c r="CK886" s="1"/>
      <c r="CL886" s="1"/>
    </row>
    <row r="887" spans="1:90" ht="14.65" x14ac:dyDescent="0.4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2"/>
      <c r="L887" s="1"/>
      <c r="M887" s="1"/>
      <c r="N887" s="1"/>
      <c r="O887" s="1"/>
      <c r="P887" s="1"/>
      <c r="Q887" s="1"/>
      <c r="R887" s="1"/>
      <c r="S887" s="1"/>
      <c r="T887" s="2"/>
      <c r="U887" s="1"/>
      <c r="V887" s="1"/>
      <c r="W887" s="1"/>
      <c r="X887" s="1"/>
      <c r="Y887" s="1"/>
      <c r="Z887" s="1"/>
      <c r="AA887" s="1"/>
      <c r="AB887" s="1"/>
      <c r="AC887" s="2"/>
      <c r="AD887" s="1"/>
      <c r="AE887" s="1"/>
      <c r="AF887" s="1"/>
      <c r="AG887" s="1"/>
      <c r="AH887" s="1"/>
      <c r="AI887" s="1"/>
      <c r="AJ887" s="1"/>
      <c r="AK887" s="1"/>
      <c r="AL887" s="2"/>
      <c r="AM887" s="1"/>
      <c r="AN887" s="1"/>
      <c r="AO887" s="1"/>
      <c r="AP887" s="1"/>
      <c r="AQ887" s="1"/>
      <c r="AR887" s="1"/>
      <c r="AS887" s="1"/>
      <c r="AT887" s="1"/>
      <c r="AU887" s="2"/>
      <c r="AV887" s="1"/>
      <c r="AW887" s="1"/>
      <c r="AX887" s="1"/>
      <c r="AY887" s="1"/>
      <c r="AZ887" s="1"/>
      <c r="BA887" s="1"/>
      <c r="BB887" s="1"/>
      <c r="BC887" s="1"/>
      <c r="BD887" s="2"/>
      <c r="BE887" s="1"/>
      <c r="BF887" s="1"/>
      <c r="BG887" s="1"/>
      <c r="BH887" s="1"/>
      <c r="BI887" s="1"/>
      <c r="BJ887" s="1"/>
      <c r="BK887" s="1"/>
      <c r="BL887" s="1"/>
      <c r="BM887" s="2"/>
      <c r="BN887" s="1"/>
      <c r="BO887" s="1"/>
      <c r="BP887" s="1"/>
      <c r="BQ887" s="1"/>
      <c r="BR887" s="1"/>
      <c r="BS887" s="1"/>
      <c r="BT887" s="1"/>
      <c r="BU887" s="1"/>
      <c r="BV887" s="2"/>
      <c r="BW887" s="1"/>
      <c r="BX887" s="1"/>
      <c r="BY887" s="1"/>
      <c r="BZ887" s="1"/>
      <c r="CA887" s="1"/>
      <c r="CB887" s="1"/>
      <c r="CC887" s="1"/>
      <c r="CD887" s="1"/>
      <c r="CE887" s="2"/>
      <c r="CF887" s="1"/>
      <c r="CG887" s="1"/>
      <c r="CH887" s="1"/>
      <c r="CI887" s="1"/>
      <c r="CJ887" s="1"/>
      <c r="CK887" s="1"/>
      <c r="CL887" s="1"/>
    </row>
    <row r="888" spans="1:90" ht="14.65" x14ac:dyDescent="0.4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2"/>
      <c r="L888" s="1"/>
      <c r="M888" s="1"/>
      <c r="N888" s="1"/>
      <c r="O888" s="1"/>
      <c r="P888" s="1"/>
      <c r="Q888" s="1"/>
      <c r="R888" s="1"/>
      <c r="S888" s="1"/>
      <c r="T888" s="2"/>
      <c r="U888" s="1"/>
      <c r="V888" s="1"/>
      <c r="W888" s="1"/>
      <c r="X888" s="1"/>
      <c r="Y888" s="1"/>
      <c r="Z888" s="1"/>
      <c r="AA888" s="1"/>
      <c r="AB888" s="1"/>
      <c r="AC888" s="2"/>
      <c r="AD888" s="1"/>
      <c r="AE888" s="1"/>
      <c r="AF888" s="1"/>
      <c r="AG888" s="1"/>
      <c r="AH888" s="1"/>
      <c r="AI888" s="1"/>
      <c r="AJ888" s="1"/>
      <c r="AK888" s="1"/>
      <c r="AL888" s="2"/>
      <c r="AM888" s="1"/>
      <c r="AN888" s="1"/>
      <c r="AO888" s="1"/>
      <c r="AP888" s="1"/>
      <c r="AQ888" s="1"/>
      <c r="AR888" s="1"/>
      <c r="AS888" s="1"/>
      <c r="AT888" s="1"/>
      <c r="AU888" s="2"/>
      <c r="AV888" s="1"/>
      <c r="AW888" s="1"/>
      <c r="AX888" s="1"/>
      <c r="AY888" s="1"/>
      <c r="AZ888" s="1"/>
      <c r="BA888" s="1"/>
      <c r="BB888" s="1"/>
      <c r="BC888" s="1"/>
      <c r="BD888" s="2"/>
      <c r="BE888" s="1"/>
      <c r="BF888" s="1"/>
      <c r="BG888" s="1"/>
      <c r="BH888" s="1"/>
      <c r="BI888" s="1"/>
      <c r="BJ888" s="1"/>
      <c r="BK888" s="1"/>
      <c r="BL888" s="1"/>
      <c r="BM888" s="2"/>
      <c r="BN888" s="1"/>
      <c r="BO888" s="1"/>
      <c r="BP888" s="1"/>
      <c r="BQ888" s="1"/>
      <c r="BR888" s="1"/>
      <c r="BS888" s="1"/>
      <c r="BT888" s="1"/>
      <c r="BU888" s="1"/>
      <c r="BV888" s="2"/>
      <c r="BW888" s="1"/>
      <c r="BX888" s="1"/>
      <c r="BY888" s="1"/>
      <c r="BZ888" s="1"/>
      <c r="CA888" s="1"/>
      <c r="CB888" s="1"/>
      <c r="CC888" s="1"/>
      <c r="CD888" s="1"/>
      <c r="CE888" s="2"/>
      <c r="CF888" s="1"/>
      <c r="CG888" s="1"/>
      <c r="CH888" s="1"/>
      <c r="CI888" s="1"/>
      <c r="CJ888" s="1"/>
      <c r="CK888" s="1"/>
      <c r="CL888" s="1"/>
    </row>
    <row r="889" spans="1:90" ht="14.65" x14ac:dyDescent="0.4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2"/>
      <c r="L889" s="1"/>
      <c r="M889" s="1"/>
      <c r="N889" s="1"/>
      <c r="O889" s="1"/>
      <c r="P889" s="1"/>
      <c r="Q889" s="1"/>
      <c r="R889" s="1"/>
      <c r="S889" s="1"/>
      <c r="T889" s="2"/>
      <c r="U889" s="1"/>
      <c r="V889" s="1"/>
      <c r="W889" s="1"/>
      <c r="X889" s="1"/>
      <c r="Y889" s="1"/>
      <c r="Z889" s="1"/>
      <c r="AA889" s="1"/>
      <c r="AB889" s="1"/>
      <c r="AC889" s="2"/>
      <c r="AD889" s="1"/>
      <c r="AE889" s="1"/>
      <c r="AF889" s="1"/>
      <c r="AG889" s="1"/>
      <c r="AH889" s="1"/>
      <c r="AI889" s="1"/>
      <c r="AJ889" s="1"/>
      <c r="AK889" s="1"/>
      <c r="AL889" s="2"/>
      <c r="AM889" s="1"/>
      <c r="AN889" s="1"/>
      <c r="AO889" s="1"/>
      <c r="AP889" s="1"/>
      <c r="AQ889" s="1"/>
      <c r="AR889" s="1"/>
      <c r="AS889" s="1"/>
      <c r="AT889" s="1"/>
      <c r="AU889" s="2"/>
      <c r="AV889" s="1"/>
      <c r="AW889" s="1"/>
      <c r="AX889" s="1"/>
      <c r="AY889" s="1"/>
      <c r="AZ889" s="1"/>
      <c r="BA889" s="1"/>
      <c r="BB889" s="1"/>
      <c r="BC889" s="1"/>
      <c r="BD889" s="2"/>
      <c r="BE889" s="1"/>
      <c r="BF889" s="1"/>
      <c r="BG889" s="1"/>
      <c r="BH889" s="1"/>
      <c r="BI889" s="1"/>
      <c r="BJ889" s="1"/>
      <c r="BK889" s="1"/>
      <c r="BL889" s="1"/>
      <c r="BM889" s="2"/>
      <c r="BN889" s="1"/>
      <c r="BO889" s="1"/>
      <c r="BP889" s="1"/>
      <c r="BQ889" s="1"/>
      <c r="BR889" s="1"/>
      <c r="BS889" s="1"/>
      <c r="BT889" s="1"/>
      <c r="BU889" s="1"/>
      <c r="BV889" s="2"/>
      <c r="BW889" s="1"/>
      <c r="BX889" s="1"/>
      <c r="BY889" s="1"/>
      <c r="BZ889" s="1"/>
      <c r="CA889" s="1"/>
      <c r="CB889" s="1"/>
      <c r="CC889" s="1"/>
      <c r="CD889" s="1"/>
      <c r="CE889" s="2"/>
      <c r="CF889" s="1"/>
      <c r="CG889" s="1"/>
      <c r="CH889" s="1"/>
      <c r="CI889" s="1"/>
      <c r="CJ889" s="1"/>
      <c r="CK889" s="1"/>
      <c r="CL889" s="1"/>
    </row>
    <row r="890" spans="1:90" ht="14.65" x14ac:dyDescent="0.4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2"/>
      <c r="L890" s="1"/>
      <c r="M890" s="1"/>
      <c r="N890" s="1"/>
      <c r="O890" s="1"/>
      <c r="P890" s="1"/>
      <c r="Q890" s="1"/>
      <c r="R890" s="1"/>
      <c r="S890" s="1"/>
      <c r="T890" s="2"/>
      <c r="U890" s="1"/>
      <c r="V890" s="1"/>
      <c r="W890" s="1"/>
      <c r="X890" s="1"/>
      <c r="Y890" s="1"/>
      <c r="Z890" s="1"/>
      <c r="AA890" s="1"/>
      <c r="AB890" s="1"/>
      <c r="AC890" s="2"/>
      <c r="AD890" s="1"/>
      <c r="AE890" s="1"/>
      <c r="AF890" s="1"/>
      <c r="AG890" s="1"/>
      <c r="AH890" s="1"/>
      <c r="AI890" s="1"/>
      <c r="AJ890" s="1"/>
      <c r="AK890" s="1"/>
      <c r="AL890" s="2"/>
      <c r="AM890" s="1"/>
      <c r="AN890" s="1"/>
      <c r="AO890" s="1"/>
      <c r="AP890" s="1"/>
      <c r="AQ890" s="1"/>
      <c r="AR890" s="1"/>
      <c r="AS890" s="1"/>
      <c r="AT890" s="1"/>
      <c r="AU890" s="2"/>
      <c r="AV890" s="1"/>
      <c r="AW890" s="1"/>
      <c r="AX890" s="1"/>
      <c r="AY890" s="1"/>
      <c r="AZ890" s="1"/>
      <c r="BA890" s="1"/>
      <c r="BB890" s="1"/>
      <c r="BC890" s="1"/>
      <c r="BD890" s="2"/>
      <c r="BE890" s="1"/>
      <c r="BF890" s="1"/>
      <c r="BG890" s="1"/>
      <c r="BH890" s="1"/>
      <c r="BI890" s="1"/>
      <c r="BJ890" s="1"/>
      <c r="BK890" s="1"/>
      <c r="BL890" s="1"/>
      <c r="BM890" s="2"/>
      <c r="BN890" s="1"/>
      <c r="BO890" s="1"/>
      <c r="BP890" s="1"/>
      <c r="BQ890" s="1"/>
      <c r="BR890" s="1"/>
      <c r="BS890" s="1"/>
      <c r="BT890" s="1"/>
      <c r="BU890" s="1"/>
      <c r="BV890" s="2"/>
      <c r="BW890" s="1"/>
      <c r="BX890" s="1"/>
      <c r="BY890" s="1"/>
      <c r="BZ890" s="1"/>
      <c r="CA890" s="1"/>
      <c r="CB890" s="1"/>
      <c r="CC890" s="1"/>
      <c r="CD890" s="1"/>
      <c r="CE890" s="2"/>
      <c r="CF890" s="1"/>
      <c r="CG890" s="1"/>
      <c r="CH890" s="1"/>
      <c r="CI890" s="1"/>
      <c r="CJ890" s="1"/>
      <c r="CK890" s="1"/>
      <c r="CL890" s="1"/>
    </row>
    <row r="891" spans="1:90" ht="14.65" x14ac:dyDescent="0.4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2"/>
      <c r="L891" s="1"/>
      <c r="M891" s="1"/>
      <c r="N891" s="1"/>
      <c r="O891" s="1"/>
      <c r="P891" s="1"/>
      <c r="Q891" s="1"/>
      <c r="R891" s="1"/>
      <c r="S891" s="1"/>
      <c r="T891" s="2"/>
      <c r="U891" s="1"/>
      <c r="V891" s="1"/>
      <c r="W891" s="1"/>
      <c r="X891" s="1"/>
      <c r="Y891" s="1"/>
      <c r="Z891" s="1"/>
      <c r="AA891" s="1"/>
      <c r="AB891" s="1"/>
      <c r="AC891" s="2"/>
      <c r="AD891" s="1"/>
      <c r="AE891" s="1"/>
      <c r="AF891" s="1"/>
      <c r="AG891" s="1"/>
      <c r="AH891" s="1"/>
      <c r="AI891" s="1"/>
      <c r="AJ891" s="1"/>
      <c r="AK891" s="1"/>
      <c r="AL891" s="2"/>
      <c r="AM891" s="1"/>
      <c r="AN891" s="1"/>
      <c r="AO891" s="1"/>
      <c r="AP891" s="1"/>
      <c r="AQ891" s="1"/>
      <c r="AR891" s="1"/>
      <c r="AS891" s="1"/>
      <c r="AT891" s="1"/>
      <c r="AU891" s="2"/>
      <c r="AV891" s="1"/>
      <c r="AW891" s="1"/>
      <c r="AX891" s="1"/>
      <c r="AY891" s="1"/>
      <c r="AZ891" s="1"/>
      <c r="BA891" s="1"/>
      <c r="BB891" s="1"/>
      <c r="BC891" s="1"/>
      <c r="BD891" s="2"/>
      <c r="BE891" s="1"/>
      <c r="BF891" s="1"/>
      <c r="BG891" s="1"/>
      <c r="BH891" s="1"/>
      <c r="BI891" s="1"/>
      <c r="BJ891" s="1"/>
      <c r="BK891" s="1"/>
      <c r="BL891" s="1"/>
      <c r="BM891" s="2"/>
      <c r="BN891" s="1"/>
      <c r="BO891" s="1"/>
      <c r="BP891" s="1"/>
      <c r="BQ891" s="1"/>
      <c r="BR891" s="1"/>
      <c r="BS891" s="1"/>
      <c r="BT891" s="1"/>
      <c r="BU891" s="1"/>
      <c r="BV891" s="2"/>
      <c r="BW891" s="1"/>
      <c r="BX891" s="1"/>
      <c r="BY891" s="1"/>
      <c r="BZ891" s="1"/>
      <c r="CA891" s="1"/>
      <c r="CB891" s="1"/>
      <c r="CC891" s="1"/>
      <c r="CD891" s="1"/>
      <c r="CE891" s="2"/>
      <c r="CF891" s="1"/>
      <c r="CG891" s="1"/>
      <c r="CH891" s="1"/>
      <c r="CI891" s="1"/>
      <c r="CJ891" s="1"/>
      <c r="CK891" s="1"/>
      <c r="CL891" s="1"/>
    </row>
    <row r="892" spans="1:90" ht="14.65" x14ac:dyDescent="0.4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2"/>
      <c r="L892" s="1"/>
      <c r="M892" s="1"/>
      <c r="N892" s="1"/>
      <c r="O892" s="1"/>
      <c r="P892" s="1"/>
      <c r="Q892" s="1"/>
      <c r="R892" s="1"/>
      <c r="S892" s="1"/>
      <c r="T892" s="2"/>
      <c r="U892" s="1"/>
      <c r="V892" s="1"/>
      <c r="W892" s="1"/>
      <c r="X892" s="1"/>
      <c r="Y892" s="1"/>
      <c r="Z892" s="1"/>
      <c r="AA892" s="1"/>
      <c r="AB892" s="1"/>
      <c r="AC892" s="2"/>
      <c r="AD892" s="1"/>
      <c r="AE892" s="1"/>
      <c r="AF892" s="1"/>
      <c r="AG892" s="1"/>
      <c r="AH892" s="1"/>
      <c r="AI892" s="1"/>
      <c r="AJ892" s="1"/>
      <c r="AK892" s="1"/>
      <c r="AL892" s="2"/>
      <c r="AM892" s="1"/>
      <c r="AN892" s="1"/>
      <c r="AO892" s="1"/>
      <c r="AP892" s="1"/>
      <c r="AQ892" s="1"/>
      <c r="AR892" s="1"/>
      <c r="AS892" s="1"/>
      <c r="AT892" s="1"/>
      <c r="AU892" s="2"/>
      <c r="AV892" s="1"/>
      <c r="AW892" s="1"/>
      <c r="AX892" s="1"/>
      <c r="AY892" s="1"/>
      <c r="AZ892" s="1"/>
      <c r="BA892" s="1"/>
      <c r="BB892" s="1"/>
      <c r="BC892" s="1"/>
      <c r="BD892" s="2"/>
      <c r="BE892" s="1"/>
      <c r="BF892" s="1"/>
      <c r="BG892" s="1"/>
      <c r="BH892" s="1"/>
      <c r="BI892" s="1"/>
      <c r="BJ892" s="1"/>
      <c r="BK892" s="1"/>
      <c r="BL892" s="1"/>
      <c r="BM892" s="2"/>
      <c r="BN892" s="1"/>
      <c r="BO892" s="1"/>
      <c r="BP892" s="1"/>
      <c r="BQ892" s="1"/>
      <c r="BR892" s="1"/>
      <c r="BS892" s="1"/>
      <c r="BT892" s="1"/>
      <c r="BU892" s="1"/>
      <c r="BV892" s="2"/>
      <c r="BW892" s="1"/>
      <c r="BX892" s="1"/>
      <c r="BY892" s="1"/>
      <c r="BZ892" s="1"/>
      <c r="CA892" s="1"/>
      <c r="CB892" s="1"/>
      <c r="CC892" s="1"/>
      <c r="CD892" s="1"/>
      <c r="CE892" s="2"/>
      <c r="CF892" s="1"/>
      <c r="CG892" s="1"/>
      <c r="CH892" s="1"/>
      <c r="CI892" s="1"/>
      <c r="CJ892" s="1"/>
      <c r="CK892" s="1"/>
      <c r="CL892" s="1"/>
    </row>
    <row r="893" spans="1:90" ht="14.65" x14ac:dyDescent="0.4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2"/>
      <c r="L893" s="1"/>
      <c r="M893" s="1"/>
      <c r="N893" s="1"/>
      <c r="O893" s="1"/>
      <c r="P893" s="1"/>
      <c r="Q893" s="1"/>
      <c r="R893" s="1"/>
      <c r="S893" s="1"/>
      <c r="T893" s="2"/>
      <c r="U893" s="1"/>
      <c r="V893" s="1"/>
      <c r="W893" s="1"/>
      <c r="X893" s="1"/>
      <c r="Y893" s="1"/>
      <c r="Z893" s="1"/>
      <c r="AA893" s="1"/>
      <c r="AB893" s="1"/>
      <c r="AC893" s="2"/>
      <c r="AD893" s="1"/>
      <c r="AE893" s="1"/>
      <c r="AF893" s="1"/>
      <c r="AG893" s="1"/>
      <c r="AH893" s="1"/>
      <c r="AI893" s="1"/>
      <c r="AJ893" s="1"/>
      <c r="AK893" s="1"/>
      <c r="AL893" s="2"/>
      <c r="AM893" s="1"/>
      <c r="AN893" s="1"/>
      <c r="AO893" s="1"/>
      <c r="AP893" s="1"/>
      <c r="AQ893" s="1"/>
      <c r="AR893" s="1"/>
      <c r="AS893" s="1"/>
      <c r="AT893" s="1"/>
      <c r="AU893" s="2"/>
      <c r="AV893" s="1"/>
      <c r="AW893" s="1"/>
      <c r="AX893" s="1"/>
      <c r="AY893" s="1"/>
      <c r="AZ893" s="1"/>
      <c r="BA893" s="1"/>
      <c r="BB893" s="1"/>
      <c r="BC893" s="1"/>
      <c r="BD893" s="2"/>
      <c r="BE893" s="1"/>
      <c r="BF893" s="1"/>
      <c r="BG893" s="1"/>
      <c r="BH893" s="1"/>
      <c r="BI893" s="1"/>
      <c r="BJ893" s="1"/>
      <c r="BK893" s="1"/>
      <c r="BL893" s="1"/>
      <c r="BM893" s="2"/>
      <c r="BN893" s="1"/>
      <c r="BO893" s="1"/>
      <c r="BP893" s="1"/>
      <c r="BQ893" s="1"/>
      <c r="BR893" s="1"/>
      <c r="BS893" s="1"/>
      <c r="BT893" s="1"/>
      <c r="BU893" s="1"/>
      <c r="BV893" s="2"/>
      <c r="BW893" s="1"/>
      <c r="BX893" s="1"/>
      <c r="BY893" s="1"/>
      <c r="BZ893" s="1"/>
      <c r="CA893" s="1"/>
      <c r="CB893" s="1"/>
      <c r="CC893" s="1"/>
      <c r="CD893" s="1"/>
      <c r="CE893" s="2"/>
      <c r="CF893" s="1"/>
      <c r="CG893" s="1"/>
      <c r="CH893" s="1"/>
      <c r="CI893" s="1"/>
      <c r="CJ893" s="1"/>
      <c r="CK893" s="1"/>
      <c r="CL893" s="1"/>
    </row>
    <row r="894" spans="1:90" ht="14.65" x14ac:dyDescent="0.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2"/>
      <c r="L894" s="1"/>
      <c r="M894" s="1"/>
      <c r="N894" s="1"/>
      <c r="O894" s="1"/>
      <c r="P894" s="1"/>
      <c r="Q894" s="1"/>
      <c r="R894" s="1"/>
      <c r="S894" s="1"/>
      <c r="T894" s="2"/>
      <c r="U894" s="1"/>
      <c r="V894" s="1"/>
      <c r="W894" s="1"/>
      <c r="X894" s="1"/>
      <c r="Y894" s="1"/>
      <c r="Z894" s="1"/>
      <c r="AA894" s="1"/>
      <c r="AB894" s="1"/>
      <c r="AC894" s="2"/>
      <c r="AD894" s="1"/>
      <c r="AE894" s="1"/>
      <c r="AF894" s="1"/>
      <c r="AG894" s="1"/>
      <c r="AH894" s="1"/>
      <c r="AI894" s="1"/>
      <c r="AJ894" s="1"/>
      <c r="AK894" s="1"/>
      <c r="AL894" s="2"/>
      <c r="AM894" s="1"/>
      <c r="AN894" s="1"/>
      <c r="AO894" s="1"/>
      <c r="AP894" s="1"/>
      <c r="AQ894" s="1"/>
      <c r="AR894" s="1"/>
      <c r="AS894" s="1"/>
      <c r="AT894" s="1"/>
      <c r="AU894" s="2"/>
      <c r="AV894" s="1"/>
      <c r="AW894" s="1"/>
      <c r="AX894" s="1"/>
      <c r="AY894" s="1"/>
      <c r="AZ894" s="1"/>
      <c r="BA894" s="1"/>
      <c r="BB894" s="1"/>
      <c r="BC894" s="1"/>
      <c r="BD894" s="2"/>
      <c r="BE894" s="1"/>
      <c r="BF894" s="1"/>
      <c r="BG894" s="1"/>
      <c r="BH894" s="1"/>
      <c r="BI894" s="1"/>
      <c r="BJ894" s="1"/>
      <c r="BK894" s="1"/>
      <c r="BL894" s="1"/>
      <c r="BM894" s="2"/>
      <c r="BN894" s="1"/>
      <c r="BO894" s="1"/>
      <c r="BP894" s="1"/>
      <c r="BQ894" s="1"/>
      <c r="BR894" s="1"/>
      <c r="BS894" s="1"/>
      <c r="BT894" s="1"/>
      <c r="BU894" s="1"/>
      <c r="BV894" s="2"/>
      <c r="BW894" s="1"/>
      <c r="BX894" s="1"/>
      <c r="BY894" s="1"/>
      <c r="BZ894" s="1"/>
      <c r="CA894" s="1"/>
      <c r="CB894" s="1"/>
      <c r="CC894" s="1"/>
      <c r="CD894" s="1"/>
      <c r="CE894" s="2"/>
      <c r="CF894" s="1"/>
      <c r="CG894" s="1"/>
      <c r="CH894" s="1"/>
      <c r="CI894" s="1"/>
      <c r="CJ894" s="1"/>
      <c r="CK894" s="1"/>
      <c r="CL894" s="1"/>
    </row>
    <row r="895" spans="1:90" ht="14.65" x14ac:dyDescent="0.4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2"/>
      <c r="L895" s="1"/>
      <c r="M895" s="1"/>
      <c r="N895" s="1"/>
      <c r="O895" s="1"/>
      <c r="P895" s="1"/>
      <c r="Q895" s="1"/>
      <c r="R895" s="1"/>
      <c r="S895" s="1"/>
      <c r="T895" s="2"/>
      <c r="U895" s="1"/>
      <c r="V895" s="1"/>
      <c r="W895" s="1"/>
      <c r="X895" s="1"/>
      <c r="Y895" s="1"/>
      <c r="Z895" s="1"/>
      <c r="AA895" s="1"/>
      <c r="AB895" s="1"/>
      <c r="AC895" s="2"/>
      <c r="AD895" s="1"/>
      <c r="AE895" s="1"/>
      <c r="AF895" s="1"/>
      <c r="AG895" s="1"/>
      <c r="AH895" s="1"/>
      <c r="AI895" s="1"/>
      <c r="AJ895" s="1"/>
      <c r="AK895" s="1"/>
      <c r="AL895" s="2"/>
      <c r="AM895" s="1"/>
      <c r="AN895" s="1"/>
      <c r="AO895" s="1"/>
      <c r="AP895" s="1"/>
      <c r="AQ895" s="1"/>
      <c r="AR895" s="1"/>
      <c r="AS895" s="1"/>
      <c r="AT895" s="1"/>
      <c r="AU895" s="2"/>
      <c r="AV895" s="1"/>
      <c r="AW895" s="1"/>
      <c r="AX895" s="1"/>
      <c r="AY895" s="1"/>
      <c r="AZ895" s="1"/>
      <c r="BA895" s="1"/>
      <c r="BB895" s="1"/>
      <c r="BC895" s="1"/>
      <c r="BD895" s="2"/>
      <c r="BE895" s="1"/>
      <c r="BF895" s="1"/>
      <c r="BG895" s="1"/>
      <c r="BH895" s="1"/>
      <c r="BI895" s="1"/>
      <c r="BJ895" s="1"/>
      <c r="BK895" s="1"/>
      <c r="BL895" s="1"/>
      <c r="BM895" s="2"/>
      <c r="BN895" s="1"/>
      <c r="BO895" s="1"/>
      <c r="BP895" s="1"/>
      <c r="BQ895" s="1"/>
      <c r="BR895" s="1"/>
      <c r="BS895" s="1"/>
      <c r="BT895" s="1"/>
      <c r="BU895" s="1"/>
      <c r="BV895" s="2"/>
      <c r="BW895" s="1"/>
      <c r="BX895" s="1"/>
      <c r="BY895" s="1"/>
      <c r="BZ895" s="1"/>
      <c r="CA895" s="1"/>
      <c r="CB895" s="1"/>
      <c r="CC895" s="1"/>
      <c r="CD895" s="1"/>
      <c r="CE895" s="2"/>
      <c r="CF895" s="1"/>
      <c r="CG895" s="1"/>
      <c r="CH895" s="1"/>
      <c r="CI895" s="1"/>
      <c r="CJ895" s="1"/>
      <c r="CK895" s="1"/>
      <c r="CL895" s="1"/>
    </row>
    <row r="896" spans="1:90" ht="14.65" x14ac:dyDescent="0.4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2"/>
      <c r="L896" s="1"/>
      <c r="M896" s="1"/>
      <c r="N896" s="1"/>
      <c r="O896" s="1"/>
      <c r="P896" s="1"/>
      <c r="Q896" s="1"/>
      <c r="R896" s="1"/>
      <c r="S896" s="1"/>
      <c r="T896" s="2"/>
      <c r="U896" s="1"/>
      <c r="V896" s="1"/>
      <c r="W896" s="1"/>
      <c r="X896" s="1"/>
      <c r="Y896" s="1"/>
      <c r="Z896" s="1"/>
      <c r="AA896" s="1"/>
      <c r="AB896" s="1"/>
      <c r="AC896" s="2"/>
      <c r="AD896" s="1"/>
      <c r="AE896" s="1"/>
      <c r="AF896" s="1"/>
      <c r="AG896" s="1"/>
      <c r="AH896" s="1"/>
      <c r="AI896" s="1"/>
      <c r="AJ896" s="1"/>
      <c r="AK896" s="1"/>
      <c r="AL896" s="2"/>
      <c r="AM896" s="1"/>
      <c r="AN896" s="1"/>
      <c r="AO896" s="1"/>
      <c r="AP896" s="1"/>
      <c r="AQ896" s="1"/>
      <c r="AR896" s="1"/>
      <c r="AS896" s="1"/>
      <c r="AT896" s="1"/>
      <c r="AU896" s="2"/>
      <c r="AV896" s="1"/>
      <c r="AW896" s="1"/>
      <c r="AX896" s="1"/>
      <c r="AY896" s="1"/>
      <c r="AZ896" s="1"/>
      <c r="BA896" s="1"/>
      <c r="BB896" s="1"/>
      <c r="BC896" s="1"/>
      <c r="BD896" s="2"/>
      <c r="BE896" s="1"/>
      <c r="BF896" s="1"/>
      <c r="BG896" s="1"/>
      <c r="BH896" s="1"/>
      <c r="BI896" s="1"/>
      <c r="BJ896" s="1"/>
      <c r="BK896" s="1"/>
      <c r="BL896" s="1"/>
      <c r="BM896" s="2"/>
      <c r="BN896" s="1"/>
      <c r="BO896" s="1"/>
      <c r="BP896" s="1"/>
      <c r="BQ896" s="1"/>
      <c r="BR896" s="1"/>
      <c r="BS896" s="1"/>
      <c r="BT896" s="1"/>
      <c r="BU896" s="1"/>
      <c r="BV896" s="2"/>
      <c r="BW896" s="1"/>
      <c r="BX896" s="1"/>
      <c r="BY896" s="1"/>
      <c r="BZ896" s="1"/>
      <c r="CA896" s="1"/>
      <c r="CB896" s="1"/>
      <c r="CC896" s="1"/>
      <c r="CD896" s="1"/>
      <c r="CE896" s="2"/>
      <c r="CF896" s="1"/>
      <c r="CG896" s="1"/>
      <c r="CH896" s="1"/>
      <c r="CI896" s="1"/>
      <c r="CJ896" s="1"/>
      <c r="CK896" s="1"/>
      <c r="CL896" s="1"/>
    </row>
    <row r="897" spans="1:90" ht="14.65" x14ac:dyDescent="0.4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2"/>
      <c r="L897" s="1"/>
      <c r="M897" s="1"/>
      <c r="N897" s="1"/>
      <c r="O897" s="1"/>
      <c r="P897" s="1"/>
      <c r="Q897" s="1"/>
      <c r="R897" s="1"/>
      <c r="S897" s="1"/>
      <c r="T897" s="2"/>
      <c r="U897" s="1"/>
      <c r="V897" s="1"/>
      <c r="W897" s="1"/>
      <c r="X897" s="1"/>
      <c r="Y897" s="1"/>
      <c r="Z897" s="1"/>
      <c r="AA897" s="1"/>
      <c r="AB897" s="1"/>
      <c r="AC897" s="2"/>
      <c r="AD897" s="1"/>
      <c r="AE897" s="1"/>
      <c r="AF897" s="1"/>
      <c r="AG897" s="1"/>
      <c r="AH897" s="1"/>
      <c r="AI897" s="1"/>
      <c r="AJ897" s="1"/>
      <c r="AK897" s="1"/>
      <c r="AL897" s="2"/>
      <c r="AM897" s="1"/>
      <c r="AN897" s="1"/>
      <c r="AO897" s="1"/>
      <c r="AP897" s="1"/>
      <c r="AQ897" s="1"/>
      <c r="AR897" s="1"/>
      <c r="AS897" s="1"/>
      <c r="AT897" s="1"/>
      <c r="AU897" s="2"/>
      <c r="AV897" s="1"/>
      <c r="AW897" s="1"/>
      <c r="AX897" s="1"/>
      <c r="AY897" s="1"/>
      <c r="AZ897" s="1"/>
      <c r="BA897" s="1"/>
      <c r="BB897" s="1"/>
      <c r="BC897" s="1"/>
      <c r="BD897" s="2"/>
      <c r="BE897" s="1"/>
      <c r="BF897" s="1"/>
      <c r="BG897" s="1"/>
      <c r="BH897" s="1"/>
      <c r="BI897" s="1"/>
      <c r="BJ897" s="1"/>
      <c r="BK897" s="1"/>
      <c r="BL897" s="1"/>
      <c r="BM897" s="2"/>
      <c r="BN897" s="1"/>
      <c r="BO897" s="1"/>
      <c r="BP897" s="1"/>
      <c r="BQ897" s="1"/>
      <c r="BR897" s="1"/>
      <c r="BS897" s="1"/>
      <c r="BT897" s="1"/>
      <c r="BU897" s="1"/>
      <c r="BV897" s="2"/>
      <c r="BW897" s="1"/>
      <c r="BX897" s="1"/>
      <c r="BY897" s="1"/>
      <c r="BZ897" s="1"/>
      <c r="CA897" s="1"/>
      <c r="CB897" s="1"/>
      <c r="CC897" s="1"/>
      <c r="CD897" s="1"/>
      <c r="CE897" s="2"/>
      <c r="CF897" s="1"/>
      <c r="CG897" s="1"/>
      <c r="CH897" s="1"/>
      <c r="CI897" s="1"/>
      <c r="CJ897" s="1"/>
      <c r="CK897" s="1"/>
      <c r="CL897" s="1"/>
    </row>
    <row r="898" spans="1:90" ht="14.65" x14ac:dyDescent="0.4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2"/>
      <c r="L898" s="1"/>
      <c r="M898" s="1"/>
      <c r="N898" s="1"/>
      <c r="O898" s="1"/>
      <c r="P898" s="1"/>
      <c r="Q898" s="1"/>
      <c r="R898" s="1"/>
      <c r="S898" s="1"/>
      <c r="T898" s="2"/>
      <c r="U898" s="1"/>
      <c r="V898" s="1"/>
      <c r="W898" s="1"/>
      <c r="X898" s="1"/>
      <c r="Y898" s="1"/>
      <c r="Z898" s="1"/>
      <c r="AA898" s="1"/>
      <c r="AB898" s="1"/>
      <c r="AC898" s="2"/>
      <c r="AD898" s="1"/>
      <c r="AE898" s="1"/>
      <c r="AF898" s="1"/>
      <c r="AG898" s="1"/>
      <c r="AH898" s="1"/>
      <c r="AI898" s="1"/>
      <c r="AJ898" s="1"/>
      <c r="AK898" s="1"/>
      <c r="AL898" s="2"/>
      <c r="AM898" s="1"/>
      <c r="AN898" s="1"/>
      <c r="AO898" s="1"/>
      <c r="AP898" s="1"/>
      <c r="AQ898" s="1"/>
      <c r="AR898" s="1"/>
      <c r="AS898" s="1"/>
      <c r="AT898" s="1"/>
      <c r="AU898" s="2"/>
      <c r="AV898" s="1"/>
      <c r="AW898" s="1"/>
      <c r="AX898" s="1"/>
      <c r="AY898" s="1"/>
      <c r="AZ898" s="1"/>
      <c r="BA898" s="1"/>
      <c r="BB898" s="1"/>
      <c r="BC898" s="1"/>
      <c r="BD898" s="2"/>
      <c r="BE898" s="1"/>
      <c r="BF898" s="1"/>
      <c r="BG898" s="1"/>
      <c r="BH898" s="1"/>
      <c r="BI898" s="1"/>
      <c r="BJ898" s="1"/>
      <c r="BK898" s="1"/>
      <c r="BL898" s="1"/>
      <c r="BM898" s="2"/>
      <c r="BN898" s="1"/>
      <c r="BO898" s="1"/>
      <c r="BP898" s="1"/>
      <c r="BQ898" s="1"/>
      <c r="BR898" s="1"/>
      <c r="BS898" s="1"/>
      <c r="BT898" s="1"/>
      <c r="BU898" s="1"/>
      <c r="BV898" s="2"/>
      <c r="BW898" s="1"/>
      <c r="BX898" s="1"/>
      <c r="BY898" s="1"/>
      <c r="BZ898" s="1"/>
      <c r="CA898" s="1"/>
      <c r="CB898" s="1"/>
      <c r="CC898" s="1"/>
      <c r="CD898" s="1"/>
      <c r="CE898" s="2"/>
      <c r="CF898" s="1"/>
      <c r="CG898" s="1"/>
      <c r="CH898" s="1"/>
      <c r="CI898" s="1"/>
      <c r="CJ898" s="1"/>
      <c r="CK898" s="1"/>
      <c r="CL898" s="1"/>
    </row>
    <row r="899" spans="1:90" ht="14.65" x14ac:dyDescent="0.4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2"/>
      <c r="L899" s="1"/>
      <c r="M899" s="1"/>
      <c r="N899" s="1"/>
      <c r="O899" s="1"/>
      <c r="P899" s="1"/>
      <c r="Q899" s="1"/>
      <c r="R899" s="1"/>
      <c r="S899" s="1"/>
      <c r="T899" s="2"/>
      <c r="U899" s="1"/>
      <c r="V899" s="1"/>
      <c r="W899" s="1"/>
      <c r="X899" s="1"/>
      <c r="Y899" s="1"/>
      <c r="Z899" s="1"/>
      <c r="AA899" s="1"/>
      <c r="AB899" s="1"/>
      <c r="AC899" s="2"/>
      <c r="AD899" s="1"/>
      <c r="AE899" s="1"/>
      <c r="AF899" s="1"/>
      <c r="AG899" s="1"/>
      <c r="AH899" s="1"/>
      <c r="AI899" s="1"/>
      <c r="AJ899" s="1"/>
      <c r="AK899" s="1"/>
      <c r="AL899" s="2"/>
      <c r="AM899" s="1"/>
      <c r="AN899" s="1"/>
      <c r="AO899" s="1"/>
      <c r="AP899" s="1"/>
      <c r="AQ899" s="1"/>
      <c r="AR899" s="1"/>
      <c r="AS899" s="1"/>
      <c r="AT899" s="1"/>
      <c r="AU899" s="2"/>
      <c r="AV899" s="1"/>
      <c r="AW899" s="1"/>
      <c r="AX899" s="1"/>
      <c r="AY899" s="1"/>
      <c r="AZ899" s="1"/>
      <c r="BA899" s="1"/>
      <c r="BB899" s="1"/>
      <c r="BC899" s="1"/>
      <c r="BD899" s="2"/>
      <c r="BE899" s="1"/>
      <c r="BF899" s="1"/>
      <c r="BG899" s="1"/>
      <c r="BH899" s="1"/>
      <c r="BI899" s="1"/>
      <c r="BJ899" s="1"/>
      <c r="BK899" s="1"/>
      <c r="BL899" s="1"/>
      <c r="BM899" s="2"/>
      <c r="BN899" s="1"/>
      <c r="BO899" s="1"/>
      <c r="BP899" s="1"/>
      <c r="BQ899" s="1"/>
      <c r="BR899" s="1"/>
      <c r="BS899" s="1"/>
      <c r="BT899" s="1"/>
      <c r="BU899" s="1"/>
      <c r="BV899" s="2"/>
      <c r="BW899" s="1"/>
      <c r="BX899" s="1"/>
      <c r="BY899" s="1"/>
      <c r="BZ899" s="1"/>
      <c r="CA899" s="1"/>
      <c r="CB899" s="1"/>
      <c r="CC899" s="1"/>
      <c r="CD899" s="1"/>
      <c r="CE899" s="2"/>
      <c r="CF899" s="1"/>
      <c r="CG899" s="1"/>
      <c r="CH899" s="1"/>
      <c r="CI899" s="1"/>
      <c r="CJ899" s="1"/>
      <c r="CK899" s="1"/>
      <c r="CL899" s="1"/>
    </row>
    <row r="900" spans="1:90" ht="14.65" x14ac:dyDescent="0.4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2"/>
      <c r="L900" s="1"/>
      <c r="M900" s="1"/>
      <c r="N900" s="1"/>
      <c r="O900" s="1"/>
      <c r="P900" s="1"/>
      <c r="Q900" s="1"/>
      <c r="R900" s="1"/>
      <c r="S900" s="1"/>
      <c r="T900" s="2"/>
      <c r="U900" s="1"/>
      <c r="V900" s="1"/>
      <c r="W900" s="1"/>
      <c r="X900" s="1"/>
      <c r="Y900" s="1"/>
      <c r="Z900" s="1"/>
      <c r="AA900" s="1"/>
      <c r="AB900" s="1"/>
      <c r="AC900" s="2"/>
      <c r="AD900" s="1"/>
      <c r="AE900" s="1"/>
      <c r="AF900" s="1"/>
      <c r="AG900" s="1"/>
      <c r="AH900" s="1"/>
      <c r="AI900" s="1"/>
      <c r="AJ900" s="1"/>
      <c r="AK900" s="1"/>
      <c r="AL900" s="2"/>
      <c r="AM900" s="1"/>
      <c r="AN900" s="1"/>
      <c r="AO900" s="1"/>
      <c r="AP900" s="1"/>
      <c r="AQ900" s="1"/>
      <c r="AR900" s="1"/>
      <c r="AS900" s="1"/>
      <c r="AT900" s="1"/>
      <c r="AU900" s="2"/>
      <c r="AV900" s="1"/>
      <c r="AW900" s="1"/>
      <c r="AX900" s="1"/>
      <c r="AY900" s="1"/>
      <c r="AZ900" s="1"/>
      <c r="BA900" s="1"/>
      <c r="BB900" s="1"/>
      <c r="BC900" s="1"/>
      <c r="BD900" s="2"/>
      <c r="BE900" s="1"/>
      <c r="BF900" s="1"/>
      <c r="BG900" s="1"/>
      <c r="BH900" s="1"/>
      <c r="BI900" s="1"/>
      <c r="BJ900" s="1"/>
      <c r="BK900" s="1"/>
      <c r="BL900" s="1"/>
      <c r="BM900" s="2"/>
      <c r="BN900" s="1"/>
      <c r="BO900" s="1"/>
      <c r="BP900" s="1"/>
      <c r="BQ900" s="1"/>
      <c r="BR900" s="1"/>
      <c r="BS900" s="1"/>
      <c r="BT900" s="1"/>
      <c r="BU900" s="1"/>
      <c r="BV900" s="2"/>
      <c r="BW900" s="1"/>
      <c r="BX900" s="1"/>
      <c r="BY900" s="1"/>
      <c r="BZ900" s="1"/>
      <c r="CA900" s="1"/>
      <c r="CB900" s="1"/>
      <c r="CC900" s="1"/>
      <c r="CD900" s="1"/>
      <c r="CE900" s="2"/>
      <c r="CF900" s="1"/>
      <c r="CG900" s="1"/>
      <c r="CH900" s="1"/>
      <c r="CI900" s="1"/>
      <c r="CJ900" s="1"/>
      <c r="CK900" s="1"/>
      <c r="CL900" s="1"/>
    </row>
    <row r="901" spans="1:90" ht="14.65" x14ac:dyDescent="0.4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2"/>
      <c r="L901" s="1"/>
      <c r="M901" s="1"/>
      <c r="N901" s="1"/>
      <c r="O901" s="1"/>
      <c r="P901" s="1"/>
      <c r="Q901" s="1"/>
      <c r="R901" s="1"/>
      <c r="S901" s="1"/>
      <c r="T901" s="2"/>
      <c r="U901" s="1"/>
      <c r="V901" s="5"/>
      <c r="W901" s="1"/>
      <c r="X901" s="1"/>
      <c r="Y901" s="1"/>
      <c r="Z901" s="1"/>
      <c r="AA901" s="1"/>
      <c r="AB901" s="1"/>
      <c r="AC901" s="2"/>
      <c r="AD901" s="1"/>
      <c r="AE901" s="1"/>
      <c r="AF901" s="1"/>
      <c r="AG901" s="1"/>
      <c r="AH901" s="1"/>
      <c r="AI901" s="1"/>
      <c r="AJ901" s="1"/>
      <c r="AK901" s="1"/>
      <c r="AL901" s="2"/>
      <c r="AM901" s="1"/>
      <c r="AN901" s="1"/>
      <c r="AO901" s="1"/>
      <c r="AP901" s="1"/>
      <c r="AQ901" s="1"/>
      <c r="AR901" s="1"/>
      <c r="AS901" s="1"/>
      <c r="AT901" s="1"/>
      <c r="AU901" s="2"/>
      <c r="AV901" s="1"/>
      <c r="AW901" s="1"/>
      <c r="AX901" s="1"/>
      <c r="AY901" s="1"/>
      <c r="AZ901" s="1"/>
      <c r="BA901" s="1"/>
      <c r="BB901" s="1"/>
      <c r="BC901" s="1"/>
      <c r="BD901" s="2"/>
      <c r="BE901" s="1"/>
      <c r="BF901" s="1"/>
      <c r="BG901" s="1"/>
      <c r="BH901" s="1"/>
      <c r="BI901" s="1"/>
      <c r="BJ901" s="1"/>
      <c r="BK901" s="1"/>
      <c r="BL901" s="1"/>
      <c r="BM901" s="2"/>
      <c r="BN901" s="1"/>
      <c r="BO901" s="1"/>
      <c r="BP901" s="1"/>
      <c r="BQ901" s="1"/>
      <c r="BR901" s="1"/>
      <c r="BS901" s="1"/>
      <c r="BT901" s="1"/>
      <c r="BU901" s="1"/>
      <c r="BV901" s="2"/>
      <c r="BW901" s="1"/>
      <c r="BX901" s="1"/>
      <c r="BY901" s="1"/>
      <c r="BZ901" s="1"/>
      <c r="CA901" s="1"/>
      <c r="CB901" s="1"/>
      <c r="CC901" s="1"/>
      <c r="CD901" s="1"/>
      <c r="CE901" s="2"/>
      <c r="CF901" s="1"/>
      <c r="CG901" s="1"/>
      <c r="CH901" s="1"/>
      <c r="CI901" s="1"/>
      <c r="CJ901" s="1"/>
      <c r="CK901" s="1"/>
      <c r="CL901" s="1"/>
    </row>
    <row r="902" spans="1:90" ht="14.65" x14ac:dyDescent="0.4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2"/>
      <c r="L902" s="1"/>
      <c r="M902" s="1"/>
      <c r="N902" s="1"/>
      <c r="O902" s="1"/>
      <c r="P902" s="1"/>
      <c r="Q902" s="1"/>
      <c r="R902" s="1"/>
      <c r="S902" s="1"/>
      <c r="T902" s="2"/>
      <c r="U902" s="1"/>
      <c r="V902" s="5"/>
      <c r="W902" s="1"/>
      <c r="X902" s="1"/>
      <c r="Y902" s="1"/>
      <c r="Z902" s="1"/>
      <c r="AA902" s="1"/>
      <c r="AB902" s="1"/>
      <c r="AC902" s="2"/>
      <c r="AD902" s="1"/>
      <c r="AE902" s="1"/>
      <c r="AF902" s="1"/>
      <c r="AG902" s="1"/>
      <c r="AH902" s="1"/>
      <c r="AI902" s="1"/>
      <c r="AJ902" s="1"/>
      <c r="AK902" s="1"/>
      <c r="AL902" s="2"/>
      <c r="AM902" s="1"/>
      <c r="AN902" s="1"/>
      <c r="AO902" s="1"/>
      <c r="AP902" s="1"/>
      <c r="AQ902" s="1"/>
      <c r="AR902" s="1"/>
      <c r="AS902" s="1"/>
      <c r="AT902" s="1"/>
      <c r="AU902" s="2"/>
      <c r="AV902" s="1"/>
      <c r="AW902" s="1"/>
      <c r="AX902" s="1"/>
      <c r="AY902" s="1"/>
      <c r="AZ902" s="1"/>
      <c r="BA902" s="1"/>
      <c r="BB902" s="1"/>
      <c r="BC902" s="1"/>
      <c r="BD902" s="2"/>
      <c r="BE902" s="1"/>
      <c r="BF902" s="1"/>
      <c r="BG902" s="1"/>
      <c r="BH902" s="1"/>
      <c r="BI902" s="1"/>
      <c r="BJ902" s="1"/>
      <c r="BK902" s="1"/>
      <c r="BL902" s="1"/>
      <c r="BM902" s="2"/>
      <c r="BN902" s="1"/>
      <c r="BO902" s="1"/>
      <c r="BP902" s="1"/>
      <c r="BQ902" s="1"/>
      <c r="BR902" s="1"/>
      <c r="BS902" s="1"/>
      <c r="BT902" s="1"/>
      <c r="BU902" s="1"/>
      <c r="BV902" s="2"/>
      <c r="BW902" s="1"/>
      <c r="BX902" s="1"/>
      <c r="BY902" s="1"/>
      <c r="BZ902" s="1"/>
      <c r="CA902" s="1"/>
      <c r="CB902" s="1"/>
      <c r="CC902" s="1"/>
      <c r="CD902" s="1"/>
      <c r="CE902" s="2"/>
      <c r="CF902" s="1"/>
      <c r="CG902" s="1"/>
      <c r="CH902" s="1"/>
      <c r="CI902" s="1"/>
      <c r="CJ902" s="1"/>
      <c r="CK902" s="1"/>
      <c r="CL902" s="1"/>
    </row>
    <row r="903" spans="1:90" ht="14.65" x14ac:dyDescent="0.4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2"/>
      <c r="L903" s="1"/>
      <c r="M903" s="1"/>
      <c r="N903" s="1"/>
      <c r="O903" s="1"/>
      <c r="P903" s="1"/>
      <c r="Q903" s="1"/>
      <c r="R903" s="1"/>
      <c r="S903" s="1"/>
      <c r="T903" s="2"/>
      <c r="U903" s="1"/>
      <c r="V903" s="1"/>
      <c r="W903" s="1"/>
      <c r="X903" s="1"/>
      <c r="Y903" s="1"/>
      <c r="Z903" s="1"/>
      <c r="AA903" s="1"/>
      <c r="AB903" s="1"/>
      <c r="AC903" s="2"/>
      <c r="AD903" s="1"/>
      <c r="AE903" s="1"/>
      <c r="AF903" s="1"/>
      <c r="AG903" s="1"/>
      <c r="AH903" s="1"/>
      <c r="AI903" s="1"/>
      <c r="AJ903" s="1"/>
      <c r="AK903" s="1"/>
      <c r="AL903" s="2"/>
      <c r="AM903" s="1"/>
      <c r="AN903" s="1"/>
      <c r="AO903" s="1"/>
      <c r="AP903" s="1"/>
      <c r="AQ903" s="1"/>
      <c r="AR903" s="1"/>
      <c r="AS903" s="1"/>
      <c r="AT903" s="1"/>
      <c r="AU903" s="2"/>
      <c r="AV903" s="1"/>
      <c r="AW903" s="1"/>
      <c r="AX903" s="1"/>
      <c r="AY903" s="1"/>
      <c r="AZ903" s="1"/>
      <c r="BA903" s="1"/>
      <c r="BB903" s="1"/>
      <c r="BC903" s="1"/>
      <c r="BD903" s="2"/>
      <c r="BE903" s="1"/>
      <c r="BF903" s="1"/>
      <c r="BG903" s="1"/>
      <c r="BH903" s="1"/>
      <c r="BI903" s="1"/>
      <c r="BJ903" s="1"/>
      <c r="BK903" s="1"/>
      <c r="BL903" s="1"/>
      <c r="BM903" s="2"/>
      <c r="BN903" s="1"/>
      <c r="BO903" s="1"/>
      <c r="BP903" s="1"/>
      <c r="BQ903" s="1"/>
      <c r="BR903" s="1"/>
      <c r="BS903" s="1"/>
      <c r="BT903" s="1"/>
      <c r="BU903" s="1"/>
      <c r="BV903" s="2"/>
      <c r="BW903" s="1"/>
      <c r="BX903" s="1"/>
      <c r="BY903" s="1"/>
      <c r="BZ903" s="1"/>
      <c r="CA903" s="1"/>
      <c r="CB903" s="1"/>
      <c r="CC903" s="1"/>
      <c r="CD903" s="1"/>
      <c r="CE903" s="2"/>
      <c r="CF903" s="1"/>
      <c r="CG903" s="1"/>
      <c r="CH903" s="1"/>
      <c r="CI903" s="1"/>
      <c r="CJ903" s="1"/>
      <c r="CK903" s="1"/>
      <c r="CL903" s="1"/>
    </row>
    <row r="904" spans="1:90" ht="14.65" x14ac:dyDescent="0.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2"/>
      <c r="L904" s="1"/>
      <c r="M904" s="1"/>
      <c r="N904" s="1"/>
      <c r="O904" s="1"/>
      <c r="P904" s="1"/>
      <c r="Q904" s="1"/>
      <c r="R904" s="1"/>
      <c r="S904" s="1"/>
      <c r="T904" s="2"/>
      <c r="U904" s="1"/>
      <c r="V904" s="1"/>
      <c r="W904" s="1"/>
      <c r="X904" s="1"/>
      <c r="Y904" s="1"/>
      <c r="Z904" s="1"/>
      <c r="AA904" s="1"/>
      <c r="AB904" s="1"/>
      <c r="AC904" s="2"/>
      <c r="AD904" s="1"/>
      <c r="AE904" s="1"/>
      <c r="AF904" s="1"/>
      <c r="AG904" s="1"/>
      <c r="AH904" s="1"/>
      <c r="AI904" s="1"/>
      <c r="AJ904" s="1"/>
      <c r="AK904" s="1"/>
      <c r="AL904" s="2"/>
      <c r="AM904" s="1"/>
      <c r="AN904" s="1"/>
      <c r="AO904" s="1"/>
      <c r="AP904" s="1"/>
      <c r="AQ904" s="1"/>
      <c r="AR904" s="1"/>
      <c r="AS904" s="1"/>
      <c r="AT904" s="1"/>
      <c r="AU904" s="2"/>
      <c r="AV904" s="1"/>
      <c r="AW904" s="1"/>
      <c r="AX904" s="1"/>
      <c r="AY904" s="1"/>
      <c r="AZ904" s="1"/>
      <c r="BA904" s="1"/>
      <c r="BB904" s="1"/>
      <c r="BC904" s="1"/>
      <c r="BD904" s="2"/>
      <c r="BE904" s="1"/>
      <c r="BF904" s="1"/>
      <c r="BG904" s="1"/>
      <c r="BH904" s="1"/>
      <c r="BI904" s="1"/>
      <c r="BJ904" s="1"/>
      <c r="BK904" s="1"/>
      <c r="BL904" s="1"/>
      <c r="BM904" s="2"/>
      <c r="BN904" s="1"/>
      <c r="BO904" s="1"/>
      <c r="BP904" s="1"/>
      <c r="BQ904" s="1"/>
      <c r="BR904" s="1"/>
      <c r="BS904" s="1"/>
      <c r="BT904" s="1"/>
      <c r="BU904" s="1"/>
      <c r="BV904" s="2"/>
      <c r="BW904" s="1"/>
      <c r="BX904" s="1"/>
      <c r="BY904" s="1"/>
      <c r="BZ904" s="1"/>
      <c r="CA904" s="1"/>
      <c r="CB904" s="1"/>
      <c r="CC904" s="1"/>
      <c r="CD904" s="1"/>
      <c r="CE904" s="2"/>
      <c r="CF904" s="1"/>
      <c r="CG904" s="1"/>
      <c r="CH904" s="1"/>
      <c r="CI904" s="1"/>
      <c r="CJ904" s="1"/>
      <c r="CK904" s="1"/>
      <c r="CL904" s="1"/>
    </row>
    <row r="905" spans="1:90" ht="14.65" x14ac:dyDescent="0.4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2"/>
      <c r="L905" s="1"/>
      <c r="M905" s="1"/>
      <c r="N905" s="1"/>
      <c r="O905" s="1"/>
      <c r="P905" s="1"/>
      <c r="Q905" s="1"/>
      <c r="R905" s="1"/>
      <c r="S905" s="1"/>
      <c r="T905" s="2"/>
      <c r="U905" s="1"/>
      <c r="V905" s="1"/>
      <c r="W905" s="1"/>
      <c r="X905" s="1"/>
      <c r="Y905" s="1"/>
      <c r="Z905" s="1"/>
      <c r="AA905" s="1"/>
      <c r="AB905" s="1"/>
      <c r="AC905" s="2"/>
      <c r="AD905" s="1"/>
      <c r="AE905" s="1"/>
      <c r="AF905" s="1"/>
      <c r="AG905" s="1"/>
      <c r="AH905" s="1"/>
      <c r="AI905" s="1"/>
      <c r="AJ905" s="1"/>
      <c r="AK905" s="1"/>
      <c r="AL905" s="2"/>
      <c r="AM905" s="1"/>
      <c r="AN905" s="1"/>
      <c r="AO905" s="1"/>
      <c r="AP905" s="1"/>
      <c r="AQ905" s="1"/>
      <c r="AR905" s="1"/>
      <c r="AS905" s="1"/>
      <c r="AT905" s="1"/>
      <c r="AU905" s="2"/>
      <c r="AV905" s="1"/>
      <c r="AW905" s="1"/>
      <c r="AX905" s="1"/>
      <c r="AY905" s="1"/>
      <c r="AZ905" s="1"/>
      <c r="BA905" s="1"/>
      <c r="BB905" s="1"/>
      <c r="BC905" s="1"/>
      <c r="BD905" s="2"/>
      <c r="BE905" s="1"/>
      <c r="BF905" s="1"/>
      <c r="BG905" s="1"/>
      <c r="BH905" s="1"/>
      <c r="BI905" s="1"/>
      <c r="BJ905" s="1"/>
      <c r="BK905" s="1"/>
      <c r="BL905" s="1"/>
      <c r="BM905" s="2"/>
      <c r="BN905" s="1"/>
      <c r="BO905" s="1"/>
      <c r="BP905" s="1"/>
      <c r="BQ905" s="1"/>
      <c r="BR905" s="1"/>
      <c r="BS905" s="1"/>
      <c r="BT905" s="1"/>
      <c r="BU905" s="1"/>
      <c r="BV905" s="2"/>
      <c r="BW905" s="1"/>
      <c r="BX905" s="1"/>
      <c r="BY905" s="1"/>
      <c r="BZ905" s="1"/>
      <c r="CA905" s="1"/>
      <c r="CB905" s="1"/>
      <c r="CC905" s="1"/>
      <c r="CD905" s="1"/>
      <c r="CE905" s="2"/>
      <c r="CF905" s="1"/>
      <c r="CG905" s="1"/>
      <c r="CH905" s="1"/>
      <c r="CI905" s="1"/>
      <c r="CJ905" s="1"/>
      <c r="CK905" s="1"/>
      <c r="CL905" s="1"/>
    </row>
    <row r="906" spans="1:90" ht="14.65" x14ac:dyDescent="0.4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2"/>
      <c r="L906" s="1"/>
      <c r="M906" s="1"/>
      <c r="N906" s="1"/>
      <c r="O906" s="1"/>
      <c r="P906" s="1"/>
      <c r="Q906" s="1"/>
      <c r="R906" s="1"/>
      <c r="S906" s="1"/>
      <c r="T906" s="2"/>
      <c r="U906" s="1"/>
      <c r="V906" s="1"/>
      <c r="W906" s="1"/>
      <c r="X906" s="1"/>
      <c r="Y906" s="1"/>
      <c r="Z906" s="1"/>
      <c r="AA906" s="1"/>
      <c r="AB906" s="1"/>
      <c r="AC906" s="2"/>
      <c r="AD906" s="1"/>
      <c r="AE906" s="1"/>
      <c r="AF906" s="1"/>
      <c r="AG906" s="1"/>
      <c r="AH906" s="1"/>
      <c r="AI906" s="1"/>
      <c r="AJ906" s="1"/>
      <c r="AK906" s="1"/>
      <c r="AL906" s="2"/>
      <c r="AM906" s="1"/>
      <c r="AN906" s="1"/>
      <c r="AO906" s="1"/>
      <c r="AP906" s="1"/>
      <c r="AQ906" s="1"/>
      <c r="AR906" s="1"/>
      <c r="AS906" s="1"/>
      <c r="AT906" s="1"/>
      <c r="AU906" s="2"/>
      <c r="AV906" s="1"/>
      <c r="AW906" s="1"/>
      <c r="AX906" s="1"/>
      <c r="AY906" s="1"/>
      <c r="AZ906" s="1"/>
      <c r="BA906" s="1"/>
      <c r="BB906" s="1"/>
      <c r="BC906" s="1"/>
      <c r="BD906" s="2"/>
      <c r="BE906" s="1"/>
      <c r="BF906" s="1"/>
      <c r="BG906" s="1"/>
      <c r="BH906" s="1"/>
      <c r="BI906" s="1"/>
      <c r="BJ906" s="1"/>
      <c r="BK906" s="1"/>
      <c r="BL906" s="1"/>
      <c r="BM906" s="2"/>
      <c r="BN906" s="1"/>
      <c r="BO906" s="1"/>
      <c r="BP906" s="1"/>
      <c r="BQ906" s="1"/>
      <c r="BR906" s="1"/>
      <c r="BS906" s="1"/>
      <c r="BT906" s="1"/>
      <c r="BU906" s="1"/>
      <c r="BV906" s="2"/>
      <c r="BW906" s="1"/>
      <c r="BX906" s="1"/>
      <c r="BY906" s="1"/>
      <c r="BZ906" s="1"/>
      <c r="CA906" s="1"/>
      <c r="CB906" s="1"/>
      <c r="CC906" s="1"/>
      <c r="CD906" s="1"/>
      <c r="CE906" s="2"/>
      <c r="CF906" s="1"/>
      <c r="CG906" s="1"/>
      <c r="CH906" s="1"/>
      <c r="CI906" s="1"/>
      <c r="CJ906" s="1"/>
      <c r="CK906" s="1"/>
      <c r="CL906" s="1"/>
    </row>
    <row r="907" spans="1:90" ht="14.65" x14ac:dyDescent="0.4">
      <c r="A907" s="1"/>
      <c r="B907" s="2"/>
      <c r="C907" s="1"/>
      <c r="D907" s="4"/>
      <c r="E907" s="1"/>
      <c r="F907" s="1"/>
      <c r="G907" s="1"/>
      <c r="H907" s="1"/>
      <c r="I907" s="1"/>
      <c r="J907" s="1"/>
      <c r="K907" s="2"/>
      <c r="L907" s="1"/>
      <c r="M907" s="1"/>
      <c r="N907" s="1"/>
      <c r="O907" s="1"/>
      <c r="P907" s="1"/>
      <c r="Q907" s="1"/>
      <c r="R907" s="1"/>
      <c r="S907" s="1"/>
      <c r="T907" s="2"/>
      <c r="U907" s="1"/>
      <c r="V907" s="1"/>
      <c r="W907" s="1"/>
      <c r="X907" s="1"/>
      <c r="Y907" s="1"/>
      <c r="Z907" s="1"/>
      <c r="AA907" s="1"/>
      <c r="AB907" s="1"/>
      <c r="AC907" s="2"/>
      <c r="AD907" s="1"/>
      <c r="AE907" s="1"/>
      <c r="AF907" s="1"/>
      <c r="AG907" s="1"/>
      <c r="AH907" s="1"/>
      <c r="AI907" s="1"/>
      <c r="AJ907" s="1"/>
      <c r="AK907" s="1"/>
      <c r="AL907" s="2"/>
      <c r="AM907" s="1"/>
      <c r="AN907" s="1"/>
      <c r="AO907" s="1"/>
      <c r="AP907" s="1"/>
      <c r="AQ907" s="1"/>
      <c r="AR907" s="1"/>
      <c r="AS907" s="1"/>
      <c r="AT907" s="1"/>
      <c r="AU907" s="2"/>
      <c r="AV907" s="1"/>
      <c r="AW907" s="1"/>
      <c r="AX907" s="1"/>
      <c r="AY907" s="1"/>
      <c r="AZ907" s="1"/>
      <c r="BA907" s="1"/>
      <c r="BB907" s="1"/>
      <c r="BC907" s="1"/>
      <c r="BD907" s="2"/>
      <c r="BE907" s="1"/>
      <c r="BF907" s="1"/>
      <c r="BG907" s="1"/>
      <c r="BH907" s="1"/>
      <c r="BI907" s="1"/>
      <c r="BJ907" s="1"/>
      <c r="BK907" s="1"/>
      <c r="BL907" s="1"/>
      <c r="BM907" s="2"/>
      <c r="BN907" s="1"/>
      <c r="BO907" s="1"/>
      <c r="BP907" s="1"/>
      <c r="BQ907" s="1"/>
      <c r="BR907" s="1"/>
      <c r="BS907" s="1"/>
      <c r="BT907" s="1"/>
      <c r="BU907" s="1"/>
      <c r="BV907" s="2"/>
      <c r="BW907" s="1"/>
      <c r="BX907" s="1"/>
      <c r="BY907" s="1"/>
      <c r="BZ907" s="1"/>
      <c r="CA907" s="1"/>
      <c r="CB907" s="1"/>
      <c r="CC907" s="1"/>
      <c r="CD907" s="1"/>
      <c r="CE907" s="2"/>
      <c r="CF907" s="1"/>
      <c r="CG907" s="1"/>
      <c r="CH907" s="1"/>
      <c r="CI907" s="1"/>
      <c r="CJ907" s="1"/>
      <c r="CK907" s="1"/>
      <c r="CL907" s="1"/>
    </row>
    <row r="908" spans="1:90" ht="14.65" x14ac:dyDescent="0.4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2"/>
      <c r="L908" s="1"/>
      <c r="M908" s="1"/>
      <c r="N908" s="1"/>
      <c r="O908" s="1"/>
      <c r="P908" s="1"/>
      <c r="Q908" s="1"/>
      <c r="R908" s="1"/>
      <c r="S908" s="1"/>
      <c r="T908" s="2"/>
      <c r="U908" s="1"/>
      <c r="V908" s="1"/>
      <c r="W908" s="1"/>
      <c r="X908" s="1"/>
      <c r="Y908" s="1"/>
      <c r="Z908" s="1"/>
      <c r="AA908" s="1"/>
      <c r="AB908" s="1"/>
      <c r="AC908" s="2"/>
      <c r="AD908" s="1"/>
      <c r="AE908" s="1"/>
      <c r="AF908" s="1"/>
      <c r="AG908" s="1"/>
      <c r="AH908" s="1"/>
      <c r="AI908" s="1"/>
      <c r="AJ908" s="1"/>
      <c r="AK908" s="1"/>
      <c r="AL908" s="2"/>
      <c r="AM908" s="1"/>
      <c r="AN908" s="1"/>
      <c r="AO908" s="1"/>
      <c r="AP908" s="1"/>
      <c r="AQ908" s="1"/>
      <c r="AR908" s="1"/>
      <c r="AS908" s="1"/>
      <c r="AT908" s="1"/>
      <c r="AU908" s="2"/>
      <c r="AV908" s="1"/>
      <c r="AW908" s="1"/>
      <c r="AX908" s="1"/>
      <c r="AY908" s="1"/>
      <c r="AZ908" s="1"/>
      <c r="BA908" s="1"/>
      <c r="BB908" s="1"/>
      <c r="BC908" s="1"/>
      <c r="BD908" s="2"/>
      <c r="BE908" s="1"/>
      <c r="BF908" s="1"/>
      <c r="BG908" s="1"/>
      <c r="BH908" s="1"/>
      <c r="BI908" s="1"/>
      <c r="BJ908" s="1"/>
      <c r="BK908" s="1"/>
      <c r="BL908" s="1"/>
      <c r="BM908" s="2"/>
      <c r="BN908" s="1"/>
      <c r="BO908" s="1"/>
      <c r="BP908" s="1"/>
      <c r="BQ908" s="1"/>
      <c r="BR908" s="1"/>
      <c r="BS908" s="1"/>
      <c r="BT908" s="1"/>
      <c r="BU908" s="1"/>
      <c r="BV908" s="2"/>
      <c r="BW908" s="1"/>
      <c r="BX908" s="1"/>
      <c r="BY908" s="1"/>
      <c r="BZ908" s="1"/>
      <c r="CA908" s="1"/>
      <c r="CB908" s="1"/>
      <c r="CC908" s="1"/>
      <c r="CD908" s="1"/>
      <c r="CE908" s="2"/>
      <c r="CF908" s="1"/>
      <c r="CG908" s="1"/>
      <c r="CH908" s="1"/>
      <c r="CI908" s="1"/>
      <c r="CJ908" s="1"/>
      <c r="CK908" s="1"/>
      <c r="CL908" s="1"/>
    </row>
    <row r="909" spans="1:90" ht="14.65" x14ac:dyDescent="0.4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2"/>
      <c r="L909" s="1"/>
      <c r="M909" s="1"/>
      <c r="N909" s="1"/>
      <c r="O909" s="1"/>
      <c r="P909" s="1"/>
      <c r="Q909" s="1"/>
      <c r="R909" s="1"/>
      <c r="S909" s="1"/>
      <c r="T909" s="2"/>
      <c r="U909" s="1"/>
      <c r="V909" s="1"/>
      <c r="W909" s="1"/>
      <c r="X909" s="1"/>
      <c r="Y909" s="1"/>
      <c r="Z909" s="1"/>
      <c r="AA909" s="1"/>
      <c r="AB909" s="1"/>
      <c r="AC909" s="2"/>
      <c r="AD909" s="1"/>
      <c r="AE909" s="1"/>
      <c r="AF909" s="1"/>
      <c r="AG909" s="1"/>
      <c r="AH909" s="1"/>
      <c r="AI909" s="1"/>
      <c r="AJ909" s="1"/>
      <c r="AK909" s="1"/>
      <c r="AL909" s="2"/>
      <c r="AM909" s="1"/>
      <c r="AN909" s="1"/>
      <c r="AO909" s="1"/>
      <c r="AP909" s="1"/>
      <c r="AQ909" s="1"/>
      <c r="AR909" s="1"/>
      <c r="AS909" s="1"/>
      <c r="AT909" s="1"/>
      <c r="AU909" s="2"/>
      <c r="AV909" s="1"/>
      <c r="AW909" s="1"/>
      <c r="AX909" s="1"/>
      <c r="AY909" s="1"/>
      <c r="AZ909" s="1"/>
      <c r="BA909" s="1"/>
      <c r="BB909" s="1"/>
      <c r="BC909" s="1"/>
      <c r="BD909" s="2"/>
      <c r="BE909" s="1"/>
      <c r="BF909" s="1"/>
      <c r="BG909" s="1"/>
      <c r="BH909" s="1"/>
      <c r="BI909" s="1"/>
      <c r="BJ909" s="1"/>
      <c r="BK909" s="1"/>
      <c r="BL909" s="1"/>
      <c r="BM909" s="2"/>
      <c r="BN909" s="1"/>
      <c r="BO909" s="1"/>
      <c r="BP909" s="1"/>
      <c r="BQ909" s="1"/>
      <c r="BR909" s="1"/>
      <c r="BS909" s="1"/>
      <c r="BT909" s="1"/>
      <c r="BU909" s="1"/>
      <c r="BV909" s="2"/>
      <c r="BW909" s="1"/>
      <c r="BX909" s="1"/>
      <c r="BY909" s="1"/>
      <c r="BZ909" s="1"/>
      <c r="CA909" s="1"/>
      <c r="CB909" s="1"/>
      <c r="CC909" s="1"/>
      <c r="CD909" s="1"/>
      <c r="CE909" s="2"/>
      <c r="CF909" s="1"/>
      <c r="CG909" s="1"/>
      <c r="CH909" s="1"/>
      <c r="CI909" s="1"/>
      <c r="CJ909" s="1"/>
      <c r="CK909" s="1"/>
      <c r="CL909" s="1"/>
    </row>
    <row r="910" spans="1:90" ht="14.65" x14ac:dyDescent="0.4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2"/>
      <c r="L910" s="1"/>
      <c r="M910" s="1"/>
      <c r="N910" s="1"/>
      <c r="O910" s="1"/>
      <c r="P910" s="1"/>
      <c r="Q910" s="1"/>
      <c r="R910" s="1"/>
      <c r="S910" s="1"/>
      <c r="T910" s="2"/>
      <c r="U910" s="1"/>
      <c r="V910" s="1"/>
      <c r="W910" s="1"/>
      <c r="X910" s="1"/>
      <c r="Y910" s="1"/>
      <c r="Z910" s="1"/>
      <c r="AA910" s="1"/>
      <c r="AB910" s="1"/>
      <c r="AC910" s="2"/>
      <c r="AD910" s="1"/>
      <c r="AE910" s="1"/>
      <c r="AF910" s="1"/>
      <c r="AG910" s="1"/>
      <c r="AH910" s="1"/>
      <c r="AI910" s="1"/>
      <c r="AJ910" s="1"/>
      <c r="AK910" s="1"/>
      <c r="AL910" s="2"/>
      <c r="AM910" s="1"/>
      <c r="AN910" s="1"/>
      <c r="AO910" s="1"/>
      <c r="AP910" s="1"/>
      <c r="AQ910" s="1"/>
      <c r="AR910" s="1"/>
      <c r="AS910" s="1"/>
      <c r="AT910" s="1"/>
      <c r="AU910" s="2"/>
      <c r="AV910" s="1"/>
      <c r="AW910" s="1"/>
      <c r="AX910" s="1"/>
      <c r="AY910" s="1"/>
      <c r="AZ910" s="1"/>
      <c r="BA910" s="1"/>
      <c r="BB910" s="1"/>
      <c r="BC910" s="1"/>
      <c r="BD910" s="2"/>
      <c r="BE910" s="1"/>
      <c r="BF910" s="1"/>
      <c r="BG910" s="1"/>
      <c r="BH910" s="1"/>
      <c r="BI910" s="1"/>
      <c r="BJ910" s="1"/>
      <c r="BK910" s="1"/>
      <c r="BL910" s="1"/>
      <c r="BM910" s="2"/>
      <c r="BN910" s="1"/>
      <c r="BO910" s="1"/>
      <c r="BP910" s="1"/>
      <c r="BQ910" s="1"/>
      <c r="BR910" s="1"/>
      <c r="BS910" s="1"/>
      <c r="BT910" s="1"/>
      <c r="BU910" s="1"/>
      <c r="BV910" s="2"/>
      <c r="BW910" s="1"/>
      <c r="BX910" s="1"/>
      <c r="BY910" s="1"/>
      <c r="BZ910" s="1"/>
      <c r="CA910" s="1"/>
      <c r="CB910" s="1"/>
      <c r="CC910" s="1"/>
      <c r="CD910" s="1"/>
      <c r="CE910" s="2"/>
      <c r="CF910" s="1"/>
      <c r="CG910" s="1"/>
      <c r="CH910" s="1"/>
      <c r="CI910" s="1"/>
      <c r="CJ910" s="1"/>
      <c r="CK910" s="1"/>
      <c r="CL910" s="1"/>
    </row>
    <row r="911" spans="1:90" ht="14.65" x14ac:dyDescent="0.4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2"/>
      <c r="L911" s="1"/>
      <c r="M911" s="1"/>
      <c r="N911" s="1"/>
      <c r="O911" s="1"/>
      <c r="P911" s="1"/>
      <c r="Q911" s="1"/>
      <c r="R911" s="1"/>
      <c r="S911" s="1"/>
      <c r="T911" s="2"/>
      <c r="U911" s="1"/>
      <c r="V911" s="1"/>
      <c r="W911" s="1"/>
      <c r="X911" s="1"/>
      <c r="Y911" s="1"/>
      <c r="Z911" s="1"/>
      <c r="AA911" s="1"/>
      <c r="AB911" s="1"/>
      <c r="AC911" s="2"/>
      <c r="AD911" s="1"/>
      <c r="AE911" s="1"/>
      <c r="AF911" s="1"/>
      <c r="AG911" s="1"/>
      <c r="AH911" s="1"/>
      <c r="AI911" s="1"/>
      <c r="AJ911" s="1"/>
      <c r="AK911" s="1"/>
      <c r="AL911" s="2"/>
      <c r="AM911" s="1"/>
      <c r="AN911" s="1"/>
      <c r="AO911" s="1"/>
      <c r="AP911" s="1"/>
      <c r="AQ911" s="1"/>
      <c r="AR911" s="1"/>
      <c r="AS911" s="1"/>
      <c r="AT911" s="1"/>
      <c r="AU911" s="2"/>
      <c r="AV911" s="1"/>
      <c r="AW911" s="1"/>
      <c r="AX911" s="1"/>
      <c r="AY911" s="1"/>
      <c r="AZ911" s="1"/>
      <c r="BA911" s="1"/>
      <c r="BB911" s="1"/>
      <c r="BC911" s="1"/>
      <c r="BD911" s="2"/>
      <c r="BE911" s="1"/>
      <c r="BF911" s="1"/>
      <c r="BG911" s="1"/>
      <c r="BH911" s="1"/>
      <c r="BI911" s="1"/>
      <c r="BJ911" s="1"/>
      <c r="BK911" s="1"/>
      <c r="BL911" s="1"/>
      <c r="BM911" s="2"/>
      <c r="BN911" s="1"/>
      <c r="BO911" s="1"/>
      <c r="BP911" s="1"/>
      <c r="BQ911" s="1"/>
      <c r="BR911" s="1"/>
      <c r="BS911" s="1"/>
      <c r="BT911" s="1"/>
      <c r="BU911" s="1"/>
      <c r="BV911" s="2"/>
      <c r="BW911" s="1"/>
      <c r="BX911" s="1"/>
      <c r="BY911" s="1"/>
      <c r="BZ911" s="1"/>
      <c r="CA911" s="1"/>
      <c r="CB911" s="1"/>
      <c r="CC911" s="1"/>
      <c r="CD911" s="1"/>
      <c r="CE911" s="2"/>
      <c r="CF911" s="1"/>
      <c r="CG911" s="1"/>
      <c r="CH911" s="1"/>
      <c r="CI911" s="1"/>
      <c r="CJ911" s="1"/>
      <c r="CK911" s="1"/>
      <c r="CL911" s="1"/>
    </row>
    <row r="912" spans="1:90" ht="14.65" x14ac:dyDescent="0.4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2"/>
      <c r="L912" s="1"/>
      <c r="M912" s="1"/>
      <c r="N912" s="1"/>
      <c r="O912" s="1"/>
      <c r="P912" s="1"/>
      <c r="Q912" s="1"/>
      <c r="R912" s="1"/>
      <c r="S912" s="1"/>
      <c r="T912" s="2"/>
      <c r="U912" s="1"/>
      <c r="V912" s="1"/>
      <c r="W912" s="1"/>
      <c r="X912" s="1"/>
      <c r="Y912" s="1"/>
      <c r="Z912" s="1"/>
      <c r="AA912" s="1"/>
      <c r="AB912" s="1"/>
      <c r="AC912" s="2"/>
      <c r="AD912" s="1"/>
      <c r="AE912" s="1"/>
      <c r="AF912" s="1"/>
      <c r="AG912" s="1"/>
      <c r="AH912" s="1"/>
      <c r="AI912" s="1"/>
      <c r="AJ912" s="1"/>
      <c r="AK912" s="1"/>
      <c r="AL912" s="2"/>
      <c r="AM912" s="1"/>
      <c r="AN912" s="1"/>
      <c r="AO912" s="1"/>
      <c r="AP912" s="1"/>
      <c r="AQ912" s="1"/>
      <c r="AR912" s="1"/>
      <c r="AS912" s="1"/>
      <c r="AT912" s="1"/>
      <c r="AU912" s="2"/>
      <c r="AV912" s="1"/>
      <c r="AW912" s="1"/>
      <c r="AX912" s="1"/>
      <c r="AY912" s="1"/>
      <c r="AZ912" s="1"/>
      <c r="BA912" s="1"/>
      <c r="BB912" s="1"/>
      <c r="BC912" s="1"/>
      <c r="BD912" s="2"/>
      <c r="BE912" s="1"/>
      <c r="BF912" s="1"/>
      <c r="BG912" s="1"/>
      <c r="BH912" s="1"/>
      <c r="BI912" s="1"/>
      <c r="BJ912" s="1"/>
      <c r="BK912" s="1"/>
      <c r="BL912" s="1"/>
      <c r="BM912" s="2"/>
      <c r="BN912" s="1"/>
      <c r="BO912" s="1"/>
      <c r="BP912" s="1"/>
      <c r="BQ912" s="1"/>
      <c r="BR912" s="1"/>
      <c r="BS912" s="1"/>
      <c r="BT912" s="1"/>
      <c r="BU912" s="1"/>
      <c r="BV912" s="2"/>
      <c r="BW912" s="1"/>
      <c r="BX912" s="1"/>
      <c r="BY912" s="1"/>
      <c r="BZ912" s="1"/>
      <c r="CA912" s="1"/>
      <c r="CB912" s="1"/>
      <c r="CC912" s="1"/>
      <c r="CD912" s="1"/>
      <c r="CE912" s="2"/>
      <c r="CF912" s="1"/>
      <c r="CG912" s="1"/>
      <c r="CH912" s="1"/>
      <c r="CI912" s="1"/>
      <c r="CJ912" s="1"/>
      <c r="CK912" s="1"/>
      <c r="CL912" s="1"/>
    </row>
    <row r="913" spans="1:90" ht="14.65" x14ac:dyDescent="0.4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2"/>
      <c r="L913" s="1"/>
      <c r="M913" s="1"/>
      <c r="N913" s="1"/>
      <c r="O913" s="1"/>
      <c r="P913" s="1"/>
      <c r="Q913" s="1"/>
      <c r="R913" s="1"/>
      <c r="S913" s="1"/>
      <c r="T913" s="2"/>
      <c r="U913" s="1"/>
      <c r="V913" s="1"/>
      <c r="W913" s="1"/>
      <c r="X913" s="1"/>
      <c r="Y913" s="1"/>
      <c r="Z913" s="1"/>
      <c r="AA913" s="1"/>
      <c r="AB913" s="1"/>
      <c r="AC913" s="2"/>
      <c r="AD913" s="1"/>
      <c r="AE913" s="1"/>
      <c r="AF913" s="1"/>
      <c r="AG913" s="1"/>
      <c r="AH913" s="1"/>
      <c r="AI913" s="1"/>
      <c r="AJ913" s="1"/>
      <c r="AK913" s="1"/>
      <c r="AL913" s="2"/>
      <c r="AM913" s="1"/>
      <c r="AN913" s="1"/>
      <c r="AO913" s="1"/>
      <c r="AP913" s="1"/>
      <c r="AQ913" s="1"/>
      <c r="AR913" s="1"/>
      <c r="AS913" s="1"/>
      <c r="AT913" s="1"/>
      <c r="AU913" s="2"/>
      <c r="AV913" s="1"/>
      <c r="AW913" s="1"/>
      <c r="AX913" s="1"/>
      <c r="AY913" s="1"/>
      <c r="AZ913" s="1"/>
      <c r="BA913" s="1"/>
      <c r="BB913" s="1"/>
      <c r="BC913" s="1"/>
      <c r="BD913" s="2"/>
      <c r="BE913" s="1"/>
      <c r="BF913" s="1"/>
      <c r="BG913" s="1"/>
      <c r="BH913" s="1"/>
      <c r="BI913" s="1"/>
      <c r="BJ913" s="1"/>
      <c r="BK913" s="1"/>
      <c r="BL913" s="1"/>
      <c r="BM913" s="2"/>
      <c r="BN913" s="1"/>
      <c r="BO913" s="1"/>
      <c r="BP913" s="1"/>
      <c r="BQ913" s="1"/>
      <c r="BR913" s="1"/>
      <c r="BS913" s="1"/>
      <c r="BT913" s="1"/>
      <c r="BU913" s="1"/>
      <c r="BV913" s="2"/>
      <c r="BW913" s="1"/>
      <c r="BX913" s="1"/>
      <c r="BY913" s="1"/>
      <c r="BZ913" s="1"/>
      <c r="CA913" s="1"/>
      <c r="CB913" s="1"/>
      <c r="CC913" s="1"/>
      <c r="CD913" s="1"/>
      <c r="CE913" s="2"/>
      <c r="CF913" s="1"/>
      <c r="CG913" s="1"/>
      <c r="CH913" s="1"/>
      <c r="CI913" s="1"/>
      <c r="CJ913" s="1"/>
      <c r="CK913" s="1"/>
      <c r="CL913" s="1"/>
    </row>
    <row r="914" spans="1:90" ht="14.65" x14ac:dyDescent="0.4">
      <c r="A914" s="1"/>
      <c r="B914" s="2"/>
      <c r="C914" s="2"/>
      <c r="D914" s="1"/>
      <c r="E914" s="1"/>
      <c r="F914" s="1"/>
      <c r="G914" s="1"/>
      <c r="H914" s="1"/>
      <c r="I914" s="1"/>
      <c r="J914" s="1"/>
      <c r="K914" s="2"/>
      <c r="L914" s="1"/>
      <c r="M914" s="1"/>
      <c r="N914" s="1"/>
      <c r="O914" s="1"/>
      <c r="P914" s="1"/>
      <c r="Q914" s="1"/>
      <c r="R914" s="1"/>
      <c r="S914" s="1"/>
      <c r="T914" s="2"/>
      <c r="U914" s="1"/>
      <c r="V914" s="1"/>
      <c r="W914" s="1"/>
      <c r="X914" s="1"/>
      <c r="Y914" s="1"/>
      <c r="Z914" s="1"/>
      <c r="AA914" s="1"/>
      <c r="AB914" s="1"/>
      <c r="AC914" s="2"/>
      <c r="AD914" s="1"/>
      <c r="AE914" s="1"/>
      <c r="AF914" s="1"/>
      <c r="AG914" s="1"/>
      <c r="AH914" s="1"/>
      <c r="AI914" s="1"/>
      <c r="AJ914" s="1"/>
      <c r="AK914" s="1"/>
      <c r="AL914" s="2"/>
      <c r="AM914" s="1"/>
      <c r="AN914" s="1"/>
      <c r="AO914" s="1"/>
      <c r="AP914" s="1"/>
      <c r="AQ914" s="1"/>
      <c r="AR914" s="1"/>
      <c r="AS914" s="1"/>
      <c r="AT914" s="1"/>
      <c r="AU914" s="2"/>
      <c r="AV914" s="1"/>
      <c r="AW914" s="1"/>
      <c r="AX914" s="1"/>
      <c r="AY914" s="1"/>
      <c r="AZ914" s="1"/>
      <c r="BA914" s="1"/>
      <c r="BB914" s="1"/>
      <c r="BC914" s="1"/>
      <c r="BD914" s="2"/>
      <c r="BE914" s="1"/>
      <c r="BF914" s="1"/>
      <c r="BG914" s="1"/>
      <c r="BH914" s="1"/>
      <c r="BI914" s="1"/>
      <c r="BJ914" s="1"/>
      <c r="BK914" s="1"/>
      <c r="BL914" s="1"/>
      <c r="BM914" s="2"/>
      <c r="BN914" s="1"/>
      <c r="BO914" s="1"/>
      <c r="BP914" s="1"/>
      <c r="BQ914" s="1"/>
      <c r="BR914" s="1"/>
      <c r="BS914" s="1"/>
      <c r="BT914" s="1"/>
      <c r="BU914" s="1"/>
      <c r="BV914" s="2"/>
      <c r="BW914" s="1"/>
      <c r="BX914" s="1"/>
      <c r="BY914" s="1"/>
      <c r="BZ914" s="1"/>
      <c r="CA914" s="1"/>
      <c r="CB914" s="1"/>
      <c r="CC914" s="1"/>
      <c r="CD914" s="1"/>
      <c r="CE914" s="2"/>
      <c r="CF914" s="1"/>
      <c r="CG914" s="1"/>
      <c r="CH914" s="1"/>
      <c r="CI914" s="1"/>
      <c r="CJ914" s="1"/>
      <c r="CK914" s="1"/>
      <c r="CL914" s="1"/>
    </row>
    <row r="915" spans="1:90" ht="14.65" x14ac:dyDescent="0.4">
      <c r="A915" s="1"/>
      <c r="B915" s="2"/>
      <c r="C915" s="2"/>
      <c r="D915" s="1"/>
      <c r="E915" s="1"/>
      <c r="F915" s="1"/>
      <c r="G915" s="1"/>
      <c r="H915" s="1"/>
      <c r="I915" s="1"/>
      <c r="J915" s="1"/>
      <c r="K915" s="2"/>
      <c r="L915" s="1"/>
      <c r="M915" s="1"/>
      <c r="N915" s="1"/>
      <c r="O915" s="1"/>
      <c r="P915" s="1"/>
      <c r="Q915" s="1"/>
      <c r="R915" s="1"/>
      <c r="S915" s="1"/>
      <c r="T915" s="2"/>
      <c r="U915" s="1"/>
      <c r="V915" s="1"/>
      <c r="W915" s="1"/>
      <c r="X915" s="1"/>
      <c r="Y915" s="1"/>
      <c r="Z915" s="1"/>
      <c r="AA915" s="1"/>
      <c r="AB915" s="1"/>
      <c r="AC915" s="2"/>
      <c r="AD915" s="1"/>
      <c r="AE915" s="1"/>
      <c r="AF915" s="1"/>
      <c r="AG915" s="1"/>
      <c r="AH915" s="1"/>
      <c r="AI915" s="1"/>
      <c r="AJ915" s="1"/>
      <c r="AK915" s="1"/>
      <c r="AL915" s="2"/>
      <c r="AM915" s="1"/>
      <c r="AN915" s="1"/>
      <c r="AO915" s="1"/>
      <c r="AP915" s="1"/>
      <c r="AQ915" s="1"/>
      <c r="AR915" s="1"/>
      <c r="AS915" s="1"/>
      <c r="AT915" s="1"/>
      <c r="AU915" s="2"/>
      <c r="AV915" s="1"/>
      <c r="AW915" s="1"/>
      <c r="AX915" s="1"/>
      <c r="AY915" s="1"/>
      <c r="AZ915" s="1"/>
      <c r="BA915" s="1"/>
      <c r="BB915" s="1"/>
      <c r="BC915" s="1"/>
      <c r="BD915" s="2"/>
      <c r="BE915" s="1"/>
      <c r="BF915" s="1"/>
      <c r="BG915" s="1"/>
      <c r="BH915" s="1"/>
      <c r="BI915" s="1"/>
      <c r="BJ915" s="1"/>
      <c r="BK915" s="1"/>
      <c r="BL915" s="1"/>
      <c r="BM915" s="2"/>
      <c r="BN915" s="1"/>
      <c r="BO915" s="1"/>
      <c r="BP915" s="1"/>
      <c r="BQ915" s="1"/>
      <c r="BR915" s="1"/>
      <c r="BS915" s="1"/>
      <c r="BT915" s="1"/>
      <c r="BU915" s="1"/>
      <c r="BV915" s="2"/>
      <c r="BW915" s="1"/>
      <c r="BX915" s="1"/>
      <c r="BY915" s="1"/>
      <c r="BZ915" s="1"/>
      <c r="CA915" s="1"/>
      <c r="CB915" s="1"/>
      <c r="CC915" s="1"/>
      <c r="CD915" s="1"/>
      <c r="CE915" s="2"/>
      <c r="CF915" s="1"/>
      <c r="CG915" s="1"/>
      <c r="CH915" s="1"/>
      <c r="CI915" s="1"/>
      <c r="CJ915" s="1"/>
      <c r="CK915" s="1"/>
      <c r="CL915" s="1"/>
    </row>
    <row r="916" spans="1:90" ht="14.65" x14ac:dyDescent="0.4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2"/>
      <c r="L916" s="1"/>
      <c r="M916" s="1"/>
      <c r="N916" s="1"/>
      <c r="O916" s="1"/>
      <c r="P916" s="1"/>
      <c r="Q916" s="1"/>
      <c r="R916" s="1"/>
      <c r="S916" s="1"/>
      <c r="T916" s="2"/>
      <c r="U916" s="1"/>
      <c r="V916" s="1"/>
      <c r="W916" s="1"/>
      <c r="X916" s="1"/>
      <c r="Y916" s="1"/>
      <c r="Z916" s="1"/>
      <c r="AA916" s="1"/>
      <c r="AB916" s="1"/>
      <c r="AC916" s="2"/>
      <c r="AD916" s="1"/>
      <c r="AE916" s="1"/>
      <c r="AF916" s="1"/>
      <c r="AG916" s="1"/>
      <c r="AH916" s="1"/>
      <c r="AI916" s="1"/>
      <c r="AJ916" s="1"/>
      <c r="AK916" s="1"/>
      <c r="AL916" s="2"/>
      <c r="AM916" s="1"/>
      <c r="AN916" s="1"/>
      <c r="AO916" s="1"/>
      <c r="AP916" s="1"/>
      <c r="AQ916" s="1"/>
      <c r="AR916" s="1"/>
      <c r="AS916" s="1"/>
      <c r="AT916" s="1"/>
      <c r="AU916" s="2"/>
      <c r="AV916" s="1"/>
      <c r="AW916" s="1"/>
      <c r="AX916" s="1"/>
      <c r="AY916" s="1"/>
      <c r="AZ916" s="1"/>
      <c r="BA916" s="1"/>
      <c r="BB916" s="1"/>
      <c r="BC916" s="1"/>
      <c r="BD916" s="2"/>
      <c r="BE916" s="1"/>
      <c r="BF916" s="1"/>
      <c r="BG916" s="1"/>
      <c r="BH916" s="1"/>
      <c r="BI916" s="1"/>
      <c r="BJ916" s="1"/>
      <c r="BK916" s="1"/>
      <c r="BL916" s="1"/>
      <c r="BM916" s="2"/>
      <c r="BN916" s="1"/>
      <c r="BO916" s="1"/>
      <c r="BP916" s="1"/>
      <c r="BQ916" s="1"/>
      <c r="BR916" s="1"/>
      <c r="BS916" s="1"/>
      <c r="BT916" s="1"/>
      <c r="BU916" s="1"/>
      <c r="BV916" s="2"/>
      <c r="BW916" s="1"/>
      <c r="BX916" s="1"/>
      <c r="BY916" s="1"/>
      <c r="BZ916" s="1"/>
      <c r="CA916" s="1"/>
      <c r="CB916" s="1"/>
      <c r="CC916" s="1"/>
      <c r="CD916" s="1"/>
      <c r="CE916" s="2"/>
      <c r="CF916" s="1"/>
      <c r="CG916" s="1"/>
      <c r="CH916" s="1"/>
      <c r="CI916" s="1"/>
      <c r="CJ916" s="1"/>
      <c r="CK916" s="1"/>
      <c r="CL916" s="1"/>
    </row>
    <row r="917" spans="1:90" ht="14.65" x14ac:dyDescent="0.4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2"/>
      <c r="L917" s="1"/>
      <c r="M917" s="1"/>
      <c r="N917" s="1"/>
      <c r="O917" s="1"/>
      <c r="P917" s="1"/>
      <c r="Q917" s="1"/>
      <c r="R917" s="1"/>
      <c r="S917" s="1"/>
      <c r="T917" s="2"/>
      <c r="U917" s="1"/>
      <c r="V917" s="1"/>
      <c r="W917" s="1"/>
      <c r="X917" s="1"/>
      <c r="Y917" s="1"/>
      <c r="Z917" s="1"/>
      <c r="AA917" s="1"/>
      <c r="AB917" s="1"/>
      <c r="AC917" s="2"/>
      <c r="AD917" s="1"/>
      <c r="AE917" s="1"/>
      <c r="AF917" s="1"/>
      <c r="AG917" s="1"/>
      <c r="AH917" s="1"/>
      <c r="AI917" s="1"/>
      <c r="AJ917" s="1"/>
      <c r="AK917" s="1"/>
      <c r="AL917" s="2"/>
      <c r="AM917" s="1"/>
      <c r="AN917" s="1"/>
      <c r="AO917" s="1"/>
      <c r="AP917" s="1"/>
      <c r="AQ917" s="1"/>
      <c r="AR917" s="1"/>
      <c r="AS917" s="1"/>
      <c r="AT917" s="1"/>
      <c r="AU917" s="2"/>
      <c r="AV917" s="1"/>
      <c r="AW917" s="1"/>
      <c r="AX917" s="1"/>
      <c r="AY917" s="1"/>
      <c r="AZ917" s="1"/>
      <c r="BA917" s="1"/>
      <c r="BB917" s="1"/>
      <c r="BC917" s="1"/>
      <c r="BD917" s="2"/>
      <c r="BE917" s="1"/>
      <c r="BF917" s="1"/>
      <c r="BG917" s="1"/>
      <c r="BH917" s="1"/>
      <c r="BI917" s="1"/>
      <c r="BJ917" s="1"/>
      <c r="BK917" s="1"/>
      <c r="BL917" s="1"/>
      <c r="BM917" s="2"/>
      <c r="BN917" s="1"/>
      <c r="BO917" s="1"/>
      <c r="BP917" s="1"/>
      <c r="BQ917" s="1"/>
      <c r="BR917" s="1"/>
      <c r="BS917" s="1"/>
      <c r="BT917" s="1"/>
      <c r="BU917" s="1"/>
      <c r="BV917" s="2"/>
      <c r="BW917" s="1"/>
      <c r="BX917" s="1"/>
      <c r="BY917" s="1"/>
      <c r="BZ917" s="1"/>
      <c r="CA917" s="1"/>
      <c r="CB917" s="1"/>
      <c r="CC917" s="1"/>
      <c r="CD917" s="1"/>
      <c r="CE917" s="2"/>
      <c r="CF917" s="1"/>
      <c r="CG917" s="1"/>
      <c r="CH917" s="1"/>
      <c r="CI917" s="1"/>
      <c r="CJ917" s="1"/>
      <c r="CK917" s="1"/>
      <c r="CL917" s="1"/>
    </row>
    <row r="918" spans="1:90" ht="14.65" x14ac:dyDescent="0.4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2"/>
      <c r="L918" s="1"/>
      <c r="M918" s="1"/>
      <c r="N918" s="1"/>
      <c r="O918" s="1"/>
      <c r="P918" s="1"/>
      <c r="Q918" s="1"/>
      <c r="R918" s="1"/>
      <c r="S918" s="1"/>
      <c r="T918" s="2"/>
      <c r="U918" s="1"/>
      <c r="V918" s="1"/>
      <c r="W918" s="1"/>
      <c r="X918" s="1"/>
      <c r="Y918" s="1"/>
      <c r="Z918" s="1"/>
      <c r="AA918" s="1"/>
      <c r="AB918" s="1"/>
      <c r="AC918" s="2"/>
      <c r="AD918" s="1"/>
      <c r="AE918" s="1"/>
      <c r="AF918" s="1"/>
      <c r="AG918" s="1"/>
      <c r="AH918" s="1"/>
      <c r="AI918" s="1"/>
      <c r="AJ918" s="1"/>
      <c r="AK918" s="1"/>
      <c r="AL918" s="2"/>
      <c r="AM918" s="1"/>
      <c r="AN918" s="1"/>
      <c r="AO918" s="1"/>
      <c r="AP918" s="1"/>
      <c r="AQ918" s="1"/>
      <c r="AR918" s="1"/>
      <c r="AS918" s="1"/>
      <c r="AT918" s="1"/>
      <c r="AU918" s="2"/>
      <c r="AV918" s="1"/>
      <c r="AW918" s="1"/>
      <c r="AX918" s="1"/>
      <c r="AY918" s="1"/>
      <c r="AZ918" s="1"/>
      <c r="BA918" s="1"/>
      <c r="BB918" s="1"/>
      <c r="BC918" s="1"/>
      <c r="BD918" s="2"/>
      <c r="BE918" s="1"/>
      <c r="BF918" s="1"/>
      <c r="BG918" s="1"/>
      <c r="BH918" s="1"/>
      <c r="BI918" s="1"/>
      <c r="BJ918" s="1"/>
      <c r="BK918" s="1"/>
      <c r="BL918" s="1"/>
      <c r="BM918" s="2"/>
      <c r="BN918" s="1"/>
      <c r="BO918" s="1"/>
      <c r="BP918" s="1"/>
      <c r="BQ918" s="1"/>
      <c r="BR918" s="1"/>
      <c r="BS918" s="1"/>
      <c r="BT918" s="1"/>
      <c r="BU918" s="1"/>
      <c r="BV918" s="2"/>
      <c r="BW918" s="1"/>
      <c r="BX918" s="1"/>
      <c r="BY918" s="1"/>
      <c r="BZ918" s="1"/>
      <c r="CA918" s="1"/>
      <c r="CB918" s="1"/>
      <c r="CC918" s="1"/>
      <c r="CD918" s="1"/>
      <c r="CE918" s="2"/>
      <c r="CF918" s="1"/>
      <c r="CG918" s="1"/>
      <c r="CH918" s="1"/>
      <c r="CI918" s="1"/>
      <c r="CJ918" s="1"/>
      <c r="CK918" s="1"/>
      <c r="CL918" s="1"/>
    </row>
    <row r="919" spans="1:90" ht="14.65" x14ac:dyDescent="0.4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2"/>
      <c r="L919" s="1"/>
      <c r="M919" s="1"/>
      <c r="N919" s="1"/>
      <c r="O919" s="1"/>
      <c r="P919" s="1"/>
      <c r="Q919" s="1"/>
      <c r="R919" s="1"/>
      <c r="S919" s="1"/>
      <c r="T919" s="2"/>
      <c r="U919" s="1"/>
      <c r="V919" s="1"/>
      <c r="W919" s="1"/>
      <c r="X919" s="1"/>
      <c r="Y919" s="1"/>
      <c r="Z919" s="1"/>
      <c r="AA919" s="1"/>
      <c r="AB919" s="1"/>
      <c r="AC919" s="2"/>
      <c r="AD919" s="1"/>
      <c r="AE919" s="1"/>
      <c r="AF919" s="1"/>
      <c r="AG919" s="1"/>
      <c r="AH919" s="1"/>
      <c r="AI919" s="1"/>
      <c r="AJ919" s="1"/>
      <c r="AK919" s="1"/>
      <c r="AL919" s="2"/>
      <c r="AM919" s="1"/>
      <c r="AN919" s="1"/>
      <c r="AO919" s="1"/>
      <c r="AP919" s="1"/>
      <c r="AQ919" s="1"/>
      <c r="AR919" s="1"/>
      <c r="AS919" s="1"/>
      <c r="AT919" s="1"/>
      <c r="AU919" s="2"/>
      <c r="AV919" s="1"/>
      <c r="AW919" s="1"/>
      <c r="AX919" s="1"/>
      <c r="AY919" s="1"/>
      <c r="AZ919" s="1"/>
      <c r="BA919" s="1"/>
      <c r="BB919" s="1"/>
      <c r="BC919" s="1"/>
      <c r="BD919" s="2"/>
      <c r="BE919" s="1"/>
      <c r="BF919" s="1"/>
      <c r="BG919" s="1"/>
      <c r="BH919" s="1"/>
      <c r="BI919" s="1"/>
      <c r="BJ919" s="1"/>
      <c r="BK919" s="1"/>
      <c r="BL919" s="1"/>
      <c r="BM919" s="2"/>
      <c r="BN919" s="1"/>
      <c r="BO919" s="1"/>
      <c r="BP919" s="1"/>
      <c r="BQ919" s="1"/>
      <c r="BR919" s="1"/>
      <c r="BS919" s="1"/>
      <c r="BT919" s="1"/>
      <c r="BU919" s="1"/>
      <c r="BV919" s="2"/>
      <c r="BW919" s="1"/>
      <c r="BX919" s="1"/>
      <c r="BY919" s="1"/>
      <c r="BZ919" s="1"/>
      <c r="CA919" s="1"/>
      <c r="CB919" s="1"/>
      <c r="CC919" s="1"/>
      <c r="CD919" s="1"/>
      <c r="CE919" s="2"/>
      <c r="CF919" s="1"/>
      <c r="CG919" s="1"/>
      <c r="CH919" s="1"/>
      <c r="CI919" s="1"/>
      <c r="CJ919" s="1"/>
      <c r="CK919" s="1"/>
      <c r="CL919" s="1"/>
    </row>
    <row r="920" spans="1:90" ht="14.65" x14ac:dyDescent="0.4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2"/>
      <c r="L920" s="1"/>
      <c r="M920" s="1"/>
      <c r="N920" s="1"/>
      <c r="O920" s="1"/>
      <c r="P920" s="1"/>
      <c r="Q920" s="1"/>
      <c r="R920" s="1"/>
      <c r="S920" s="1"/>
      <c r="T920" s="2"/>
      <c r="U920" s="1"/>
      <c r="V920" s="1"/>
      <c r="W920" s="1"/>
      <c r="X920" s="1"/>
      <c r="Y920" s="1"/>
      <c r="Z920" s="1"/>
      <c r="AA920" s="1"/>
      <c r="AB920" s="1"/>
      <c r="AC920" s="2"/>
      <c r="AD920" s="1"/>
      <c r="AE920" s="1"/>
      <c r="AF920" s="1"/>
      <c r="AG920" s="1"/>
      <c r="AH920" s="1"/>
      <c r="AI920" s="1"/>
      <c r="AJ920" s="1"/>
      <c r="AK920" s="1"/>
      <c r="AL920" s="2"/>
      <c r="AM920" s="1"/>
      <c r="AN920" s="1"/>
      <c r="AO920" s="1"/>
      <c r="AP920" s="1"/>
      <c r="AQ920" s="1"/>
      <c r="AR920" s="1"/>
      <c r="AS920" s="1"/>
      <c r="AT920" s="1"/>
      <c r="AU920" s="2"/>
      <c r="AV920" s="1"/>
      <c r="AW920" s="1"/>
      <c r="AX920" s="1"/>
      <c r="AY920" s="1"/>
      <c r="AZ920" s="1"/>
      <c r="BA920" s="1"/>
      <c r="BB920" s="1"/>
      <c r="BC920" s="1"/>
      <c r="BD920" s="2"/>
      <c r="BE920" s="1"/>
      <c r="BF920" s="1"/>
      <c r="BG920" s="1"/>
      <c r="BH920" s="1"/>
      <c r="BI920" s="1"/>
      <c r="BJ920" s="1"/>
      <c r="BK920" s="1"/>
      <c r="BL920" s="1"/>
      <c r="BM920" s="2"/>
      <c r="BN920" s="1"/>
      <c r="BO920" s="1"/>
      <c r="BP920" s="1"/>
      <c r="BQ920" s="1"/>
      <c r="BR920" s="1"/>
      <c r="BS920" s="1"/>
      <c r="BT920" s="1"/>
      <c r="BU920" s="1"/>
      <c r="BV920" s="2"/>
      <c r="BW920" s="1"/>
      <c r="BX920" s="1"/>
      <c r="BY920" s="1"/>
      <c r="BZ920" s="1"/>
      <c r="CA920" s="1"/>
      <c r="CB920" s="1"/>
      <c r="CC920" s="1"/>
      <c r="CD920" s="1"/>
      <c r="CE920" s="2"/>
      <c r="CF920" s="1"/>
      <c r="CG920" s="1"/>
      <c r="CH920" s="1"/>
      <c r="CI920" s="1"/>
      <c r="CJ920" s="1"/>
      <c r="CK920" s="1"/>
      <c r="CL920" s="1"/>
    </row>
    <row r="921" spans="1:90" ht="14.65" x14ac:dyDescent="0.4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2"/>
      <c r="L921" s="1"/>
      <c r="M921" s="1"/>
      <c r="N921" s="1"/>
      <c r="O921" s="1"/>
      <c r="P921" s="1"/>
      <c r="Q921" s="1"/>
      <c r="R921" s="1"/>
      <c r="S921" s="1"/>
      <c r="T921" s="2"/>
      <c r="U921" s="1"/>
      <c r="V921" s="1"/>
      <c r="W921" s="1"/>
      <c r="X921" s="1"/>
      <c r="Y921" s="1"/>
      <c r="Z921" s="1"/>
      <c r="AA921" s="1"/>
      <c r="AB921" s="1"/>
      <c r="AC921" s="2"/>
      <c r="AD921" s="1"/>
      <c r="AE921" s="1"/>
      <c r="AF921" s="1"/>
      <c r="AG921" s="1"/>
      <c r="AH921" s="1"/>
      <c r="AI921" s="1"/>
      <c r="AJ921" s="1"/>
      <c r="AK921" s="1"/>
      <c r="AL921" s="2"/>
      <c r="AM921" s="1"/>
      <c r="AN921" s="1"/>
      <c r="AO921" s="1"/>
      <c r="AP921" s="1"/>
      <c r="AQ921" s="1"/>
      <c r="AR921" s="1"/>
      <c r="AS921" s="1"/>
      <c r="AT921" s="1"/>
      <c r="AU921" s="2"/>
      <c r="AV921" s="1"/>
      <c r="AW921" s="1"/>
      <c r="AX921" s="1"/>
      <c r="AY921" s="1"/>
      <c r="AZ921" s="1"/>
      <c r="BA921" s="1"/>
      <c r="BB921" s="1"/>
      <c r="BC921" s="1"/>
      <c r="BD921" s="2"/>
      <c r="BE921" s="1"/>
      <c r="BF921" s="1"/>
      <c r="BG921" s="1"/>
      <c r="BH921" s="1"/>
      <c r="BI921" s="1"/>
      <c r="BJ921" s="1"/>
      <c r="BK921" s="1"/>
      <c r="BL921" s="1"/>
      <c r="BM921" s="2"/>
      <c r="BN921" s="1"/>
      <c r="BO921" s="1"/>
      <c r="BP921" s="1"/>
      <c r="BQ921" s="1"/>
      <c r="BR921" s="1"/>
      <c r="BS921" s="1"/>
      <c r="BT921" s="1"/>
      <c r="BU921" s="1"/>
      <c r="BV921" s="2"/>
      <c r="BW921" s="1"/>
      <c r="BX921" s="1"/>
      <c r="BY921" s="1"/>
      <c r="BZ921" s="1"/>
      <c r="CA921" s="1"/>
      <c r="CB921" s="1"/>
      <c r="CC921" s="1"/>
      <c r="CD921" s="1"/>
      <c r="CE921" s="2"/>
      <c r="CF921" s="1"/>
      <c r="CG921" s="1"/>
      <c r="CH921" s="1"/>
      <c r="CI921" s="1"/>
      <c r="CJ921" s="1"/>
      <c r="CK921" s="1"/>
      <c r="CL921" s="1"/>
    </row>
    <row r="922" spans="1:90" ht="14.65" x14ac:dyDescent="0.4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2"/>
      <c r="L922" s="1"/>
      <c r="M922" s="1"/>
      <c r="N922" s="1"/>
      <c r="O922" s="1"/>
      <c r="P922" s="1"/>
      <c r="Q922" s="1"/>
      <c r="R922" s="1"/>
      <c r="S922" s="1"/>
      <c r="T922" s="8"/>
      <c r="U922" s="3"/>
      <c r="V922" s="1"/>
      <c r="W922" s="1"/>
      <c r="X922" s="1"/>
      <c r="Y922" s="1"/>
      <c r="Z922" s="1"/>
      <c r="AA922" s="1"/>
      <c r="AB922" s="1"/>
      <c r="AC922" s="2"/>
      <c r="AD922" s="1"/>
      <c r="AE922" s="1"/>
      <c r="AF922" s="1"/>
      <c r="AG922" s="1"/>
      <c r="AH922" s="1"/>
      <c r="AI922" s="1"/>
      <c r="AJ922" s="1"/>
      <c r="AK922" s="1"/>
      <c r="AL922" s="2"/>
      <c r="AM922" s="1"/>
      <c r="AN922" s="1"/>
      <c r="AO922" s="1"/>
      <c r="AP922" s="1"/>
      <c r="AQ922" s="1"/>
      <c r="AR922" s="1"/>
      <c r="AS922" s="1"/>
      <c r="AT922" s="1"/>
      <c r="AU922" s="2"/>
      <c r="AV922" s="1"/>
      <c r="AW922" s="1"/>
      <c r="AX922" s="1"/>
      <c r="AY922" s="1"/>
      <c r="AZ922" s="1"/>
      <c r="BA922" s="1"/>
      <c r="BB922" s="1"/>
      <c r="BC922" s="1"/>
      <c r="BD922" s="2"/>
      <c r="BE922" s="1"/>
      <c r="BF922" s="1"/>
      <c r="BG922" s="1"/>
      <c r="BH922" s="1"/>
      <c r="BI922" s="1"/>
      <c r="BJ922" s="1"/>
      <c r="BK922" s="1"/>
      <c r="BL922" s="1"/>
      <c r="BM922" s="2"/>
      <c r="BN922" s="1"/>
      <c r="BO922" s="1"/>
      <c r="BP922" s="1"/>
      <c r="BQ922" s="1"/>
      <c r="BR922" s="1"/>
      <c r="BS922" s="1"/>
      <c r="BT922" s="1"/>
      <c r="BU922" s="1"/>
      <c r="BV922" s="2"/>
      <c r="BW922" s="1"/>
      <c r="BX922" s="1"/>
      <c r="BY922" s="1"/>
      <c r="BZ922" s="1"/>
      <c r="CA922" s="1"/>
      <c r="CB922" s="1"/>
      <c r="CC922" s="1"/>
      <c r="CD922" s="1"/>
      <c r="CE922" s="2"/>
      <c r="CF922" s="1"/>
      <c r="CG922" s="1"/>
      <c r="CH922" s="1"/>
      <c r="CI922" s="1"/>
      <c r="CJ922" s="1"/>
      <c r="CK922" s="1"/>
      <c r="CL922" s="1"/>
    </row>
    <row r="923" spans="1:90" ht="14.65" x14ac:dyDescent="0.4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2"/>
      <c r="L923" s="1"/>
      <c r="M923" s="1"/>
      <c r="N923" s="1"/>
      <c r="O923" s="1"/>
      <c r="P923" s="1"/>
      <c r="Q923" s="1"/>
      <c r="R923" s="1"/>
      <c r="S923" s="1"/>
      <c r="T923" s="8"/>
      <c r="U923" s="3"/>
      <c r="V923" s="1"/>
      <c r="W923" s="1"/>
      <c r="X923" s="1"/>
      <c r="Y923" s="1"/>
      <c r="Z923" s="1"/>
      <c r="AA923" s="1"/>
      <c r="AB923" s="1"/>
      <c r="AC923" s="2"/>
      <c r="AD923" s="1"/>
      <c r="AE923" s="1"/>
      <c r="AF923" s="1"/>
      <c r="AG923" s="1"/>
      <c r="AH923" s="1"/>
      <c r="AI923" s="1"/>
      <c r="AJ923" s="1"/>
      <c r="AK923" s="1"/>
      <c r="AL923" s="2"/>
      <c r="AM923" s="1"/>
      <c r="AN923" s="1"/>
      <c r="AO923" s="1"/>
      <c r="AP923" s="1"/>
      <c r="AQ923" s="1"/>
      <c r="AR923" s="1"/>
      <c r="AS923" s="1"/>
      <c r="AT923" s="1"/>
      <c r="AU923" s="2"/>
      <c r="AV923" s="1"/>
      <c r="AW923" s="1"/>
      <c r="AX923" s="1"/>
      <c r="AY923" s="1"/>
      <c r="AZ923" s="1"/>
      <c r="BA923" s="1"/>
      <c r="BB923" s="1"/>
      <c r="BC923" s="1"/>
      <c r="BD923" s="2"/>
      <c r="BE923" s="1"/>
      <c r="BF923" s="1"/>
      <c r="BG923" s="1"/>
      <c r="BH923" s="1"/>
      <c r="BI923" s="1"/>
      <c r="BJ923" s="1"/>
      <c r="BK923" s="1"/>
      <c r="BL923" s="1"/>
      <c r="BM923" s="2"/>
      <c r="BN923" s="1"/>
      <c r="BO923" s="1"/>
      <c r="BP923" s="1"/>
      <c r="BQ923" s="1"/>
      <c r="BR923" s="1"/>
      <c r="BS923" s="1"/>
      <c r="BT923" s="1"/>
      <c r="BU923" s="1"/>
      <c r="BV923" s="2"/>
      <c r="BW923" s="1"/>
      <c r="BX923" s="1"/>
      <c r="BY923" s="1"/>
      <c r="BZ923" s="1"/>
      <c r="CA923" s="1"/>
      <c r="CB923" s="1"/>
      <c r="CC923" s="1"/>
      <c r="CD923" s="1"/>
      <c r="CE923" s="2"/>
      <c r="CF923" s="1"/>
      <c r="CG923" s="1"/>
      <c r="CH923" s="1"/>
      <c r="CI923" s="1"/>
      <c r="CJ923" s="1"/>
      <c r="CK923" s="1"/>
      <c r="CL923" s="1"/>
    </row>
    <row r="924" spans="1:90" ht="14.65" x14ac:dyDescent="0.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2"/>
      <c r="L924" s="1"/>
      <c r="M924" s="1"/>
      <c r="N924" s="1"/>
      <c r="O924" s="1"/>
      <c r="P924" s="1"/>
      <c r="Q924" s="1"/>
      <c r="R924" s="1"/>
      <c r="S924" s="1"/>
      <c r="T924" s="8"/>
      <c r="U924" s="3"/>
      <c r="V924" s="1"/>
      <c r="W924" s="1"/>
      <c r="X924" s="1"/>
      <c r="Y924" s="1"/>
      <c r="Z924" s="1"/>
      <c r="AA924" s="1"/>
      <c r="AB924" s="1"/>
      <c r="AC924" s="2"/>
      <c r="AD924" s="1"/>
      <c r="AE924" s="1"/>
      <c r="AF924" s="1"/>
      <c r="AG924" s="1"/>
      <c r="AH924" s="1"/>
      <c r="AI924" s="1"/>
      <c r="AJ924" s="1"/>
      <c r="AK924" s="1"/>
      <c r="AL924" s="2"/>
      <c r="AM924" s="1"/>
      <c r="AN924" s="1"/>
      <c r="AO924" s="1"/>
      <c r="AP924" s="1"/>
      <c r="AQ924" s="1"/>
      <c r="AR924" s="1"/>
      <c r="AS924" s="1"/>
      <c r="AT924" s="1"/>
      <c r="AU924" s="2"/>
      <c r="AV924" s="1"/>
      <c r="AW924" s="1"/>
      <c r="AX924" s="1"/>
      <c r="AY924" s="1"/>
      <c r="AZ924" s="1"/>
      <c r="BA924" s="1"/>
      <c r="BB924" s="1"/>
      <c r="BC924" s="1"/>
      <c r="BD924" s="2"/>
      <c r="BE924" s="1"/>
      <c r="BF924" s="1"/>
      <c r="BG924" s="1"/>
      <c r="BH924" s="1"/>
      <c r="BI924" s="1"/>
      <c r="BJ924" s="1"/>
      <c r="BK924" s="1"/>
      <c r="BL924" s="1"/>
      <c r="BM924" s="2"/>
      <c r="BN924" s="1"/>
      <c r="BO924" s="1"/>
      <c r="BP924" s="1"/>
      <c r="BQ924" s="1"/>
      <c r="BR924" s="1"/>
      <c r="BS924" s="1"/>
      <c r="BT924" s="1"/>
      <c r="BU924" s="1"/>
      <c r="BV924" s="2"/>
      <c r="BW924" s="1"/>
      <c r="BX924" s="1"/>
      <c r="BY924" s="1"/>
      <c r="BZ924" s="1"/>
      <c r="CA924" s="1"/>
      <c r="CB924" s="1"/>
      <c r="CC924" s="1"/>
      <c r="CD924" s="1"/>
      <c r="CE924" s="2"/>
      <c r="CF924" s="1"/>
      <c r="CG924" s="1"/>
      <c r="CH924" s="1"/>
      <c r="CI924" s="1"/>
      <c r="CJ924" s="1"/>
      <c r="CK924" s="1"/>
      <c r="CL924" s="1"/>
    </row>
    <row r="925" spans="1:90" ht="14.65" x14ac:dyDescent="0.4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2"/>
      <c r="L925" s="1"/>
      <c r="M925" s="1"/>
      <c r="N925" s="1"/>
      <c r="O925" s="1"/>
      <c r="P925" s="1"/>
      <c r="Q925" s="1"/>
      <c r="R925" s="1"/>
      <c r="S925" s="1"/>
      <c r="T925" s="8"/>
      <c r="U925" s="3"/>
      <c r="V925" s="1"/>
      <c r="W925" s="1"/>
      <c r="X925" s="1"/>
      <c r="Y925" s="1"/>
      <c r="Z925" s="1"/>
      <c r="AA925" s="1"/>
      <c r="AB925" s="1"/>
      <c r="AC925" s="2"/>
      <c r="AD925" s="1"/>
      <c r="AE925" s="1"/>
      <c r="AF925" s="1"/>
      <c r="AG925" s="1"/>
      <c r="AH925" s="1"/>
      <c r="AI925" s="1"/>
      <c r="AJ925" s="1"/>
      <c r="AK925" s="1"/>
      <c r="AL925" s="2"/>
      <c r="AM925" s="1"/>
      <c r="AN925" s="1"/>
      <c r="AO925" s="1"/>
      <c r="AP925" s="1"/>
      <c r="AQ925" s="1"/>
      <c r="AR925" s="1"/>
      <c r="AS925" s="1"/>
      <c r="AT925" s="1"/>
      <c r="AU925" s="2"/>
      <c r="AV925" s="1"/>
      <c r="AW925" s="1"/>
      <c r="AX925" s="1"/>
      <c r="AY925" s="1"/>
      <c r="AZ925" s="1"/>
      <c r="BA925" s="1"/>
      <c r="BB925" s="1"/>
      <c r="BC925" s="1"/>
      <c r="BD925" s="2"/>
      <c r="BE925" s="1"/>
      <c r="BF925" s="1"/>
      <c r="BG925" s="1"/>
      <c r="BH925" s="1"/>
      <c r="BI925" s="1"/>
      <c r="BJ925" s="1"/>
      <c r="BK925" s="1"/>
      <c r="BL925" s="1"/>
      <c r="BM925" s="2"/>
      <c r="BN925" s="1"/>
      <c r="BO925" s="1"/>
      <c r="BP925" s="1"/>
      <c r="BQ925" s="1"/>
      <c r="BR925" s="1"/>
      <c r="BS925" s="1"/>
      <c r="BT925" s="1"/>
      <c r="BU925" s="1"/>
      <c r="BV925" s="2"/>
      <c r="BW925" s="1"/>
      <c r="BX925" s="1"/>
      <c r="BY925" s="1"/>
      <c r="BZ925" s="1"/>
      <c r="CA925" s="1"/>
      <c r="CB925" s="1"/>
      <c r="CC925" s="1"/>
      <c r="CD925" s="1"/>
      <c r="CE925" s="2"/>
      <c r="CF925" s="1"/>
      <c r="CG925" s="1"/>
      <c r="CH925" s="1"/>
      <c r="CI925" s="1"/>
      <c r="CJ925" s="1"/>
      <c r="CK925" s="1"/>
      <c r="CL925" s="1"/>
    </row>
    <row r="926" spans="1:90" ht="14.65" x14ac:dyDescent="0.4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2"/>
      <c r="L926" s="1"/>
      <c r="M926" s="1"/>
      <c r="N926" s="1"/>
      <c r="O926" s="1"/>
      <c r="P926" s="1"/>
      <c r="Q926" s="1"/>
      <c r="R926" s="1"/>
      <c r="S926" s="1"/>
      <c r="T926" s="8"/>
      <c r="U926" s="3"/>
      <c r="V926" s="1"/>
      <c r="W926" s="1"/>
      <c r="X926" s="1"/>
      <c r="Y926" s="1"/>
      <c r="Z926" s="1"/>
      <c r="AA926" s="1"/>
      <c r="AB926" s="1"/>
      <c r="AC926" s="2"/>
      <c r="AD926" s="1"/>
      <c r="AE926" s="1"/>
      <c r="AF926" s="1"/>
      <c r="AG926" s="1"/>
      <c r="AH926" s="1"/>
      <c r="AI926" s="1"/>
      <c r="AJ926" s="1"/>
      <c r="AK926" s="1"/>
      <c r="AL926" s="2"/>
      <c r="AM926" s="1"/>
      <c r="AN926" s="1"/>
      <c r="AO926" s="1"/>
      <c r="AP926" s="1"/>
      <c r="AQ926" s="1"/>
      <c r="AR926" s="1"/>
      <c r="AS926" s="1"/>
      <c r="AT926" s="1"/>
      <c r="AU926" s="2"/>
      <c r="AV926" s="1"/>
      <c r="AW926" s="1"/>
      <c r="AX926" s="1"/>
      <c r="AY926" s="1"/>
      <c r="AZ926" s="1"/>
      <c r="BA926" s="1"/>
      <c r="BB926" s="1"/>
      <c r="BC926" s="1"/>
      <c r="BD926" s="2"/>
      <c r="BE926" s="1"/>
      <c r="BF926" s="1"/>
      <c r="BG926" s="1"/>
      <c r="BH926" s="1"/>
      <c r="BI926" s="1"/>
      <c r="BJ926" s="1"/>
      <c r="BK926" s="1"/>
      <c r="BL926" s="1"/>
      <c r="BM926" s="2"/>
      <c r="BN926" s="1"/>
      <c r="BO926" s="1"/>
      <c r="BP926" s="1"/>
      <c r="BQ926" s="1"/>
      <c r="BR926" s="1"/>
      <c r="BS926" s="1"/>
      <c r="BT926" s="1"/>
      <c r="BU926" s="1"/>
      <c r="BV926" s="2"/>
      <c r="BW926" s="1"/>
      <c r="BX926" s="1"/>
      <c r="BY926" s="1"/>
      <c r="BZ926" s="1"/>
      <c r="CA926" s="1"/>
      <c r="CB926" s="1"/>
      <c r="CC926" s="1"/>
      <c r="CD926" s="1"/>
      <c r="CE926" s="2"/>
      <c r="CF926" s="1"/>
      <c r="CG926" s="1"/>
      <c r="CH926" s="1"/>
      <c r="CI926" s="1"/>
      <c r="CJ926" s="1"/>
      <c r="CK926" s="1"/>
      <c r="CL926" s="1"/>
    </row>
    <row r="927" spans="1:90" ht="14.65" x14ac:dyDescent="0.4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2"/>
      <c r="L927" s="1"/>
      <c r="M927" s="1"/>
      <c r="N927" s="1"/>
      <c r="O927" s="1"/>
      <c r="P927" s="1"/>
      <c r="Q927" s="1"/>
      <c r="R927" s="1"/>
      <c r="S927" s="1"/>
      <c r="T927" s="8"/>
      <c r="U927" s="3"/>
      <c r="V927" s="1"/>
      <c r="W927" s="1"/>
      <c r="X927" s="1"/>
      <c r="Y927" s="1"/>
      <c r="Z927" s="1"/>
      <c r="AA927" s="1"/>
      <c r="AB927" s="1"/>
      <c r="AC927" s="2"/>
      <c r="AD927" s="1"/>
      <c r="AE927" s="1"/>
      <c r="AF927" s="1"/>
      <c r="AG927" s="1"/>
      <c r="AH927" s="1"/>
      <c r="AI927" s="1"/>
      <c r="AJ927" s="1"/>
      <c r="AK927" s="1"/>
      <c r="AL927" s="2"/>
      <c r="AM927" s="1"/>
      <c r="AN927" s="1"/>
      <c r="AO927" s="1"/>
      <c r="AP927" s="1"/>
      <c r="AQ927" s="1"/>
      <c r="AR927" s="1"/>
      <c r="AS927" s="1"/>
      <c r="AT927" s="1"/>
      <c r="AU927" s="2"/>
      <c r="AV927" s="1"/>
      <c r="AW927" s="1"/>
      <c r="AX927" s="1"/>
      <c r="AY927" s="1"/>
      <c r="AZ927" s="1"/>
      <c r="BA927" s="1"/>
      <c r="BB927" s="1"/>
      <c r="BC927" s="1"/>
      <c r="BD927" s="2"/>
      <c r="BE927" s="1"/>
      <c r="BF927" s="1"/>
      <c r="BG927" s="1"/>
      <c r="BH927" s="1"/>
      <c r="BI927" s="1"/>
      <c r="BJ927" s="1"/>
      <c r="BK927" s="1"/>
      <c r="BL927" s="1"/>
      <c r="BM927" s="2"/>
      <c r="BN927" s="1"/>
      <c r="BO927" s="1"/>
      <c r="BP927" s="1"/>
      <c r="BQ927" s="1"/>
      <c r="BR927" s="1"/>
      <c r="BS927" s="1"/>
      <c r="BT927" s="1"/>
      <c r="BU927" s="1"/>
      <c r="BV927" s="2"/>
      <c r="BW927" s="1"/>
      <c r="BX927" s="1"/>
      <c r="BY927" s="1"/>
      <c r="BZ927" s="1"/>
      <c r="CA927" s="1"/>
      <c r="CB927" s="1"/>
      <c r="CC927" s="1"/>
      <c r="CD927" s="1"/>
      <c r="CE927" s="2"/>
      <c r="CF927" s="1"/>
      <c r="CG927" s="1"/>
      <c r="CH927" s="1"/>
      <c r="CI927" s="1"/>
      <c r="CJ927" s="1"/>
      <c r="CK927" s="1"/>
      <c r="CL927" s="1"/>
    </row>
    <row r="928" spans="1:90" ht="14.65" x14ac:dyDescent="0.4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2"/>
      <c r="L928" s="1"/>
      <c r="M928" s="1"/>
      <c r="N928" s="1"/>
      <c r="O928" s="1"/>
      <c r="P928" s="1"/>
      <c r="Q928" s="1"/>
      <c r="R928" s="1"/>
      <c r="S928" s="1"/>
      <c r="T928" s="2"/>
      <c r="U928" s="1"/>
      <c r="V928" s="1"/>
      <c r="W928" s="1"/>
      <c r="X928" s="1"/>
      <c r="Y928" s="1"/>
      <c r="Z928" s="1"/>
      <c r="AA928" s="1"/>
      <c r="AB928" s="1"/>
      <c r="AC928" s="2"/>
      <c r="AD928" s="1"/>
      <c r="AE928" s="1"/>
      <c r="AF928" s="1"/>
      <c r="AG928" s="1"/>
      <c r="AH928" s="1"/>
      <c r="AI928" s="1"/>
      <c r="AJ928" s="1"/>
      <c r="AK928" s="1"/>
      <c r="AL928" s="2"/>
      <c r="AM928" s="1"/>
      <c r="AN928" s="1"/>
      <c r="AO928" s="1"/>
      <c r="AP928" s="1"/>
      <c r="AQ928" s="1"/>
      <c r="AR928" s="1"/>
      <c r="AS928" s="1"/>
      <c r="AT928" s="1"/>
      <c r="AU928" s="2"/>
      <c r="AV928" s="1"/>
      <c r="AW928" s="1"/>
      <c r="AX928" s="1"/>
      <c r="AY928" s="1"/>
      <c r="AZ928" s="1"/>
      <c r="BA928" s="1"/>
      <c r="BB928" s="1"/>
      <c r="BC928" s="1"/>
      <c r="BD928" s="2"/>
      <c r="BE928" s="1"/>
      <c r="BF928" s="1"/>
      <c r="BG928" s="1"/>
      <c r="BH928" s="1"/>
      <c r="BI928" s="1"/>
      <c r="BJ928" s="1"/>
      <c r="BK928" s="1"/>
      <c r="BL928" s="1"/>
      <c r="BM928" s="2"/>
      <c r="BN928" s="1"/>
      <c r="BO928" s="1"/>
      <c r="BP928" s="1"/>
      <c r="BQ928" s="1"/>
      <c r="BR928" s="1"/>
      <c r="BS928" s="1"/>
      <c r="BT928" s="1"/>
      <c r="BU928" s="1"/>
      <c r="BV928" s="2"/>
      <c r="BW928" s="1"/>
      <c r="BX928" s="1"/>
      <c r="BY928" s="1"/>
      <c r="BZ928" s="1"/>
      <c r="CA928" s="1"/>
      <c r="CB928" s="1"/>
      <c r="CC928" s="1"/>
      <c r="CD928" s="1"/>
      <c r="CE928" s="2"/>
      <c r="CF928" s="1"/>
      <c r="CG928" s="1"/>
      <c r="CH928" s="1"/>
      <c r="CI928" s="1"/>
      <c r="CJ928" s="1"/>
      <c r="CK928" s="1"/>
      <c r="CL928" s="1"/>
    </row>
    <row r="929" spans="1:90" ht="14.65" x14ac:dyDescent="0.4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2"/>
      <c r="L929" s="1"/>
      <c r="M929" s="1"/>
      <c r="N929" s="1"/>
      <c r="O929" s="1"/>
      <c r="P929" s="1"/>
      <c r="Q929" s="1"/>
      <c r="R929" s="1"/>
      <c r="S929" s="1"/>
      <c r="T929" s="2"/>
      <c r="U929" s="1"/>
      <c r="V929" s="1"/>
      <c r="W929" s="1"/>
      <c r="X929" s="1"/>
      <c r="Y929" s="1"/>
      <c r="Z929" s="1"/>
      <c r="AA929" s="1"/>
      <c r="AB929" s="1"/>
      <c r="AC929" s="2"/>
      <c r="AD929" s="1"/>
      <c r="AE929" s="1"/>
      <c r="AF929" s="1"/>
      <c r="AG929" s="1"/>
      <c r="AH929" s="1"/>
      <c r="AI929" s="1"/>
      <c r="AJ929" s="1"/>
      <c r="AK929" s="1"/>
      <c r="AL929" s="2"/>
      <c r="AM929" s="1"/>
      <c r="AN929" s="1"/>
      <c r="AO929" s="1"/>
      <c r="AP929" s="1"/>
      <c r="AQ929" s="1"/>
      <c r="AR929" s="1"/>
      <c r="AS929" s="1"/>
      <c r="AT929" s="1"/>
      <c r="AU929" s="2"/>
      <c r="AV929" s="1"/>
      <c r="AW929" s="1"/>
      <c r="AX929" s="1"/>
      <c r="AY929" s="1"/>
      <c r="AZ929" s="1"/>
      <c r="BA929" s="1"/>
      <c r="BB929" s="1"/>
      <c r="BC929" s="1"/>
      <c r="BD929" s="2"/>
      <c r="BE929" s="1"/>
      <c r="BF929" s="1"/>
      <c r="BG929" s="1"/>
      <c r="BH929" s="1"/>
      <c r="BI929" s="1"/>
      <c r="BJ929" s="1"/>
      <c r="BK929" s="1"/>
      <c r="BL929" s="1"/>
      <c r="BM929" s="2"/>
      <c r="BN929" s="1"/>
      <c r="BO929" s="1"/>
      <c r="BP929" s="1"/>
      <c r="BQ929" s="1"/>
      <c r="BR929" s="1"/>
      <c r="BS929" s="1"/>
      <c r="BT929" s="1"/>
      <c r="BU929" s="1"/>
      <c r="BV929" s="2"/>
      <c r="BW929" s="1"/>
      <c r="BX929" s="1"/>
      <c r="BY929" s="1"/>
      <c r="BZ929" s="1"/>
      <c r="CA929" s="1"/>
      <c r="CB929" s="1"/>
      <c r="CC929" s="1"/>
      <c r="CD929" s="1"/>
      <c r="CE929" s="2"/>
      <c r="CF929" s="1"/>
      <c r="CG929" s="1"/>
      <c r="CH929" s="1"/>
      <c r="CI929" s="1"/>
      <c r="CJ929" s="1"/>
      <c r="CK929" s="1"/>
      <c r="CL929" s="1"/>
    </row>
    <row r="930" spans="1:90" ht="14.65" x14ac:dyDescent="0.4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2"/>
      <c r="L930" s="1"/>
      <c r="M930" s="1"/>
      <c r="N930" s="1"/>
      <c r="O930" s="1"/>
      <c r="P930" s="1"/>
      <c r="Q930" s="1"/>
      <c r="R930" s="1"/>
      <c r="S930" s="1"/>
      <c r="T930" s="2"/>
      <c r="U930" s="1"/>
      <c r="V930" s="1"/>
      <c r="W930" s="1"/>
      <c r="X930" s="1"/>
      <c r="Y930" s="1"/>
      <c r="Z930" s="1"/>
      <c r="AA930" s="1"/>
      <c r="AB930" s="1"/>
      <c r="AC930" s="2"/>
      <c r="AD930" s="1"/>
      <c r="AE930" s="1"/>
      <c r="AF930" s="1"/>
      <c r="AG930" s="1"/>
      <c r="AH930" s="1"/>
      <c r="AI930" s="1"/>
      <c r="AJ930" s="1"/>
      <c r="AK930" s="1"/>
      <c r="AL930" s="2"/>
      <c r="AM930" s="1"/>
      <c r="AN930" s="1"/>
      <c r="AO930" s="1"/>
      <c r="AP930" s="1"/>
      <c r="AQ930" s="1"/>
      <c r="AR930" s="1"/>
      <c r="AS930" s="1"/>
      <c r="AT930" s="1"/>
      <c r="AU930" s="2"/>
      <c r="AV930" s="1"/>
      <c r="AW930" s="1"/>
      <c r="AX930" s="1"/>
      <c r="AY930" s="1"/>
      <c r="AZ930" s="1"/>
      <c r="BA930" s="1"/>
      <c r="BB930" s="1"/>
      <c r="BC930" s="1"/>
      <c r="BD930" s="2"/>
      <c r="BE930" s="1"/>
      <c r="BF930" s="1"/>
      <c r="BG930" s="1"/>
      <c r="BH930" s="1"/>
      <c r="BI930" s="1"/>
      <c r="BJ930" s="1"/>
      <c r="BK930" s="1"/>
      <c r="BL930" s="1"/>
      <c r="BM930" s="2"/>
      <c r="BN930" s="1"/>
      <c r="BO930" s="1"/>
      <c r="BP930" s="1"/>
      <c r="BQ930" s="1"/>
      <c r="BR930" s="1"/>
      <c r="BS930" s="1"/>
      <c r="BT930" s="1"/>
      <c r="BU930" s="1"/>
      <c r="BV930" s="2"/>
      <c r="BW930" s="1"/>
      <c r="BX930" s="1"/>
      <c r="BY930" s="1"/>
      <c r="BZ930" s="1"/>
      <c r="CA930" s="1"/>
      <c r="CB930" s="1"/>
      <c r="CC930" s="1"/>
      <c r="CD930" s="1"/>
      <c r="CE930" s="2"/>
      <c r="CF930" s="1"/>
      <c r="CG930" s="1"/>
      <c r="CH930" s="1"/>
      <c r="CI930" s="1"/>
      <c r="CJ930" s="1"/>
      <c r="CK930" s="1"/>
      <c r="CL930" s="1"/>
    </row>
    <row r="931" spans="1:90" ht="14.65" x14ac:dyDescent="0.4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2"/>
      <c r="L931" s="1"/>
      <c r="M931" s="1"/>
      <c r="N931" s="1"/>
      <c r="O931" s="1"/>
      <c r="P931" s="1"/>
      <c r="Q931" s="1"/>
      <c r="R931" s="1"/>
      <c r="S931" s="1"/>
      <c r="T931" s="2"/>
      <c r="U931" s="1"/>
      <c r="V931" s="1"/>
      <c r="W931" s="1"/>
      <c r="X931" s="1"/>
      <c r="Y931" s="1"/>
      <c r="Z931" s="1"/>
      <c r="AA931" s="1"/>
      <c r="AB931" s="1"/>
      <c r="AC931" s="2"/>
      <c r="AD931" s="1"/>
      <c r="AE931" s="1"/>
      <c r="AF931" s="1"/>
      <c r="AG931" s="1"/>
      <c r="AH931" s="1"/>
      <c r="AI931" s="1"/>
      <c r="AJ931" s="1"/>
      <c r="AK931" s="1"/>
      <c r="AL931" s="2"/>
      <c r="AM931" s="1"/>
      <c r="AN931" s="1"/>
      <c r="AO931" s="1"/>
      <c r="AP931" s="1"/>
      <c r="AQ931" s="1"/>
      <c r="AR931" s="1"/>
      <c r="AS931" s="1"/>
      <c r="AT931" s="1"/>
      <c r="AU931" s="2"/>
      <c r="AV931" s="1"/>
      <c r="AW931" s="1"/>
      <c r="AX931" s="1"/>
      <c r="AY931" s="1"/>
      <c r="AZ931" s="1"/>
      <c r="BA931" s="1"/>
      <c r="BB931" s="1"/>
      <c r="BC931" s="1"/>
      <c r="BD931" s="2"/>
      <c r="BE931" s="1"/>
      <c r="BF931" s="1"/>
      <c r="BG931" s="1"/>
      <c r="BH931" s="1"/>
      <c r="BI931" s="1"/>
      <c r="BJ931" s="1"/>
      <c r="BK931" s="1"/>
      <c r="BL931" s="1"/>
      <c r="BM931" s="2"/>
      <c r="BN931" s="1"/>
      <c r="BO931" s="1"/>
      <c r="BP931" s="1"/>
      <c r="BQ931" s="1"/>
      <c r="BR931" s="1"/>
      <c r="BS931" s="1"/>
      <c r="BT931" s="1"/>
      <c r="BU931" s="1"/>
      <c r="BV931" s="2"/>
      <c r="BW931" s="1"/>
      <c r="BX931" s="1"/>
      <c r="BY931" s="1"/>
      <c r="BZ931" s="1"/>
      <c r="CA931" s="1"/>
      <c r="CB931" s="1"/>
      <c r="CC931" s="1"/>
      <c r="CD931" s="1"/>
      <c r="CE931" s="2"/>
      <c r="CF931" s="1"/>
      <c r="CG931" s="1"/>
      <c r="CH931" s="1"/>
      <c r="CI931" s="1"/>
      <c r="CJ931" s="1"/>
      <c r="CK931" s="1"/>
      <c r="CL931" s="1"/>
    </row>
    <row r="932" spans="1:90" ht="14.65" x14ac:dyDescent="0.4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2"/>
      <c r="L932" s="1"/>
      <c r="M932" s="1"/>
      <c r="N932" s="1"/>
      <c r="O932" s="1"/>
      <c r="P932" s="1"/>
      <c r="Q932" s="1"/>
      <c r="R932" s="1"/>
      <c r="S932" s="1"/>
      <c r="T932" s="2"/>
      <c r="U932" s="1"/>
      <c r="V932" s="1"/>
      <c r="W932" s="1"/>
      <c r="X932" s="1"/>
      <c r="Y932" s="1"/>
      <c r="Z932" s="1"/>
      <c r="AA932" s="1"/>
      <c r="AB932" s="1"/>
      <c r="AC932" s="2"/>
      <c r="AD932" s="1"/>
      <c r="AE932" s="1"/>
      <c r="AF932" s="1"/>
      <c r="AG932" s="1"/>
      <c r="AH932" s="1"/>
      <c r="AI932" s="1"/>
      <c r="AJ932" s="1"/>
      <c r="AK932" s="1"/>
      <c r="AL932" s="2"/>
      <c r="AM932" s="1"/>
      <c r="AN932" s="1"/>
      <c r="AO932" s="1"/>
      <c r="AP932" s="1"/>
      <c r="AQ932" s="1"/>
      <c r="AR932" s="1"/>
      <c r="AS932" s="1"/>
      <c r="AT932" s="1"/>
      <c r="AU932" s="2"/>
      <c r="AV932" s="1"/>
      <c r="AW932" s="1"/>
      <c r="AX932" s="1"/>
      <c r="AY932" s="1"/>
      <c r="AZ932" s="1"/>
      <c r="BA932" s="1"/>
      <c r="BB932" s="1"/>
      <c r="BC932" s="1"/>
      <c r="BD932" s="2"/>
      <c r="BE932" s="1"/>
      <c r="BF932" s="1"/>
      <c r="BG932" s="1"/>
      <c r="BH932" s="1"/>
      <c r="BI932" s="1"/>
      <c r="BJ932" s="1"/>
      <c r="BK932" s="1"/>
      <c r="BL932" s="1"/>
      <c r="BM932" s="2"/>
      <c r="BN932" s="1"/>
      <c r="BO932" s="1"/>
      <c r="BP932" s="1"/>
      <c r="BQ932" s="1"/>
      <c r="BR932" s="1"/>
      <c r="BS932" s="1"/>
      <c r="BT932" s="1"/>
      <c r="BU932" s="1"/>
      <c r="BV932" s="2"/>
      <c r="BW932" s="1"/>
      <c r="BX932" s="1"/>
      <c r="BY932" s="1"/>
      <c r="BZ932" s="1"/>
      <c r="CA932" s="1"/>
      <c r="CB932" s="1"/>
      <c r="CC932" s="1"/>
      <c r="CD932" s="1"/>
      <c r="CE932" s="2"/>
      <c r="CF932" s="1"/>
      <c r="CG932" s="1"/>
      <c r="CH932" s="1"/>
      <c r="CI932" s="1"/>
      <c r="CJ932" s="1"/>
      <c r="CK932" s="1"/>
      <c r="CL932" s="1"/>
    </row>
    <row r="933" spans="1:90" ht="14.65" x14ac:dyDescent="0.4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2"/>
      <c r="L933" s="1"/>
      <c r="M933" s="1"/>
      <c r="N933" s="1"/>
      <c r="O933" s="1"/>
      <c r="P933" s="1"/>
      <c r="Q933" s="1"/>
      <c r="R933" s="1"/>
      <c r="S933" s="1"/>
      <c r="T933" s="2"/>
      <c r="U933" s="1"/>
      <c r="V933" s="1"/>
      <c r="W933" s="1"/>
      <c r="X933" s="1"/>
      <c r="Y933" s="1"/>
      <c r="Z933" s="1"/>
      <c r="AA933" s="1"/>
      <c r="AB933" s="1"/>
      <c r="AC933" s="2"/>
      <c r="AD933" s="1"/>
      <c r="AE933" s="1"/>
      <c r="AF933" s="1"/>
      <c r="AG933" s="1"/>
      <c r="AH933" s="1"/>
      <c r="AI933" s="1"/>
      <c r="AJ933" s="1"/>
      <c r="AK933" s="1"/>
      <c r="AL933" s="2"/>
      <c r="AM933" s="1"/>
      <c r="AN933" s="1"/>
      <c r="AO933" s="1"/>
      <c r="AP933" s="1"/>
      <c r="AQ933" s="1"/>
      <c r="AR933" s="1"/>
      <c r="AS933" s="1"/>
      <c r="AT933" s="1"/>
      <c r="AU933" s="2"/>
      <c r="AV933" s="1"/>
      <c r="AW933" s="1"/>
      <c r="AX933" s="1"/>
      <c r="AY933" s="1"/>
      <c r="AZ933" s="1"/>
      <c r="BA933" s="1"/>
      <c r="BB933" s="1"/>
      <c r="BC933" s="1"/>
      <c r="BD933" s="2"/>
      <c r="BE933" s="1"/>
      <c r="BF933" s="1"/>
      <c r="BG933" s="1"/>
      <c r="BH933" s="1"/>
      <c r="BI933" s="1"/>
      <c r="BJ933" s="1"/>
      <c r="BK933" s="1"/>
      <c r="BL933" s="1"/>
      <c r="BM933" s="2"/>
      <c r="BN933" s="1"/>
      <c r="BO933" s="1"/>
      <c r="BP933" s="1"/>
      <c r="BQ933" s="1"/>
      <c r="BR933" s="1"/>
      <c r="BS933" s="1"/>
      <c r="BT933" s="1"/>
      <c r="BU933" s="1"/>
      <c r="BV933" s="2"/>
      <c r="BW933" s="1"/>
      <c r="BX933" s="1"/>
      <c r="BY933" s="1"/>
      <c r="BZ933" s="1"/>
      <c r="CA933" s="1"/>
      <c r="CB933" s="1"/>
      <c r="CC933" s="1"/>
      <c r="CD933" s="1"/>
      <c r="CE933" s="2"/>
      <c r="CF933" s="1"/>
      <c r="CG933" s="1"/>
      <c r="CH933" s="1"/>
      <c r="CI933" s="1"/>
      <c r="CJ933" s="1"/>
      <c r="CK933" s="1"/>
      <c r="CL933" s="1"/>
    </row>
    <row r="934" spans="1:90" ht="14.65" x14ac:dyDescent="0.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2"/>
      <c r="L934" s="1"/>
      <c r="M934" s="1"/>
      <c r="N934" s="1"/>
      <c r="O934" s="1"/>
      <c r="P934" s="1"/>
      <c r="Q934" s="1"/>
      <c r="R934" s="1"/>
      <c r="S934" s="1"/>
      <c r="T934" s="2"/>
      <c r="U934" s="1"/>
      <c r="V934" s="1"/>
      <c r="W934" s="1"/>
      <c r="X934" s="1"/>
      <c r="Y934" s="1"/>
      <c r="Z934" s="1"/>
      <c r="AA934" s="1"/>
      <c r="AB934" s="1"/>
      <c r="AC934" s="2"/>
      <c r="AD934" s="1"/>
      <c r="AE934" s="1"/>
      <c r="AF934" s="1"/>
      <c r="AG934" s="1"/>
      <c r="AH934" s="1"/>
      <c r="AI934" s="1"/>
      <c r="AJ934" s="1"/>
      <c r="AK934" s="1"/>
      <c r="AL934" s="2"/>
      <c r="AM934" s="1"/>
      <c r="AN934" s="1"/>
      <c r="AO934" s="1"/>
      <c r="AP934" s="1"/>
      <c r="AQ934" s="1"/>
      <c r="AR934" s="1"/>
      <c r="AS934" s="1"/>
      <c r="AT934" s="1"/>
      <c r="AU934" s="2"/>
      <c r="AV934" s="1"/>
      <c r="AW934" s="1"/>
      <c r="AX934" s="1"/>
      <c r="AY934" s="1"/>
      <c r="AZ934" s="1"/>
      <c r="BA934" s="1"/>
      <c r="BB934" s="1"/>
      <c r="BC934" s="1"/>
      <c r="BD934" s="2"/>
      <c r="BE934" s="1"/>
      <c r="BF934" s="1"/>
      <c r="BG934" s="1"/>
      <c r="BH934" s="1"/>
      <c r="BI934" s="1"/>
      <c r="BJ934" s="1"/>
      <c r="BK934" s="1"/>
      <c r="BL934" s="1"/>
      <c r="BM934" s="2"/>
      <c r="BN934" s="1"/>
      <c r="BO934" s="1"/>
      <c r="BP934" s="1"/>
      <c r="BQ934" s="1"/>
      <c r="BR934" s="1"/>
      <c r="BS934" s="1"/>
      <c r="BT934" s="1"/>
      <c r="BU934" s="1"/>
      <c r="BV934" s="2"/>
      <c r="BW934" s="1"/>
      <c r="BX934" s="1"/>
      <c r="BY934" s="1"/>
      <c r="BZ934" s="1"/>
      <c r="CA934" s="1"/>
      <c r="CB934" s="1"/>
      <c r="CC934" s="1"/>
      <c r="CD934" s="1"/>
      <c r="CE934" s="2"/>
      <c r="CF934" s="1"/>
      <c r="CG934" s="1"/>
      <c r="CH934" s="1"/>
      <c r="CI934" s="1"/>
      <c r="CJ934" s="1"/>
      <c r="CK934" s="1"/>
      <c r="CL934" s="1"/>
    </row>
    <row r="935" spans="1:90" ht="14.65" x14ac:dyDescent="0.4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2"/>
      <c r="L935" s="1"/>
      <c r="M935" s="1"/>
      <c r="N935" s="1"/>
      <c r="O935" s="1"/>
      <c r="P935" s="1"/>
      <c r="Q935" s="1"/>
      <c r="R935" s="1"/>
      <c r="S935" s="1"/>
      <c r="T935" s="2"/>
      <c r="U935" s="1"/>
      <c r="V935" s="1"/>
      <c r="W935" s="1"/>
      <c r="X935" s="1"/>
      <c r="Y935" s="1"/>
      <c r="Z935" s="1"/>
      <c r="AA935" s="1"/>
      <c r="AB935" s="1"/>
      <c r="AC935" s="2"/>
      <c r="AD935" s="1"/>
      <c r="AE935" s="1"/>
      <c r="AF935" s="1"/>
      <c r="AG935" s="1"/>
      <c r="AH935" s="1"/>
      <c r="AI935" s="1"/>
      <c r="AJ935" s="1"/>
      <c r="AK935" s="1"/>
      <c r="AL935" s="2"/>
      <c r="AM935" s="1"/>
      <c r="AN935" s="1"/>
      <c r="AO935" s="1"/>
      <c r="AP935" s="1"/>
      <c r="AQ935" s="1"/>
      <c r="AR935" s="1"/>
      <c r="AS935" s="1"/>
      <c r="AT935" s="1"/>
      <c r="AU935" s="2"/>
      <c r="AV935" s="1"/>
      <c r="AW935" s="1"/>
      <c r="AX935" s="1"/>
      <c r="AY935" s="1"/>
      <c r="AZ935" s="1"/>
      <c r="BA935" s="1"/>
      <c r="BB935" s="1"/>
      <c r="BC935" s="1"/>
      <c r="BD935" s="2"/>
      <c r="BE935" s="1"/>
      <c r="BF935" s="1"/>
      <c r="BG935" s="1"/>
      <c r="BH935" s="1"/>
      <c r="BI935" s="1"/>
      <c r="BJ935" s="1"/>
      <c r="BK935" s="1"/>
      <c r="BL935" s="1"/>
      <c r="BM935" s="2"/>
      <c r="BN935" s="1"/>
      <c r="BO935" s="1"/>
      <c r="BP935" s="1"/>
      <c r="BQ935" s="1"/>
      <c r="BR935" s="1"/>
      <c r="BS935" s="1"/>
      <c r="BT935" s="1"/>
      <c r="BU935" s="1"/>
      <c r="BV935" s="2"/>
      <c r="BW935" s="1"/>
      <c r="BX935" s="1"/>
      <c r="BY935" s="1"/>
      <c r="BZ935" s="1"/>
      <c r="CA935" s="1"/>
      <c r="CB935" s="1"/>
      <c r="CC935" s="1"/>
      <c r="CD935" s="1"/>
      <c r="CE935" s="2"/>
      <c r="CF935" s="1"/>
      <c r="CG935" s="1"/>
      <c r="CH935" s="1"/>
      <c r="CI935" s="1"/>
      <c r="CJ935" s="1"/>
      <c r="CK935" s="1"/>
      <c r="CL935" s="1"/>
    </row>
    <row r="936" spans="1:90" ht="14.65" x14ac:dyDescent="0.4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2"/>
      <c r="L936" s="1"/>
      <c r="M936" s="1"/>
      <c r="N936" s="1"/>
      <c r="O936" s="1"/>
      <c r="P936" s="1"/>
      <c r="Q936" s="1"/>
      <c r="R936" s="1"/>
      <c r="S936" s="1"/>
      <c r="T936" s="2"/>
      <c r="U936" s="1"/>
      <c r="V936" s="1"/>
      <c r="W936" s="1"/>
      <c r="X936" s="1"/>
      <c r="Y936" s="1"/>
      <c r="Z936" s="1"/>
      <c r="AA936" s="1"/>
      <c r="AB936" s="1"/>
      <c r="AC936" s="2"/>
      <c r="AD936" s="1"/>
      <c r="AE936" s="1"/>
      <c r="AF936" s="1"/>
      <c r="AG936" s="1"/>
      <c r="AH936" s="1"/>
      <c r="AI936" s="1"/>
      <c r="AJ936" s="1"/>
      <c r="AK936" s="1"/>
      <c r="AL936" s="2"/>
      <c r="AM936" s="1"/>
      <c r="AN936" s="1"/>
      <c r="AO936" s="1"/>
      <c r="AP936" s="1"/>
      <c r="AQ936" s="1"/>
      <c r="AR936" s="1"/>
      <c r="AS936" s="1"/>
      <c r="AT936" s="1"/>
      <c r="AU936" s="2"/>
      <c r="AV936" s="1"/>
      <c r="AW936" s="1"/>
      <c r="AX936" s="1"/>
      <c r="AY936" s="1"/>
      <c r="AZ936" s="1"/>
      <c r="BA936" s="1"/>
      <c r="BB936" s="1"/>
      <c r="BC936" s="1"/>
      <c r="BD936" s="2"/>
      <c r="BE936" s="1"/>
      <c r="BF936" s="1"/>
      <c r="BG936" s="1"/>
      <c r="BH936" s="1"/>
      <c r="BI936" s="1"/>
      <c r="BJ936" s="1"/>
      <c r="BK936" s="1"/>
      <c r="BL936" s="1"/>
      <c r="BM936" s="2"/>
      <c r="BN936" s="1"/>
      <c r="BO936" s="1"/>
      <c r="BP936" s="1"/>
      <c r="BQ936" s="1"/>
      <c r="BR936" s="1"/>
      <c r="BS936" s="1"/>
      <c r="BT936" s="1"/>
      <c r="BU936" s="1"/>
      <c r="BV936" s="2"/>
      <c r="BW936" s="1"/>
      <c r="BX936" s="1"/>
      <c r="BY936" s="1"/>
      <c r="BZ936" s="1"/>
      <c r="CA936" s="1"/>
      <c r="CB936" s="1"/>
      <c r="CC936" s="1"/>
      <c r="CD936" s="1"/>
      <c r="CE936" s="2"/>
      <c r="CF936" s="1"/>
      <c r="CG936" s="1"/>
      <c r="CH936" s="1"/>
      <c r="CI936" s="1"/>
      <c r="CJ936" s="1"/>
      <c r="CK936" s="1"/>
      <c r="CL936" s="1"/>
    </row>
    <row r="937" spans="1:90" ht="14.65" x14ac:dyDescent="0.4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2"/>
      <c r="L937" s="1"/>
      <c r="M937" s="1"/>
      <c r="N937" s="1"/>
      <c r="O937" s="1"/>
      <c r="P937" s="1"/>
      <c r="Q937" s="1"/>
      <c r="R937" s="1"/>
      <c r="S937" s="1"/>
      <c r="T937" s="2"/>
      <c r="U937" s="1"/>
      <c r="V937" s="1"/>
      <c r="W937" s="1"/>
      <c r="X937" s="1"/>
      <c r="Y937" s="1"/>
      <c r="Z937" s="1"/>
      <c r="AA937" s="1"/>
      <c r="AB937" s="1"/>
      <c r="AC937" s="2"/>
      <c r="AD937" s="1"/>
      <c r="AE937" s="1"/>
      <c r="AF937" s="1"/>
      <c r="AG937" s="1"/>
      <c r="AH937" s="1"/>
      <c r="AI937" s="1"/>
      <c r="AJ937" s="1"/>
      <c r="AK937" s="1"/>
      <c r="AL937" s="2"/>
      <c r="AM937" s="1"/>
      <c r="AN937" s="1"/>
      <c r="AO937" s="1"/>
      <c r="AP937" s="1"/>
      <c r="AQ937" s="1"/>
      <c r="AR937" s="1"/>
      <c r="AS937" s="1"/>
      <c r="AT937" s="1"/>
      <c r="AU937" s="2"/>
      <c r="AV937" s="1"/>
      <c r="AW937" s="1"/>
      <c r="AX937" s="1"/>
      <c r="AY937" s="1"/>
      <c r="AZ937" s="1"/>
      <c r="BA937" s="1"/>
      <c r="BB937" s="1"/>
      <c r="BC937" s="1"/>
      <c r="BD937" s="2"/>
      <c r="BE937" s="1"/>
      <c r="BF937" s="1"/>
      <c r="BG937" s="1"/>
      <c r="BH937" s="1"/>
      <c r="BI937" s="1"/>
      <c r="BJ937" s="1"/>
      <c r="BK937" s="1"/>
      <c r="BL937" s="1"/>
      <c r="BM937" s="2"/>
      <c r="BN937" s="1"/>
      <c r="BO937" s="1"/>
      <c r="BP937" s="1"/>
      <c r="BQ937" s="1"/>
      <c r="BR937" s="1"/>
      <c r="BS937" s="1"/>
      <c r="BT937" s="1"/>
      <c r="BU937" s="1"/>
      <c r="BV937" s="2"/>
      <c r="BW937" s="1"/>
      <c r="BX937" s="1"/>
      <c r="BY937" s="1"/>
      <c r="BZ937" s="1"/>
      <c r="CA937" s="1"/>
      <c r="CB937" s="1"/>
      <c r="CC937" s="1"/>
      <c r="CD937" s="1"/>
      <c r="CE937" s="2"/>
      <c r="CF937" s="1"/>
      <c r="CG937" s="1"/>
      <c r="CH937" s="1"/>
      <c r="CI937" s="1"/>
      <c r="CJ937" s="1"/>
      <c r="CK937" s="1"/>
      <c r="CL937" s="1"/>
    </row>
    <row r="938" spans="1:90" ht="14.65" x14ac:dyDescent="0.4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2"/>
      <c r="L938" s="1"/>
      <c r="M938" s="1"/>
      <c r="N938" s="1"/>
      <c r="O938" s="1"/>
      <c r="P938" s="1"/>
      <c r="Q938" s="1"/>
      <c r="R938" s="1"/>
      <c r="S938" s="1"/>
      <c r="T938" s="2"/>
      <c r="U938" s="1"/>
      <c r="V938" s="1"/>
      <c r="W938" s="1"/>
      <c r="X938" s="1"/>
      <c r="Y938" s="1"/>
      <c r="Z938" s="1"/>
      <c r="AA938" s="1"/>
      <c r="AB938" s="1"/>
      <c r="AC938" s="2"/>
      <c r="AD938" s="1"/>
      <c r="AE938" s="1"/>
      <c r="AF938" s="1"/>
      <c r="AG938" s="1"/>
      <c r="AH938" s="1"/>
      <c r="AI938" s="1"/>
      <c r="AJ938" s="1"/>
      <c r="AK938" s="1"/>
      <c r="AL938" s="2"/>
      <c r="AM938" s="1"/>
      <c r="AN938" s="1"/>
      <c r="AO938" s="1"/>
      <c r="AP938" s="1"/>
      <c r="AQ938" s="1"/>
      <c r="AR938" s="1"/>
      <c r="AS938" s="1"/>
      <c r="AT938" s="1"/>
      <c r="AU938" s="2"/>
      <c r="AV938" s="1"/>
      <c r="AW938" s="1"/>
      <c r="AX938" s="1"/>
      <c r="AY938" s="1"/>
      <c r="AZ938" s="1"/>
      <c r="BA938" s="1"/>
      <c r="BB938" s="1"/>
      <c r="BC938" s="1"/>
      <c r="BD938" s="2"/>
      <c r="BE938" s="1"/>
      <c r="BF938" s="1"/>
      <c r="BG938" s="1"/>
      <c r="BH938" s="1"/>
      <c r="BI938" s="1"/>
      <c r="BJ938" s="1"/>
      <c r="BK938" s="1"/>
      <c r="BL938" s="1"/>
      <c r="BM938" s="2"/>
      <c r="BN938" s="1"/>
      <c r="BO938" s="1"/>
      <c r="BP938" s="1"/>
      <c r="BQ938" s="1"/>
      <c r="BR938" s="1"/>
      <c r="BS938" s="1"/>
      <c r="BT938" s="1"/>
      <c r="BU938" s="1"/>
      <c r="BV938" s="2"/>
      <c r="BW938" s="1"/>
      <c r="BX938" s="1"/>
      <c r="BY938" s="1"/>
      <c r="BZ938" s="1"/>
      <c r="CA938" s="1"/>
      <c r="CB938" s="1"/>
      <c r="CC938" s="1"/>
      <c r="CD938" s="1"/>
      <c r="CE938" s="2"/>
      <c r="CF938" s="1"/>
      <c r="CG938" s="1"/>
      <c r="CH938" s="1"/>
      <c r="CI938" s="1"/>
      <c r="CJ938" s="1"/>
      <c r="CK938" s="1"/>
      <c r="CL938" s="1"/>
    </row>
    <row r="939" spans="1:90" ht="14.65" x14ac:dyDescent="0.4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2"/>
      <c r="L939" s="1"/>
      <c r="M939" s="1"/>
      <c r="N939" s="1"/>
      <c r="O939" s="1"/>
      <c r="P939" s="1"/>
      <c r="Q939" s="1"/>
      <c r="R939" s="1"/>
      <c r="S939" s="1"/>
      <c r="T939" s="2"/>
      <c r="U939" s="1"/>
      <c r="V939" s="1"/>
      <c r="W939" s="1"/>
      <c r="X939" s="1"/>
      <c r="Y939" s="1"/>
      <c r="Z939" s="1"/>
      <c r="AA939" s="1"/>
      <c r="AB939" s="1"/>
      <c r="AC939" s="2"/>
      <c r="AD939" s="1"/>
      <c r="AE939" s="1"/>
      <c r="AF939" s="1"/>
      <c r="AG939" s="1"/>
      <c r="AH939" s="1"/>
      <c r="AI939" s="1"/>
      <c r="AJ939" s="1"/>
      <c r="AK939" s="1"/>
      <c r="AL939" s="2"/>
      <c r="AM939" s="1"/>
      <c r="AN939" s="1"/>
      <c r="AO939" s="1"/>
      <c r="AP939" s="1"/>
      <c r="AQ939" s="1"/>
      <c r="AR939" s="1"/>
      <c r="AS939" s="1"/>
      <c r="AT939" s="1"/>
      <c r="AU939" s="2"/>
      <c r="AV939" s="1"/>
      <c r="AW939" s="1"/>
      <c r="AX939" s="1"/>
      <c r="AY939" s="1"/>
      <c r="AZ939" s="1"/>
      <c r="BA939" s="1"/>
      <c r="BB939" s="1"/>
      <c r="BC939" s="1"/>
      <c r="BD939" s="2"/>
      <c r="BE939" s="1"/>
      <c r="BF939" s="1"/>
      <c r="BG939" s="1"/>
      <c r="BH939" s="1"/>
      <c r="BI939" s="1"/>
      <c r="BJ939" s="1"/>
      <c r="BK939" s="1"/>
      <c r="BL939" s="1"/>
      <c r="BM939" s="2"/>
      <c r="BN939" s="1"/>
      <c r="BO939" s="1"/>
      <c r="BP939" s="1"/>
      <c r="BQ939" s="1"/>
      <c r="BR939" s="1"/>
      <c r="BS939" s="1"/>
      <c r="BT939" s="1"/>
      <c r="BU939" s="1"/>
      <c r="BV939" s="2"/>
      <c r="BW939" s="1"/>
      <c r="BX939" s="1"/>
      <c r="BY939" s="1"/>
      <c r="BZ939" s="1"/>
      <c r="CA939" s="1"/>
      <c r="CB939" s="1"/>
      <c r="CC939" s="1"/>
      <c r="CD939" s="1"/>
      <c r="CE939" s="2"/>
      <c r="CF939" s="1"/>
      <c r="CG939" s="1"/>
      <c r="CH939" s="1"/>
      <c r="CI939" s="1"/>
      <c r="CJ939" s="1"/>
      <c r="CK939" s="1"/>
      <c r="CL939" s="1"/>
    </row>
    <row r="940" spans="1:90" ht="14.65" x14ac:dyDescent="0.4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2"/>
      <c r="L940" s="1"/>
      <c r="M940" s="1"/>
      <c r="N940" s="1"/>
      <c r="O940" s="1"/>
      <c r="P940" s="1"/>
      <c r="Q940" s="1"/>
      <c r="R940" s="1"/>
      <c r="S940" s="1"/>
      <c r="T940" s="2"/>
      <c r="U940" s="1"/>
      <c r="V940" s="1"/>
      <c r="W940" s="1"/>
      <c r="X940" s="1"/>
      <c r="Y940" s="1"/>
      <c r="Z940" s="1"/>
      <c r="AA940" s="1"/>
      <c r="AB940" s="1"/>
      <c r="AC940" s="2"/>
      <c r="AD940" s="1"/>
      <c r="AE940" s="1"/>
      <c r="AF940" s="1"/>
      <c r="AG940" s="1"/>
      <c r="AH940" s="1"/>
      <c r="AI940" s="1"/>
      <c r="AJ940" s="1"/>
      <c r="AK940" s="1"/>
      <c r="AL940" s="2"/>
      <c r="AM940" s="1"/>
      <c r="AN940" s="1"/>
      <c r="AO940" s="1"/>
      <c r="AP940" s="1"/>
      <c r="AQ940" s="1"/>
      <c r="AR940" s="1"/>
      <c r="AS940" s="1"/>
      <c r="AT940" s="1"/>
      <c r="AU940" s="2"/>
      <c r="AV940" s="1"/>
      <c r="AW940" s="1"/>
      <c r="AX940" s="1"/>
      <c r="AY940" s="1"/>
      <c r="AZ940" s="1"/>
      <c r="BA940" s="1"/>
      <c r="BB940" s="1"/>
      <c r="BC940" s="1"/>
      <c r="BD940" s="2"/>
      <c r="BE940" s="1"/>
      <c r="BF940" s="1"/>
      <c r="BG940" s="1"/>
      <c r="BH940" s="1"/>
      <c r="BI940" s="1"/>
      <c r="BJ940" s="1"/>
      <c r="BK940" s="1"/>
      <c r="BL940" s="1"/>
      <c r="BM940" s="2"/>
      <c r="BN940" s="1"/>
      <c r="BO940" s="1"/>
      <c r="BP940" s="1"/>
      <c r="BQ940" s="1"/>
      <c r="BR940" s="1"/>
      <c r="BS940" s="1"/>
      <c r="BT940" s="1"/>
      <c r="BU940" s="1"/>
      <c r="BV940" s="2"/>
      <c r="BW940" s="1"/>
      <c r="BX940" s="1"/>
      <c r="BY940" s="1"/>
      <c r="BZ940" s="1"/>
      <c r="CA940" s="1"/>
      <c r="CB940" s="1"/>
      <c r="CC940" s="1"/>
      <c r="CD940" s="1"/>
      <c r="CE940" s="2"/>
      <c r="CF940" s="1"/>
      <c r="CG940" s="1"/>
      <c r="CH940" s="1"/>
      <c r="CI940" s="1"/>
      <c r="CJ940" s="1"/>
      <c r="CK940" s="1"/>
      <c r="CL940" s="1"/>
    </row>
    <row r="941" spans="1:90" ht="14.65" x14ac:dyDescent="0.4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2"/>
      <c r="L941" s="1"/>
      <c r="M941" s="1"/>
      <c r="N941" s="1"/>
      <c r="O941" s="1"/>
      <c r="P941" s="1"/>
      <c r="Q941" s="1"/>
      <c r="R941" s="1"/>
      <c r="S941" s="1"/>
      <c r="T941" s="2"/>
      <c r="U941" s="1"/>
      <c r="V941" s="1"/>
      <c r="W941" s="1"/>
      <c r="X941" s="1"/>
      <c r="Y941" s="1"/>
      <c r="Z941" s="1"/>
      <c r="AA941" s="1"/>
      <c r="AB941" s="1"/>
      <c r="AC941" s="2"/>
      <c r="AD941" s="1"/>
      <c r="AE941" s="1"/>
      <c r="AF941" s="1"/>
      <c r="AG941" s="1"/>
      <c r="AH941" s="1"/>
      <c r="AI941" s="1"/>
      <c r="AJ941" s="1"/>
      <c r="AK941" s="1"/>
      <c r="AL941" s="2"/>
      <c r="AM941" s="1"/>
      <c r="AN941" s="1"/>
      <c r="AO941" s="1"/>
      <c r="AP941" s="1"/>
      <c r="AQ941" s="1"/>
      <c r="AR941" s="1"/>
      <c r="AS941" s="1"/>
      <c r="AT941" s="1"/>
      <c r="AU941" s="2"/>
      <c r="AV941" s="1"/>
      <c r="AW941" s="1"/>
      <c r="AX941" s="1"/>
      <c r="AY941" s="1"/>
      <c r="AZ941" s="1"/>
      <c r="BA941" s="1"/>
      <c r="BB941" s="1"/>
      <c r="BC941" s="1"/>
      <c r="BD941" s="2"/>
      <c r="BE941" s="1"/>
      <c r="BF941" s="1"/>
      <c r="BG941" s="1"/>
      <c r="BH941" s="1"/>
      <c r="BI941" s="1"/>
      <c r="BJ941" s="1"/>
      <c r="BK941" s="1"/>
      <c r="BL941" s="1"/>
      <c r="BM941" s="2"/>
      <c r="BN941" s="1"/>
      <c r="BO941" s="1"/>
      <c r="BP941" s="1"/>
      <c r="BQ941" s="1"/>
      <c r="BR941" s="1"/>
      <c r="BS941" s="1"/>
      <c r="BT941" s="1"/>
      <c r="BU941" s="1"/>
      <c r="BV941" s="2"/>
      <c r="BW941" s="1"/>
      <c r="BX941" s="1"/>
      <c r="BY941" s="1"/>
      <c r="BZ941" s="1"/>
      <c r="CA941" s="1"/>
      <c r="CB941" s="1"/>
      <c r="CC941" s="1"/>
      <c r="CD941" s="1"/>
      <c r="CE941" s="2"/>
      <c r="CF941" s="1"/>
      <c r="CG941" s="1"/>
      <c r="CH941" s="1"/>
      <c r="CI941" s="1"/>
      <c r="CJ941" s="1"/>
      <c r="CK941" s="1"/>
      <c r="CL941" s="1"/>
    </row>
    <row r="942" spans="1:90" ht="14.65" x14ac:dyDescent="0.4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2"/>
      <c r="L942" s="1"/>
      <c r="M942" s="1"/>
      <c r="N942" s="1"/>
      <c r="O942" s="1"/>
      <c r="P942" s="1"/>
      <c r="Q942" s="1"/>
      <c r="R942" s="1"/>
      <c r="S942" s="1"/>
      <c r="T942" s="2"/>
      <c r="U942" s="1"/>
      <c r="V942" s="1"/>
      <c r="W942" s="1"/>
      <c r="X942" s="1"/>
      <c r="Y942" s="1"/>
      <c r="Z942" s="1"/>
      <c r="AA942" s="1"/>
      <c r="AB942" s="1"/>
      <c r="AC942" s="2"/>
      <c r="AD942" s="1"/>
      <c r="AE942" s="1"/>
      <c r="AF942" s="1"/>
      <c r="AG942" s="1"/>
      <c r="AH942" s="1"/>
      <c r="AI942" s="1"/>
      <c r="AJ942" s="1"/>
      <c r="AK942" s="1"/>
      <c r="AL942" s="2"/>
      <c r="AM942" s="1"/>
      <c r="AN942" s="1"/>
      <c r="AO942" s="1"/>
      <c r="AP942" s="1"/>
      <c r="AQ942" s="1"/>
      <c r="AR942" s="1"/>
      <c r="AS942" s="1"/>
      <c r="AT942" s="1"/>
      <c r="AU942" s="2"/>
      <c r="AV942" s="1"/>
      <c r="AW942" s="1"/>
      <c r="AX942" s="1"/>
      <c r="AY942" s="1"/>
      <c r="AZ942" s="1"/>
      <c r="BA942" s="1"/>
      <c r="BB942" s="1"/>
      <c r="BC942" s="1"/>
      <c r="BD942" s="2"/>
      <c r="BE942" s="1"/>
      <c r="BF942" s="1"/>
      <c r="BG942" s="1"/>
      <c r="BH942" s="1"/>
      <c r="BI942" s="1"/>
      <c r="BJ942" s="1"/>
      <c r="BK942" s="1"/>
      <c r="BL942" s="1"/>
      <c r="BM942" s="2"/>
      <c r="BN942" s="1"/>
      <c r="BO942" s="1"/>
      <c r="BP942" s="1"/>
      <c r="BQ942" s="1"/>
      <c r="BR942" s="1"/>
      <c r="BS942" s="1"/>
      <c r="BT942" s="1"/>
      <c r="BU942" s="1"/>
      <c r="BV942" s="2"/>
      <c r="BW942" s="1"/>
      <c r="BX942" s="1"/>
      <c r="BY942" s="1"/>
      <c r="BZ942" s="1"/>
      <c r="CA942" s="1"/>
      <c r="CB942" s="1"/>
      <c r="CC942" s="1"/>
      <c r="CD942" s="1"/>
      <c r="CE942" s="2"/>
      <c r="CF942" s="1"/>
      <c r="CG942" s="1"/>
      <c r="CH942" s="1"/>
      <c r="CI942" s="1"/>
      <c r="CJ942" s="1"/>
      <c r="CK942" s="1"/>
      <c r="CL942" s="1"/>
    </row>
    <row r="943" spans="1:90" ht="14.65" x14ac:dyDescent="0.4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2"/>
      <c r="L943" s="1"/>
      <c r="M943" s="1"/>
      <c r="N943" s="1"/>
      <c r="O943" s="1"/>
      <c r="P943" s="1"/>
      <c r="Q943" s="1"/>
      <c r="R943" s="1"/>
      <c r="S943" s="1"/>
      <c r="T943" s="2"/>
      <c r="U943" s="1"/>
      <c r="V943" s="1"/>
      <c r="W943" s="1"/>
      <c r="X943" s="1"/>
      <c r="Y943" s="1"/>
      <c r="Z943" s="1"/>
      <c r="AA943" s="1"/>
      <c r="AB943" s="1"/>
      <c r="AC943" s="2"/>
      <c r="AD943" s="1"/>
      <c r="AE943" s="1"/>
      <c r="AF943" s="1"/>
      <c r="AG943" s="1"/>
      <c r="AH943" s="1"/>
      <c r="AI943" s="1"/>
      <c r="AJ943" s="1"/>
      <c r="AK943" s="1"/>
      <c r="AL943" s="2"/>
      <c r="AM943" s="1"/>
      <c r="AN943" s="1"/>
      <c r="AO943" s="1"/>
      <c r="AP943" s="1"/>
      <c r="AQ943" s="1"/>
      <c r="AR943" s="1"/>
      <c r="AS943" s="1"/>
      <c r="AT943" s="1"/>
      <c r="AU943" s="2"/>
      <c r="AV943" s="1"/>
      <c r="AW943" s="1"/>
      <c r="AX943" s="1"/>
      <c r="AY943" s="1"/>
      <c r="AZ943" s="1"/>
      <c r="BA943" s="1"/>
      <c r="BB943" s="1"/>
      <c r="BC943" s="1"/>
      <c r="BD943" s="2"/>
      <c r="BE943" s="1"/>
      <c r="BF943" s="1"/>
      <c r="BG943" s="1"/>
      <c r="BH943" s="1"/>
      <c r="BI943" s="1"/>
      <c r="BJ943" s="1"/>
      <c r="BK943" s="1"/>
      <c r="BL943" s="1"/>
      <c r="BM943" s="2"/>
      <c r="BN943" s="1"/>
      <c r="BO943" s="1"/>
      <c r="BP943" s="1"/>
      <c r="BQ943" s="1"/>
      <c r="BR943" s="1"/>
      <c r="BS943" s="1"/>
      <c r="BT943" s="1"/>
      <c r="BU943" s="1"/>
      <c r="BV943" s="2"/>
      <c r="BW943" s="1"/>
      <c r="BX943" s="1"/>
      <c r="BY943" s="1"/>
      <c r="BZ943" s="1"/>
      <c r="CA943" s="1"/>
      <c r="CB943" s="1"/>
      <c r="CC943" s="1"/>
      <c r="CD943" s="1"/>
      <c r="CE943" s="2"/>
      <c r="CF943" s="1"/>
      <c r="CG943" s="1"/>
      <c r="CH943" s="1"/>
      <c r="CI943" s="1"/>
      <c r="CJ943" s="1"/>
      <c r="CK943" s="1"/>
      <c r="CL943" s="1"/>
    </row>
    <row r="944" spans="1:90" ht="14.65" x14ac:dyDescent="0.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2"/>
      <c r="L944" s="1"/>
      <c r="M944" s="1"/>
      <c r="N944" s="1"/>
      <c r="O944" s="1"/>
      <c r="P944" s="1"/>
      <c r="Q944" s="1"/>
      <c r="R944" s="1"/>
      <c r="S944" s="1"/>
      <c r="T944" s="2"/>
      <c r="U944" s="1"/>
      <c r="V944" s="1"/>
      <c r="W944" s="1"/>
      <c r="X944" s="1"/>
      <c r="Y944" s="1"/>
      <c r="Z944" s="1"/>
      <c r="AA944" s="1"/>
      <c r="AB944" s="1"/>
      <c r="AC944" s="2"/>
      <c r="AD944" s="1"/>
      <c r="AE944" s="1"/>
      <c r="AF944" s="1"/>
      <c r="AG944" s="1"/>
      <c r="AH944" s="1"/>
      <c r="AI944" s="1"/>
      <c r="AJ944" s="1"/>
      <c r="AK944" s="1"/>
      <c r="AL944" s="2"/>
      <c r="AM944" s="1"/>
      <c r="AN944" s="1"/>
      <c r="AO944" s="1"/>
      <c r="AP944" s="1"/>
      <c r="AQ944" s="1"/>
      <c r="AR944" s="1"/>
      <c r="AS944" s="1"/>
      <c r="AT944" s="1"/>
      <c r="AU944" s="2"/>
      <c r="AV944" s="1"/>
      <c r="AW944" s="1"/>
      <c r="AX944" s="1"/>
      <c r="AY944" s="1"/>
      <c r="AZ944" s="1"/>
      <c r="BA944" s="1"/>
      <c r="BB944" s="1"/>
      <c r="BC944" s="1"/>
      <c r="BD944" s="2"/>
      <c r="BE944" s="1"/>
      <c r="BF944" s="1"/>
      <c r="BG944" s="1"/>
      <c r="BH944" s="1"/>
      <c r="BI944" s="1"/>
      <c r="BJ944" s="1"/>
      <c r="BK944" s="1"/>
      <c r="BL944" s="1"/>
      <c r="BM944" s="2"/>
      <c r="BN944" s="1"/>
      <c r="BO944" s="1"/>
      <c r="BP944" s="1"/>
      <c r="BQ944" s="1"/>
      <c r="BR944" s="1"/>
      <c r="BS944" s="1"/>
      <c r="BT944" s="1"/>
      <c r="BU944" s="1"/>
      <c r="BV944" s="2"/>
      <c r="BW944" s="1"/>
      <c r="BX944" s="1"/>
      <c r="BY944" s="1"/>
      <c r="BZ944" s="1"/>
      <c r="CA944" s="1"/>
      <c r="CB944" s="1"/>
      <c r="CC944" s="1"/>
      <c r="CD944" s="1"/>
      <c r="CE944" s="2"/>
      <c r="CF944" s="1"/>
      <c r="CG944" s="1"/>
      <c r="CH944" s="1"/>
      <c r="CI944" s="1"/>
      <c r="CJ944" s="1"/>
      <c r="CK944" s="1"/>
      <c r="CL944" s="1"/>
    </row>
    <row r="945" spans="1:90" ht="14.65" x14ac:dyDescent="0.4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2"/>
      <c r="L945" s="1"/>
      <c r="M945" s="1"/>
      <c r="N945" s="1"/>
      <c r="O945" s="1"/>
      <c r="P945" s="1"/>
      <c r="Q945" s="1"/>
      <c r="R945" s="1"/>
      <c r="S945" s="1"/>
      <c r="T945" s="2"/>
      <c r="U945" s="1"/>
      <c r="V945" s="1"/>
      <c r="W945" s="1"/>
      <c r="X945" s="1"/>
      <c r="Y945" s="1"/>
      <c r="Z945" s="1"/>
      <c r="AA945" s="1"/>
      <c r="AB945" s="1"/>
      <c r="AC945" s="2"/>
      <c r="AD945" s="1"/>
      <c r="AE945" s="1"/>
      <c r="AF945" s="1"/>
      <c r="AG945" s="1"/>
      <c r="AH945" s="1"/>
      <c r="AI945" s="1"/>
      <c r="AJ945" s="1"/>
      <c r="AK945" s="1"/>
      <c r="AL945" s="2"/>
      <c r="AM945" s="1"/>
      <c r="AN945" s="1"/>
      <c r="AO945" s="1"/>
      <c r="AP945" s="1"/>
      <c r="AQ945" s="1"/>
      <c r="AR945" s="1"/>
      <c r="AS945" s="1"/>
      <c r="AT945" s="1"/>
      <c r="AU945" s="2"/>
      <c r="AV945" s="1"/>
      <c r="AW945" s="1"/>
      <c r="AX945" s="1"/>
      <c r="AY945" s="1"/>
      <c r="AZ945" s="1"/>
      <c r="BA945" s="1"/>
      <c r="BB945" s="1"/>
      <c r="BC945" s="1"/>
      <c r="BD945" s="2"/>
      <c r="BE945" s="1"/>
      <c r="BF945" s="1"/>
      <c r="BG945" s="1"/>
      <c r="BH945" s="1"/>
      <c r="BI945" s="1"/>
      <c r="BJ945" s="1"/>
      <c r="BK945" s="1"/>
      <c r="BL945" s="1"/>
      <c r="BM945" s="2"/>
      <c r="BN945" s="1"/>
      <c r="BO945" s="1"/>
      <c r="BP945" s="1"/>
      <c r="BQ945" s="1"/>
      <c r="BR945" s="1"/>
      <c r="BS945" s="1"/>
      <c r="BT945" s="1"/>
      <c r="BU945" s="1"/>
      <c r="BV945" s="2"/>
      <c r="BW945" s="1"/>
      <c r="BX945" s="1"/>
      <c r="BY945" s="1"/>
      <c r="BZ945" s="1"/>
      <c r="CA945" s="1"/>
      <c r="CB945" s="1"/>
      <c r="CC945" s="1"/>
      <c r="CD945" s="1"/>
      <c r="CE945" s="2"/>
      <c r="CF945" s="1"/>
      <c r="CG945" s="1"/>
      <c r="CH945" s="1"/>
      <c r="CI945" s="1"/>
      <c r="CJ945" s="1"/>
      <c r="CK945" s="1"/>
      <c r="CL945" s="1"/>
    </row>
    <row r="946" spans="1:90" ht="14.65" x14ac:dyDescent="0.4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2"/>
      <c r="L946" s="1"/>
      <c r="M946" s="1"/>
      <c r="N946" s="1"/>
      <c r="O946" s="1"/>
      <c r="P946" s="1"/>
      <c r="Q946" s="1"/>
      <c r="R946" s="1"/>
      <c r="S946" s="1"/>
      <c r="T946" s="2"/>
      <c r="U946" s="1"/>
      <c r="V946" s="1"/>
      <c r="W946" s="1"/>
      <c r="X946" s="1"/>
      <c r="Y946" s="1"/>
      <c r="Z946" s="1"/>
      <c r="AA946" s="1"/>
      <c r="AB946" s="1"/>
      <c r="AC946" s="2"/>
      <c r="AD946" s="1"/>
      <c r="AE946" s="1"/>
      <c r="AF946" s="1"/>
      <c r="AG946" s="1"/>
      <c r="AH946" s="1"/>
      <c r="AI946" s="1"/>
      <c r="AJ946" s="1"/>
      <c r="AK946" s="1"/>
      <c r="AL946" s="2"/>
      <c r="AM946" s="1"/>
      <c r="AN946" s="1"/>
      <c r="AO946" s="1"/>
      <c r="AP946" s="1"/>
      <c r="AQ946" s="1"/>
      <c r="AR946" s="1"/>
      <c r="AS946" s="1"/>
      <c r="AT946" s="1"/>
      <c r="AU946" s="2"/>
      <c r="AV946" s="1"/>
      <c r="AW946" s="1"/>
      <c r="AX946" s="1"/>
      <c r="AY946" s="1"/>
      <c r="AZ946" s="1"/>
      <c r="BA946" s="1"/>
      <c r="BB946" s="1"/>
      <c r="BC946" s="1"/>
      <c r="BD946" s="2"/>
      <c r="BE946" s="1"/>
      <c r="BF946" s="1"/>
      <c r="BG946" s="1"/>
      <c r="BH946" s="1"/>
      <c r="BI946" s="1"/>
      <c r="BJ946" s="1"/>
      <c r="BK946" s="1"/>
      <c r="BL946" s="1"/>
      <c r="BM946" s="2"/>
      <c r="BN946" s="1"/>
      <c r="BO946" s="1"/>
      <c r="BP946" s="1"/>
      <c r="BQ946" s="1"/>
      <c r="BR946" s="1"/>
      <c r="BS946" s="1"/>
      <c r="BT946" s="1"/>
      <c r="BU946" s="1"/>
      <c r="BV946" s="2"/>
      <c r="BW946" s="1"/>
      <c r="BX946" s="1"/>
      <c r="BY946" s="1"/>
      <c r="BZ946" s="1"/>
      <c r="CA946" s="1"/>
      <c r="CB946" s="1"/>
      <c r="CC946" s="1"/>
      <c r="CD946" s="1"/>
      <c r="CE946" s="2"/>
      <c r="CF946" s="1"/>
      <c r="CG946" s="1"/>
      <c r="CH946" s="1"/>
      <c r="CI946" s="1"/>
      <c r="CJ946" s="1"/>
      <c r="CK946" s="1"/>
      <c r="CL946" s="1"/>
    </row>
    <row r="947" spans="1:90" ht="14.65" x14ac:dyDescent="0.4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2"/>
      <c r="L947" s="1"/>
      <c r="M947" s="1"/>
      <c r="N947" s="1"/>
      <c r="O947" s="1"/>
      <c r="P947" s="1"/>
      <c r="Q947" s="1"/>
      <c r="R947" s="1"/>
      <c r="S947" s="1"/>
      <c r="T947" s="2"/>
      <c r="U947" s="1"/>
      <c r="V947" s="1"/>
      <c r="W947" s="1"/>
      <c r="X947" s="1"/>
      <c r="Y947" s="1"/>
      <c r="Z947" s="1"/>
      <c r="AA947" s="1"/>
      <c r="AB947" s="1"/>
      <c r="AC947" s="2"/>
      <c r="AD947" s="1"/>
      <c r="AE947" s="1"/>
      <c r="AF947" s="1"/>
      <c r="AG947" s="1"/>
      <c r="AH947" s="1"/>
      <c r="AI947" s="1"/>
      <c r="AJ947" s="1"/>
      <c r="AK947" s="1"/>
      <c r="AL947" s="2"/>
      <c r="AM947" s="1"/>
      <c r="AN947" s="1"/>
      <c r="AO947" s="1"/>
      <c r="AP947" s="1"/>
      <c r="AQ947" s="1"/>
      <c r="AR947" s="1"/>
      <c r="AS947" s="1"/>
      <c r="AT947" s="1"/>
      <c r="AU947" s="2"/>
      <c r="AV947" s="1"/>
      <c r="AW947" s="1"/>
      <c r="AX947" s="1"/>
      <c r="AY947" s="1"/>
      <c r="AZ947" s="1"/>
      <c r="BA947" s="1"/>
      <c r="BB947" s="1"/>
      <c r="BC947" s="1"/>
      <c r="BD947" s="2"/>
      <c r="BE947" s="1"/>
      <c r="BF947" s="1"/>
      <c r="BG947" s="1"/>
      <c r="BH947" s="1"/>
      <c r="BI947" s="1"/>
      <c r="BJ947" s="1"/>
      <c r="BK947" s="1"/>
      <c r="BL947" s="1"/>
      <c r="BM947" s="2"/>
      <c r="BN947" s="1"/>
      <c r="BO947" s="1"/>
      <c r="BP947" s="1"/>
      <c r="BQ947" s="1"/>
      <c r="BR947" s="1"/>
      <c r="BS947" s="1"/>
      <c r="BT947" s="1"/>
      <c r="BU947" s="1"/>
      <c r="BV947" s="2"/>
      <c r="BW947" s="1"/>
      <c r="BX947" s="1"/>
      <c r="BY947" s="1"/>
      <c r="BZ947" s="1"/>
      <c r="CA947" s="1"/>
      <c r="CB947" s="1"/>
      <c r="CC947" s="1"/>
      <c r="CD947" s="1"/>
      <c r="CE947" s="2"/>
      <c r="CF947" s="1"/>
      <c r="CG947" s="1"/>
      <c r="CH947" s="1"/>
      <c r="CI947" s="1"/>
      <c r="CJ947" s="1"/>
      <c r="CK947" s="1"/>
      <c r="CL947" s="1"/>
    </row>
    <row r="948" spans="1:90" ht="14.65" x14ac:dyDescent="0.4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2"/>
      <c r="L948" s="1"/>
      <c r="M948" s="1"/>
      <c r="N948" s="1"/>
      <c r="O948" s="1"/>
      <c r="P948" s="1"/>
      <c r="Q948" s="1"/>
      <c r="R948" s="1"/>
      <c r="S948" s="1"/>
      <c r="T948" s="2"/>
      <c r="U948" s="1"/>
      <c r="V948" s="1"/>
      <c r="W948" s="1"/>
      <c r="X948" s="1"/>
      <c r="Y948" s="1"/>
      <c r="Z948" s="1"/>
      <c r="AA948" s="1"/>
      <c r="AB948" s="1"/>
      <c r="AC948" s="2"/>
      <c r="AD948" s="1"/>
      <c r="AE948" s="1"/>
      <c r="AF948" s="1"/>
      <c r="AG948" s="1"/>
      <c r="AH948" s="1"/>
      <c r="AI948" s="1"/>
      <c r="AJ948" s="1"/>
      <c r="AK948" s="1"/>
      <c r="AL948" s="2"/>
      <c r="AM948" s="1"/>
      <c r="AN948" s="1"/>
      <c r="AO948" s="1"/>
      <c r="AP948" s="1"/>
      <c r="AQ948" s="1"/>
      <c r="AR948" s="1"/>
      <c r="AS948" s="1"/>
      <c r="AT948" s="1"/>
      <c r="AU948" s="2"/>
      <c r="AV948" s="1"/>
      <c r="AW948" s="1"/>
      <c r="AX948" s="1"/>
      <c r="AY948" s="1"/>
      <c r="AZ948" s="1"/>
      <c r="BA948" s="1"/>
      <c r="BB948" s="1"/>
      <c r="BC948" s="1"/>
      <c r="BD948" s="2"/>
      <c r="BE948" s="1"/>
      <c r="BF948" s="1"/>
      <c r="BG948" s="1"/>
      <c r="BH948" s="1"/>
      <c r="BI948" s="1"/>
      <c r="BJ948" s="1"/>
      <c r="BK948" s="1"/>
      <c r="BL948" s="1"/>
      <c r="BM948" s="2"/>
      <c r="BN948" s="1"/>
      <c r="BO948" s="1"/>
      <c r="BP948" s="1"/>
      <c r="BQ948" s="1"/>
      <c r="BR948" s="1"/>
      <c r="BS948" s="1"/>
      <c r="BT948" s="1"/>
      <c r="BU948" s="1"/>
      <c r="BV948" s="2"/>
      <c r="BW948" s="1"/>
      <c r="BX948" s="1"/>
      <c r="BY948" s="1"/>
      <c r="BZ948" s="1"/>
      <c r="CA948" s="1"/>
      <c r="CB948" s="1"/>
      <c r="CC948" s="1"/>
      <c r="CD948" s="1"/>
      <c r="CE948" s="2"/>
      <c r="CF948" s="1"/>
      <c r="CG948" s="1"/>
      <c r="CH948" s="1"/>
      <c r="CI948" s="1"/>
      <c r="CJ948" s="1"/>
      <c r="CK948" s="1"/>
      <c r="CL948" s="1"/>
    </row>
    <row r="949" spans="1:90" ht="14.65" x14ac:dyDescent="0.4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2"/>
      <c r="L949" s="1"/>
      <c r="M949" s="1"/>
      <c r="N949" s="1"/>
      <c r="O949" s="1"/>
      <c r="P949" s="1"/>
      <c r="Q949" s="1"/>
      <c r="R949" s="1"/>
      <c r="S949" s="1"/>
      <c r="T949" s="2"/>
      <c r="U949" s="1"/>
      <c r="V949" s="1"/>
      <c r="W949" s="1"/>
      <c r="X949" s="1"/>
      <c r="Y949" s="1"/>
      <c r="Z949" s="1"/>
      <c r="AA949" s="1"/>
      <c r="AB949" s="1"/>
      <c r="AC949" s="2"/>
      <c r="AD949" s="1"/>
      <c r="AE949" s="1"/>
      <c r="AF949" s="1"/>
      <c r="AG949" s="1"/>
      <c r="AH949" s="1"/>
      <c r="AI949" s="1"/>
      <c r="AJ949" s="1"/>
      <c r="AK949" s="1"/>
      <c r="AL949" s="2"/>
      <c r="AM949" s="1"/>
      <c r="AN949" s="1"/>
      <c r="AO949" s="1"/>
      <c r="AP949" s="1"/>
      <c r="AQ949" s="1"/>
      <c r="AR949" s="1"/>
      <c r="AS949" s="1"/>
      <c r="AT949" s="1"/>
      <c r="AU949" s="2"/>
      <c r="AV949" s="1"/>
      <c r="AW949" s="1"/>
      <c r="AX949" s="1"/>
      <c r="AY949" s="1"/>
      <c r="AZ949" s="1"/>
      <c r="BA949" s="1"/>
      <c r="BB949" s="1"/>
      <c r="BC949" s="1"/>
      <c r="BD949" s="2"/>
      <c r="BE949" s="1"/>
      <c r="BF949" s="1"/>
      <c r="BG949" s="1"/>
      <c r="BH949" s="1"/>
      <c r="BI949" s="1"/>
      <c r="BJ949" s="1"/>
      <c r="BK949" s="1"/>
      <c r="BL949" s="1"/>
      <c r="BM949" s="2"/>
      <c r="BN949" s="1"/>
      <c r="BO949" s="1"/>
      <c r="BP949" s="1"/>
      <c r="BQ949" s="1"/>
      <c r="BR949" s="1"/>
      <c r="BS949" s="1"/>
      <c r="BT949" s="1"/>
      <c r="BU949" s="1"/>
      <c r="BV949" s="2"/>
      <c r="BW949" s="1"/>
      <c r="BX949" s="1"/>
      <c r="BY949" s="1"/>
      <c r="BZ949" s="1"/>
      <c r="CA949" s="1"/>
      <c r="CB949" s="1"/>
      <c r="CC949" s="1"/>
      <c r="CD949" s="1"/>
      <c r="CE949" s="2"/>
      <c r="CF949" s="1"/>
      <c r="CG949" s="1"/>
      <c r="CH949" s="1"/>
      <c r="CI949" s="1"/>
      <c r="CJ949" s="1"/>
      <c r="CK949" s="1"/>
      <c r="CL949" s="1"/>
    </row>
    <row r="950" spans="1:90" ht="14.65" x14ac:dyDescent="0.4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2"/>
      <c r="L950" s="1"/>
      <c r="M950" s="1"/>
      <c r="N950" s="1"/>
      <c r="O950" s="1"/>
      <c r="P950" s="1"/>
      <c r="Q950" s="1"/>
      <c r="R950" s="1"/>
      <c r="S950" s="1"/>
      <c r="T950" s="2"/>
      <c r="U950" s="1"/>
      <c r="V950" s="1"/>
      <c r="W950" s="1"/>
      <c r="X950" s="1"/>
      <c r="Y950" s="1"/>
      <c r="Z950" s="1"/>
      <c r="AA950" s="1"/>
      <c r="AB950" s="1"/>
      <c r="AC950" s="2"/>
      <c r="AD950" s="1"/>
      <c r="AE950" s="1"/>
      <c r="AF950" s="1"/>
      <c r="AG950" s="1"/>
      <c r="AH950" s="1"/>
      <c r="AI950" s="1"/>
      <c r="AJ950" s="1"/>
      <c r="AK950" s="1"/>
      <c r="AL950" s="2"/>
      <c r="AM950" s="1"/>
      <c r="AN950" s="1"/>
      <c r="AO950" s="1"/>
      <c r="AP950" s="1"/>
      <c r="AQ950" s="1"/>
      <c r="AR950" s="1"/>
      <c r="AS950" s="1"/>
      <c r="AT950" s="1"/>
      <c r="AU950" s="2"/>
      <c r="AV950" s="1"/>
      <c r="AW950" s="1"/>
      <c r="AX950" s="1"/>
      <c r="AY950" s="1"/>
      <c r="AZ950" s="1"/>
      <c r="BA950" s="1"/>
      <c r="BB950" s="1"/>
      <c r="BC950" s="1"/>
      <c r="BD950" s="2"/>
      <c r="BE950" s="1"/>
      <c r="BF950" s="1"/>
      <c r="BG950" s="1"/>
      <c r="BH950" s="1"/>
      <c r="BI950" s="1"/>
      <c r="BJ950" s="1"/>
      <c r="BK950" s="1"/>
      <c r="BL950" s="1"/>
      <c r="BM950" s="2"/>
      <c r="BN950" s="1"/>
      <c r="BO950" s="1"/>
      <c r="BP950" s="1"/>
      <c r="BQ950" s="1"/>
      <c r="BR950" s="1"/>
      <c r="BS950" s="1"/>
      <c r="BT950" s="1"/>
      <c r="BU950" s="1"/>
      <c r="BV950" s="2"/>
      <c r="BW950" s="1"/>
      <c r="BX950" s="1"/>
      <c r="BY950" s="1"/>
      <c r="BZ950" s="1"/>
      <c r="CA950" s="1"/>
      <c r="CB950" s="1"/>
      <c r="CC950" s="1"/>
      <c r="CD950" s="1"/>
      <c r="CE950" s="2"/>
      <c r="CF950" s="1"/>
      <c r="CG950" s="1"/>
      <c r="CH950" s="1"/>
      <c r="CI950" s="1"/>
      <c r="CJ950" s="1"/>
      <c r="CK950" s="1"/>
      <c r="CL950" s="1"/>
    </row>
    <row r="951" spans="1:90" ht="14.65" x14ac:dyDescent="0.4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2"/>
      <c r="L951" s="1"/>
      <c r="M951" s="1"/>
      <c r="N951" s="1"/>
      <c r="O951" s="1"/>
      <c r="P951" s="1"/>
      <c r="Q951" s="1"/>
      <c r="R951" s="1"/>
      <c r="S951" s="1"/>
      <c r="T951" s="2"/>
      <c r="U951" s="1"/>
      <c r="V951" s="1"/>
      <c r="W951" s="1"/>
      <c r="X951" s="1"/>
      <c r="Y951" s="1"/>
      <c r="Z951" s="1"/>
      <c r="AA951" s="1"/>
      <c r="AB951" s="1"/>
      <c r="AC951" s="2"/>
      <c r="AD951" s="1"/>
      <c r="AE951" s="1"/>
      <c r="AF951" s="1"/>
      <c r="AG951" s="1"/>
      <c r="AH951" s="1"/>
      <c r="AI951" s="1"/>
      <c r="AJ951" s="1"/>
      <c r="AK951" s="1"/>
      <c r="AL951" s="2"/>
      <c r="AM951" s="1"/>
      <c r="AN951" s="1"/>
      <c r="AO951" s="1"/>
      <c r="AP951" s="1"/>
      <c r="AQ951" s="1"/>
      <c r="AR951" s="1"/>
      <c r="AS951" s="1"/>
      <c r="AT951" s="1"/>
      <c r="AU951" s="2"/>
      <c r="AV951" s="1"/>
      <c r="AW951" s="1"/>
      <c r="AX951" s="1"/>
      <c r="AY951" s="1"/>
      <c r="AZ951" s="1"/>
      <c r="BA951" s="1"/>
      <c r="BB951" s="1"/>
      <c r="BC951" s="1"/>
      <c r="BD951" s="2"/>
      <c r="BE951" s="1"/>
      <c r="BF951" s="1"/>
      <c r="BG951" s="1"/>
      <c r="BH951" s="1"/>
      <c r="BI951" s="1"/>
      <c r="BJ951" s="1"/>
      <c r="BK951" s="1"/>
      <c r="BL951" s="1"/>
      <c r="BM951" s="2"/>
      <c r="BN951" s="1"/>
      <c r="BO951" s="1"/>
      <c r="BP951" s="1"/>
      <c r="BQ951" s="1"/>
      <c r="BR951" s="1"/>
      <c r="BS951" s="1"/>
      <c r="BT951" s="1"/>
      <c r="BU951" s="1"/>
      <c r="BV951" s="2"/>
      <c r="BW951" s="1"/>
      <c r="BX951" s="1"/>
      <c r="BY951" s="1"/>
      <c r="BZ951" s="1"/>
      <c r="CA951" s="1"/>
      <c r="CB951" s="1"/>
      <c r="CC951" s="1"/>
      <c r="CD951" s="1"/>
      <c r="CE951" s="2"/>
      <c r="CF951" s="1"/>
      <c r="CG951" s="1"/>
      <c r="CH951" s="1"/>
      <c r="CI951" s="1"/>
      <c r="CJ951" s="1"/>
      <c r="CK951" s="1"/>
      <c r="CL951" s="1"/>
    </row>
    <row r="952" spans="1:90" ht="14.65" x14ac:dyDescent="0.4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2"/>
      <c r="L952" s="1"/>
      <c r="M952" s="1"/>
      <c r="N952" s="1"/>
      <c r="O952" s="1"/>
      <c r="P952" s="1"/>
      <c r="Q952" s="1"/>
      <c r="R952" s="1"/>
      <c r="S952" s="1"/>
      <c r="T952" s="2"/>
      <c r="U952" s="1"/>
      <c r="V952" s="1"/>
      <c r="W952" s="1"/>
      <c r="X952" s="1"/>
      <c r="Y952" s="1"/>
      <c r="Z952" s="1"/>
      <c r="AA952" s="1"/>
      <c r="AB952" s="1"/>
      <c r="AC952" s="2"/>
      <c r="AD952" s="1"/>
      <c r="AE952" s="1"/>
      <c r="AF952" s="1"/>
      <c r="AG952" s="1"/>
      <c r="AH952" s="1"/>
      <c r="AI952" s="1"/>
      <c r="AJ952" s="1"/>
      <c r="AK952" s="1"/>
      <c r="AL952" s="2"/>
      <c r="AM952" s="1"/>
      <c r="AN952" s="1"/>
      <c r="AO952" s="1"/>
      <c r="AP952" s="1"/>
      <c r="AQ952" s="1"/>
      <c r="AR952" s="1"/>
      <c r="AS952" s="1"/>
      <c r="AT952" s="1"/>
      <c r="AU952" s="2"/>
      <c r="AV952" s="1"/>
      <c r="AW952" s="1"/>
      <c r="AX952" s="1"/>
      <c r="AY952" s="1"/>
      <c r="AZ952" s="1"/>
      <c r="BA952" s="1"/>
      <c r="BB952" s="1"/>
      <c r="BC952" s="1"/>
      <c r="BD952" s="2"/>
      <c r="BE952" s="1"/>
      <c r="BF952" s="1"/>
      <c r="BG952" s="1"/>
      <c r="BH952" s="1"/>
      <c r="BI952" s="1"/>
      <c r="BJ952" s="1"/>
      <c r="BK952" s="1"/>
      <c r="BL952" s="1"/>
      <c r="BM952" s="2"/>
      <c r="BN952" s="1"/>
      <c r="BO952" s="1"/>
      <c r="BP952" s="1"/>
      <c r="BQ952" s="1"/>
      <c r="BR952" s="1"/>
      <c r="BS952" s="1"/>
      <c r="BT952" s="1"/>
      <c r="BU952" s="1"/>
      <c r="BV952" s="2"/>
      <c r="BW952" s="1"/>
      <c r="BX952" s="1"/>
      <c r="BY952" s="1"/>
      <c r="BZ952" s="1"/>
      <c r="CA952" s="1"/>
      <c r="CB952" s="1"/>
      <c r="CC952" s="1"/>
      <c r="CD952" s="1"/>
      <c r="CE952" s="2"/>
      <c r="CF952" s="1"/>
      <c r="CG952" s="1"/>
      <c r="CH952" s="1"/>
      <c r="CI952" s="1"/>
      <c r="CJ952" s="1"/>
      <c r="CK952" s="1"/>
      <c r="CL952" s="1"/>
    </row>
    <row r="953" spans="1:90" ht="14.65" x14ac:dyDescent="0.4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2"/>
      <c r="L953" s="1"/>
      <c r="M953" s="1"/>
      <c r="N953" s="1"/>
      <c r="O953" s="1"/>
      <c r="P953" s="1"/>
      <c r="Q953" s="1"/>
      <c r="R953" s="1"/>
      <c r="S953" s="1"/>
      <c r="T953" s="2"/>
      <c r="U953" s="1"/>
      <c r="V953" s="1"/>
      <c r="W953" s="1"/>
      <c r="X953" s="1"/>
      <c r="Y953" s="1"/>
      <c r="Z953" s="1"/>
      <c r="AA953" s="1"/>
      <c r="AB953" s="1"/>
      <c r="AC953" s="2"/>
      <c r="AD953" s="1"/>
      <c r="AE953" s="1"/>
      <c r="AF953" s="1"/>
      <c r="AG953" s="1"/>
      <c r="AH953" s="1"/>
      <c r="AI953" s="1"/>
      <c r="AJ953" s="1"/>
      <c r="AK953" s="1"/>
      <c r="AL953" s="2"/>
      <c r="AM953" s="1"/>
      <c r="AN953" s="1"/>
      <c r="AO953" s="1"/>
      <c r="AP953" s="1"/>
      <c r="AQ953" s="1"/>
      <c r="AR953" s="1"/>
      <c r="AS953" s="1"/>
      <c r="AT953" s="1"/>
      <c r="AU953" s="2"/>
      <c r="AV953" s="1"/>
      <c r="AW953" s="1"/>
      <c r="AX953" s="1"/>
      <c r="AY953" s="1"/>
      <c r="AZ953" s="1"/>
      <c r="BA953" s="1"/>
      <c r="BB953" s="1"/>
      <c r="BC953" s="1"/>
      <c r="BD953" s="2"/>
      <c r="BE953" s="1"/>
      <c r="BF953" s="1"/>
      <c r="BG953" s="1"/>
      <c r="BH953" s="1"/>
      <c r="BI953" s="1"/>
      <c r="BJ953" s="1"/>
      <c r="BK953" s="1"/>
      <c r="BL953" s="1"/>
      <c r="BM953" s="2"/>
      <c r="BN953" s="1"/>
      <c r="BO953" s="1"/>
      <c r="BP953" s="1"/>
      <c r="BQ953" s="1"/>
      <c r="BR953" s="1"/>
      <c r="BS953" s="1"/>
      <c r="BT953" s="1"/>
      <c r="BU953" s="1"/>
      <c r="BV953" s="2"/>
      <c r="BW953" s="1"/>
      <c r="BX953" s="1"/>
      <c r="BY953" s="1"/>
      <c r="BZ953" s="1"/>
      <c r="CA953" s="1"/>
      <c r="CB953" s="1"/>
      <c r="CC953" s="1"/>
      <c r="CD953" s="1"/>
      <c r="CE953" s="2"/>
      <c r="CF953" s="1"/>
      <c r="CG953" s="1"/>
      <c r="CH953" s="1"/>
      <c r="CI953" s="1"/>
      <c r="CJ953" s="1"/>
      <c r="CK953" s="1"/>
      <c r="CL953" s="1"/>
    </row>
    <row r="954" spans="1:90" ht="14.65" x14ac:dyDescent="0.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2"/>
      <c r="L954" s="1"/>
      <c r="M954" s="1"/>
      <c r="N954" s="1"/>
      <c r="O954" s="1"/>
      <c r="P954" s="1"/>
      <c r="Q954" s="1"/>
      <c r="R954" s="1"/>
      <c r="S954" s="1"/>
      <c r="T954" s="2"/>
      <c r="U954" s="1"/>
      <c r="V954" s="1"/>
      <c r="W954" s="1"/>
      <c r="X954" s="1"/>
      <c r="Y954" s="1"/>
      <c r="Z954" s="1"/>
      <c r="AA954" s="1"/>
      <c r="AB954" s="1"/>
      <c r="AC954" s="2"/>
      <c r="AD954" s="1"/>
      <c r="AE954" s="1"/>
      <c r="AF954" s="1"/>
      <c r="AG954" s="1"/>
      <c r="AH954" s="1"/>
      <c r="AI954" s="1"/>
      <c r="AJ954" s="1"/>
      <c r="AK954" s="1"/>
      <c r="AL954" s="2"/>
      <c r="AM954" s="1"/>
      <c r="AN954" s="1"/>
      <c r="AO954" s="1"/>
      <c r="AP954" s="1"/>
      <c r="AQ954" s="1"/>
      <c r="AR954" s="1"/>
      <c r="AS954" s="1"/>
      <c r="AT954" s="1"/>
      <c r="AU954" s="2"/>
      <c r="AV954" s="1"/>
      <c r="AW954" s="1"/>
      <c r="AX954" s="1"/>
      <c r="AY954" s="1"/>
      <c r="AZ954" s="1"/>
      <c r="BA954" s="1"/>
      <c r="BB954" s="1"/>
      <c r="BC954" s="1"/>
      <c r="BD954" s="2"/>
      <c r="BE954" s="1"/>
      <c r="BF954" s="1"/>
      <c r="BG954" s="1"/>
      <c r="BH954" s="1"/>
      <c r="BI954" s="1"/>
      <c r="BJ954" s="1"/>
      <c r="BK954" s="1"/>
      <c r="BL954" s="1"/>
      <c r="BM954" s="2"/>
      <c r="BN954" s="1"/>
      <c r="BO954" s="1"/>
      <c r="BP954" s="1"/>
      <c r="BQ954" s="1"/>
      <c r="BR954" s="1"/>
      <c r="BS954" s="1"/>
      <c r="BT954" s="1"/>
      <c r="BU954" s="1"/>
      <c r="BV954" s="2"/>
      <c r="BW954" s="1"/>
      <c r="BX954" s="1"/>
      <c r="BY954" s="1"/>
      <c r="BZ954" s="1"/>
      <c r="CA954" s="1"/>
      <c r="CB954" s="1"/>
      <c r="CC954" s="1"/>
      <c r="CD954" s="1"/>
      <c r="CE954" s="2"/>
      <c r="CF954" s="1"/>
      <c r="CG954" s="1"/>
      <c r="CH954" s="1"/>
      <c r="CI954" s="1"/>
      <c r="CJ954" s="1"/>
      <c r="CK954" s="1"/>
      <c r="CL954" s="1"/>
    </row>
    <row r="955" spans="1:90" ht="14.65" x14ac:dyDescent="0.4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2"/>
      <c r="L955" s="1"/>
      <c r="M955" s="1"/>
      <c r="N955" s="1"/>
      <c r="O955" s="1"/>
      <c r="P955" s="1"/>
      <c r="Q955" s="1"/>
      <c r="R955" s="1"/>
      <c r="S955" s="1"/>
      <c r="T955" s="2"/>
      <c r="U955" s="1"/>
      <c r="V955" s="1"/>
      <c r="W955" s="1"/>
      <c r="X955" s="1"/>
      <c r="Y955" s="1"/>
      <c r="Z955" s="1"/>
      <c r="AA955" s="1"/>
      <c r="AB955" s="1"/>
      <c r="AC955" s="2"/>
      <c r="AD955" s="1"/>
      <c r="AE955" s="1"/>
      <c r="AF955" s="1"/>
      <c r="AG955" s="1"/>
      <c r="AH955" s="1"/>
      <c r="AI955" s="1"/>
      <c r="AJ955" s="1"/>
      <c r="AK955" s="1"/>
      <c r="AL955" s="2"/>
      <c r="AM955" s="1"/>
      <c r="AN955" s="1"/>
      <c r="AO955" s="1"/>
      <c r="AP955" s="1"/>
      <c r="AQ955" s="1"/>
      <c r="AR955" s="1"/>
      <c r="AS955" s="1"/>
      <c r="AT955" s="1"/>
      <c r="AU955" s="2"/>
      <c r="AV955" s="1"/>
      <c r="AW955" s="1"/>
      <c r="AX955" s="1"/>
      <c r="AY955" s="1"/>
      <c r="AZ955" s="1"/>
      <c r="BA955" s="1"/>
      <c r="BB955" s="1"/>
      <c r="BC955" s="1"/>
      <c r="BD955" s="2"/>
      <c r="BE955" s="1"/>
      <c r="BF955" s="1"/>
      <c r="BG955" s="1"/>
      <c r="BH955" s="1"/>
      <c r="BI955" s="1"/>
      <c r="BJ955" s="1"/>
      <c r="BK955" s="1"/>
      <c r="BL955" s="1"/>
      <c r="BM955" s="2"/>
      <c r="BN955" s="1"/>
      <c r="BO955" s="1"/>
      <c r="BP955" s="1"/>
      <c r="BQ955" s="1"/>
      <c r="BR955" s="1"/>
      <c r="BS955" s="1"/>
      <c r="BT955" s="1"/>
      <c r="BU955" s="1"/>
      <c r="BV955" s="2"/>
      <c r="BW955" s="1"/>
      <c r="BX955" s="1"/>
      <c r="BY955" s="1"/>
      <c r="BZ955" s="1"/>
      <c r="CA955" s="1"/>
      <c r="CB955" s="1"/>
      <c r="CC955" s="1"/>
      <c r="CD955" s="1"/>
      <c r="CE955" s="2"/>
      <c r="CF955" s="1"/>
      <c r="CG955" s="1"/>
      <c r="CH955" s="1"/>
      <c r="CI955" s="1"/>
      <c r="CJ955" s="1"/>
      <c r="CK955" s="1"/>
      <c r="CL955" s="1"/>
    </row>
    <row r="956" spans="1:90" ht="14.65" x14ac:dyDescent="0.4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2"/>
      <c r="L956" s="1"/>
      <c r="M956" s="1"/>
      <c r="N956" s="1"/>
      <c r="O956" s="1"/>
      <c r="P956" s="1"/>
      <c r="Q956" s="1"/>
      <c r="R956" s="1"/>
      <c r="S956" s="1"/>
      <c r="T956" s="2"/>
      <c r="U956" s="1"/>
      <c r="V956" s="1"/>
      <c r="W956" s="1"/>
      <c r="X956" s="1"/>
      <c r="Y956" s="1"/>
      <c r="Z956" s="1"/>
      <c r="AA956" s="1"/>
      <c r="AB956" s="1"/>
      <c r="AC956" s="2"/>
      <c r="AD956" s="1"/>
      <c r="AE956" s="1"/>
      <c r="AF956" s="1"/>
      <c r="AG956" s="1"/>
      <c r="AH956" s="1"/>
      <c r="AI956" s="1"/>
      <c r="AJ956" s="1"/>
      <c r="AK956" s="1"/>
      <c r="AL956" s="2"/>
      <c r="AM956" s="1"/>
      <c r="AN956" s="1"/>
      <c r="AO956" s="1"/>
      <c r="AP956" s="1"/>
      <c r="AQ956" s="1"/>
      <c r="AR956" s="1"/>
      <c r="AS956" s="1"/>
      <c r="AT956" s="1"/>
      <c r="AU956" s="2"/>
      <c r="AV956" s="1"/>
      <c r="AW956" s="1"/>
      <c r="AX956" s="1"/>
      <c r="AY956" s="1"/>
      <c r="AZ956" s="1"/>
      <c r="BA956" s="1"/>
      <c r="BB956" s="1"/>
      <c r="BC956" s="1"/>
      <c r="BD956" s="2"/>
      <c r="BE956" s="1"/>
      <c r="BF956" s="1"/>
      <c r="BG956" s="1"/>
      <c r="BH956" s="1"/>
      <c r="BI956" s="1"/>
      <c r="BJ956" s="1"/>
      <c r="BK956" s="1"/>
      <c r="BL956" s="1"/>
      <c r="BM956" s="2"/>
      <c r="BN956" s="1"/>
      <c r="BO956" s="1"/>
      <c r="BP956" s="1"/>
      <c r="BQ956" s="1"/>
      <c r="BR956" s="1"/>
      <c r="BS956" s="1"/>
      <c r="BT956" s="1"/>
      <c r="BU956" s="1"/>
      <c r="BV956" s="2"/>
      <c r="BW956" s="1"/>
      <c r="BX956" s="1"/>
      <c r="BY956" s="1"/>
      <c r="BZ956" s="1"/>
      <c r="CA956" s="1"/>
      <c r="CB956" s="1"/>
      <c r="CC956" s="1"/>
      <c r="CD956" s="1"/>
      <c r="CE956" s="2"/>
      <c r="CF956" s="1"/>
      <c r="CG956" s="1"/>
      <c r="CH956" s="1"/>
      <c r="CI956" s="1"/>
      <c r="CJ956" s="1"/>
      <c r="CK956" s="1"/>
      <c r="CL956" s="1"/>
    </row>
    <row r="957" spans="1:90" ht="14.65" x14ac:dyDescent="0.4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2"/>
      <c r="L957" s="1"/>
      <c r="M957" s="1"/>
      <c r="N957" s="1"/>
      <c r="O957" s="1"/>
      <c r="P957" s="1"/>
      <c r="Q957" s="1"/>
      <c r="R957" s="1"/>
      <c r="S957" s="1"/>
      <c r="T957" s="2"/>
      <c r="U957" s="1"/>
      <c r="V957" s="1"/>
      <c r="W957" s="1"/>
      <c r="X957" s="1"/>
      <c r="Y957" s="1"/>
      <c r="Z957" s="1"/>
      <c r="AA957" s="1"/>
      <c r="AB957" s="1"/>
      <c r="AC957" s="2"/>
      <c r="AD957" s="1"/>
      <c r="AE957" s="1"/>
      <c r="AF957" s="1"/>
      <c r="AG957" s="1"/>
      <c r="AH957" s="1"/>
      <c r="AI957" s="1"/>
      <c r="AJ957" s="1"/>
      <c r="AK957" s="1"/>
      <c r="AL957" s="2"/>
      <c r="AM957" s="1"/>
      <c r="AN957" s="1"/>
      <c r="AO957" s="1"/>
      <c r="AP957" s="1"/>
      <c r="AQ957" s="1"/>
      <c r="AR957" s="1"/>
      <c r="AS957" s="1"/>
      <c r="AT957" s="1"/>
      <c r="AU957" s="2"/>
      <c r="AV957" s="1"/>
      <c r="AW957" s="1"/>
      <c r="AX957" s="1"/>
      <c r="AY957" s="1"/>
      <c r="AZ957" s="1"/>
      <c r="BA957" s="1"/>
      <c r="BB957" s="1"/>
      <c r="BC957" s="1"/>
      <c r="BD957" s="2"/>
      <c r="BE957" s="1"/>
      <c r="BF957" s="1"/>
      <c r="BG957" s="1"/>
      <c r="BH957" s="1"/>
      <c r="BI957" s="1"/>
      <c r="BJ957" s="1"/>
      <c r="BK957" s="1"/>
      <c r="BL957" s="1"/>
      <c r="BM957" s="2"/>
      <c r="BN957" s="1"/>
      <c r="BO957" s="1"/>
      <c r="BP957" s="1"/>
      <c r="BQ957" s="1"/>
      <c r="BR957" s="1"/>
      <c r="BS957" s="1"/>
      <c r="BT957" s="1"/>
      <c r="BU957" s="1"/>
      <c r="BV957" s="2"/>
      <c r="BW957" s="1"/>
      <c r="BX957" s="1"/>
      <c r="BY957" s="1"/>
      <c r="BZ957" s="1"/>
      <c r="CA957" s="1"/>
      <c r="CB957" s="1"/>
      <c r="CC957" s="1"/>
      <c r="CD957" s="1"/>
      <c r="CE957" s="2"/>
      <c r="CF957" s="1"/>
      <c r="CG957" s="1"/>
      <c r="CH957" s="1"/>
      <c r="CI957" s="1"/>
      <c r="CJ957" s="1"/>
      <c r="CK957" s="1"/>
      <c r="CL957" s="1"/>
    </row>
    <row r="958" spans="1:90" ht="14.65" x14ac:dyDescent="0.4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2"/>
      <c r="L958" s="1"/>
      <c r="M958" s="1"/>
      <c r="N958" s="1"/>
      <c r="O958" s="1"/>
      <c r="P958" s="1"/>
      <c r="Q958" s="1"/>
      <c r="R958" s="1"/>
      <c r="S958" s="1"/>
      <c r="T958" s="2"/>
      <c r="U958" s="1"/>
      <c r="V958" s="1"/>
      <c r="W958" s="1"/>
      <c r="X958" s="1"/>
      <c r="Y958" s="1"/>
      <c r="Z958" s="1"/>
      <c r="AA958" s="1"/>
      <c r="AB958" s="1"/>
      <c r="AC958" s="2"/>
      <c r="AD958" s="1"/>
      <c r="AE958" s="1"/>
      <c r="AF958" s="1"/>
      <c r="AG958" s="1"/>
      <c r="AH958" s="1"/>
      <c r="AI958" s="1"/>
      <c r="AJ958" s="1"/>
      <c r="AK958" s="1"/>
      <c r="AL958" s="2"/>
      <c r="AM958" s="1"/>
      <c r="AN958" s="1"/>
      <c r="AO958" s="1"/>
      <c r="AP958" s="1"/>
      <c r="AQ958" s="1"/>
      <c r="AR958" s="1"/>
      <c r="AS958" s="1"/>
      <c r="AT958" s="1"/>
      <c r="AU958" s="2"/>
      <c r="AV958" s="1"/>
      <c r="AW958" s="1"/>
      <c r="AX958" s="1"/>
      <c r="AY958" s="1"/>
      <c r="AZ958" s="1"/>
      <c r="BA958" s="1"/>
      <c r="BB958" s="1"/>
      <c r="BC958" s="1"/>
      <c r="BD958" s="2"/>
      <c r="BE958" s="1"/>
      <c r="BF958" s="1"/>
      <c r="BG958" s="1"/>
      <c r="BH958" s="1"/>
      <c r="BI958" s="1"/>
      <c r="BJ958" s="1"/>
      <c r="BK958" s="1"/>
      <c r="BL958" s="1"/>
      <c r="BM958" s="2"/>
      <c r="BN958" s="1"/>
      <c r="BO958" s="1"/>
      <c r="BP958" s="1"/>
      <c r="BQ958" s="1"/>
      <c r="BR958" s="1"/>
      <c r="BS958" s="1"/>
      <c r="BT958" s="1"/>
      <c r="BU958" s="1"/>
      <c r="BV958" s="2"/>
      <c r="BW958" s="1"/>
      <c r="BX958" s="1"/>
      <c r="BY958" s="1"/>
      <c r="BZ958" s="1"/>
      <c r="CA958" s="1"/>
      <c r="CB958" s="1"/>
      <c r="CC958" s="1"/>
      <c r="CD958" s="1"/>
      <c r="CE958" s="2"/>
      <c r="CF958" s="1"/>
      <c r="CG958" s="1"/>
      <c r="CH958" s="1"/>
      <c r="CI958" s="1"/>
      <c r="CJ958" s="1"/>
      <c r="CK958" s="1"/>
      <c r="CL958" s="1"/>
    </row>
    <row r="959" spans="1:90" ht="14.65" x14ac:dyDescent="0.4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2"/>
      <c r="L959" s="1"/>
      <c r="M959" s="1"/>
      <c r="N959" s="1"/>
      <c r="O959" s="1"/>
      <c r="P959" s="1"/>
      <c r="Q959" s="1"/>
      <c r="R959" s="1"/>
      <c r="S959" s="1"/>
      <c r="T959" s="2"/>
      <c r="U959" s="1"/>
      <c r="V959" s="1"/>
      <c r="W959" s="1"/>
      <c r="X959" s="1"/>
      <c r="Y959" s="1"/>
      <c r="Z959" s="1"/>
      <c r="AA959" s="1"/>
      <c r="AB959" s="1"/>
      <c r="AC959" s="2"/>
      <c r="AD959" s="1"/>
      <c r="AE959" s="1"/>
      <c r="AF959" s="1"/>
      <c r="AG959" s="1"/>
      <c r="AH959" s="1"/>
      <c r="AI959" s="1"/>
      <c r="AJ959" s="1"/>
      <c r="AK959" s="1"/>
      <c r="AL959" s="2"/>
      <c r="AM959" s="1"/>
      <c r="AN959" s="1"/>
      <c r="AO959" s="1"/>
      <c r="AP959" s="1"/>
      <c r="AQ959" s="1"/>
      <c r="AR959" s="1"/>
      <c r="AS959" s="1"/>
      <c r="AT959" s="1"/>
      <c r="AU959" s="2"/>
      <c r="AV959" s="1"/>
      <c r="AW959" s="1"/>
      <c r="AX959" s="1"/>
      <c r="AY959" s="1"/>
      <c r="AZ959" s="1"/>
      <c r="BA959" s="1"/>
      <c r="BB959" s="1"/>
      <c r="BC959" s="1"/>
      <c r="BD959" s="2"/>
      <c r="BE959" s="1"/>
      <c r="BF959" s="1"/>
      <c r="BG959" s="1"/>
      <c r="BH959" s="1"/>
      <c r="BI959" s="1"/>
      <c r="BJ959" s="1"/>
      <c r="BK959" s="1"/>
      <c r="BL959" s="1"/>
      <c r="BM959" s="2"/>
      <c r="BN959" s="1"/>
      <c r="BO959" s="1"/>
      <c r="BP959" s="1"/>
      <c r="BQ959" s="1"/>
      <c r="BR959" s="1"/>
      <c r="BS959" s="1"/>
      <c r="BT959" s="1"/>
      <c r="BU959" s="1"/>
      <c r="BV959" s="2"/>
      <c r="BW959" s="1"/>
      <c r="BX959" s="1"/>
      <c r="BY959" s="1"/>
      <c r="BZ959" s="1"/>
      <c r="CA959" s="1"/>
      <c r="CB959" s="1"/>
      <c r="CC959" s="1"/>
      <c r="CD959" s="1"/>
      <c r="CE959" s="2"/>
      <c r="CF959" s="1"/>
      <c r="CG959" s="1"/>
      <c r="CH959" s="1"/>
      <c r="CI959" s="1"/>
      <c r="CJ959" s="1"/>
      <c r="CK959" s="1"/>
      <c r="CL959" s="1"/>
    </row>
    <row r="960" spans="1:90" ht="14.65" x14ac:dyDescent="0.4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2"/>
      <c r="L960" s="1"/>
      <c r="M960" s="1"/>
      <c r="N960" s="1"/>
      <c r="O960" s="1"/>
      <c r="P960" s="1"/>
      <c r="Q960" s="1"/>
      <c r="R960" s="1"/>
      <c r="S960" s="1"/>
      <c r="T960" s="2"/>
      <c r="U960" s="1"/>
      <c r="V960" s="1"/>
      <c r="W960" s="1"/>
      <c r="X960" s="1"/>
      <c r="Y960" s="1"/>
      <c r="Z960" s="1"/>
      <c r="AA960" s="1"/>
      <c r="AB960" s="1"/>
      <c r="AC960" s="2"/>
      <c r="AD960" s="1"/>
      <c r="AE960" s="1"/>
      <c r="AF960" s="1"/>
      <c r="AG960" s="1"/>
      <c r="AH960" s="1"/>
      <c r="AI960" s="1"/>
      <c r="AJ960" s="1"/>
      <c r="AK960" s="1"/>
      <c r="AL960" s="2"/>
      <c r="AM960" s="1"/>
      <c r="AN960" s="1"/>
      <c r="AO960" s="1"/>
      <c r="AP960" s="1"/>
      <c r="AQ960" s="1"/>
      <c r="AR960" s="1"/>
      <c r="AS960" s="1"/>
      <c r="AT960" s="1"/>
      <c r="AU960" s="2"/>
      <c r="AV960" s="1"/>
      <c r="AW960" s="1"/>
      <c r="AX960" s="1"/>
      <c r="AY960" s="1"/>
      <c r="AZ960" s="1"/>
      <c r="BA960" s="1"/>
      <c r="BB960" s="1"/>
      <c r="BC960" s="1"/>
      <c r="BD960" s="2"/>
      <c r="BE960" s="1"/>
      <c r="BF960" s="1"/>
      <c r="BG960" s="1"/>
      <c r="BH960" s="1"/>
      <c r="BI960" s="1"/>
      <c r="BJ960" s="1"/>
      <c r="BK960" s="1"/>
      <c r="BL960" s="1"/>
      <c r="BM960" s="2"/>
      <c r="BN960" s="1"/>
      <c r="BO960" s="1"/>
      <c r="BP960" s="1"/>
      <c r="BQ960" s="1"/>
      <c r="BR960" s="1"/>
      <c r="BS960" s="1"/>
      <c r="BT960" s="1"/>
      <c r="BU960" s="1"/>
      <c r="BV960" s="2"/>
      <c r="BW960" s="1"/>
      <c r="BX960" s="1"/>
      <c r="BY960" s="1"/>
      <c r="BZ960" s="1"/>
      <c r="CA960" s="1"/>
      <c r="CB960" s="1"/>
      <c r="CC960" s="1"/>
      <c r="CD960" s="1"/>
      <c r="CE960" s="2"/>
      <c r="CF960" s="1"/>
      <c r="CG960" s="1"/>
      <c r="CH960" s="1"/>
      <c r="CI960" s="1"/>
      <c r="CJ960" s="1"/>
      <c r="CK960" s="1"/>
      <c r="CL960" s="1"/>
    </row>
    <row r="961" spans="1:90" ht="14.65" x14ac:dyDescent="0.4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2"/>
      <c r="L961" s="1"/>
      <c r="M961" s="1"/>
      <c r="N961" s="1"/>
      <c r="O961" s="1"/>
      <c r="P961" s="1"/>
      <c r="Q961" s="1"/>
      <c r="R961" s="1"/>
      <c r="S961" s="1"/>
      <c r="T961" s="2"/>
      <c r="U961" s="1"/>
      <c r="V961" s="1"/>
      <c r="W961" s="1"/>
      <c r="X961" s="1"/>
      <c r="Y961" s="1"/>
      <c r="Z961" s="1"/>
      <c r="AA961" s="1"/>
      <c r="AB961" s="1"/>
      <c r="AC961" s="2"/>
      <c r="AD961" s="1"/>
      <c r="AE961" s="1"/>
      <c r="AF961" s="1"/>
      <c r="AG961" s="1"/>
      <c r="AH961" s="1"/>
      <c r="AI961" s="1"/>
      <c r="AJ961" s="1"/>
      <c r="AK961" s="1"/>
      <c r="AL961" s="2"/>
      <c r="AM961" s="1"/>
      <c r="AN961" s="1"/>
      <c r="AO961" s="1"/>
      <c r="AP961" s="1"/>
      <c r="AQ961" s="1"/>
      <c r="AR961" s="1"/>
      <c r="AS961" s="1"/>
      <c r="AT961" s="1"/>
      <c r="AU961" s="2"/>
      <c r="AV961" s="1"/>
      <c r="AW961" s="1"/>
      <c r="AX961" s="1"/>
      <c r="AY961" s="1"/>
      <c r="AZ961" s="1"/>
      <c r="BA961" s="1"/>
      <c r="BB961" s="1"/>
      <c r="BC961" s="1"/>
      <c r="BD961" s="2"/>
      <c r="BE961" s="1"/>
      <c r="BF961" s="1"/>
      <c r="BG961" s="1"/>
      <c r="BH961" s="1"/>
      <c r="BI961" s="1"/>
      <c r="BJ961" s="1"/>
      <c r="BK961" s="1"/>
      <c r="BL961" s="1"/>
      <c r="BM961" s="2"/>
      <c r="BN961" s="1"/>
      <c r="BO961" s="1"/>
      <c r="BP961" s="1"/>
      <c r="BQ961" s="1"/>
      <c r="BR961" s="1"/>
      <c r="BS961" s="1"/>
      <c r="BT961" s="1"/>
      <c r="BU961" s="1"/>
      <c r="BV961" s="2"/>
      <c r="BW961" s="1"/>
      <c r="BX961" s="1"/>
      <c r="BY961" s="1"/>
      <c r="BZ961" s="1"/>
      <c r="CA961" s="1"/>
      <c r="CB961" s="1"/>
      <c r="CC961" s="1"/>
      <c r="CD961" s="1"/>
      <c r="CE961" s="2"/>
      <c r="CF961" s="1"/>
      <c r="CG961" s="1"/>
      <c r="CH961" s="1"/>
      <c r="CI961" s="1"/>
      <c r="CJ961" s="1"/>
      <c r="CK961" s="1"/>
      <c r="CL961" s="1"/>
    </row>
    <row r="962" spans="1:90" ht="14.65" x14ac:dyDescent="0.4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2"/>
      <c r="L962" s="1"/>
      <c r="M962" s="1"/>
      <c r="N962" s="1"/>
      <c r="O962" s="1"/>
      <c r="P962" s="1"/>
      <c r="Q962" s="1"/>
      <c r="R962" s="1"/>
      <c r="S962" s="1"/>
      <c r="T962" s="2"/>
      <c r="U962" s="1"/>
      <c r="V962" s="1"/>
      <c r="W962" s="1"/>
      <c r="X962" s="1"/>
      <c r="Y962" s="1"/>
      <c r="Z962" s="1"/>
      <c r="AA962" s="1"/>
      <c r="AB962" s="1"/>
      <c r="AC962" s="2"/>
      <c r="AD962" s="1"/>
      <c r="AE962" s="1"/>
      <c r="AF962" s="1"/>
      <c r="AG962" s="1"/>
      <c r="AH962" s="1"/>
      <c r="AI962" s="1"/>
      <c r="AJ962" s="1"/>
      <c r="AK962" s="1"/>
      <c r="AL962" s="2"/>
      <c r="AM962" s="1"/>
      <c r="AN962" s="1"/>
      <c r="AO962" s="1"/>
      <c r="AP962" s="1"/>
      <c r="AQ962" s="1"/>
      <c r="AR962" s="1"/>
      <c r="AS962" s="1"/>
      <c r="AT962" s="1"/>
      <c r="AU962" s="2"/>
      <c r="AV962" s="1"/>
      <c r="AW962" s="1"/>
      <c r="AX962" s="1"/>
      <c r="AY962" s="1"/>
      <c r="AZ962" s="1"/>
      <c r="BA962" s="1"/>
      <c r="BB962" s="1"/>
      <c r="BC962" s="1"/>
      <c r="BD962" s="2"/>
      <c r="BE962" s="1"/>
      <c r="BF962" s="1"/>
      <c r="BG962" s="1"/>
      <c r="BH962" s="1"/>
      <c r="BI962" s="1"/>
      <c r="BJ962" s="1"/>
      <c r="BK962" s="1"/>
      <c r="BL962" s="1"/>
      <c r="BM962" s="2"/>
      <c r="BN962" s="1"/>
      <c r="BO962" s="1"/>
      <c r="BP962" s="1"/>
      <c r="BQ962" s="1"/>
      <c r="BR962" s="1"/>
      <c r="BS962" s="1"/>
      <c r="BT962" s="1"/>
      <c r="BU962" s="1"/>
      <c r="BV962" s="2"/>
      <c r="BW962" s="1"/>
      <c r="BX962" s="1"/>
      <c r="BY962" s="1"/>
      <c r="BZ962" s="1"/>
      <c r="CA962" s="1"/>
      <c r="CB962" s="1"/>
      <c r="CC962" s="1"/>
      <c r="CD962" s="1"/>
      <c r="CE962" s="2"/>
      <c r="CF962" s="1"/>
      <c r="CG962" s="1"/>
      <c r="CH962" s="1"/>
      <c r="CI962" s="1"/>
      <c r="CJ962" s="1"/>
      <c r="CK962" s="1"/>
      <c r="CL962" s="1"/>
    </row>
    <row r="963" spans="1:90" ht="14.65" x14ac:dyDescent="0.4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2"/>
      <c r="L963" s="1"/>
      <c r="M963" s="1"/>
      <c r="N963" s="1"/>
      <c r="O963" s="1"/>
      <c r="P963" s="1"/>
      <c r="Q963" s="1"/>
      <c r="R963" s="1"/>
      <c r="S963" s="1"/>
      <c r="T963" s="2"/>
      <c r="U963" s="1"/>
      <c r="V963" s="1"/>
      <c r="W963" s="1"/>
      <c r="X963" s="1"/>
      <c r="Y963" s="1"/>
      <c r="Z963" s="1"/>
      <c r="AA963" s="1"/>
      <c r="AB963" s="1"/>
      <c r="AC963" s="2"/>
      <c r="AD963" s="1"/>
      <c r="AE963" s="1"/>
      <c r="AF963" s="1"/>
      <c r="AG963" s="1"/>
      <c r="AH963" s="1"/>
      <c r="AI963" s="1"/>
      <c r="AJ963" s="1"/>
      <c r="AK963" s="1"/>
      <c r="AL963" s="2"/>
      <c r="AM963" s="1"/>
      <c r="AN963" s="1"/>
      <c r="AO963" s="1"/>
      <c r="AP963" s="1"/>
      <c r="AQ963" s="1"/>
      <c r="AR963" s="1"/>
      <c r="AS963" s="1"/>
      <c r="AT963" s="1"/>
      <c r="AU963" s="2"/>
      <c r="AV963" s="1"/>
      <c r="AW963" s="1"/>
      <c r="AX963" s="1"/>
      <c r="AY963" s="1"/>
      <c r="AZ963" s="1"/>
      <c r="BA963" s="1"/>
      <c r="BB963" s="1"/>
      <c r="BC963" s="1"/>
      <c r="BD963" s="2"/>
      <c r="BE963" s="1"/>
      <c r="BF963" s="1"/>
      <c r="BG963" s="1"/>
      <c r="BH963" s="1"/>
      <c r="BI963" s="1"/>
      <c r="BJ963" s="1"/>
      <c r="BK963" s="1"/>
      <c r="BL963" s="1"/>
      <c r="BM963" s="2"/>
      <c r="BN963" s="1"/>
      <c r="BO963" s="1"/>
      <c r="BP963" s="1"/>
      <c r="BQ963" s="1"/>
      <c r="BR963" s="1"/>
      <c r="BS963" s="1"/>
      <c r="BT963" s="1"/>
      <c r="BU963" s="1"/>
      <c r="BV963" s="2"/>
      <c r="BW963" s="1"/>
      <c r="BX963" s="1"/>
      <c r="BY963" s="1"/>
      <c r="BZ963" s="1"/>
      <c r="CA963" s="1"/>
      <c r="CB963" s="1"/>
      <c r="CC963" s="1"/>
      <c r="CD963" s="1"/>
      <c r="CE963" s="2"/>
      <c r="CF963" s="1"/>
      <c r="CG963" s="1"/>
      <c r="CH963" s="1"/>
      <c r="CI963" s="1"/>
      <c r="CJ963" s="1"/>
      <c r="CK963" s="1"/>
      <c r="CL963" s="1"/>
    </row>
    <row r="964" spans="1:90" ht="14.65" x14ac:dyDescent="0.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2"/>
      <c r="L964" s="1"/>
      <c r="M964" s="1"/>
      <c r="N964" s="1"/>
      <c r="O964" s="1"/>
      <c r="P964" s="1"/>
      <c r="Q964" s="1"/>
      <c r="R964" s="1"/>
      <c r="S964" s="1"/>
      <c r="T964" s="2"/>
      <c r="U964" s="1"/>
      <c r="V964" s="1"/>
      <c r="W964" s="1"/>
      <c r="X964" s="1"/>
      <c r="Y964" s="1"/>
      <c r="Z964" s="1"/>
      <c r="AA964" s="1"/>
      <c r="AB964" s="1"/>
      <c r="AC964" s="2"/>
      <c r="AD964" s="1"/>
      <c r="AE964" s="1"/>
      <c r="AF964" s="1"/>
      <c r="AG964" s="1"/>
      <c r="AH964" s="1"/>
      <c r="AI964" s="1"/>
      <c r="AJ964" s="1"/>
      <c r="AK964" s="1"/>
      <c r="AL964" s="2"/>
      <c r="AM964" s="1"/>
      <c r="AN964" s="1"/>
      <c r="AO964" s="1"/>
      <c r="AP964" s="1"/>
      <c r="AQ964" s="1"/>
      <c r="AR964" s="1"/>
      <c r="AS964" s="1"/>
      <c r="AT964" s="1"/>
      <c r="AU964" s="2"/>
      <c r="AV964" s="1"/>
      <c r="AW964" s="1"/>
      <c r="AX964" s="1"/>
      <c r="AY964" s="1"/>
      <c r="AZ964" s="1"/>
      <c r="BA964" s="1"/>
      <c r="BB964" s="1"/>
      <c r="BC964" s="1"/>
      <c r="BD964" s="2"/>
      <c r="BE964" s="1"/>
      <c r="BF964" s="1"/>
      <c r="BG964" s="1"/>
      <c r="BH964" s="1"/>
      <c r="BI964" s="1"/>
      <c r="BJ964" s="1"/>
      <c r="BK964" s="1"/>
      <c r="BL964" s="1"/>
      <c r="BM964" s="2"/>
      <c r="BN964" s="1"/>
      <c r="BO964" s="1"/>
      <c r="BP964" s="1"/>
      <c r="BQ964" s="1"/>
      <c r="BR964" s="1"/>
      <c r="BS964" s="1"/>
      <c r="BT964" s="1"/>
      <c r="BU964" s="1"/>
      <c r="BV964" s="2"/>
      <c r="BW964" s="1"/>
      <c r="BX964" s="1"/>
      <c r="BY964" s="1"/>
      <c r="BZ964" s="1"/>
      <c r="CA964" s="1"/>
      <c r="CB964" s="1"/>
      <c r="CC964" s="1"/>
      <c r="CD964" s="1"/>
      <c r="CE964" s="2"/>
      <c r="CF964" s="1"/>
      <c r="CG964" s="1"/>
      <c r="CH964" s="1"/>
      <c r="CI964" s="1"/>
      <c r="CJ964" s="1"/>
      <c r="CK964" s="1"/>
      <c r="CL964" s="1"/>
    </row>
    <row r="965" spans="1:90" ht="14.65" x14ac:dyDescent="0.4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2"/>
      <c r="L965" s="1"/>
      <c r="M965" s="1"/>
      <c r="N965" s="1"/>
      <c r="O965" s="1"/>
      <c r="P965" s="1"/>
      <c r="Q965" s="1"/>
      <c r="R965" s="1"/>
      <c r="S965" s="1"/>
      <c r="T965" s="2"/>
      <c r="U965" s="1"/>
      <c r="V965" s="1"/>
      <c r="W965" s="1"/>
      <c r="X965" s="1"/>
      <c r="Y965" s="1"/>
      <c r="Z965" s="1"/>
      <c r="AA965" s="1"/>
      <c r="AB965" s="1"/>
      <c r="AC965" s="2"/>
      <c r="AD965" s="1"/>
      <c r="AE965" s="1"/>
      <c r="AF965" s="1"/>
      <c r="AG965" s="1"/>
      <c r="AH965" s="1"/>
      <c r="AI965" s="1"/>
      <c r="AJ965" s="1"/>
      <c r="AK965" s="1"/>
      <c r="AL965" s="2"/>
      <c r="AM965" s="1"/>
      <c r="AN965" s="1"/>
      <c r="AO965" s="1"/>
      <c r="AP965" s="1"/>
      <c r="AQ965" s="1"/>
      <c r="AR965" s="1"/>
      <c r="AS965" s="1"/>
      <c r="AT965" s="1"/>
      <c r="AU965" s="2"/>
      <c r="AV965" s="1"/>
      <c r="AW965" s="1"/>
      <c r="AX965" s="1"/>
      <c r="AY965" s="1"/>
      <c r="AZ965" s="1"/>
      <c r="BA965" s="1"/>
      <c r="BB965" s="1"/>
      <c r="BC965" s="1"/>
      <c r="BD965" s="2"/>
      <c r="BE965" s="1"/>
      <c r="BF965" s="1"/>
      <c r="BG965" s="1"/>
      <c r="BH965" s="1"/>
      <c r="BI965" s="1"/>
      <c r="BJ965" s="1"/>
      <c r="BK965" s="1"/>
      <c r="BL965" s="1"/>
      <c r="BM965" s="2"/>
      <c r="BN965" s="1"/>
      <c r="BO965" s="1"/>
      <c r="BP965" s="1"/>
      <c r="BQ965" s="1"/>
      <c r="BR965" s="1"/>
      <c r="BS965" s="1"/>
      <c r="BT965" s="1"/>
      <c r="BU965" s="1"/>
      <c r="BV965" s="2"/>
      <c r="BW965" s="1"/>
      <c r="BX965" s="1"/>
      <c r="BY965" s="1"/>
      <c r="BZ965" s="1"/>
      <c r="CA965" s="1"/>
      <c r="CB965" s="1"/>
      <c r="CC965" s="1"/>
      <c r="CD965" s="1"/>
      <c r="CE965" s="2"/>
      <c r="CF965" s="1"/>
      <c r="CG965" s="1"/>
      <c r="CH965" s="1"/>
      <c r="CI965" s="1"/>
      <c r="CJ965" s="1"/>
      <c r="CK965" s="1"/>
      <c r="CL965" s="1"/>
    </row>
    <row r="966" spans="1:90" ht="14.65" x14ac:dyDescent="0.4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2"/>
      <c r="L966" s="1"/>
      <c r="M966" s="1"/>
      <c r="N966" s="1"/>
      <c r="O966" s="1"/>
      <c r="P966" s="1"/>
      <c r="Q966" s="1"/>
      <c r="R966" s="1"/>
      <c r="S966" s="1"/>
      <c r="T966" s="2"/>
      <c r="U966" s="1"/>
      <c r="V966" s="1"/>
      <c r="W966" s="1"/>
      <c r="X966" s="1"/>
      <c r="Y966" s="1"/>
      <c r="Z966" s="1"/>
      <c r="AA966" s="1"/>
      <c r="AB966" s="1"/>
      <c r="AC966" s="2"/>
      <c r="AD966" s="1"/>
      <c r="AE966" s="1"/>
      <c r="AF966" s="1"/>
      <c r="AG966" s="1"/>
      <c r="AH966" s="1"/>
      <c r="AI966" s="1"/>
      <c r="AJ966" s="1"/>
      <c r="AK966" s="1"/>
      <c r="AL966" s="2"/>
      <c r="AM966" s="1"/>
      <c r="AN966" s="1"/>
      <c r="AO966" s="1"/>
      <c r="AP966" s="1"/>
      <c r="AQ966" s="1"/>
      <c r="AR966" s="1"/>
      <c r="AS966" s="1"/>
      <c r="AT966" s="1"/>
      <c r="AU966" s="2"/>
      <c r="AV966" s="1"/>
      <c r="AW966" s="1"/>
      <c r="AX966" s="1"/>
      <c r="AY966" s="1"/>
      <c r="AZ966" s="1"/>
      <c r="BA966" s="1"/>
      <c r="BB966" s="1"/>
      <c r="BC966" s="1"/>
      <c r="BD966" s="2"/>
      <c r="BE966" s="1"/>
      <c r="BF966" s="1"/>
      <c r="BG966" s="1"/>
      <c r="BH966" s="1"/>
      <c r="BI966" s="1"/>
      <c r="BJ966" s="1"/>
      <c r="BK966" s="1"/>
      <c r="BL966" s="1"/>
      <c r="BM966" s="2"/>
      <c r="BN966" s="1"/>
      <c r="BO966" s="1"/>
      <c r="BP966" s="1"/>
      <c r="BQ966" s="1"/>
      <c r="BR966" s="1"/>
      <c r="BS966" s="1"/>
      <c r="BT966" s="1"/>
      <c r="BU966" s="1"/>
      <c r="BV966" s="2"/>
      <c r="BW966" s="1"/>
      <c r="BX966" s="1"/>
      <c r="BY966" s="1"/>
      <c r="BZ966" s="1"/>
      <c r="CA966" s="1"/>
      <c r="CB966" s="1"/>
      <c r="CC966" s="1"/>
      <c r="CD966" s="1"/>
      <c r="CE966" s="2"/>
      <c r="CF966" s="1"/>
      <c r="CG966" s="1"/>
      <c r="CH966" s="1"/>
      <c r="CI966" s="1"/>
      <c r="CJ966" s="1"/>
      <c r="CK966" s="1"/>
      <c r="CL966" s="1"/>
    </row>
    <row r="967" spans="1:90" ht="14.65" x14ac:dyDescent="0.4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2"/>
      <c r="L967" s="1"/>
      <c r="M967" s="1"/>
      <c r="N967" s="1"/>
      <c r="O967" s="1"/>
      <c r="P967" s="1"/>
      <c r="Q967" s="1"/>
      <c r="R967" s="1"/>
      <c r="S967" s="1"/>
      <c r="T967" s="2"/>
      <c r="U967" s="1"/>
      <c r="V967" s="1"/>
      <c r="W967" s="1"/>
      <c r="X967" s="1"/>
      <c r="Y967" s="1"/>
      <c r="Z967" s="1"/>
      <c r="AA967" s="1"/>
      <c r="AB967" s="1"/>
      <c r="AC967" s="2"/>
      <c r="AD967" s="1"/>
      <c r="AE967" s="1"/>
      <c r="AF967" s="1"/>
      <c r="AG967" s="1"/>
      <c r="AH967" s="1"/>
      <c r="AI967" s="1"/>
      <c r="AJ967" s="1"/>
      <c r="AK967" s="1"/>
      <c r="AL967" s="2"/>
      <c r="AM967" s="1"/>
      <c r="AN967" s="1"/>
      <c r="AO967" s="1"/>
      <c r="AP967" s="1"/>
      <c r="AQ967" s="1"/>
      <c r="AR967" s="1"/>
      <c r="AS967" s="1"/>
      <c r="AT967" s="1"/>
      <c r="AU967" s="2"/>
      <c r="AV967" s="1"/>
      <c r="AW967" s="1"/>
      <c r="AX967" s="1"/>
      <c r="AY967" s="1"/>
      <c r="AZ967" s="1"/>
      <c r="BA967" s="1"/>
      <c r="BB967" s="1"/>
      <c r="BC967" s="1"/>
      <c r="BD967" s="2"/>
      <c r="BE967" s="1"/>
      <c r="BF967" s="1"/>
      <c r="BG967" s="1"/>
      <c r="BH967" s="1"/>
      <c r="BI967" s="1"/>
      <c r="BJ967" s="1"/>
      <c r="BK967" s="1"/>
      <c r="BL967" s="1"/>
      <c r="BM967" s="2"/>
      <c r="BN967" s="1"/>
      <c r="BO967" s="1"/>
      <c r="BP967" s="1"/>
      <c r="BQ967" s="1"/>
      <c r="BR967" s="1"/>
      <c r="BS967" s="1"/>
      <c r="BT967" s="1"/>
      <c r="BU967" s="1"/>
      <c r="BV967" s="2"/>
      <c r="BW967" s="1"/>
      <c r="BX967" s="1"/>
      <c r="BY967" s="1"/>
      <c r="BZ967" s="1"/>
      <c r="CA967" s="1"/>
      <c r="CB967" s="1"/>
      <c r="CC967" s="1"/>
      <c r="CD967" s="1"/>
      <c r="CE967" s="2"/>
      <c r="CF967" s="1"/>
      <c r="CG967" s="1"/>
      <c r="CH967" s="1"/>
      <c r="CI967" s="1"/>
      <c r="CJ967" s="1"/>
      <c r="CK967" s="1"/>
      <c r="CL967" s="1"/>
    </row>
    <row r="968" spans="1:90" ht="14.65" x14ac:dyDescent="0.4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2"/>
      <c r="L968" s="1"/>
      <c r="M968" s="1"/>
      <c r="N968" s="1"/>
      <c r="O968" s="1"/>
      <c r="P968" s="1"/>
      <c r="Q968" s="1"/>
      <c r="R968" s="1"/>
      <c r="S968" s="1"/>
      <c r="T968" s="2"/>
      <c r="U968" s="1"/>
      <c r="V968" s="1"/>
      <c r="W968" s="1"/>
      <c r="X968" s="1"/>
      <c r="Y968" s="1"/>
      <c r="Z968" s="1"/>
      <c r="AA968" s="1"/>
      <c r="AB968" s="1"/>
      <c r="AC968" s="2"/>
      <c r="AD968" s="1"/>
      <c r="AE968" s="1"/>
      <c r="AF968" s="1"/>
      <c r="AG968" s="1"/>
      <c r="AH968" s="1"/>
      <c r="AI968" s="1"/>
      <c r="AJ968" s="1"/>
      <c r="AK968" s="1"/>
      <c r="AL968" s="2"/>
      <c r="AM968" s="1"/>
      <c r="AN968" s="1"/>
      <c r="AO968" s="1"/>
      <c r="AP968" s="1"/>
      <c r="AQ968" s="1"/>
      <c r="AR968" s="1"/>
      <c r="AS968" s="1"/>
      <c r="AT968" s="1"/>
      <c r="AU968" s="2"/>
      <c r="AV968" s="1"/>
      <c r="AW968" s="1"/>
      <c r="AX968" s="1"/>
      <c r="AY968" s="1"/>
      <c r="AZ968" s="1"/>
      <c r="BA968" s="1"/>
      <c r="BB968" s="1"/>
      <c r="BC968" s="1"/>
      <c r="BD968" s="2"/>
      <c r="BE968" s="1"/>
      <c r="BF968" s="1"/>
      <c r="BG968" s="1"/>
      <c r="BH968" s="1"/>
      <c r="BI968" s="1"/>
      <c r="BJ968" s="1"/>
      <c r="BK968" s="1"/>
      <c r="BL968" s="1"/>
      <c r="BM968" s="2"/>
      <c r="BN968" s="1"/>
      <c r="BO968" s="1"/>
      <c r="BP968" s="1"/>
      <c r="BQ968" s="1"/>
      <c r="BR968" s="1"/>
      <c r="BS968" s="1"/>
      <c r="BT968" s="1"/>
      <c r="BU968" s="1"/>
      <c r="BV968" s="2"/>
      <c r="BW968" s="1"/>
      <c r="BX968" s="1"/>
      <c r="BY968" s="1"/>
      <c r="BZ968" s="1"/>
      <c r="CA968" s="1"/>
      <c r="CB968" s="1"/>
      <c r="CC968" s="1"/>
      <c r="CD968" s="1"/>
      <c r="CE968" s="2"/>
      <c r="CF968" s="1"/>
      <c r="CG968" s="1"/>
      <c r="CH968" s="1"/>
      <c r="CI968" s="1"/>
      <c r="CJ968" s="1"/>
      <c r="CK968" s="1"/>
      <c r="CL968" s="1"/>
    </row>
    <row r="969" spans="1:90" ht="14.65" x14ac:dyDescent="0.4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2"/>
      <c r="L969" s="1"/>
      <c r="M969" s="1"/>
      <c r="N969" s="1"/>
      <c r="O969" s="1"/>
      <c r="P969" s="1"/>
      <c r="Q969" s="1"/>
      <c r="R969" s="1"/>
      <c r="S969" s="1"/>
      <c r="T969" s="2"/>
      <c r="U969" s="1"/>
      <c r="V969" s="1"/>
      <c r="W969" s="1"/>
      <c r="X969" s="1"/>
      <c r="Y969" s="1"/>
      <c r="Z969" s="1"/>
      <c r="AA969" s="1"/>
      <c r="AB969" s="1"/>
      <c r="AC969" s="2"/>
      <c r="AD969" s="1"/>
      <c r="AE969" s="1"/>
      <c r="AF969" s="1"/>
      <c r="AG969" s="1"/>
      <c r="AH969" s="1"/>
      <c r="AI969" s="1"/>
      <c r="AJ969" s="1"/>
      <c r="AK969" s="1"/>
      <c r="AL969" s="2"/>
      <c r="AM969" s="1"/>
      <c r="AN969" s="1"/>
      <c r="AO969" s="1"/>
      <c r="AP969" s="1"/>
      <c r="AQ969" s="1"/>
      <c r="AR969" s="1"/>
      <c r="AS969" s="1"/>
      <c r="AT969" s="1"/>
      <c r="AU969" s="2"/>
      <c r="AV969" s="1"/>
      <c r="AW969" s="1"/>
      <c r="AX969" s="1"/>
      <c r="AY969" s="1"/>
      <c r="AZ969" s="1"/>
      <c r="BA969" s="1"/>
      <c r="BB969" s="1"/>
      <c r="BC969" s="1"/>
      <c r="BD969" s="2"/>
      <c r="BE969" s="1"/>
      <c r="BF969" s="1"/>
      <c r="BG969" s="1"/>
      <c r="BH969" s="1"/>
      <c r="BI969" s="1"/>
      <c r="BJ969" s="1"/>
      <c r="BK969" s="1"/>
      <c r="BL969" s="1"/>
      <c r="BM969" s="2"/>
      <c r="BN969" s="1"/>
      <c r="BO969" s="1"/>
      <c r="BP969" s="1"/>
      <c r="BQ969" s="1"/>
      <c r="BR969" s="1"/>
      <c r="BS969" s="1"/>
      <c r="BT969" s="1"/>
      <c r="BU969" s="1"/>
      <c r="BV969" s="2"/>
      <c r="BW969" s="1"/>
      <c r="BX969" s="1"/>
      <c r="BY969" s="1"/>
      <c r="BZ969" s="1"/>
      <c r="CA969" s="1"/>
      <c r="CB969" s="1"/>
      <c r="CC969" s="1"/>
      <c r="CD969" s="1"/>
      <c r="CE969" s="2"/>
      <c r="CF969" s="1"/>
      <c r="CG969" s="1"/>
      <c r="CH969" s="1"/>
      <c r="CI969" s="1"/>
      <c r="CJ969" s="1"/>
      <c r="CK969" s="1"/>
      <c r="CL969" s="1"/>
    </row>
    <row r="970" spans="1:90" ht="14.65" x14ac:dyDescent="0.4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2"/>
      <c r="L970" s="1"/>
      <c r="M970" s="1"/>
      <c r="N970" s="1"/>
      <c r="O970" s="1"/>
      <c r="P970" s="1"/>
      <c r="Q970" s="1"/>
      <c r="R970" s="1"/>
      <c r="S970" s="1"/>
      <c r="T970" s="2"/>
      <c r="U970" s="1"/>
      <c r="V970" s="1"/>
      <c r="W970" s="1"/>
      <c r="X970" s="1"/>
      <c r="Y970" s="1"/>
      <c r="Z970" s="1"/>
      <c r="AA970" s="1"/>
      <c r="AB970" s="1"/>
      <c r="AC970" s="2"/>
      <c r="AD970" s="1"/>
      <c r="AE970" s="1"/>
      <c r="AF970" s="1"/>
      <c r="AG970" s="1"/>
      <c r="AH970" s="1"/>
      <c r="AI970" s="1"/>
      <c r="AJ970" s="1"/>
      <c r="AK970" s="1"/>
      <c r="AL970" s="2"/>
      <c r="AM970" s="1"/>
      <c r="AN970" s="1"/>
      <c r="AO970" s="1"/>
      <c r="AP970" s="1"/>
      <c r="AQ970" s="1"/>
      <c r="AR970" s="1"/>
      <c r="AS970" s="1"/>
      <c r="AT970" s="1"/>
      <c r="AU970" s="2"/>
      <c r="AV970" s="1"/>
      <c r="AW970" s="1"/>
      <c r="AX970" s="1"/>
      <c r="AY970" s="1"/>
      <c r="AZ970" s="1"/>
      <c r="BA970" s="1"/>
      <c r="BB970" s="1"/>
      <c r="BC970" s="1"/>
      <c r="BD970" s="2"/>
      <c r="BE970" s="1"/>
      <c r="BF970" s="1"/>
      <c r="BG970" s="1"/>
      <c r="BH970" s="1"/>
      <c r="BI970" s="1"/>
      <c r="BJ970" s="1"/>
      <c r="BK970" s="1"/>
      <c r="BL970" s="1"/>
      <c r="BM970" s="2"/>
      <c r="BN970" s="1"/>
      <c r="BO970" s="1"/>
      <c r="BP970" s="1"/>
      <c r="BQ970" s="1"/>
      <c r="BR970" s="1"/>
      <c r="BS970" s="1"/>
      <c r="BT970" s="1"/>
      <c r="BU970" s="1"/>
      <c r="BV970" s="2"/>
      <c r="BW970" s="1"/>
      <c r="BX970" s="1"/>
      <c r="BY970" s="1"/>
      <c r="BZ970" s="1"/>
      <c r="CA970" s="1"/>
      <c r="CB970" s="1"/>
      <c r="CC970" s="1"/>
      <c r="CD970" s="1"/>
      <c r="CE970" s="2"/>
      <c r="CF970" s="1"/>
      <c r="CG970" s="1"/>
      <c r="CH970" s="1"/>
      <c r="CI970" s="1"/>
      <c r="CJ970" s="1"/>
      <c r="CK970" s="1"/>
      <c r="CL970" s="1"/>
    </row>
    <row r="971" spans="1:90" ht="14.65" x14ac:dyDescent="0.4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2"/>
      <c r="L971" s="1"/>
      <c r="M971" s="1"/>
      <c r="N971" s="1"/>
      <c r="O971" s="1"/>
      <c r="P971" s="1"/>
      <c r="Q971" s="1"/>
      <c r="R971" s="1"/>
      <c r="S971" s="1"/>
      <c r="T971" s="2"/>
      <c r="U971" s="1"/>
      <c r="V971" s="1"/>
      <c r="W971" s="1"/>
      <c r="X971" s="1"/>
      <c r="Y971" s="1"/>
      <c r="Z971" s="1"/>
      <c r="AA971" s="1"/>
      <c r="AB971" s="1"/>
      <c r="AC971" s="2"/>
      <c r="AD971" s="1"/>
      <c r="AE971" s="1"/>
      <c r="AF971" s="1"/>
      <c r="AG971" s="1"/>
      <c r="AH971" s="1"/>
      <c r="AI971" s="1"/>
      <c r="AJ971" s="1"/>
      <c r="AK971" s="1"/>
      <c r="AL971" s="2"/>
      <c r="AM971" s="1"/>
      <c r="AN971" s="1"/>
      <c r="AO971" s="1"/>
      <c r="AP971" s="1"/>
      <c r="AQ971" s="1"/>
      <c r="AR971" s="1"/>
      <c r="AS971" s="1"/>
      <c r="AT971" s="1"/>
      <c r="AU971" s="2"/>
      <c r="AV971" s="1"/>
      <c r="AW971" s="1"/>
      <c r="AX971" s="1"/>
      <c r="AY971" s="1"/>
      <c r="AZ971" s="1"/>
      <c r="BA971" s="1"/>
      <c r="BB971" s="1"/>
      <c r="BC971" s="1"/>
      <c r="BD971" s="2"/>
      <c r="BE971" s="1"/>
      <c r="BF971" s="1"/>
      <c r="BG971" s="1"/>
      <c r="BH971" s="1"/>
      <c r="BI971" s="1"/>
      <c r="BJ971" s="1"/>
      <c r="BK971" s="1"/>
      <c r="BL971" s="1"/>
      <c r="BM971" s="2"/>
      <c r="BN971" s="1"/>
      <c r="BO971" s="1"/>
      <c r="BP971" s="1"/>
      <c r="BQ971" s="1"/>
      <c r="BR971" s="1"/>
      <c r="BS971" s="1"/>
      <c r="BT971" s="1"/>
      <c r="BU971" s="1"/>
      <c r="BV971" s="2"/>
      <c r="BW971" s="1"/>
      <c r="BX971" s="1"/>
      <c r="BY971" s="1"/>
      <c r="BZ971" s="1"/>
      <c r="CA971" s="1"/>
      <c r="CB971" s="1"/>
      <c r="CC971" s="1"/>
      <c r="CD971" s="1"/>
      <c r="CE971" s="2"/>
      <c r="CF971" s="1"/>
      <c r="CG971" s="1"/>
      <c r="CH971" s="1"/>
      <c r="CI971" s="1"/>
      <c r="CJ971" s="1"/>
      <c r="CK971" s="1"/>
      <c r="CL971" s="1"/>
    </row>
    <row r="972" spans="1:90" ht="14.65" x14ac:dyDescent="0.4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2"/>
      <c r="L972" s="1"/>
      <c r="M972" s="1"/>
      <c r="N972" s="1"/>
      <c r="O972" s="1"/>
      <c r="P972" s="1"/>
      <c r="Q972" s="1"/>
      <c r="R972" s="1"/>
      <c r="S972" s="1"/>
      <c r="T972" s="2"/>
      <c r="U972" s="1"/>
      <c r="V972" s="1"/>
      <c r="W972" s="1"/>
      <c r="X972" s="1"/>
      <c r="Y972" s="1"/>
      <c r="Z972" s="1"/>
      <c r="AA972" s="1"/>
      <c r="AB972" s="1"/>
      <c r="AC972" s="2"/>
      <c r="AD972" s="1"/>
      <c r="AE972" s="1"/>
      <c r="AF972" s="1"/>
      <c r="AG972" s="1"/>
      <c r="AH972" s="1"/>
      <c r="AI972" s="1"/>
      <c r="AJ972" s="1"/>
      <c r="AK972" s="1"/>
      <c r="AL972" s="2"/>
      <c r="AM972" s="1"/>
      <c r="AN972" s="1"/>
      <c r="AO972" s="1"/>
      <c r="AP972" s="1"/>
      <c r="AQ972" s="1"/>
      <c r="AR972" s="1"/>
      <c r="AS972" s="1"/>
      <c r="AT972" s="1"/>
      <c r="AU972" s="2"/>
      <c r="AV972" s="1"/>
      <c r="AW972" s="1"/>
      <c r="AX972" s="1"/>
      <c r="AY972" s="1"/>
      <c r="AZ972" s="1"/>
      <c r="BA972" s="1"/>
      <c r="BB972" s="1"/>
      <c r="BC972" s="1"/>
      <c r="BD972" s="2"/>
      <c r="BE972" s="1"/>
      <c r="BF972" s="1"/>
      <c r="BG972" s="1"/>
      <c r="BH972" s="1"/>
      <c r="BI972" s="1"/>
      <c r="BJ972" s="1"/>
      <c r="BK972" s="1"/>
      <c r="BL972" s="1"/>
      <c r="BM972" s="2"/>
      <c r="BN972" s="1"/>
      <c r="BO972" s="1"/>
      <c r="BP972" s="1"/>
      <c r="BQ972" s="1"/>
      <c r="BR972" s="1"/>
      <c r="BS972" s="1"/>
      <c r="BT972" s="1"/>
      <c r="BU972" s="1"/>
      <c r="BV972" s="2"/>
      <c r="BW972" s="1"/>
      <c r="BX972" s="1"/>
      <c r="BY972" s="1"/>
      <c r="BZ972" s="1"/>
      <c r="CA972" s="1"/>
      <c r="CB972" s="1"/>
      <c r="CC972" s="1"/>
      <c r="CD972" s="1"/>
      <c r="CE972" s="2"/>
      <c r="CF972" s="1"/>
      <c r="CG972" s="1"/>
      <c r="CH972" s="1"/>
      <c r="CI972" s="1"/>
      <c r="CJ972" s="1"/>
      <c r="CK972" s="1"/>
      <c r="CL972" s="1"/>
    </row>
    <row r="973" spans="1:90" ht="14.65" x14ac:dyDescent="0.4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2"/>
      <c r="L973" s="1"/>
      <c r="M973" s="1"/>
      <c r="N973" s="1"/>
      <c r="O973" s="1"/>
      <c r="P973" s="1"/>
      <c r="Q973" s="1"/>
      <c r="R973" s="1"/>
      <c r="S973" s="1"/>
      <c r="T973" s="2"/>
      <c r="U973" s="1"/>
      <c r="V973" s="1"/>
      <c r="W973" s="1"/>
      <c r="X973" s="1"/>
      <c r="Y973" s="1"/>
      <c r="Z973" s="1"/>
      <c r="AA973" s="1"/>
      <c r="AB973" s="1"/>
      <c r="AC973" s="2"/>
      <c r="AD973" s="1"/>
      <c r="AE973" s="1"/>
      <c r="AF973" s="1"/>
      <c r="AG973" s="1"/>
      <c r="AH973" s="1"/>
      <c r="AI973" s="1"/>
      <c r="AJ973" s="1"/>
      <c r="AK973" s="1"/>
      <c r="AL973" s="2"/>
      <c r="AM973" s="1"/>
      <c r="AN973" s="1"/>
      <c r="AO973" s="1"/>
      <c r="AP973" s="1"/>
      <c r="AQ973" s="1"/>
      <c r="AR973" s="1"/>
      <c r="AS973" s="1"/>
      <c r="AT973" s="1"/>
      <c r="AU973" s="2"/>
      <c r="AV973" s="1"/>
      <c r="AW973" s="1"/>
      <c r="AX973" s="1"/>
      <c r="AY973" s="1"/>
      <c r="AZ973" s="1"/>
      <c r="BA973" s="1"/>
      <c r="BB973" s="1"/>
      <c r="BC973" s="1"/>
      <c r="BD973" s="2"/>
      <c r="BE973" s="1"/>
      <c r="BF973" s="1"/>
      <c r="BG973" s="1"/>
      <c r="BH973" s="1"/>
      <c r="BI973" s="1"/>
      <c r="BJ973" s="1"/>
      <c r="BK973" s="1"/>
      <c r="BL973" s="1"/>
      <c r="BM973" s="2"/>
      <c r="BN973" s="1"/>
      <c r="BO973" s="1"/>
      <c r="BP973" s="1"/>
      <c r="BQ973" s="1"/>
      <c r="BR973" s="1"/>
      <c r="BS973" s="1"/>
      <c r="BT973" s="1"/>
      <c r="BU973" s="1"/>
      <c r="BV973" s="2"/>
      <c r="BW973" s="1"/>
      <c r="BX973" s="1"/>
      <c r="BY973" s="1"/>
      <c r="BZ973" s="1"/>
      <c r="CA973" s="1"/>
      <c r="CB973" s="1"/>
      <c r="CC973" s="1"/>
      <c r="CD973" s="1"/>
      <c r="CE973" s="2"/>
      <c r="CF973" s="1"/>
      <c r="CG973" s="1"/>
      <c r="CH973" s="1"/>
      <c r="CI973" s="1"/>
      <c r="CJ973" s="1"/>
      <c r="CK973" s="1"/>
      <c r="CL973" s="1"/>
    </row>
    <row r="974" spans="1:90" ht="14.65" x14ac:dyDescent="0.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2"/>
      <c r="L974" s="1"/>
      <c r="M974" s="1"/>
      <c r="N974" s="1"/>
      <c r="O974" s="1"/>
      <c r="P974" s="1"/>
      <c r="Q974" s="1"/>
      <c r="R974" s="1"/>
      <c r="S974" s="1"/>
      <c r="T974" s="2"/>
      <c r="U974" s="1"/>
      <c r="V974" s="1"/>
      <c r="W974" s="1"/>
      <c r="X974" s="1"/>
      <c r="Y974" s="1"/>
      <c r="Z974" s="1"/>
      <c r="AA974" s="1"/>
      <c r="AB974" s="1"/>
      <c r="AC974" s="2"/>
      <c r="AD974" s="1"/>
      <c r="AE974" s="1"/>
      <c r="AF974" s="1"/>
      <c r="AG974" s="1"/>
      <c r="AH974" s="1"/>
      <c r="AI974" s="1"/>
      <c r="AJ974" s="1"/>
      <c r="AK974" s="1"/>
      <c r="AL974" s="2"/>
      <c r="AM974" s="1"/>
      <c r="AN974" s="1"/>
      <c r="AO974" s="1"/>
      <c r="AP974" s="1"/>
      <c r="AQ974" s="1"/>
      <c r="AR974" s="1"/>
      <c r="AS974" s="1"/>
      <c r="AT974" s="1"/>
      <c r="AU974" s="2"/>
      <c r="AV974" s="1"/>
      <c r="AW974" s="1"/>
      <c r="AX974" s="1"/>
      <c r="AY974" s="1"/>
      <c r="AZ974" s="1"/>
      <c r="BA974" s="1"/>
      <c r="BB974" s="1"/>
      <c r="BC974" s="1"/>
      <c r="BD974" s="2"/>
      <c r="BE974" s="1"/>
      <c r="BF974" s="1"/>
      <c r="BG974" s="1"/>
      <c r="BH974" s="1"/>
      <c r="BI974" s="1"/>
      <c r="BJ974" s="1"/>
      <c r="BK974" s="1"/>
      <c r="BL974" s="1"/>
      <c r="BM974" s="2"/>
      <c r="BN974" s="1"/>
      <c r="BO974" s="1"/>
      <c r="BP974" s="1"/>
      <c r="BQ974" s="1"/>
      <c r="BR974" s="1"/>
      <c r="BS974" s="1"/>
      <c r="BT974" s="1"/>
      <c r="BU974" s="1"/>
      <c r="BV974" s="2"/>
      <c r="BW974" s="1"/>
      <c r="BX974" s="1"/>
      <c r="BY974" s="1"/>
      <c r="BZ974" s="1"/>
      <c r="CA974" s="1"/>
      <c r="CB974" s="1"/>
      <c r="CC974" s="1"/>
      <c r="CD974" s="1"/>
      <c r="CE974" s="2"/>
      <c r="CF974" s="1"/>
      <c r="CG974" s="1"/>
      <c r="CH974" s="1"/>
      <c r="CI974" s="1"/>
      <c r="CJ974" s="1"/>
      <c r="CK974" s="1"/>
      <c r="CL974" s="1"/>
    </row>
    <row r="975" spans="1:90" ht="14.65" x14ac:dyDescent="0.4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2"/>
      <c r="L975" s="1"/>
      <c r="M975" s="1"/>
      <c r="N975" s="1"/>
      <c r="O975" s="1"/>
      <c r="P975" s="1"/>
      <c r="Q975" s="1"/>
      <c r="R975" s="1"/>
      <c r="S975" s="1"/>
      <c r="T975" s="2"/>
      <c r="U975" s="1"/>
      <c r="V975" s="1"/>
      <c r="W975" s="1"/>
      <c r="X975" s="1"/>
      <c r="Y975" s="1"/>
      <c r="Z975" s="1"/>
      <c r="AA975" s="1"/>
      <c r="AB975" s="1"/>
      <c r="AC975" s="2"/>
      <c r="AD975" s="1"/>
      <c r="AE975" s="1"/>
      <c r="AF975" s="1"/>
      <c r="AG975" s="1"/>
      <c r="AH975" s="1"/>
      <c r="AI975" s="1"/>
      <c r="AJ975" s="1"/>
      <c r="AK975" s="1"/>
      <c r="AL975" s="2"/>
      <c r="AM975" s="1"/>
      <c r="AN975" s="1"/>
      <c r="AO975" s="1"/>
      <c r="AP975" s="1"/>
      <c r="AQ975" s="1"/>
      <c r="AR975" s="1"/>
      <c r="AS975" s="1"/>
      <c r="AT975" s="1"/>
      <c r="AU975" s="2"/>
      <c r="AV975" s="1"/>
      <c r="AW975" s="1"/>
      <c r="AX975" s="1"/>
      <c r="AY975" s="1"/>
      <c r="AZ975" s="1"/>
      <c r="BA975" s="1"/>
      <c r="BB975" s="1"/>
      <c r="BC975" s="1"/>
      <c r="BD975" s="2"/>
      <c r="BE975" s="1"/>
      <c r="BF975" s="1"/>
      <c r="BG975" s="1"/>
      <c r="BH975" s="1"/>
      <c r="BI975" s="1"/>
      <c r="BJ975" s="1"/>
      <c r="BK975" s="1"/>
      <c r="BL975" s="1"/>
      <c r="BM975" s="2"/>
      <c r="BN975" s="1"/>
      <c r="BO975" s="1"/>
      <c r="BP975" s="1"/>
      <c r="BQ975" s="1"/>
      <c r="BR975" s="1"/>
      <c r="BS975" s="1"/>
      <c r="BT975" s="1"/>
      <c r="BU975" s="1"/>
      <c r="BV975" s="2"/>
      <c r="BW975" s="1"/>
      <c r="BX975" s="1"/>
      <c r="BY975" s="1"/>
      <c r="BZ975" s="1"/>
      <c r="CA975" s="1"/>
      <c r="CB975" s="1"/>
      <c r="CC975" s="1"/>
      <c r="CD975" s="1"/>
      <c r="CE975" s="2"/>
      <c r="CF975" s="1"/>
      <c r="CG975" s="1"/>
      <c r="CH975" s="1"/>
      <c r="CI975" s="1"/>
      <c r="CJ975" s="1"/>
      <c r="CK975" s="1"/>
      <c r="CL975" s="1"/>
    </row>
    <row r="976" spans="1:90" ht="14.65" x14ac:dyDescent="0.4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2"/>
      <c r="L976" s="1"/>
      <c r="M976" s="1"/>
      <c r="N976" s="1"/>
      <c r="O976" s="1"/>
      <c r="P976" s="1"/>
      <c r="Q976" s="1"/>
      <c r="R976" s="1"/>
      <c r="S976" s="1"/>
      <c r="T976" s="2"/>
      <c r="U976" s="1"/>
      <c r="V976" s="1"/>
      <c r="W976" s="1"/>
      <c r="X976" s="1"/>
      <c r="Y976" s="1"/>
      <c r="Z976" s="1"/>
      <c r="AA976" s="1"/>
      <c r="AB976" s="1"/>
      <c r="AC976" s="2"/>
      <c r="AD976" s="1"/>
      <c r="AE976" s="1"/>
      <c r="AF976" s="1"/>
      <c r="AG976" s="1"/>
      <c r="AH976" s="1"/>
      <c r="AI976" s="1"/>
      <c r="AJ976" s="1"/>
      <c r="AK976" s="1"/>
      <c r="AL976" s="2"/>
      <c r="AM976" s="1"/>
      <c r="AN976" s="1"/>
      <c r="AO976" s="1"/>
      <c r="AP976" s="1"/>
      <c r="AQ976" s="1"/>
      <c r="AR976" s="1"/>
      <c r="AS976" s="1"/>
      <c r="AT976" s="1"/>
      <c r="AU976" s="2"/>
      <c r="AV976" s="1"/>
      <c r="AW976" s="1"/>
      <c r="AX976" s="1"/>
      <c r="AY976" s="1"/>
      <c r="AZ976" s="1"/>
      <c r="BA976" s="1"/>
      <c r="BB976" s="1"/>
      <c r="BC976" s="1"/>
      <c r="BD976" s="2"/>
      <c r="BE976" s="1"/>
      <c r="BF976" s="1"/>
      <c r="BG976" s="1"/>
      <c r="BH976" s="1"/>
      <c r="BI976" s="1"/>
      <c r="BJ976" s="1"/>
      <c r="BK976" s="1"/>
      <c r="BL976" s="1"/>
      <c r="BM976" s="2"/>
      <c r="BN976" s="1"/>
      <c r="BO976" s="1"/>
      <c r="BP976" s="1"/>
      <c r="BQ976" s="1"/>
      <c r="BR976" s="1"/>
      <c r="BS976" s="1"/>
      <c r="BT976" s="1"/>
      <c r="BU976" s="1"/>
      <c r="BV976" s="2"/>
      <c r="BW976" s="1"/>
      <c r="BX976" s="1"/>
      <c r="BY976" s="1"/>
      <c r="BZ976" s="1"/>
      <c r="CA976" s="1"/>
      <c r="CB976" s="1"/>
      <c r="CC976" s="1"/>
      <c r="CD976" s="1"/>
      <c r="CE976" s="2"/>
      <c r="CF976" s="1"/>
      <c r="CG976" s="1"/>
      <c r="CH976" s="1"/>
      <c r="CI976" s="1"/>
      <c r="CJ976" s="1"/>
      <c r="CK976" s="1"/>
      <c r="CL976" s="1"/>
    </row>
    <row r="977" spans="1:90" ht="14.65" x14ac:dyDescent="0.4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2"/>
      <c r="L977" s="1"/>
      <c r="M977" s="1"/>
      <c r="N977" s="1"/>
      <c r="O977" s="1"/>
      <c r="P977" s="1"/>
      <c r="Q977" s="1"/>
      <c r="R977" s="1"/>
      <c r="S977" s="1"/>
      <c r="T977" s="2"/>
      <c r="U977" s="1"/>
      <c r="V977" s="1"/>
      <c r="W977" s="1"/>
      <c r="X977" s="1"/>
      <c r="Y977" s="1"/>
      <c r="Z977" s="1"/>
      <c r="AA977" s="1"/>
      <c r="AB977" s="1"/>
      <c r="AC977" s="2"/>
      <c r="AD977" s="1"/>
      <c r="AE977" s="1"/>
      <c r="AF977" s="1"/>
      <c r="AG977" s="1"/>
      <c r="AH977" s="1"/>
      <c r="AI977" s="1"/>
      <c r="AJ977" s="1"/>
      <c r="AK977" s="1"/>
      <c r="AL977" s="2"/>
      <c r="AM977" s="1"/>
      <c r="AN977" s="1"/>
      <c r="AO977" s="1"/>
      <c r="AP977" s="1"/>
      <c r="AQ977" s="1"/>
      <c r="AR977" s="1"/>
      <c r="AS977" s="1"/>
      <c r="AT977" s="1"/>
      <c r="AU977" s="2"/>
      <c r="AV977" s="1"/>
      <c r="AW977" s="1"/>
      <c r="AX977" s="1"/>
      <c r="AY977" s="1"/>
      <c r="AZ977" s="1"/>
      <c r="BA977" s="1"/>
      <c r="BB977" s="1"/>
      <c r="BC977" s="1"/>
      <c r="BD977" s="2"/>
      <c r="BE977" s="1"/>
      <c r="BF977" s="1"/>
      <c r="BG977" s="1"/>
      <c r="BH977" s="1"/>
      <c r="BI977" s="1"/>
      <c r="BJ977" s="1"/>
      <c r="BK977" s="1"/>
      <c r="BL977" s="1"/>
      <c r="BM977" s="2"/>
      <c r="BN977" s="1"/>
      <c r="BO977" s="1"/>
      <c r="BP977" s="1"/>
      <c r="BQ977" s="1"/>
      <c r="BR977" s="1"/>
      <c r="BS977" s="1"/>
      <c r="BT977" s="1"/>
      <c r="BU977" s="1"/>
      <c r="BV977" s="2"/>
      <c r="BW977" s="1"/>
      <c r="BX977" s="1"/>
      <c r="BY977" s="1"/>
      <c r="BZ977" s="1"/>
      <c r="CA977" s="1"/>
      <c r="CB977" s="1"/>
      <c r="CC977" s="1"/>
      <c r="CD977" s="1"/>
      <c r="CE977" s="2"/>
      <c r="CF977" s="1"/>
      <c r="CG977" s="1"/>
      <c r="CH977" s="1"/>
      <c r="CI977" s="1"/>
      <c r="CJ977" s="1"/>
      <c r="CK977" s="1"/>
      <c r="CL977" s="1"/>
    </row>
    <row r="978" spans="1:90" ht="14.65" x14ac:dyDescent="0.4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2"/>
      <c r="L978" s="1"/>
      <c r="M978" s="1"/>
      <c r="N978" s="1"/>
      <c r="O978" s="1"/>
      <c r="P978" s="1"/>
      <c r="Q978" s="1"/>
      <c r="R978" s="1"/>
      <c r="S978" s="1"/>
      <c r="T978" s="8"/>
      <c r="U978" s="3"/>
      <c r="V978" s="1"/>
      <c r="W978" s="1"/>
      <c r="X978" s="1"/>
      <c r="Y978" s="1"/>
      <c r="Z978" s="1"/>
      <c r="AA978" s="1"/>
      <c r="AB978" s="1"/>
      <c r="AC978" s="2"/>
      <c r="AD978" s="1"/>
      <c r="AE978" s="1"/>
      <c r="AF978" s="1"/>
      <c r="AG978" s="1"/>
      <c r="AH978" s="1"/>
      <c r="AI978" s="1"/>
      <c r="AJ978" s="1"/>
      <c r="AK978" s="1"/>
      <c r="AL978" s="2"/>
      <c r="AM978" s="1"/>
      <c r="AN978" s="1"/>
      <c r="AO978" s="1"/>
      <c r="AP978" s="1"/>
      <c r="AQ978" s="1"/>
      <c r="AR978" s="1"/>
      <c r="AS978" s="1"/>
      <c r="AT978" s="1"/>
      <c r="AU978" s="2"/>
      <c r="AV978" s="1"/>
      <c r="AW978" s="1"/>
      <c r="AX978" s="1"/>
      <c r="AY978" s="1"/>
      <c r="AZ978" s="1"/>
      <c r="BA978" s="1"/>
      <c r="BB978" s="1"/>
      <c r="BC978" s="1"/>
      <c r="BD978" s="2"/>
      <c r="BE978" s="1"/>
      <c r="BF978" s="1"/>
      <c r="BG978" s="1"/>
      <c r="BH978" s="1"/>
      <c r="BI978" s="1"/>
      <c r="BJ978" s="1"/>
      <c r="BK978" s="1"/>
      <c r="BL978" s="1"/>
      <c r="BM978" s="2"/>
      <c r="BN978" s="1"/>
      <c r="BO978" s="1"/>
      <c r="BP978" s="1"/>
      <c r="BQ978" s="1"/>
      <c r="BR978" s="1"/>
      <c r="BS978" s="1"/>
      <c r="BT978" s="1"/>
      <c r="BU978" s="1"/>
      <c r="BV978" s="2"/>
      <c r="BW978" s="1"/>
      <c r="BX978" s="1"/>
      <c r="BY978" s="1"/>
      <c r="BZ978" s="1"/>
      <c r="CA978" s="1"/>
      <c r="CB978" s="1"/>
      <c r="CC978" s="1"/>
      <c r="CD978" s="1"/>
      <c r="CE978" s="2"/>
      <c r="CF978" s="1"/>
      <c r="CG978" s="1"/>
      <c r="CH978" s="1"/>
      <c r="CI978" s="1"/>
      <c r="CJ978" s="1"/>
      <c r="CK978" s="1"/>
      <c r="CL978" s="1"/>
    </row>
    <row r="979" spans="1:90" ht="14.65" x14ac:dyDescent="0.4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2"/>
      <c r="L979" s="1"/>
      <c r="M979" s="1"/>
      <c r="N979" s="1"/>
      <c r="O979" s="1"/>
      <c r="P979" s="1"/>
      <c r="Q979" s="1"/>
      <c r="R979" s="1"/>
      <c r="S979" s="1"/>
      <c r="T979" s="8"/>
      <c r="U979" s="1"/>
      <c r="V979" s="1"/>
      <c r="W979" s="1"/>
      <c r="X979" s="1"/>
      <c r="Y979" s="1"/>
      <c r="Z979" s="1"/>
      <c r="AA979" s="1"/>
      <c r="AB979" s="1"/>
      <c r="AC979" s="2"/>
      <c r="AD979" s="1"/>
      <c r="AE979" s="1"/>
      <c r="AF979" s="1"/>
      <c r="AG979" s="1"/>
      <c r="AH979" s="1"/>
      <c r="AI979" s="1"/>
      <c r="AJ979" s="1"/>
      <c r="AK979" s="1"/>
      <c r="AL979" s="2"/>
      <c r="AM979" s="1"/>
      <c r="AN979" s="1"/>
      <c r="AO979" s="1"/>
      <c r="AP979" s="1"/>
      <c r="AQ979" s="1"/>
      <c r="AR979" s="1"/>
      <c r="AS979" s="1"/>
      <c r="AT979" s="1"/>
      <c r="AU979" s="2"/>
      <c r="AV979" s="1"/>
      <c r="AW979" s="1"/>
      <c r="AX979" s="1"/>
      <c r="AY979" s="1"/>
      <c r="AZ979" s="1"/>
      <c r="BA979" s="1"/>
      <c r="BB979" s="1"/>
      <c r="BC979" s="1"/>
      <c r="BD979" s="2"/>
      <c r="BE979" s="1"/>
      <c r="BF979" s="1"/>
      <c r="BG979" s="1"/>
      <c r="BH979" s="1"/>
      <c r="BI979" s="1"/>
      <c r="BJ979" s="1"/>
      <c r="BK979" s="1"/>
      <c r="BL979" s="1"/>
      <c r="BM979" s="2"/>
      <c r="BN979" s="1"/>
      <c r="BO979" s="1"/>
      <c r="BP979" s="1"/>
      <c r="BQ979" s="1"/>
      <c r="BR979" s="1"/>
      <c r="BS979" s="1"/>
      <c r="BT979" s="1"/>
      <c r="BU979" s="1"/>
      <c r="BV979" s="2"/>
      <c r="BW979" s="1"/>
      <c r="BX979" s="1"/>
      <c r="BY979" s="1"/>
      <c r="BZ979" s="1"/>
      <c r="CA979" s="1"/>
      <c r="CB979" s="1"/>
      <c r="CC979" s="1"/>
      <c r="CD979" s="1"/>
      <c r="CE979" s="2"/>
      <c r="CF979" s="1"/>
      <c r="CG979" s="1"/>
      <c r="CH979" s="1"/>
      <c r="CI979" s="1"/>
      <c r="CJ979" s="1"/>
      <c r="CK979" s="1"/>
      <c r="CL979" s="1"/>
    </row>
    <row r="980" spans="1:90" ht="14.65" x14ac:dyDescent="0.4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2"/>
      <c r="L980" s="1"/>
      <c r="M980" s="1"/>
      <c r="N980" s="1"/>
      <c r="O980" s="1"/>
      <c r="P980" s="1"/>
      <c r="Q980" s="1"/>
      <c r="R980" s="1"/>
      <c r="S980" s="1"/>
      <c r="T980" s="8"/>
      <c r="U980" s="1"/>
      <c r="V980" s="1"/>
      <c r="W980" s="1"/>
      <c r="X980" s="1"/>
      <c r="Y980" s="1"/>
      <c r="Z980" s="1"/>
      <c r="AA980" s="1"/>
      <c r="AB980" s="1"/>
      <c r="AC980" s="2"/>
      <c r="AD980" s="1"/>
      <c r="AE980" s="1"/>
      <c r="AF980" s="1"/>
      <c r="AG980" s="1"/>
      <c r="AH980" s="1"/>
      <c r="AI980" s="1"/>
      <c r="AJ980" s="1"/>
      <c r="AK980" s="1"/>
      <c r="AL980" s="2"/>
      <c r="AM980" s="1"/>
      <c r="AN980" s="1"/>
      <c r="AO980" s="1"/>
      <c r="AP980" s="1"/>
      <c r="AQ980" s="1"/>
      <c r="AR980" s="1"/>
      <c r="AS980" s="1"/>
      <c r="AT980" s="1"/>
      <c r="AU980" s="2"/>
      <c r="AV980" s="1"/>
      <c r="AW980" s="1"/>
      <c r="AX980" s="1"/>
      <c r="AY980" s="1"/>
      <c r="AZ980" s="1"/>
      <c r="BA980" s="1"/>
      <c r="BB980" s="1"/>
      <c r="BC980" s="1"/>
      <c r="BD980" s="2"/>
      <c r="BE980" s="1"/>
      <c r="BF980" s="1"/>
      <c r="BG980" s="1"/>
      <c r="BH980" s="1"/>
      <c r="BI980" s="1"/>
      <c r="BJ980" s="1"/>
      <c r="BK980" s="1"/>
      <c r="BL980" s="1"/>
      <c r="BM980" s="2"/>
      <c r="BN980" s="1"/>
      <c r="BO980" s="1"/>
      <c r="BP980" s="1"/>
      <c r="BQ980" s="1"/>
      <c r="BR980" s="1"/>
      <c r="BS980" s="1"/>
      <c r="BT980" s="1"/>
      <c r="BU980" s="1"/>
      <c r="BV980" s="2"/>
      <c r="BW980" s="1"/>
      <c r="BX980" s="1"/>
      <c r="BY980" s="1"/>
      <c r="BZ980" s="1"/>
      <c r="CA980" s="1"/>
      <c r="CB980" s="1"/>
      <c r="CC980" s="1"/>
      <c r="CD980" s="1"/>
      <c r="CE980" s="2"/>
      <c r="CF980" s="1"/>
      <c r="CG980" s="1"/>
      <c r="CH980" s="1"/>
      <c r="CI980" s="1"/>
      <c r="CJ980" s="1"/>
      <c r="CK980" s="1"/>
      <c r="CL980" s="1"/>
    </row>
    <row r="981" spans="1:90" ht="14.65" x14ac:dyDescent="0.4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2"/>
      <c r="L981" s="1"/>
      <c r="M981" s="1"/>
      <c r="N981" s="1"/>
      <c r="O981" s="1"/>
      <c r="P981" s="1"/>
      <c r="Q981" s="1"/>
      <c r="R981" s="1"/>
      <c r="S981" s="1"/>
      <c r="T981" s="8"/>
      <c r="U981" s="3"/>
      <c r="V981" s="1"/>
      <c r="W981" s="1"/>
      <c r="X981" s="1"/>
      <c r="Y981" s="1"/>
      <c r="Z981" s="1"/>
      <c r="AA981" s="1"/>
      <c r="AB981" s="1"/>
      <c r="AC981" s="2"/>
      <c r="AD981" s="1"/>
      <c r="AE981" s="1"/>
      <c r="AF981" s="1"/>
      <c r="AG981" s="1"/>
      <c r="AH981" s="1"/>
      <c r="AI981" s="1"/>
      <c r="AJ981" s="1"/>
      <c r="AK981" s="1"/>
      <c r="AL981" s="2"/>
      <c r="AM981" s="1"/>
      <c r="AN981" s="1"/>
      <c r="AO981" s="1"/>
      <c r="AP981" s="1"/>
      <c r="AQ981" s="1"/>
      <c r="AR981" s="1"/>
      <c r="AS981" s="1"/>
      <c r="AT981" s="1"/>
      <c r="AU981" s="2"/>
      <c r="AV981" s="1"/>
      <c r="AW981" s="1"/>
      <c r="AX981" s="1"/>
      <c r="AY981" s="1"/>
      <c r="AZ981" s="1"/>
      <c r="BA981" s="1"/>
      <c r="BB981" s="1"/>
      <c r="BC981" s="1"/>
      <c r="BD981" s="2"/>
      <c r="BE981" s="1"/>
      <c r="BF981" s="1"/>
      <c r="BG981" s="1"/>
      <c r="BH981" s="1"/>
      <c r="BI981" s="1"/>
      <c r="BJ981" s="1"/>
      <c r="BK981" s="1"/>
      <c r="BL981" s="1"/>
      <c r="BM981" s="2"/>
      <c r="BN981" s="1"/>
      <c r="BO981" s="1"/>
      <c r="BP981" s="1"/>
      <c r="BQ981" s="1"/>
      <c r="BR981" s="1"/>
      <c r="BS981" s="1"/>
      <c r="BT981" s="1"/>
      <c r="BU981" s="1"/>
      <c r="BV981" s="2"/>
      <c r="BW981" s="1"/>
      <c r="BX981" s="1"/>
      <c r="BY981" s="1"/>
      <c r="BZ981" s="1"/>
      <c r="CA981" s="1"/>
      <c r="CB981" s="1"/>
      <c r="CC981" s="1"/>
      <c r="CD981" s="1"/>
      <c r="CE981" s="2"/>
      <c r="CF981" s="1"/>
      <c r="CG981" s="1"/>
      <c r="CH981" s="1"/>
      <c r="CI981" s="1"/>
      <c r="CJ981" s="1"/>
      <c r="CK981" s="1"/>
      <c r="CL981" s="1"/>
    </row>
    <row r="982" spans="1:90" ht="14.65" x14ac:dyDescent="0.4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2"/>
      <c r="L982" s="1"/>
      <c r="M982" s="1"/>
      <c r="N982" s="1"/>
      <c r="O982" s="1"/>
      <c r="P982" s="1"/>
      <c r="Q982" s="1"/>
      <c r="R982" s="1"/>
      <c r="S982" s="1"/>
      <c r="T982" s="8"/>
      <c r="U982" s="3"/>
      <c r="V982" s="1"/>
      <c r="W982" s="1"/>
      <c r="X982" s="1"/>
      <c r="Y982" s="1"/>
      <c r="Z982" s="1"/>
      <c r="AA982" s="1"/>
      <c r="AB982" s="1"/>
      <c r="AC982" s="2"/>
      <c r="AD982" s="1"/>
      <c r="AE982" s="1"/>
      <c r="AF982" s="1"/>
      <c r="AG982" s="1"/>
      <c r="AH982" s="1"/>
      <c r="AI982" s="1"/>
      <c r="AJ982" s="1"/>
      <c r="AK982" s="1"/>
      <c r="AL982" s="2"/>
      <c r="AM982" s="1"/>
      <c r="AN982" s="1"/>
      <c r="AO982" s="1"/>
      <c r="AP982" s="1"/>
      <c r="AQ982" s="1"/>
      <c r="AR982" s="1"/>
      <c r="AS982" s="1"/>
      <c r="AT982" s="1"/>
      <c r="AU982" s="2"/>
      <c r="AV982" s="1"/>
      <c r="AW982" s="1"/>
      <c r="AX982" s="1"/>
      <c r="AY982" s="1"/>
      <c r="AZ982" s="1"/>
      <c r="BA982" s="1"/>
      <c r="BB982" s="1"/>
      <c r="BC982" s="1"/>
      <c r="BD982" s="2"/>
      <c r="BE982" s="1"/>
      <c r="BF982" s="1"/>
      <c r="BG982" s="1"/>
      <c r="BH982" s="1"/>
      <c r="BI982" s="1"/>
      <c r="BJ982" s="1"/>
      <c r="BK982" s="1"/>
      <c r="BL982" s="1"/>
      <c r="BM982" s="2"/>
      <c r="BN982" s="1"/>
      <c r="BO982" s="1"/>
      <c r="BP982" s="1"/>
      <c r="BQ982" s="1"/>
      <c r="BR982" s="1"/>
      <c r="BS982" s="1"/>
      <c r="BT982" s="1"/>
      <c r="BU982" s="1"/>
      <c r="BV982" s="2"/>
      <c r="BW982" s="1"/>
      <c r="BX982" s="1"/>
      <c r="BY982" s="1"/>
      <c r="BZ982" s="1"/>
      <c r="CA982" s="1"/>
      <c r="CB982" s="1"/>
      <c r="CC982" s="1"/>
      <c r="CD982" s="1"/>
      <c r="CE982" s="2"/>
      <c r="CF982" s="1"/>
      <c r="CG982" s="1"/>
      <c r="CH982" s="1"/>
      <c r="CI982" s="1"/>
      <c r="CJ982" s="1"/>
      <c r="CK982" s="1"/>
      <c r="CL982" s="1"/>
    </row>
    <row r="983" spans="1:90" ht="14.65" x14ac:dyDescent="0.4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2"/>
      <c r="L983" s="1"/>
      <c r="M983" s="1"/>
      <c r="N983" s="1"/>
      <c r="O983" s="1"/>
      <c r="P983" s="1"/>
      <c r="Q983" s="1"/>
      <c r="R983" s="1"/>
      <c r="S983" s="1"/>
      <c r="T983" s="8"/>
      <c r="U983" s="3"/>
      <c r="V983" s="1"/>
      <c r="W983" s="1"/>
      <c r="X983" s="1"/>
      <c r="Y983" s="1"/>
      <c r="Z983" s="1"/>
      <c r="AA983" s="1"/>
      <c r="AB983" s="1"/>
      <c r="AC983" s="2"/>
      <c r="AD983" s="1"/>
      <c r="AE983" s="1"/>
      <c r="AF983" s="1"/>
      <c r="AG983" s="1"/>
      <c r="AH983" s="1"/>
      <c r="AI983" s="1"/>
      <c r="AJ983" s="1"/>
      <c r="AK983" s="1"/>
      <c r="AL983" s="2"/>
      <c r="AM983" s="1"/>
      <c r="AN983" s="1"/>
      <c r="AO983" s="1"/>
      <c r="AP983" s="1"/>
      <c r="AQ983" s="1"/>
      <c r="AR983" s="1"/>
      <c r="AS983" s="1"/>
      <c r="AT983" s="1"/>
      <c r="AU983" s="2"/>
      <c r="AV983" s="1"/>
      <c r="AW983" s="1"/>
      <c r="AX983" s="1"/>
      <c r="AY983" s="1"/>
      <c r="AZ983" s="1"/>
      <c r="BA983" s="1"/>
      <c r="BB983" s="1"/>
      <c r="BC983" s="1"/>
      <c r="BD983" s="2"/>
      <c r="BE983" s="1"/>
      <c r="BF983" s="1"/>
      <c r="BG983" s="1"/>
      <c r="BH983" s="1"/>
      <c r="BI983" s="1"/>
      <c r="BJ983" s="1"/>
      <c r="BK983" s="1"/>
      <c r="BL983" s="1"/>
      <c r="BM983" s="2"/>
      <c r="BN983" s="1"/>
      <c r="BO983" s="1"/>
      <c r="BP983" s="1"/>
      <c r="BQ983" s="1"/>
      <c r="BR983" s="1"/>
      <c r="BS983" s="1"/>
      <c r="BT983" s="1"/>
      <c r="BU983" s="1"/>
      <c r="BV983" s="2"/>
      <c r="BW983" s="1"/>
      <c r="BX983" s="1"/>
      <c r="BY983" s="1"/>
      <c r="BZ983" s="1"/>
      <c r="CA983" s="1"/>
      <c r="CB983" s="1"/>
      <c r="CC983" s="1"/>
      <c r="CD983" s="1"/>
      <c r="CE983" s="2"/>
      <c r="CF983" s="1"/>
      <c r="CG983" s="1"/>
      <c r="CH983" s="1"/>
      <c r="CI983" s="1"/>
      <c r="CJ983" s="1"/>
      <c r="CK983" s="1"/>
      <c r="CL983" s="1"/>
    </row>
    <row r="984" spans="1:90" ht="14.65" x14ac:dyDescent="0.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2"/>
      <c r="L984" s="1"/>
      <c r="M984" s="1"/>
      <c r="N984" s="1"/>
      <c r="O984" s="1"/>
      <c r="P984" s="1"/>
      <c r="Q984" s="1"/>
      <c r="R984" s="1"/>
      <c r="S984" s="1"/>
      <c r="T984" s="2"/>
      <c r="U984" s="1"/>
      <c r="V984" s="1"/>
      <c r="W984" s="1"/>
      <c r="X984" s="1"/>
      <c r="Y984" s="1"/>
      <c r="Z984" s="1"/>
      <c r="AA984" s="1"/>
      <c r="AB984" s="1"/>
      <c r="AC984" s="2"/>
      <c r="AD984" s="1"/>
      <c r="AE984" s="1"/>
      <c r="AF984" s="1"/>
      <c r="AG984" s="1"/>
      <c r="AH984" s="1"/>
      <c r="AI984" s="1"/>
      <c r="AJ984" s="1"/>
      <c r="AK984" s="1"/>
      <c r="AL984" s="2"/>
      <c r="AM984" s="1"/>
      <c r="AN984" s="1"/>
      <c r="AO984" s="1"/>
      <c r="AP984" s="1"/>
      <c r="AQ984" s="1"/>
      <c r="AR984" s="1"/>
      <c r="AS984" s="1"/>
      <c r="AT984" s="1"/>
      <c r="AU984" s="2"/>
      <c r="AV984" s="1"/>
      <c r="AW984" s="1"/>
      <c r="AX984" s="1"/>
      <c r="AY984" s="1"/>
      <c r="AZ984" s="1"/>
      <c r="BA984" s="1"/>
      <c r="BB984" s="1"/>
      <c r="BC984" s="1"/>
      <c r="BD984" s="2"/>
      <c r="BE984" s="1"/>
      <c r="BF984" s="1"/>
      <c r="BG984" s="1"/>
      <c r="BH984" s="1"/>
      <c r="BI984" s="1"/>
      <c r="BJ984" s="1"/>
      <c r="BK984" s="1"/>
      <c r="BL984" s="1"/>
      <c r="BM984" s="2"/>
      <c r="BN984" s="1"/>
      <c r="BO984" s="1"/>
      <c r="BP984" s="1"/>
      <c r="BQ984" s="1"/>
      <c r="BR984" s="1"/>
      <c r="BS984" s="1"/>
      <c r="BT984" s="1"/>
      <c r="BU984" s="1"/>
      <c r="BV984" s="2"/>
      <c r="BW984" s="1"/>
      <c r="BX984" s="1"/>
      <c r="BY984" s="1"/>
      <c r="BZ984" s="1"/>
      <c r="CA984" s="1"/>
      <c r="CB984" s="1"/>
      <c r="CC984" s="1"/>
      <c r="CD984" s="1"/>
      <c r="CE984" s="2"/>
      <c r="CF984" s="1"/>
      <c r="CG984" s="1"/>
      <c r="CH984" s="1"/>
      <c r="CI984" s="1"/>
      <c r="CJ984" s="1"/>
      <c r="CK984" s="1"/>
      <c r="CL984" s="1"/>
    </row>
    <row r="985" spans="1:90" ht="14.65" x14ac:dyDescent="0.4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2"/>
      <c r="L985" s="1"/>
      <c r="M985" s="1"/>
      <c r="N985" s="1"/>
      <c r="O985" s="1"/>
      <c r="P985" s="1"/>
      <c r="Q985" s="1"/>
      <c r="R985" s="1"/>
      <c r="S985" s="1"/>
      <c r="T985" s="2"/>
      <c r="U985" s="1"/>
      <c r="V985" s="1"/>
      <c r="W985" s="1"/>
      <c r="X985" s="1"/>
      <c r="Y985" s="1"/>
      <c r="Z985" s="1"/>
      <c r="AA985" s="1"/>
      <c r="AB985" s="1"/>
      <c r="AC985" s="2"/>
      <c r="AD985" s="1"/>
      <c r="AE985" s="1"/>
      <c r="AF985" s="1"/>
      <c r="AG985" s="1"/>
      <c r="AH985" s="1"/>
      <c r="AI985" s="1"/>
      <c r="AJ985" s="1"/>
      <c r="AK985" s="1"/>
      <c r="AL985" s="2"/>
      <c r="AM985" s="1"/>
      <c r="AN985" s="1"/>
      <c r="AO985" s="1"/>
      <c r="AP985" s="1"/>
      <c r="AQ985" s="1"/>
      <c r="AR985" s="1"/>
      <c r="AS985" s="1"/>
      <c r="AT985" s="1"/>
      <c r="AU985" s="2"/>
      <c r="AV985" s="1"/>
      <c r="AW985" s="1"/>
      <c r="AX985" s="1"/>
      <c r="AY985" s="1"/>
      <c r="AZ985" s="1"/>
      <c r="BA985" s="1"/>
      <c r="BB985" s="1"/>
      <c r="BC985" s="1"/>
      <c r="BD985" s="2"/>
      <c r="BE985" s="1"/>
      <c r="BF985" s="1"/>
      <c r="BG985" s="1"/>
      <c r="BH985" s="1"/>
      <c r="BI985" s="1"/>
      <c r="BJ985" s="1"/>
      <c r="BK985" s="1"/>
      <c r="BL985" s="1"/>
      <c r="BM985" s="2"/>
      <c r="BN985" s="1"/>
      <c r="BO985" s="1"/>
      <c r="BP985" s="1"/>
      <c r="BQ985" s="1"/>
      <c r="BR985" s="1"/>
      <c r="BS985" s="1"/>
      <c r="BT985" s="1"/>
      <c r="BU985" s="1"/>
      <c r="BV985" s="2"/>
      <c r="BW985" s="1"/>
      <c r="BX985" s="1"/>
      <c r="BY985" s="1"/>
      <c r="BZ985" s="1"/>
      <c r="CA985" s="1"/>
      <c r="CB985" s="1"/>
      <c r="CC985" s="1"/>
      <c r="CD985" s="1"/>
      <c r="CE985" s="2"/>
      <c r="CF985" s="1"/>
      <c r="CG985" s="1"/>
      <c r="CH985" s="1"/>
      <c r="CI985" s="1"/>
      <c r="CJ985" s="1"/>
      <c r="CK985" s="1"/>
      <c r="CL985" s="1"/>
    </row>
    <row r="986" spans="1:90" ht="14.65" x14ac:dyDescent="0.4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2"/>
      <c r="L986" s="1"/>
      <c r="M986" s="1"/>
      <c r="N986" s="1"/>
      <c r="O986" s="1"/>
      <c r="P986" s="1"/>
      <c r="Q986" s="1"/>
      <c r="R986" s="1"/>
      <c r="S986" s="1"/>
      <c r="T986" s="2"/>
      <c r="U986" s="1"/>
      <c r="V986" s="1"/>
      <c r="W986" s="1"/>
      <c r="X986" s="1"/>
      <c r="Y986" s="1"/>
      <c r="Z986" s="1"/>
      <c r="AA986" s="1"/>
      <c r="AB986" s="1"/>
      <c r="AC986" s="2"/>
      <c r="AD986" s="1"/>
      <c r="AE986" s="1"/>
      <c r="AF986" s="1"/>
      <c r="AG986" s="1"/>
      <c r="AH986" s="1"/>
      <c r="AI986" s="1"/>
      <c r="AJ986" s="1"/>
      <c r="AK986" s="1"/>
      <c r="AL986" s="2"/>
      <c r="AM986" s="1"/>
      <c r="AN986" s="1"/>
      <c r="AO986" s="1"/>
      <c r="AP986" s="1"/>
      <c r="AQ986" s="1"/>
      <c r="AR986" s="1"/>
      <c r="AS986" s="1"/>
      <c r="AT986" s="1"/>
      <c r="AU986" s="2"/>
      <c r="AV986" s="1"/>
      <c r="AW986" s="1"/>
      <c r="AX986" s="1"/>
      <c r="AY986" s="1"/>
      <c r="AZ986" s="1"/>
      <c r="BA986" s="1"/>
      <c r="BB986" s="1"/>
      <c r="BC986" s="1"/>
      <c r="BD986" s="2"/>
      <c r="BE986" s="1"/>
      <c r="BF986" s="1"/>
      <c r="BG986" s="1"/>
      <c r="BH986" s="1"/>
      <c r="BI986" s="1"/>
      <c r="BJ986" s="1"/>
      <c r="BK986" s="1"/>
      <c r="BL986" s="1"/>
      <c r="BM986" s="2"/>
      <c r="BN986" s="1"/>
      <c r="BO986" s="1"/>
      <c r="BP986" s="1"/>
      <c r="BQ986" s="1"/>
      <c r="BR986" s="1"/>
      <c r="BS986" s="1"/>
      <c r="BT986" s="1"/>
      <c r="BU986" s="1"/>
      <c r="BV986" s="2"/>
      <c r="BW986" s="1"/>
      <c r="BX986" s="1"/>
      <c r="BY986" s="1"/>
      <c r="BZ986" s="1"/>
      <c r="CA986" s="1"/>
      <c r="CB986" s="1"/>
      <c r="CC986" s="1"/>
      <c r="CD986" s="1"/>
      <c r="CE986" s="2"/>
      <c r="CF986" s="1"/>
      <c r="CG986" s="1"/>
      <c r="CH986" s="1"/>
      <c r="CI986" s="1"/>
      <c r="CJ986" s="1"/>
      <c r="CK986" s="1"/>
      <c r="CL986" s="1"/>
    </row>
    <row r="987" spans="1:90" ht="14.65" x14ac:dyDescent="0.4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2"/>
      <c r="L987" s="1"/>
      <c r="M987" s="1"/>
      <c r="N987" s="1"/>
      <c r="O987" s="1"/>
      <c r="P987" s="1"/>
      <c r="Q987" s="1"/>
      <c r="R987" s="1"/>
      <c r="S987" s="1"/>
      <c r="T987" s="2"/>
      <c r="U987" s="1"/>
      <c r="V987" s="1"/>
      <c r="W987" s="1"/>
      <c r="X987" s="1"/>
      <c r="Y987" s="1"/>
      <c r="Z987" s="1"/>
      <c r="AA987" s="1"/>
      <c r="AB987" s="1"/>
      <c r="AC987" s="2"/>
      <c r="AD987" s="1"/>
      <c r="AE987" s="1"/>
      <c r="AF987" s="1"/>
      <c r="AG987" s="1"/>
      <c r="AH987" s="1"/>
      <c r="AI987" s="1"/>
      <c r="AJ987" s="1"/>
      <c r="AK987" s="1"/>
      <c r="AL987" s="2"/>
      <c r="AM987" s="1"/>
      <c r="AN987" s="1"/>
      <c r="AO987" s="1"/>
      <c r="AP987" s="1"/>
      <c r="AQ987" s="1"/>
      <c r="AR987" s="1"/>
      <c r="AS987" s="1"/>
      <c r="AT987" s="1"/>
      <c r="AU987" s="2"/>
      <c r="AV987" s="1"/>
      <c r="AW987" s="1"/>
      <c r="AX987" s="1"/>
      <c r="AY987" s="1"/>
      <c r="AZ987" s="1"/>
      <c r="BA987" s="1"/>
      <c r="BB987" s="1"/>
      <c r="BC987" s="1"/>
      <c r="BD987" s="2"/>
      <c r="BE987" s="1"/>
      <c r="BF987" s="1"/>
      <c r="BG987" s="1"/>
      <c r="BH987" s="1"/>
      <c r="BI987" s="1"/>
      <c r="BJ987" s="1"/>
      <c r="BK987" s="1"/>
      <c r="BL987" s="1"/>
      <c r="BM987" s="2"/>
      <c r="BN987" s="2"/>
      <c r="BO987" s="1"/>
      <c r="BP987" s="1"/>
      <c r="BQ987" s="1"/>
      <c r="BR987" s="1"/>
      <c r="BS987" s="1"/>
      <c r="BT987" s="1"/>
      <c r="BU987" s="1"/>
      <c r="BV987" s="2"/>
      <c r="BW987" s="1"/>
      <c r="BX987" s="1"/>
      <c r="BY987" s="1"/>
      <c r="BZ987" s="1"/>
      <c r="CA987" s="1"/>
      <c r="CB987" s="1"/>
      <c r="CC987" s="1"/>
      <c r="CD987" s="1"/>
      <c r="CE987" s="2"/>
      <c r="CF987" s="1"/>
      <c r="CG987" s="1"/>
      <c r="CH987" s="1"/>
      <c r="CI987" s="1"/>
      <c r="CJ987" s="1"/>
      <c r="CK987" s="1"/>
      <c r="CL987" s="1"/>
    </row>
    <row r="988" spans="1:90" ht="14.65" x14ac:dyDescent="0.4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2"/>
      <c r="L988" s="1"/>
      <c r="M988" s="1"/>
      <c r="N988" s="1"/>
      <c r="O988" s="1"/>
      <c r="P988" s="1"/>
      <c r="Q988" s="1"/>
      <c r="R988" s="1"/>
      <c r="S988" s="1"/>
      <c r="T988" s="2"/>
      <c r="U988" s="1"/>
      <c r="V988" s="1"/>
      <c r="W988" s="1"/>
      <c r="X988" s="1"/>
      <c r="Y988" s="1"/>
      <c r="Z988" s="1"/>
      <c r="AA988" s="1"/>
      <c r="AB988" s="1"/>
      <c r="AC988" s="2"/>
      <c r="AD988" s="1"/>
      <c r="AE988" s="1"/>
      <c r="AF988" s="1"/>
      <c r="AG988" s="1"/>
      <c r="AH988" s="1"/>
      <c r="AI988" s="1"/>
      <c r="AJ988" s="1"/>
      <c r="AK988" s="1"/>
      <c r="AL988" s="2"/>
      <c r="AM988" s="1"/>
      <c r="AN988" s="1"/>
      <c r="AO988" s="1"/>
      <c r="AP988" s="1"/>
      <c r="AQ988" s="1"/>
      <c r="AR988" s="1"/>
      <c r="AS988" s="1"/>
      <c r="AT988" s="1"/>
      <c r="AU988" s="2"/>
      <c r="AV988" s="1"/>
      <c r="AW988" s="1"/>
      <c r="AX988" s="1"/>
      <c r="AY988" s="1"/>
      <c r="AZ988" s="1"/>
      <c r="BA988" s="1"/>
      <c r="BB988" s="1"/>
      <c r="BC988" s="1"/>
      <c r="BD988" s="2"/>
      <c r="BE988" s="1"/>
      <c r="BF988" s="1"/>
      <c r="BG988" s="1"/>
      <c r="BH988" s="1"/>
      <c r="BI988" s="1"/>
      <c r="BJ988" s="1"/>
      <c r="BK988" s="1"/>
      <c r="BL988" s="1"/>
      <c r="BM988" s="2"/>
      <c r="BN988" s="1"/>
      <c r="BO988" s="1"/>
      <c r="BP988" s="1"/>
      <c r="BQ988" s="1"/>
      <c r="BR988" s="1"/>
      <c r="BS988" s="1"/>
      <c r="BT988" s="1"/>
      <c r="BU988" s="1"/>
      <c r="BV988" s="2"/>
      <c r="BW988" s="1"/>
      <c r="BX988" s="1"/>
      <c r="BY988" s="1"/>
      <c r="BZ988" s="1"/>
      <c r="CA988" s="1"/>
      <c r="CB988" s="1"/>
      <c r="CC988" s="1"/>
      <c r="CD988" s="1"/>
      <c r="CE988" s="2"/>
      <c r="CF988" s="1"/>
      <c r="CG988" s="1"/>
      <c r="CH988" s="1"/>
      <c r="CI988" s="1"/>
      <c r="CJ988" s="1"/>
      <c r="CK988" s="1"/>
      <c r="CL988" s="1"/>
    </row>
    <row r="989" spans="1:90" ht="14.65" x14ac:dyDescent="0.4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2"/>
      <c r="L989" s="1"/>
      <c r="M989" s="1"/>
      <c r="N989" s="1"/>
      <c r="O989" s="1"/>
      <c r="P989" s="1"/>
      <c r="Q989" s="1"/>
      <c r="R989" s="1"/>
      <c r="S989" s="1"/>
      <c r="T989" s="2"/>
      <c r="U989" s="1"/>
      <c r="V989" s="1"/>
      <c r="W989" s="1"/>
      <c r="X989" s="1"/>
      <c r="Y989" s="1"/>
      <c r="Z989" s="1"/>
      <c r="AA989" s="1"/>
      <c r="AB989" s="1"/>
      <c r="AC989" s="2"/>
      <c r="AD989" s="1"/>
      <c r="AE989" s="1"/>
      <c r="AF989" s="1"/>
      <c r="AG989" s="1"/>
      <c r="AH989" s="1"/>
      <c r="AI989" s="1"/>
      <c r="AJ989" s="1"/>
      <c r="AK989" s="1"/>
      <c r="AL989" s="2"/>
      <c r="AM989" s="1"/>
      <c r="AN989" s="1"/>
      <c r="AO989" s="1"/>
      <c r="AP989" s="1"/>
      <c r="AQ989" s="1"/>
      <c r="AR989" s="1"/>
      <c r="AS989" s="1"/>
      <c r="AT989" s="1"/>
      <c r="AU989" s="2"/>
      <c r="AV989" s="1"/>
      <c r="AW989" s="1"/>
      <c r="AX989" s="1"/>
      <c r="AY989" s="1"/>
      <c r="AZ989" s="1"/>
      <c r="BA989" s="1"/>
      <c r="BB989" s="1"/>
      <c r="BC989" s="1"/>
      <c r="BD989" s="2"/>
      <c r="BE989" s="1"/>
      <c r="BF989" s="1"/>
      <c r="BG989" s="1"/>
      <c r="BH989" s="1"/>
      <c r="BI989" s="1"/>
      <c r="BJ989" s="1"/>
      <c r="BK989" s="1"/>
      <c r="BL989" s="1"/>
      <c r="BM989" s="2"/>
      <c r="BN989" s="1"/>
      <c r="BO989" s="1"/>
      <c r="BP989" s="1"/>
      <c r="BQ989" s="1"/>
      <c r="BR989" s="1"/>
      <c r="BS989" s="1"/>
      <c r="BT989" s="1"/>
      <c r="BU989" s="1"/>
      <c r="BV989" s="2"/>
      <c r="BW989" s="1"/>
      <c r="BX989" s="1"/>
      <c r="BY989" s="1"/>
      <c r="BZ989" s="1"/>
      <c r="CA989" s="1"/>
      <c r="CB989" s="1"/>
      <c r="CC989" s="1"/>
      <c r="CD989" s="1"/>
      <c r="CE989" s="2"/>
      <c r="CF989" s="1"/>
      <c r="CG989" s="1"/>
      <c r="CH989" s="1"/>
      <c r="CI989" s="1"/>
      <c r="CJ989" s="1"/>
      <c r="CK989" s="1"/>
      <c r="CL989" s="1"/>
    </row>
    <row r="990" spans="1:90" ht="14.65" x14ac:dyDescent="0.4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2"/>
      <c r="L990" s="1"/>
      <c r="M990" s="1"/>
      <c r="N990" s="1"/>
      <c r="O990" s="1"/>
      <c r="P990" s="1"/>
      <c r="Q990" s="1"/>
      <c r="R990" s="1"/>
      <c r="S990" s="1"/>
      <c r="T990" s="2"/>
      <c r="U990" s="1"/>
      <c r="V990" s="1"/>
      <c r="W990" s="1"/>
      <c r="X990" s="1"/>
      <c r="Y990" s="1"/>
      <c r="Z990" s="1"/>
      <c r="AA990" s="1"/>
      <c r="AB990" s="1"/>
      <c r="AC990" s="2"/>
      <c r="AD990" s="1"/>
      <c r="AE990" s="1"/>
      <c r="AF990" s="1"/>
      <c r="AG990" s="1"/>
      <c r="AH990" s="1"/>
      <c r="AI990" s="1"/>
      <c r="AJ990" s="1"/>
      <c r="AK990" s="1"/>
      <c r="AL990" s="2"/>
      <c r="AM990" s="1"/>
      <c r="AN990" s="1"/>
      <c r="AO990" s="1"/>
      <c r="AP990" s="1"/>
      <c r="AQ990" s="1"/>
      <c r="AR990" s="1"/>
      <c r="AS990" s="1"/>
      <c r="AT990" s="1"/>
      <c r="AU990" s="2"/>
      <c r="AV990" s="1"/>
      <c r="AW990" s="1"/>
      <c r="AX990" s="1"/>
      <c r="AY990" s="1"/>
      <c r="AZ990" s="1"/>
      <c r="BA990" s="1"/>
      <c r="BB990" s="1"/>
      <c r="BC990" s="1"/>
      <c r="BD990" s="2"/>
      <c r="BE990" s="1"/>
      <c r="BF990" s="1"/>
      <c r="BG990" s="1"/>
      <c r="BH990" s="1"/>
      <c r="BI990" s="1"/>
      <c r="BJ990" s="1"/>
      <c r="BK990" s="1"/>
      <c r="BL990" s="1"/>
      <c r="BM990" s="2"/>
      <c r="BN990" s="1"/>
      <c r="BO990" s="1"/>
      <c r="BP990" s="1"/>
      <c r="BQ990" s="1"/>
      <c r="BR990" s="1"/>
      <c r="BS990" s="1"/>
      <c r="BT990" s="1"/>
      <c r="BU990" s="1"/>
      <c r="BV990" s="2"/>
      <c r="BW990" s="1"/>
      <c r="BX990" s="1"/>
      <c r="BY990" s="1"/>
      <c r="BZ990" s="1"/>
      <c r="CA990" s="1"/>
      <c r="CB990" s="1"/>
      <c r="CC990" s="1"/>
      <c r="CD990" s="1"/>
      <c r="CE990" s="2"/>
      <c r="CF990" s="1"/>
      <c r="CG990" s="1"/>
      <c r="CH990" s="1"/>
      <c r="CI990" s="1"/>
      <c r="CJ990" s="1"/>
      <c r="CK990" s="1"/>
      <c r="CL990" s="1"/>
    </row>
    <row r="991" spans="1:90" ht="14.65" x14ac:dyDescent="0.4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2"/>
      <c r="L991" s="1"/>
      <c r="M991" s="1"/>
      <c r="N991" s="1"/>
      <c r="O991" s="1"/>
      <c r="P991" s="1"/>
      <c r="Q991" s="1"/>
      <c r="R991" s="1"/>
      <c r="S991" s="1"/>
      <c r="T991" s="2"/>
      <c r="U991" s="1"/>
      <c r="V991" s="1"/>
      <c r="W991" s="1"/>
      <c r="X991" s="1"/>
      <c r="Y991" s="1"/>
      <c r="Z991" s="1"/>
      <c r="AA991" s="1"/>
      <c r="AB991" s="1"/>
      <c r="AC991" s="2"/>
      <c r="AD991" s="1"/>
      <c r="AE991" s="1"/>
      <c r="AF991" s="1"/>
      <c r="AG991" s="1"/>
      <c r="AH991" s="1"/>
      <c r="AI991" s="1"/>
      <c r="AJ991" s="1"/>
      <c r="AK991" s="1"/>
      <c r="AL991" s="2"/>
      <c r="AM991" s="1"/>
      <c r="AN991" s="1"/>
      <c r="AO991" s="1"/>
      <c r="AP991" s="1"/>
      <c r="AQ991" s="1"/>
      <c r="AR991" s="1"/>
      <c r="AS991" s="1"/>
      <c r="AT991" s="1"/>
      <c r="AU991" s="2"/>
      <c r="AV991" s="1"/>
      <c r="AW991" s="1"/>
      <c r="AX991" s="1"/>
      <c r="AY991" s="1"/>
      <c r="AZ991" s="1"/>
      <c r="BA991" s="1"/>
      <c r="BB991" s="1"/>
      <c r="BC991" s="1"/>
      <c r="BD991" s="2"/>
      <c r="BE991" s="1"/>
      <c r="BF991" s="1"/>
      <c r="BG991" s="1"/>
      <c r="BH991" s="1"/>
      <c r="BI991" s="1"/>
      <c r="BJ991" s="1"/>
      <c r="BK991" s="1"/>
      <c r="BL991" s="1"/>
      <c r="BM991" s="2"/>
      <c r="BN991" s="1"/>
      <c r="BO991" s="1"/>
      <c r="BP991" s="1"/>
      <c r="BQ991" s="1"/>
      <c r="BR991" s="1"/>
      <c r="BS991" s="1"/>
      <c r="BT991" s="1"/>
      <c r="BU991" s="1"/>
      <c r="BV991" s="2"/>
      <c r="BW991" s="1"/>
      <c r="BX991" s="1"/>
      <c r="BY991" s="1"/>
      <c r="BZ991" s="1"/>
      <c r="CA991" s="1"/>
      <c r="CB991" s="1"/>
      <c r="CC991" s="1"/>
      <c r="CD991" s="1"/>
      <c r="CE991" s="2"/>
      <c r="CF991" s="1"/>
      <c r="CG991" s="1"/>
      <c r="CH991" s="1"/>
      <c r="CI991" s="1"/>
      <c r="CJ991" s="1"/>
      <c r="CK991" s="1"/>
      <c r="CL991" s="1"/>
    </row>
    <row r="992" spans="1:90" ht="14.65" x14ac:dyDescent="0.4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2"/>
      <c r="L992" s="1"/>
      <c r="M992" s="1"/>
      <c r="N992" s="1"/>
      <c r="O992" s="1"/>
      <c r="P992" s="1"/>
      <c r="Q992" s="1"/>
      <c r="R992" s="1"/>
      <c r="S992" s="1"/>
      <c r="T992" s="2"/>
      <c r="U992" s="1"/>
      <c r="V992" s="1"/>
      <c r="W992" s="1"/>
      <c r="X992" s="1"/>
      <c r="Y992" s="1"/>
      <c r="Z992" s="1"/>
      <c r="AA992" s="1"/>
      <c r="AB992" s="1"/>
      <c r="AC992" s="2"/>
      <c r="AD992" s="1"/>
      <c r="AE992" s="1"/>
      <c r="AF992" s="1"/>
      <c r="AG992" s="1"/>
      <c r="AH992" s="1"/>
      <c r="AI992" s="1"/>
      <c r="AJ992" s="1"/>
      <c r="AK992" s="1"/>
      <c r="AL992" s="2"/>
      <c r="AM992" s="1"/>
      <c r="AN992" s="1"/>
      <c r="AO992" s="1"/>
      <c r="AP992" s="1"/>
      <c r="AQ992" s="1"/>
      <c r="AR992" s="1"/>
      <c r="AS992" s="1"/>
      <c r="AT992" s="1"/>
      <c r="AU992" s="2"/>
      <c r="AV992" s="1"/>
      <c r="AW992" s="1"/>
      <c r="AX992" s="1"/>
      <c r="AY992" s="1"/>
      <c r="AZ992" s="1"/>
      <c r="BA992" s="1"/>
      <c r="BB992" s="1"/>
      <c r="BC992" s="1"/>
      <c r="BD992" s="2"/>
      <c r="BE992" s="1"/>
      <c r="BF992" s="1"/>
      <c r="BG992" s="1"/>
      <c r="BH992" s="1"/>
      <c r="BI992" s="1"/>
      <c r="BJ992" s="1"/>
      <c r="BK992" s="1"/>
      <c r="BL992" s="1"/>
      <c r="BM992" s="2"/>
      <c r="BN992" s="1"/>
      <c r="BO992" s="1"/>
      <c r="BP992" s="1"/>
      <c r="BQ992" s="1"/>
      <c r="BR992" s="1"/>
      <c r="BS992" s="1"/>
      <c r="BT992" s="1"/>
      <c r="BU992" s="1"/>
      <c r="BV992" s="2"/>
      <c r="BW992" s="1"/>
      <c r="BX992" s="1"/>
      <c r="BY992" s="1"/>
      <c r="BZ992" s="1"/>
      <c r="CA992" s="1"/>
      <c r="CB992" s="1"/>
      <c r="CC992" s="1"/>
      <c r="CD992" s="1"/>
      <c r="CE992" s="2"/>
      <c r="CF992" s="1"/>
      <c r="CG992" s="1"/>
      <c r="CH992" s="1"/>
      <c r="CI992" s="1"/>
      <c r="CJ992" s="1"/>
      <c r="CK992" s="1"/>
      <c r="CL992" s="1"/>
    </row>
    <row r="993" spans="1:90" ht="14.65" x14ac:dyDescent="0.4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2"/>
      <c r="L993" s="1"/>
      <c r="M993" s="1"/>
      <c r="N993" s="1"/>
      <c r="O993" s="1"/>
      <c r="P993" s="1"/>
      <c r="Q993" s="1"/>
      <c r="R993" s="1"/>
      <c r="S993" s="1"/>
      <c r="T993" s="2"/>
      <c r="U993" s="1"/>
      <c r="V993" s="1"/>
      <c r="W993" s="1"/>
      <c r="X993" s="1"/>
      <c r="Y993" s="1"/>
      <c r="Z993" s="1"/>
      <c r="AA993" s="1"/>
      <c r="AB993" s="1"/>
      <c r="AC993" s="2"/>
      <c r="AD993" s="1"/>
      <c r="AE993" s="1"/>
      <c r="AF993" s="1"/>
      <c r="AG993" s="1"/>
      <c r="AH993" s="1"/>
      <c r="AI993" s="1"/>
      <c r="AJ993" s="1"/>
      <c r="AK993" s="1"/>
      <c r="AL993" s="2"/>
      <c r="AM993" s="1"/>
      <c r="AN993" s="1"/>
      <c r="AO993" s="1"/>
      <c r="AP993" s="1"/>
      <c r="AQ993" s="1"/>
      <c r="AR993" s="1"/>
      <c r="AS993" s="1"/>
      <c r="AT993" s="1"/>
      <c r="AU993" s="2"/>
      <c r="AV993" s="1"/>
      <c r="AW993" s="1"/>
      <c r="AX993" s="1"/>
      <c r="AY993" s="1"/>
      <c r="AZ993" s="1"/>
      <c r="BA993" s="1"/>
      <c r="BB993" s="1"/>
      <c r="BC993" s="1"/>
      <c r="BD993" s="2"/>
      <c r="BE993" s="1"/>
      <c r="BF993" s="1"/>
      <c r="BG993" s="1"/>
      <c r="BH993" s="1"/>
      <c r="BI993" s="1"/>
      <c r="BJ993" s="1"/>
      <c r="BK993" s="1"/>
      <c r="BL993" s="1"/>
      <c r="BM993" s="2"/>
      <c r="BN993" s="1"/>
      <c r="BO993" s="1"/>
      <c r="BP993" s="1"/>
      <c r="BQ993" s="1"/>
      <c r="BR993" s="1"/>
      <c r="BS993" s="1"/>
      <c r="BT993" s="1"/>
      <c r="BU993" s="1"/>
      <c r="BV993" s="2"/>
      <c r="BW993" s="1"/>
      <c r="BX993" s="1"/>
      <c r="BY993" s="1"/>
      <c r="BZ993" s="1"/>
      <c r="CA993" s="1"/>
      <c r="CB993" s="1"/>
      <c r="CC993" s="1"/>
      <c r="CD993" s="1"/>
      <c r="CE993" s="2"/>
      <c r="CF993" s="1"/>
      <c r="CG993" s="1"/>
      <c r="CH993" s="1"/>
      <c r="CI993" s="1"/>
      <c r="CJ993" s="1"/>
      <c r="CK993" s="1"/>
      <c r="CL993" s="1"/>
    </row>
    <row r="994" spans="1:90" ht="14.65" x14ac:dyDescent="0.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2"/>
      <c r="L994" s="1"/>
      <c r="M994" s="1"/>
      <c r="N994" s="1"/>
      <c r="O994" s="1"/>
      <c r="P994" s="1"/>
      <c r="Q994" s="1"/>
      <c r="R994" s="1"/>
      <c r="S994" s="1"/>
      <c r="T994" s="2"/>
      <c r="U994" s="1"/>
      <c r="V994" s="1"/>
      <c r="W994" s="1"/>
      <c r="X994" s="1"/>
      <c r="Y994" s="1"/>
      <c r="Z994" s="1"/>
      <c r="AA994" s="1"/>
      <c r="AB994" s="1"/>
      <c r="AC994" s="2"/>
      <c r="AD994" s="1"/>
      <c r="AE994" s="1"/>
      <c r="AF994" s="1"/>
      <c r="AG994" s="1"/>
      <c r="AH994" s="1"/>
      <c r="AI994" s="1"/>
      <c r="AJ994" s="1"/>
      <c r="AK994" s="1"/>
      <c r="AL994" s="2"/>
      <c r="AM994" s="1"/>
      <c r="AN994" s="1"/>
      <c r="AO994" s="1"/>
      <c r="AP994" s="1"/>
      <c r="AQ994" s="1"/>
      <c r="AR994" s="1"/>
      <c r="AS994" s="1"/>
      <c r="AT994" s="1"/>
      <c r="AU994" s="2"/>
      <c r="AV994" s="1"/>
      <c r="AW994" s="1"/>
      <c r="AX994" s="1"/>
      <c r="AY994" s="1"/>
      <c r="AZ994" s="1"/>
      <c r="BA994" s="1"/>
      <c r="BB994" s="1"/>
      <c r="BC994" s="1"/>
      <c r="BD994" s="2"/>
      <c r="BE994" s="1"/>
      <c r="BF994" s="1"/>
      <c r="BG994" s="1"/>
      <c r="BH994" s="1"/>
      <c r="BI994" s="1"/>
      <c r="BJ994" s="1"/>
      <c r="BK994" s="1"/>
      <c r="BL994" s="1"/>
      <c r="BM994" s="2"/>
      <c r="BN994" s="1"/>
      <c r="BO994" s="1"/>
      <c r="BP994" s="1"/>
      <c r="BQ994" s="1"/>
      <c r="BR994" s="1"/>
      <c r="BS994" s="1"/>
      <c r="BT994" s="1"/>
      <c r="BU994" s="1"/>
      <c r="BV994" s="2"/>
      <c r="BW994" s="1"/>
      <c r="BX994" s="1"/>
      <c r="BY994" s="1"/>
      <c r="BZ994" s="1"/>
      <c r="CA994" s="1"/>
      <c r="CB994" s="1"/>
      <c r="CC994" s="1"/>
      <c r="CD994" s="1"/>
      <c r="CE994" s="2"/>
      <c r="CF994" s="1"/>
      <c r="CG994" s="1"/>
      <c r="CH994" s="1"/>
      <c r="CI994" s="1"/>
      <c r="CJ994" s="1"/>
      <c r="CK994" s="1"/>
      <c r="CL994" s="1"/>
    </row>
    <row r="995" spans="1:90" ht="14.65" x14ac:dyDescent="0.4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2"/>
      <c r="L995" s="1"/>
      <c r="M995" s="1"/>
      <c r="N995" s="1"/>
      <c r="O995" s="1"/>
      <c r="P995" s="1"/>
      <c r="Q995" s="1"/>
      <c r="R995" s="1"/>
      <c r="S995" s="1"/>
      <c r="T995" s="2"/>
      <c r="U995" s="1"/>
      <c r="V995" s="1"/>
      <c r="W995" s="1"/>
      <c r="X995" s="1"/>
      <c r="Y995" s="1"/>
      <c r="Z995" s="1"/>
      <c r="AA995" s="1"/>
      <c r="AB995" s="1"/>
      <c r="AC995" s="2"/>
      <c r="AD995" s="1"/>
      <c r="AE995" s="1"/>
      <c r="AF995" s="1"/>
      <c r="AG995" s="1"/>
      <c r="AH995" s="1"/>
      <c r="AI995" s="1"/>
      <c r="AJ995" s="1"/>
      <c r="AK995" s="1"/>
      <c r="AL995" s="2"/>
      <c r="AM995" s="1"/>
      <c r="AN995" s="1"/>
      <c r="AO995" s="1"/>
      <c r="AP995" s="1"/>
      <c r="AQ995" s="1"/>
      <c r="AR995" s="1"/>
      <c r="AS995" s="1"/>
      <c r="AT995" s="1"/>
      <c r="AU995" s="2"/>
      <c r="AV995" s="1"/>
      <c r="AW995" s="1"/>
      <c r="AX995" s="1"/>
      <c r="AY995" s="1"/>
      <c r="AZ995" s="1"/>
      <c r="BA995" s="1"/>
      <c r="BB995" s="1"/>
      <c r="BC995" s="1"/>
      <c r="BD995" s="2"/>
      <c r="BE995" s="1"/>
      <c r="BF995" s="1"/>
      <c r="BG995" s="1"/>
      <c r="BH995" s="1"/>
      <c r="BI995" s="1"/>
      <c r="BJ995" s="1"/>
      <c r="BK995" s="1"/>
      <c r="BL995" s="1"/>
      <c r="BM995" s="2"/>
      <c r="BN995" s="1"/>
      <c r="BO995" s="1"/>
      <c r="BP995" s="1"/>
      <c r="BQ995" s="1"/>
      <c r="BR995" s="1"/>
      <c r="BS995" s="1"/>
      <c r="BT995" s="1"/>
      <c r="BU995" s="1"/>
      <c r="BV995" s="2"/>
      <c r="BW995" s="1"/>
      <c r="BX995" s="1"/>
      <c r="BY995" s="1"/>
      <c r="BZ995" s="1"/>
      <c r="CA995" s="1"/>
      <c r="CB995" s="1"/>
      <c r="CC995" s="1"/>
      <c r="CD995" s="1"/>
      <c r="CE995" s="2"/>
      <c r="CF995" s="1"/>
      <c r="CG995" s="1"/>
      <c r="CH995" s="1"/>
      <c r="CI995" s="1"/>
      <c r="CJ995" s="1"/>
      <c r="CK995" s="1"/>
      <c r="CL995" s="1"/>
    </row>
    <row r="996" spans="1:90" ht="14.65" x14ac:dyDescent="0.4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2"/>
      <c r="L996" s="1"/>
      <c r="M996" s="1"/>
      <c r="N996" s="1"/>
      <c r="O996" s="1"/>
      <c r="P996" s="1"/>
      <c r="Q996" s="1"/>
      <c r="R996" s="1"/>
      <c r="S996" s="1"/>
      <c r="T996" s="2"/>
      <c r="U996" s="1"/>
      <c r="V996" s="1"/>
      <c r="W996" s="1"/>
      <c r="X996" s="1"/>
      <c r="Y996" s="1"/>
      <c r="Z996" s="1"/>
      <c r="AA996" s="1"/>
      <c r="AB996" s="1"/>
      <c r="AC996" s="2"/>
      <c r="AD996" s="1"/>
      <c r="AE996" s="1"/>
      <c r="AF996" s="1"/>
      <c r="AG996" s="1"/>
      <c r="AH996" s="1"/>
      <c r="AI996" s="1"/>
      <c r="AJ996" s="1"/>
      <c r="AK996" s="1"/>
      <c r="AL996" s="2"/>
      <c r="AM996" s="1"/>
      <c r="AN996" s="1"/>
      <c r="AO996" s="1"/>
      <c r="AP996" s="1"/>
      <c r="AQ996" s="1"/>
      <c r="AR996" s="1"/>
      <c r="AS996" s="1"/>
      <c r="AT996" s="1"/>
      <c r="AU996" s="2"/>
      <c r="AV996" s="1"/>
      <c r="AW996" s="1"/>
      <c r="AX996" s="1"/>
      <c r="AY996" s="1"/>
      <c r="AZ996" s="1"/>
      <c r="BA996" s="1"/>
      <c r="BB996" s="1"/>
      <c r="BC996" s="1"/>
      <c r="BD996" s="2"/>
      <c r="BE996" s="1"/>
      <c r="BF996" s="1"/>
      <c r="BG996" s="1"/>
      <c r="BH996" s="1"/>
      <c r="BI996" s="1"/>
      <c r="BJ996" s="1"/>
      <c r="BK996" s="1"/>
      <c r="BL996" s="1"/>
      <c r="BM996" s="2"/>
      <c r="BN996" s="1"/>
      <c r="BO996" s="1"/>
      <c r="BP996" s="1"/>
      <c r="BQ996" s="1"/>
      <c r="BR996" s="1"/>
      <c r="BS996" s="1"/>
      <c r="BT996" s="1"/>
      <c r="BU996" s="1"/>
      <c r="BV996" s="2"/>
      <c r="BW996" s="1"/>
      <c r="BX996" s="1"/>
      <c r="BY996" s="1"/>
      <c r="BZ996" s="1"/>
      <c r="CA996" s="1"/>
      <c r="CB996" s="1"/>
      <c r="CC996" s="1"/>
      <c r="CD996" s="1"/>
      <c r="CE996" s="2"/>
      <c r="CF996" s="1"/>
      <c r="CG996" s="1"/>
      <c r="CH996" s="1"/>
      <c r="CI996" s="1"/>
      <c r="CJ996" s="1"/>
      <c r="CK996" s="1"/>
      <c r="CL996" s="1"/>
    </row>
    <row r="997" spans="1:90" ht="14.65" x14ac:dyDescent="0.4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2"/>
      <c r="L997" s="1"/>
      <c r="M997" s="1"/>
      <c r="N997" s="1"/>
      <c r="O997" s="1"/>
      <c r="P997" s="1"/>
      <c r="Q997" s="1"/>
      <c r="R997" s="1"/>
      <c r="S997" s="1"/>
      <c r="T997" s="2"/>
      <c r="U997" s="1"/>
      <c r="V997" s="1"/>
      <c r="W997" s="1"/>
      <c r="X997" s="1"/>
      <c r="Y997" s="1"/>
      <c r="Z997" s="1"/>
      <c r="AA997" s="1"/>
      <c r="AB997" s="1"/>
      <c r="AC997" s="2"/>
      <c r="AD997" s="1"/>
      <c r="AE997" s="1"/>
      <c r="AF997" s="1"/>
      <c r="AG997" s="1"/>
      <c r="AH997" s="1"/>
      <c r="AI997" s="1"/>
      <c r="AJ997" s="1"/>
      <c r="AK997" s="1"/>
      <c r="AL997" s="2"/>
      <c r="AM997" s="1"/>
      <c r="AN997" s="1"/>
      <c r="AO997" s="1"/>
      <c r="AP997" s="1"/>
      <c r="AQ997" s="1"/>
      <c r="AR997" s="1"/>
      <c r="AS997" s="1"/>
      <c r="AT997" s="1"/>
      <c r="AU997" s="2"/>
      <c r="AV997" s="1"/>
      <c r="AW997" s="1"/>
      <c r="AX997" s="1"/>
      <c r="AY997" s="1"/>
      <c r="AZ997" s="1"/>
      <c r="BA997" s="1"/>
      <c r="BB997" s="1"/>
      <c r="BC997" s="1"/>
      <c r="BD997" s="2"/>
      <c r="BE997" s="1"/>
      <c r="BF997" s="1"/>
      <c r="BG997" s="1"/>
      <c r="BH997" s="1"/>
      <c r="BI997" s="1"/>
      <c r="BJ997" s="1"/>
      <c r="BK997" s="1"/>
      <c r="BL997" s="1"/>
      <c r="BM997" s="2"/>
      <c r="BN997" s="1"/>
      <c r="BO997" s="1"/>
      <c r="BP997" s="1"/>
      <c r="BQ997" s="1"/>
      <c r="BR997" s="1"/>
      <c r="BS997" s="1"/>
      <c r="BT997" s="1"/>
      <c r="BU997" s="1"/>
      <c r="BV997" s="2"/>
      <c r="BW997" s="1"/>
      <c r="BX997" s="1"/>
      <c r="BY997" s="1"/>
      <c r="BZ997" s="1"/>
      <c r="CA997" s="1"/>
      <c r="CB997" s="1"/>
      <c r="CC997" s="1"/>
      <c r="CD997" s="1"/>
      <c r="CE997" s="2"/>
      <c r="CF997" s="1"/>
      <c r="CG997" s="1"/>
      <c r="CH997" s="1"/>
      <c r="CI997" s="1"/>
      <c r="CJ997" s="1"/>
      <c r="CK997" s="1"/>
      <c r="CL997" s="1"/>
    </row>
    <row r="998" spans="1:90" ht="14.65" x14ac:dyDescent="0.4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2"/>
      <c r="L998" s="1"/>
      <c r="M998" s="1"/>
      <c r="N998" s="1"/>
      <c r="O998" s="1"/>
      <c r="P998" s="1"/>
      <c r="Q998" s="1"/>
      <c r="R998" s="1"/>
      <c r="S998" s="1"/>
      <c r="T998" s="2"/>
      <c r="U998" s="1"/>
      <c r="V998" s="1"/>
      <c r="W998" s="1"/>
      <c r="X998" s="1"/>
      <c r="Y998" s="1"/>
      <c r="Z998" s="1"/>
      <c r="AA998" s="1"/>
      <c r="AB998" s="1"/>
      <c r="AC998" s="2"/>
      <c r="AD998" s="1"/>
      <c r="AE998" s="1"/>
      <c r="AF998" s="1"/>
      <c r="AG998" s="1"/>
      <c r="AH998" s="1"/>
      <c r="AI998" s="1"/>
      <c r="AJ998" s="1"/>
      <c r="AK998" s="1"/>
      <c r="AL998" s="2"/>
      <c r="AM998" s="1"/>
      <c r="AN998" s="1"/>
      <c r="AO998" s="1"/>
      <c r="AP998" s="1"/>
      <c r="AQ998" s="1"/>
      <c r="AR998" s="1"/>
      <c r="AS998" s="1"/>
      <c r="AT998" s="1"/>
      <c r="AU998" s="2"/>
      <c r="AV998" s="1"/>
      <c r="AW998" s="1"/>
      <c r="AX998" s="1"/>
      <c r="AY998" s="1"/>
      <c r="AZ998" s="1"/>
      <c r="BA998" s="1"/>
      <c r="BB998" s="1"/>
      <c r="BC998" s="1"/>
      <c r="BD998" s="2"/>
      <c r="BE998" s="1"/>
      <c r="BF998" s="1"/>
      <c r="BG998" s="1"/>
      <c r="BH998" s="1"/>
      <c r="BI998" s="1"/>
      <c r="BJ998" s="1"/>
      <c r="BK998" s="1"/>
      <c r="BL998" s="1"/>
      <c r="BM998" s="2"/>
      <c r="BN998" s="1"/>
      <c r="BO998" s="1"/>
      <c r="BP998" s="1"/>
      <c r="BQ998" s="1"/>
      <c r="BR998" s="1"/>
      <c r="BS998" s="1"/>
      <c r="BT998" s="1"/>
      <c r="BU998" s="1"/>
      <c r="BV998" s="2"/>
      <c r="BW998" s="1"/>
      <c r="BX998" s="1"/>
      <c r="BY998" s="1"/>
      <c r="BZ998" s="1"/>
      <c r="CA998" s="1"/>
      <c r="CB998" s="1"/>
      <c r="CC998" s="1"/>
      <c r="CD998" s="1"/>
      <c r="CE998" s="2"/>
      <c r="CF998" s="1"/>
      <c r="CG998" s="1"/>
      <c r="CH998" s="1"/>
      <c r="CI998" s="1"/>
      <c r="CJ998" s="1"/>
      <c r="CK998" s="1"/>
      <c r="CL998" s="1"/>
    </row>
    <row r="999" spans="1:90" ht="14.65" x14ac:dyDescent="0.4">
      <c r="A999" s="1"/>
      <c r="B999" s="2"/>
      <c r="C999" s="1"/>
      <c r="D999" s="5"/>
      <c r="E999" s="1"/>
      <c r="F999" s="1"/>
      <c r="G999" s="1"/>
      <c r="H999" s="1"/>
      <c r="I999" s="1"/>
      <c r="J999" s="1"/>
      <c r="K999" s="2"/>
      <c r="L999" s="1"/>
      <c r="M999" s="1"/>
      <c r="N999" s="1"/>
      <c r="O999" s="1"/>
      <c r="P999" s="1"/>
      <c r="Q999" s="1"/>
      <c r="R999" s="1"/>
      <c r="S999" s="1"/>
      <c r="T999" s="2"/>
      <c r="U999" s="1"/>
      <c r="V999" s="1"/>
      <c r="W999" s="1"/>
      <c r="X999" s="1"/>
      <c r="Y999" s="1"/>
      <c r="Z999" s="1"/>
      <c r="AA999" s="1"/>
      <c r="AB999" s="1"/>
      <c r="AC999" s="2"/>
      <c r="AD999" s="1"/>
      <c r="AE999" s="1"/>
      <c r="AF999" s="1"/>
      <c r="AG999" s="1"/>
      <c r="AH999" s="1"/>
      <c r="AI999" s="1"/>
      <c r="AJ999" s="1"/>
      <c r="AK999" s="1"/>
      <c r="AL999" s="2"/>
      <c r="AM999" s="1"/>
      <c r="AN999" s="1"/>
      <c r="AO999" s="1"/>
      <c r="AP999" s="1"/>
      <c r="AQ999" s="1"/>
      <c r="AR999" s="1"/>
      <c r="AS999" s="1"/>
      <c r="AT999" s="1"/>
      <c r="AU999" s="2"/>
      <c r="AV999" s="1"/>
      <c r="AW999" s="1"/>
      <c r="AX999" s="1"/>
      <c r="AY999" s="1"/>
      <c r="AZ999" s="1"/>
      <c r="BA999" s="1"/>
      <c r="BB999" s="1"/>
      <c r="BC999" s="1"/>
      <c r="BD999" s="2"/>
      <c r="BE999" s="1"/>
      <c r="BF999" s="1"/>
      <c r="BG999" s="1"/>
      <c r="BH999" s="1"/>
      <c r="BI999" s="1"/>
      <c r="BJ999" s="1"/>
      <c r="BK999" s="1"/>
      <c r="BL999" s="1"/>
      <c r="BM999" s="2"/>
      <c r="BN999" s="1"/>
      <c r="BO999" s="1"/>
      <c r="BP999" s="1"/>
      <c r="BQ999" s="1"/>
      <c r="BR999" s="1"/>
      <c r="BS999" s="1"/>
      <c r="BT999" s="1"/>
      <c r="BU999" s="1"/>
      <c r="BV999" s="2"/>
      <c r="BW999" s="1"/>
      <c r="BX999" s="1"/>
      <c r="BY999" s="1"/>
      <c r="BZ999" s="1"/>
      <c r="CA999" s="1"/>
      <c r="CB999" s="1"/>
      <c r="CC999" s="1"/>
      <c r="CD999" s="1"/>
      <c r="CE999" s="2"/>
      <c r="CF999" s="1"/>
      <c r="CG999" s="1"/>
      <c r="CH999" s="1"/>
      <c r="CI999" s="1"/>
      <c r="CJ999" s="1"/>
      <c r="CK999" s="1"/>
      <c r="CL999" s="1"/>
    </row>
    <row r="1000" spans="1:90" ht="14.65" x14ac:dyDescent="0.4">
      <c r="A1000" s="1"/>
      <c r="B1000" s="2"/>
      <c r="C1000" s="1"/>
      <c r="D1000" s="5"/>
      <c r="E1000" s="1"/>
      <c r="F1000" s="1"/>
      <c r="G1000" s="1"/>
      <c r="H1000" s="1"/>
      <c r="I1000" s="1"/>
      <c r="J1000" s="1"/>
      <c r="K1000" s="2"/>
      <c r="L1000" s="1"/>
      <c r="M1000" s="1"/>
      <c r="N1000" s="1"/>
      <c r="O1000" s="1"/>
      <c r="P1000" s="1"/>
      <c r="Q1000" s="1"/>
      <c r="R1000" s="1"/>
      <c r="S1000" s="1"/>
      <c r="T1000" s="2"/>
      <c r="U1000" s="1"/>
      <c r="V1000" s="1"/>
      <c r="W1000" s="1"/>
      <c r="X1000" s="1"/>
      <c r="Y1000" s="1"/>
      <c r="Z1000" s="1"/>
      <c r="AA1000" s="1"/>
      <c r="AB1000" s="1"/>
      <c r="AC1000" s="2"/>
      <c r="AD1000" s="1"/>
      <c r="AE1000" s="1"/>
      <c r="AF1000" s="1"/>
      <c r="AG1000" s="1"/>
      <c r="AH1000" s="1"/>
      <c r="AI1000" s="1"/>
      <c r="AJ1000" s="1"/>
      <c r="AK1000" s="1"/>
      <c r="AL1000" s="2"/>
      <c r="AM1000" s="1"/>
      <c r="AN1000" s="1"/>
      <c r="AO1000" s="1"/>
      <c r="AP1000" s="1"/>
      <c r="AQ1000" s="1"/>
      <c r="AR1000" s="1"/>
      <c r="AS1000" s="1"/>
      <c r="AT1000" s="1"/>
      <c r="AU1000" s="2"/>
      <c r="AV1000" s="1"/>
      <c r="AW1000" s="1"/>
      <c r="AX1000" s="1"/>
      <c r="AY1000" s="1"/>
      <c r="AZ1000" s="1"/>
      <c r="BA1000" s="1"/>
      <c r="BB1000" s="1"/>
      <c r="BC1000" s="1"/>
      <c r="BD1000" s="2"/>
      <c r="BE1000" s="1"/>
      <c r="BF1000" s="1"/>
      <c r="BG1000" s="1"/>
      <c r="BH1000" s="1"/>
      <c r="BI1000" s="1"/>
      <c r="BJ1000" s="1"/>
      <c r="BK1000" s="1"/>
      <c r="BL1000" s="1"/>
      <c r="BM1000" s="2"/>
      <c r="BN1000" s="1"/>
      <c r="BO1000" s="1"/>
      <c r="BP1000" s="1"/>
      <c r="BQ1000" s="1"/>
      <c r="BR1000" s="1"/>
      <c r="BS1000" s="1"/>
      <c r="BT1000" s="1"/>
      <c r="BU1000" s="1"/>
      <c r="BV1000" s="2"/>
      <c r="BW1000" s="1"/>
      <c r="BX1000" s="1"/>
      <c r="BY1000" s="1"/>
      <c r="BZ1000" s="1"/>
      <c r="CA1000" s="1"/>
      <c r="CB1000" s="1"/>
      <c r="CC1000" s="1"/>
      <c r="CD1000" s="1"/>
      <c r="CE1000" s="2"/>
      <c r="CF1000" s="1"/>
      <c r="CG1000" s="1"/>
      <c r="CH1000" s="1"/>
      <c r="CI1000" s="1"/>
      <c r="CJ1000" s="1"/>
      <c r="CK1000" s="1"/>
      <c r="CL1000" s="1"/>
    </row>
    <row r="1001" spans="1:90" ht="14.65" x14ac:dyDescent="0.4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2"/>
      <c r="L1001" s="1"/>
      <c r="M1001" s="1"/>
      <c r="N1001" s="1"/>
      <c r="O1001" s="1"/>
      <c r="P1001" s="1"/>
      <c r="Q1001" s="1"/>
      <c r="R1001" s="1"/>
      <c r="S1001" s="1"/>
      <c r="T1001" s="2"/>
      <c r="U1001" s="1"/>
      <c r="V1001" s="1"/>
      <c r="W1001" s="1"/>
      <c r="X1001" s="1"/>
      <c r="Y1001" s="1"/>
      <c r="Z1001" s="1"/>
      <c r="AA1001" s="1"/>
      <c r="AB1001" s="1"/>
      <c r="AC1001" s="2"/>
      <c r="AD1001" s="1"/>
      <c r="AE1001" s="1"/>
      <c r="AF1001" s="1"/>
      <c r="AG1001" s="1"/>
      <c r="AH1001" s="1"/>
      <c r="AI1001" s="1"/>
      <c r="AJ1001" s="1"/>
      <c r="AK1001" s="1"/>
      <c r="AL1001" s="2"/>
      <c r="AM1001" s="1"/>
      <c r="AN1001" s="1"/>
      <c r="AO1001" s="1"/>
      <c r="AP1001" s="1"/>
      <c r="AQ1001" s="1"/>
      <c r="AR1001" s="1"/>
      <c r="AS1001" s="1"/>
      <c r="AT1001" s="1"/>
      <c r="AU1001" s="2"/>
      <c r="AV1001" s="1"/>
      <c r="AW1001" s="1"/>
      <c r="AX1001" s="1"/>
      <c r="AY1001" s="1"/>
      <c r="AZ1001" s="1"/>
      <c r="BA1001" s="1"/>
      <c r="BB1001" s="1"/>
      <c r="BC1001" s="1"/>
      <c r="BD1001" s="2"/>
      <c r="BE1001" s="1"/>
      <c r="BF1001" s="1"/>
      <c r="BG1001" s="1"/>
      <c r="BH1001" s="1"/>
      <c r="BI1001" s="1"/>
      <c r="BJ1001" s="1"/>
      <c r="BK1001" s="1"/>
      <c r="BL1001" s="1"/>
      <c r="BM1001" s="2"/>
      <c r="BN1001" s="1"/>
      <c r="BO1001" s="1"/>
      <c r="BP1001" s="1"/>
      <c r="BQ1001" s="1"/>
      <c r="BR1001" s="1"/>
      <c r="BS1001" s="1"/>
      <c r="BT1001" s="1"/>
      <c r="BU1001" s="1"/>
      <c r="BV1001" s="2"/>
      <c r="BW1001" s="1"/>
      <c r="BX1001" s="1"/>
      <c r="BY1001" s="1"/>
      <c r="BZ1001" s="1"/>
      <c r="CA1001" s="1"/>
      <c r="CB1001" s="1"/>
      <c r="CC1001" s="1"/>
      <c r="CD1001" s="1"/>
      <c r="CE1001" s="2"/>
      <c r="CF1001" s="1"/>
      <c r="CG1001" s="1"/>
      <c r="CH1001" s="1"/>
      <c r="CI1001" s="1"/>
      <c r="CJ1001" s="1"/>
      <c r="CK1001" s="1"/>
      <c r="CL1001" s="1"/>
    </row>
    <row r="1002" spans="1:90" ht="14.65" x14ac:dyDescent="0.4">
      <c r="A1002" s="1"/>
      <c r="B1002" s="2"/>
      <c r="C1002" s="1"/>
      <c r="D1002" s="1"/>
      <c r="E1002" s="1"/>
      <c r="F1002" s="1"/>
      <c r="G1002" s="1"/>
      <c r="H1002" s="1"/>
      <c r="I1002" s="1"/>
      <c r="J1002" s="1"/>
      <c r="K1002" s="2"/>
      <c r="L1002" s="1"/>
      <c r="M1002" s="1"/>
      <c r="N1002" s="1"/>
      <c r="O1002" s="1"/>
      <c r="P1002" s="1"/>
      <c r="Q1002" s="1"/>
      <c r="R1002" s="1"/>
      <c r="S1002" s="1"/>
      <c r="T1002" s="2"/>
      <c r="U1002" s="1"/>
      <c r="V1002" s="1"/>
      <c r="W1002" s="1"/>
      <c r="X1002" s="1"/>
      <c r="Y1002" s="1"/>
      <c r="Z1002" s="1"/>
      <c r="AA1002" s="1"/>
      <c r="AB1002" s="1"/>
      <c r="AC1002" s="2"/>
      <c r="AD1002" s="1"/>
      <c r="AE1002" s="1"/>
      <c r="AF1002" s="1"/>
      <c r="AG1002" s="1"/>
      <c r="AH1002" s="1"/>
      <c r="AI1002" s="1"/>
      <c r="AJ1002" s="1"/>
      <c r="AK1002" s="1"/>
      <c r="AL1002" s="2"/>
      <c r="AM1002" s="1"/>
      <c r="AN1002" s="1"/>
      <c r="AO1002" s="1"/>
      <c r="AP1002" s="1"/>
      <c r="AQ1002" s="1"/>
      <c r="AR1002" s="1"/>
      <c r="AS1002" s="1"/>
      <c r="AT1002" s="1"/>
      <c r="AU1002" s="2"/>
      <c r="AV1002" s="1"/>
      <c r="AW1002" s="1"/>
      <c r="AX1002" s="1"/>
      <c r="AY1002" s="1"/>
      <c r="AZ1002" s="1"/>
      <c r="BA1002" s="1"/>
      <c r="BB1002" s="1"/>
      <c r="BC1002" s="1"/>
      <c r="BD1002" s="2"/>
      <c r="BE1002" s="1"/>
      <c r="BF1002" s="1"/>
      <c r="BG1002" s="1"/>
      <c r="BH1002" s="1"/>
      <c r="BI1002" s="1"/>
      <c r="BJ1002" s="1"/>
      <c r="BK1002" s="1"/>
      <c r="BL1002" s="1"/>
      <c r="BM1002" s="2"/>
      <c r="BN1002" s="1"/>
      <c r="BO1002" s="1"/>
      <c r="BP1002" s="1"/>
      <c r="BQ1002" s="1"/>
      <c r="BR1002" s="1"/>
      <c r="BS1002" s="1"/>
      <c r="BT1002" s="1"/>
      <c r="BU1002" s="1"/>
      <c r="BV1002" s="2"/>
      <c r="BW1002" s="1"/>
      <c r="BX1002" s="1"/>
      <c r="BY1002" s="1"/>
      <c r="BZ1002" s="1"/>
      <c r="CA1002" s="1"/>
      <c r="CB1002" s="1"/>
      <c r="CC1002" s="1"/>
      <c r="CD1002" s="1"/>
      <c r="CE1002" s="2"/>
      <c r="CF1002" s="1"/>
      <c r="CG1002" s="1"/>
      <c r="CH1002" s="1"/>
      <c r="CI1002" s="1"/>
      <c r="CJ1002" s="1"/>
      <c r="CK1002" s="1"/>
      <c r="CL1002" s="1"/>
    </row>
    <row r="1003" spans="1:90" ht="14.65" x14ac:dyDescent="0.4">
      <c r="A1003" s="1"/>
      <c r="B1003" s="2"/>
      <c r="C1003" s="1"/>
      <c r="D1003" s="1"/>
      <c r="E1003" s="1"/>
      <c r="F1003" s="1"/>
      <c r="G1003" s="1"/>
      <c r="H1003" s="1"/>
      <c r="I1003" s="1"/>
      <c r="J1003" s="1"/>
      <c r="K1003" s="2"/>
      <c r="L1003" s="1"/>
      <c r="M1003" s="1"/>
      <c r="N1003" s="1"/>
      <c r="O1003" s="1"/>
      <c r="P1003" s="1"/>
      <c r="Q1003" s="1"/>
      <c r="R1003" s="1"/>
      <c r="S1003" s="1"/>
      <c r="T1003" s="2"/>
      <c r="U1003" s="1"/>
      <c r="V1003" s="1"/>
      <c r="W1003" s="1"/>
      <c r="X1003" s="1"/>
      <c r="Y1003" s="1"/>
      <c r="Z1003" s="1"/>
      <c r="AA1003" s="1"/>
      <c r="AB1003" s="1"/>
      <c r="AC1003" s="2"/>
      <c r="AD1003" s="1"/>
      <c r="AE1003" s="1"/>
      <c r="AF1003" s="1"/>
      <c r="AG1003" s="1"/>
      <c r="AH1003" s="1"/>
      <c r="AI1003" s="1"/>
      <c r="AJ1003" s="1"/>
      <c r="AK1003" s="1"/>
      <c r="AL1003" s="2"/>
      <c r="AM1003" s="1"/>
      <c r="AN1003" s="1"/>
      <c r="AO1003" s="1"/>
      <c r="AP1003" s="1"/>
      <c r="AQ1003" s="1"/>
      <c r="AR1003" s="1"/>
      <c r="AS1003" s="1"/>
      <c r="AT1003" s="1"/>
      <c r="AU1003" s="2"/>
      <c r="AV1003" s="1"/>
      <c r="AW1003" s="1"/>
      <c r="AX1003" s="1"/>
      <c r="AY1003" s="1"/>
      <c r="AZ1003" s="1"/>
      <c r="BA1003" s="1"/>
      <c r="BB1003" s="1"/>
      <c r="BC1003" s="1"/>
      <c r="BD1003" s="2"/>
      <c r="BE1003" s="1"/>
      <c r="BF1003" s="1"/>
      <c r="BG1003" s="1"/>
      <c r="BH1003" s="1"/>
      <c r="BI1003" s="1"/>
      <c r="BJ1003" s="1"/>
      <c r="BK1003" s="1"/>
      <c r="BL1003" s="1"/>
      <c r="BM1003" s="2"/>
      <c r="BN1003" s="1"/>
      <c r="BO1003" s="1"/>
      <c r="BP1003" s="1"/>
      <c r="BQ1003" s="1"/>
      <c r="BR1003" s="1"/>
      <c r="BS1003" s="1"/>
      <c r="BT1003" s="1"/>
      <c r="BU1003" s="1"/>
      <c r="BV1003" s="2"/>
      <c r="BW1003" s="1"/>
      <c r="BX1003" s="1"/>
      <c r="BY1003" s="1"/>
      <c r="BZ1003" s="1"/>
      <c r="CA1003" s="1"/>
      <c r="CB1003" s="1"/>
      <c r="CC1003" s="1"/>
      <c r="CD1003" s="1"/>
      <c r="CE1003" s="2"/>
      <c r="CF1003" s="1"/>
      <c r="CG1003" s="1"/>
      <c r="CH1003" s="1"/>
      <c r="CI1003" s="1"/>
      <c r="CJ1003" s="1"/>
      <c r="CK1003" s="1"/>
      <c r="CL1003" s="1"/>
    </row>
    <row r="1004" spans="1:90" ht="14.65" x14ac:dyDescent="0.4">
      <c r="A1004" s="1"/>
      <c r="B1004" s="2"/>
      <c r="C1004" s="1"/>
      <c r="D1004" s="1"/>
      <c r="E1004" s="1"/>
      <c r="F1004" s="1"/>
      <c r="G1004" s="1"/>
      <c r="H1004" s="1"/>
      <c r="I1004" s="1"/>
      <c r="J1004" s="1"/>
      <c r="K1004" s="2"/>
      <c r="L1004" s="1"/>
      <c r="M1004" s="1"/>
      <c r="N1004" s="1"/>
      <c r="O1004" s="1"/>
      <c r="P1004" s="1"/>
      <c r="Q1004" s="1"/>
      <c r="R1004" s="1"/>
      <c r="S1004" s="1"/>
      <c r="T1004" s="2"/>
      <c r="U1004" s="1"/>
      <c r="V1004" s="1"/>
      <c r="W1004" s="1"/>
      <c r="X1004" s="1"/>
      <c r="Y1004" s="1"/>
      <c r="Z1004" s="1"/>
      <c r="AA1004" s="1"/>
      <c r="AB1004" s="1"/>
      <c r="AC1004" s="2"/>
      <c r="AD1004" s="1"/>
      <c r="AE1004" s="1"/>
      <c r="AF1004" s="1"/>
      <c r="AG1004" s="1"/>
      <c r="AH1004" s="1"/>
      <c r="AI1004" s="1"/>
      <c r="AJ1004" s="1"/>
      <c r="AK1004" s="1"/>
      <c r="AL1004" s="2"/>
      <c r="AM1004" s="1"/>
      <c r="AN1004" s="1"/>
      <c r="AO1004" s="1"/>
      <c r="AP1004" s="1"/>
      <c r="AQ1004" s="1"/>
      <c r="AR1004" s="1"/>
      <c r="AS1004" s="1"/>
      <c r="AT1004" s="1"/>
      <c r="AU1004" s="2"/>
      <c r="AV1004" s="1"/>
      <c r="AW1004" s="1"/>
      <c r="AX1004" s="1"/>
      <c r="AY1004" s="1"/>
      <c r="AZ1004" s="1"/>
      <c r="BA1004" s="1"/>
      <c r="BB1004" s="1"/>
      <c r="BC1004" s="1"/>
      <c r="BD1004" s="2"/>
      <c r="BE1004" s="1"/>
      <c r="BF1004" s="1"/>
      <c r="BG1004" s="1"/>
      <c r="BH1004" s="1"/>
      <c r="BI1004" s="1"/>
      <c r="BJ1004" s="1"/>
      <c r="BK1004" s="1"/>
      <c r="BL1004" s="1"/>
      <c r="BM1004" s="2"/>
      <c r="BN1004" s="1"/>
      <c r="BO1004" s="1"/>
      <c r="BP1004" s="1"/>
      <c r="BQ1004" s="1"/>
      <c r="BR1004" s="1"/>
      <c r="BS1004" s="1"/>
      <c r="BT1004" s="1"/>
      <c r="BU1004" s="1"/>
      <c r="BV1004" s="2"/>
      <c r="BW1004" s="1"/>
      <c r="BX1004" s="1"/>
      <c r="BY1004" s="1"/>
      <c r="BZ1004" s="1"/>
      <c r="CA1004" s="1"/>
      <c r="CB1004" s="1"/>
      <c r="CC1004" s="1"/>
      <c r="CD1004" s="1"/>
      <c r="CE1004" s="2"/>
      <c r="CF1004" s="1"/>
      <c r="CG1004" s="1"/>
      <c r="CH1004" s="1"/>
      <c r="CI1004" s="1"/>
      <c r="CJ1004" s="1"/>
      <c r="CK1004" s="1"/>
      <c r="CL1004" s="1"/>
    </row>
    <row r="1005" spans="1:90" ht="14.65" x14ac:dyDescent="0.4">
      <c r="A1005" s="1"/>
      <c r="B1005" s="2"/>
      <c r="C1005" s="1"/>
      <c r="D1005" s="1"/>
      <c r="E1005" s="1"/>
      <c r="F1005" s="1"/>
      <c r="G1005" s="1"/>
      <c r="H1005" s="1"/>
      <c r="I1005" s="1"/>
      <c r="J1005" s="1"/>
      <c r="K1005" s="2"/>
      <c r="L1005" s="1"/>
      <c r="M1005" s="1"/>
      <c r="N1005" s="1"/>
      <c r="O1005" s="1"/>
      <c r="P1005" s="1"/>
      <c r="Q1005" s="1"/>
      <c r="R1005" s="1"/>
      <c r="S1005" s="1"/>
      <c r="T1005" s="2"/>
      <c r="U1005" s="1"/>
      <c r="V1005" s="1"/>
      <c r="W1005" s="1"/>
      <c r="X1005" s="1"/>
      <c r="Y1005" s="1"/>
      <c r="Z1005" s="1"/>
      <c r="AA1005" s="1"/>
      <c r="AB1005" s="1"/>
      <c r="AC1005" s="2"/>
      <c r="AD1005" s="1"/>
      <c r="AE1005" s="1"/>
      <c r="AF1005" s="1"/>
      <c r="AG1005" s="1"/>
      <c r="AH1005" s="1"/>
      <c r="AI1005" s="1"/>
      <c r="AJ1005" s="1"/>
      <c r="AK1005" s="1"/>
      <c r="AL1005" s="2"/>
      <c r="AM1005" s="1"/>
      <c r="AN1005" s="1"/>
      <c r="AO1005" s="1"/>
      <c r="AP1005" s="1"/>
      <c r="AQ1005" s="1"/>
      <c r="AR1005" s="1"/>
      <c r="AS1005" s="1"/>
      <c r="AT1005" s="1"/>
      <c r="AU1005" s="2"/>
      <c r="AV1005" s="1"/>
      <c r="AW1005" s="1"/>
      <c r="AX1005" s="1"/>
      <c r="AY1005" s="1"/>
      <c r="AZ1005" s="1"/>
      <c r="BA1005" s="1"/>
      <c r="BB1005" s="1"/>
      <c r="BC1005" s="1"/>
      <c r="BD1005" s="2"/>
      <c r="BE1005" s="1"/>
      <c r="BF1005" s="1"/>
      <c r="BG1005" s="1"/>
      <c r="BH1005" s="1"/>
      <c r="BI1005" s="1"/>
      <c r="BJ1005" s="1"/>
      <c r="BK1005" s="1"/>
      <c r="BL1005" s="1"/>
      <c r="BM1005" s="2"/>
      <c r="BN1005" s="1"/>
      <c r="BO1005" s="1"/>
      <c r="BP1005" s="1"/>
      <c r="BQ1005" s="1"/>
      <c r="BR1005" s="1"/>
      <c r="BS1005" s="1"/>
      <c r="BT1005" s="1"/>
      <c r="BU1005" s="1"/>
      <c r="BV1005" s="2"/>
      <c r="BW1005" s="1"/>
      <c r="BX1005" s="1"/>
      <c r="BY1005" s="1"/>
      <c r="BZ1005" s="1"/>
      <c r="CA1005" s="1"/>
      <c r="CB1005" s="1"/>
      <c r="CC1005" s="1"/>
      <c r="CD1005" s="1"/>
      <c r="CE1005" s="2"/>
      <c r="CF1005" s="1"/>
      <c r="CG1005" s="1"/>
      <c r="CH1005" s="1"/>
      <c r="CI1005" s="1"/>
      <c r="CJ1005" s="1"/>
      <c r="CK1005" s="1"/>
      <c r="CL1005" s="1"/>
    </row>
    <row r="1006" spans="1:90" ht="14.65" x14ac:dyDescent="0.4">
      <c r="A1006" s="1"/>
      <c r="B1006" s="2"/>
      <c r="C1006" s="1"/>
      <c r="D1006" s="1"/>
      <c r="E1006" s="1"/>
      <c r="F1006" s="1"/>
      <c r="G1006" s="1"/>
      <c r="H1006" s="1"/>
      <c r="I1006" s="1"/>
      <c r="J1006" s="1"/>
      <c r="K1006" s="2"/>
      <c r="L1006" s="1"/>
      <c r="M1006" s="1"/>
      <c r="N1006" s="1"/>
      <c r="O1006" s="1"/>
      <c r="P1006" s="1"/>
      <c r="Q1006" s="1"/>
      <c r="R1006" s="1"/>
      <c r="S1006" s="1"/>
      <c r="T1006" s="2"/>
      <c r="U1006" s="1"/>
      <c r="V1006" s="1"/>
      <c r="W1006" s="1"/>
      <c r="X1006" s="1"/>
      <c r="Y1006" s="1"/>
      <c r="Z1006" s="1"/>
      <c r="AA1006" s="1"/>
      <c r="AB1006" s="1"/>
      <c r="AC1006" s="2"/>
      <c r="AD1006" s="1"/>
      <c r="AE1006" s="1"/>
      <c r="AF1006" s="1"/>
      <c r="AG1006" s="1"/>
      <c r="AH1006" s="1"/>
      <c r="AI1006" s="1"/>
      <c r="AJ1006" s="1"/>
      <c r="AK1006" s="1"/>
      <c r="AL1006" s="2"/>
      <c r="AM1006" s="1"/>
      <c r="AN1006" s="1"/>
      <c r="AO1006" s="1"/>
      <c r="AP1006" s="1"/>
      <c r="AQ1006" s="1"/>
      <c r="AR1006" s="1"/>
      <c r="AS1006" s="1"/>
      <c r="AT1006" s="1"/>
      <c r="AU1006" s="2"/>
      <c r="AV1006" s="1"/>
      <c r="AW1006" s="1"/>
      <c r="AX1006" s="1"/>
      <c r="AY1006" s="1"/>
      <c r="AZ1006" s="1"/>
      <c r="BA1006" s="1"/>
      <c r="BB1006" s="1"/>
      <c r="BC1006" s="1"/>
      <c r="BD1006" s="2"/>
      <c r="BE1006" s="1"/>
      <c r="BF1006" s="1"/>
      <c r="BG1006" s="1"/>
      <c r="BH1006" s="1"/>
      <c r="BI1006" s="1"/>
      <c r="BJ1006" s="1"/>
      <c r="BK1006" s="1"/>
      <c r="BL1006" s="1"/>
      <c r="BM1006" s="2"/>
      <c r="BN1006" s="1"/>
      <c r="BO1006" s="1"/>
      <c r="BP1006" s="1"/>
      <c r="BQ1006" s="1"/>
      <c r="BR1006" s="1"/>
      <c r="BS1006" s="1"/>
      <c r="BT1006" s="1"/>
      <c r="BU1006" s="1"/>
      <c r="BV1006" s="2"/>
      <c r="BW1006" s="1"/>
      <c r="BX1006" s="1"/>
      <c r="BY1006" s="1"/>
      <c r="BZ1006" s="1"/>
      <c r="CA1006" s="1"/>
      <c r="CB1006" s="1"/>
      <c r="CC1006" s="1"/>
      <c r="CD1006" s="1"/>
      <c r="CE1006" s="2"/>
      <c r="CF1006" s="1"/>
      <c r="CG1006" s="1"/>
      <c r="CH1006" s="1"/>
      <c r="CI1006" s="1"/>
      <c r="CJ1006" s="1"/>
      <c r="CK1006" s="1"/>
      <c r="CL1006" s="1"/>
    </row>
    <row r="1007" spans="1:90" ht="14.65" x14ac:dyDescent="0.4">
      <c r="A1007" s="1"/>
      <c r="B1007" s="2"/>
      <c r="C1007" s="1"/>
      <c r="D1007" s="1"/>
      <c r="E1007" s="1"/>
      <c r="F1007" s="1"/>
      <c r="G1007" s="1"/>
      <c r="H1007" s="1"/>
      <c r="I1007" s="1"/>
      <c r="J1007" s="1"/>
      <c r="K1007" s="2"/>
      <c r="L1007" s="1"/>
      <c r="M1007" s="1"/>
      <c r="N1007" s="1"/>
      <c r="O1007" s="1"/>
      <c r="P1007" s="1"/>
      <c r="Q1007" s="1"/>
      <c r="R1007" s="1"/>
      <c r="S1007" s="1"/>
      <c r="T1007" s="2"/>
      <c r="U1007" s="1"/>
      <c r="V1007" s="1"/>
      <c r="W1007" s="1"/>
      <c r="X1007" s="1"/>
      <c r="Y1007" s="1"/>
      <c r="Z1007" s="1"/>
      <c r="AA1007" s="1"/>
      <c r="AB1007" s="1"/>
      <c r="AC1007" s="2"/>
      <c r="AD1007" s="1"/>
      <c r="AE1007" s="1"/>
      <c r="AF1007" s="1"/>
      <c r="AG1007" s="1"/>
      <c r="AH1007" s="1"/>
      <c r="AI1007" s="1"/>
      <c r="AJ1007" s="1"/>
      <c r="AK1007" s="1"/>
      <c r="AL1007" s="2"/>
      <c r="AM1007" s="1"/>
      <c r="AN1007" s="1"/>
      <c r="AO1007" s="1"/>
      <c r="AP1007" s="1"/>
      <c r="AQ1007" s="1"/>
      <c r="AR1007" s="1"/>
      <c r="AS1007" s="1"/>
      <c r="AT1007" s="1"/>
      <c r="AU1007" s="2"/>
      <c r="AV1007" s="1"/>
      <c r="AW1007" s="1"/>
      <c r="AX1007" s="1"/>
      <c r="AY1007" s="1"/>
      <c r="AZ1007" s="1"/>
      <c r="BA1007" s="1"/>
      <c r="BB1007" s="1"/>
      <c r="BC1007" s="1"/>
      <c r="BD1007" s="2"/>
      <c r="BE1007" s="1"/>
      <c r="BF1007" s="1"/>
      <c r="BG1007" s="1"/>
      <c r="BH1007" s="1"/>
      <c r="BI1007" s="1"/>
      <c r="BJ1007" s="1"/>
      <c r="BK1007" s="1"/>
      <c r="BL1007" s="1"/>
      <c r="BM1007" s="2"/>
      <c r="BN1007" s="1"/>
      <c r="BO1007" s="1"/>
      <c r="BP1007" s="1"/>
      <c r="BQ1007" s="1"/>
      <c r="BR1007" s="1"/>
      <c r="BS1007" s="1"/>
      <c r="BT1007" s="1"/>
      <c r="BU1007" s="1"/>
      <c r="BV1007" s="2"/>
      <c r="BW1007" s="1"/>
      <c r="BX1007" s="1"/>
      <c r="BY1007" s="1"/>
      <c r="BZ1007" s="1"/>
      <c r="CA1007" s="1"/>
      <c r="CB1007" s="1"/>
      <c r="CC1007" s="1"/>
      <c r="CD1007" s="1"/>
      <c r="CE1007" s="2"/>
      <c r="CF1007" s="1"/>
      <c r="CG1007" s="1"/>
      <c r="CH1007" s="1"/>
      <c r="CI1007" s="1"/>
      <c r="CJ1007" s="1"/>
      <c r="CK1007" s="1"/>
      <c r="CL1007" s="1"/>
    </row>
    <row r="1008" spans="1:90" ht="14.65" x14ac:dyDescent="0.4">
      <c r="A1008" s="1"/>
      <c r="B1008" s="2"/>
      <c r="C1008" s="1"/>
      <c r="D1008" s="1"/>
      <c r="E1008" s="1"/>
      <c r="F1008" s="1"/>
      <c r="G1008" s="1"/>
      <c r="H1008" s="1"/>
      <c r="I1008" s="1"/>
      <c r="J1008" s="1"/>
      <c r="K1008" s="2"/>
      <c r="L1008" s="1"/>
      <c r="M1008" s="1"/>
      <c r="N1008" s="1"/>
      <c r="O1008" s="1"/>
      <c r="P1008" s="1"/>
      <c r="Q1008" s="1"/>
      <c r="R1008" s="1"/>
      <c r="S1008" s="1"/>
      <c r="T1008" s="2"/>
      <c r="U1008" s="1"/>
      <c r="V1008" s="1"/>
      <c r="W1008" s="1"/>
      <c r="X1008" s="1"/>
      <c r="Y1008" s="1"/>
      <c r="Z1008" s="1"/>
      <c r="AA1008" s="1"/>
      <c r="AB1008" s="1"/>
      <c r="AC1008" s="2"/>
      <c r="AD1008" s="1"/>
      <c r="AE1008" s="1"/>
      <c r="AF1008" s="1"/>
      <c r="AG1008" s="1"/>
      <c r="AH1008" s="1"/>
      <c r="AI1008" s="1"/>
      <c r="AJ1008" s="1"/>
      <c r="AK1008" s="1"/>
      <c r="AL1008" s="2"/>
      <c r="AM1008" s="1"/>
      <c r="AN1008" s="1"/>
      <c r="AO1008" s="1"/>
      <c r="AP1008" s="1"/>
      <c r="AQ1008" s="1"/>
      <c r="AR1008" s="1"/>
      <c r="AS1008" s="1"/>
      <c r="AT1008" s="1"/>
      <c r="AU1008" s="2"/>
      <c r="AV1008" s="1"/>
      <c r="AW1008" s="1"/>
      <c r="AX1008" s="1"/>
      <c r="AY1008" s="1"/>
      <c r="AZ1008" s="1"/>
      <c r="BA1008" s="1"/>
      <c r="BB1008" s="1"/>
      <c r="BC1008" s="1"/>
      <c r="BD1008" s="2"/>
      <c r="BE1008" s="1"/>
      <c r="BF1008" s="1"/>
      <c r="BG1008" s="1"/>
      <c r="BH1008" s="1"/>
      <c r="BI1008" s="1"/>
      <c r="BJ1008" s="1"/>
      <c r="BK1008" s="1"/>
      <c r="BL1008" s="1"/>
      <c r="BM1008" s="2"/>
      <c r="BN1008" s="1"/>
      <c r="BO1008" s="1"/>
      <c r="BP1008" s="1"/>
      <c r="BQ1008" s="1"/>
      <c r="BR1008" s="1"/>
      <c r="BS1008" s="1"/>
      <c r="BT1008" s="1"/>
      <c r="BU1008" s="1"/>
      <c r="BV1008" s="2"/>
      <c r="BW1008" s="1"/>
      <c r="BX1008" s="1"/>
      <c r="BY1008" s="1"/>
      <c r="BZ1008" s="1"/>
      <c r="CA1008" s="1"/>
      <c r="CB1008" s="1"/>
      <c r="CC1008" s="1"/>
      <c r="CD1008" s="1"/>
      <c r="CE1008" s="2"/>
      <c r="CF1008" s="1"/>
      <c r="CG1008" s="1"/>
      <c r="CH1008" s="1"/>
      <c r="CI1008" s="1"/>
      <c r="CJ1008" s="1"/>
      <c r="CK1008" s="1"/>
      <c r="CL1008" s="1"/>
    </row>
    <row r="1009" spans="1:90" ht="14.65" x14ac:dyDescent="0.4">
      <c r="A1009" s="1"/>
      <c r="B1009" s="2"/>
      <c r="C1009" s="1"/>
      <c r="D1009" s="1"/>
      <c r="E1009" s="1"/>
      <c r="F1009" s="1"/>
      <c r="G1009" s="1"/>
      <c r="H1009" s="1"/>
      <c r="I1009" s="1"/>
      <c r="J1009" s="1"/>
      <c r="K1009" s="2"/>
      <c r="L1009" s="1"/>
      <c r="M1009" s="1"/>
      <c r="N1009" s="1"/>
      <c r="O1009" s="1"/>
      <c r="P1009" s="1"/>
      <c r="Q1009" s="1"/>
      <c r="R1009" s="1"/>
      <c r="S1009" s="1"/>
      <c r="T1009" s="2"/>
      <c r="U1009" s="1"/>
      <c r="V1009" s="1"/>
      <c r="W1009" s="1"/>
      <c r="X1009" s="1"/>
      <c r="Y1009" s="1"/>
      <c r="Z1009" s="1"/>
      <c r="AA1009" s="1"/>
      <c r="AB1009" s="1"/>
      <c r="AC1009" s="2"/>
      <c r="AD1009" s="1"/>
      <c r="AE1009" s="1"/>
      <c r="AF1009" s="1"/>
      <c r="AG1009" s="1"/>
      <c r="AH1009" s="1"/>
      <c r="AI1009" s="1"/>
      <c r="AJ1009" s="1"/>
      <c r="AK1009" s="1"/>
      <c r="AL1009" s="2"/>
      <c r="AM1009" s="1"/>
      <c r="AN1009" s="1"/>
      <c r="AO1009" s="1"/>
      <c r="AP1009" s="1"/>
      <c r="AQ1009" s="1"/>
      <c r="AR1009" s="1"/>
      <c r="AS1009" s="1"/>
      <c r="AT1009" s="1"/>
      <c r="AU1009" s="2"/>
      <c r="AV1009" s="1"/>
      <c r="AW1009" s="1"/>
      <c r="AX1009" s="1"/>
      <c r="AY1009" s="1"/>
      <c r="AZ1009" s="1"/>
      <c r="BA1009" s="1"/>
      <c r="BB1009" s="1"/>
      <c r="BC1009" s="1"/>
      <c r="BD1009" s="2"/>
      <c r="BE1009" s="1"/>
      <c r="BF1009" s="1"/>
      <c r="BG1009" s="1"/>
      <c r="BH1009" s="1"/>
      <c r="BI1009" s="1"/>
      <c r="BJ1009" s="1"/>
      <c r="BK1009" s="1"/>
      <c r="BL1009" s="1"/>
      <c r="BM1009" s="2"/>
      <c r="BN1009" s="1"/>
      <c r="BO1009" s="1"/>
      <c r="BP1009" s="1"/>
      <c r="BQ1009" s="1"/>
      <c r="BR1009" s="1"/>
      <c r="BS1009" s="1"/>
      <c r="BT1009" s="1"/>
      <c r="BU1009" s="1"/>
      <c r="BV1009" s="2"/>
      <c r="BW1009" s="1"/>
      <c r="BX1009" s="1"/>
      <c r="BY1009" s="1"/>
      <c r="BZ1009" s="1"/>
      <c r="CA1009" s="1"/>
      <c r="CB1009" s="1"/>
      <c r="CC1009" s="1"/>
      <c r="CD1009" s="1"/>
      <c r="CE1009" s="2"/>
      <c r="CF1009" s="1"/>
      <c r="CG1009" s="1"/>
      <c r="CH1009" s="1"/>
      <c r="CI1009" s="1"/>
      <c r="CJ1009" s="1"/>
      <c r="CK1009" s="1"/>
      <c r="CL1009" s="1"/>
    </row>
    <row r="1010" spans="1:90" ht="14.65" x14ac:dyDescent="0.4">
      <c r="A1010" s="1"/>
      <c r="B1010" s="2"/>
      <c r="C1010" s="1"/>
      <c r="D1010" s="1"/>
      <c r="E1010" s="1"/>
      <c r="F1010" s="1"/>
      <c r="G1010" s="1"/>
      <c r="H1010" s="1"/>
      <c r="I1010" s="1"/>
      <c r="J1010" s="1"/>
      <c r="K1010" s="2"/>
      <c r="L1010" s="1"/>
      <c r="M1010" s="1"/>
      <c r="N1010" s="1"/>
      <c r="O1010" s="1"/>
      <c r="P1010" s="1"/>
      <c r="Q1010" s="1"/>
      <c r="R1010" s="1"/>
      <c r="S1010" s="1"/>
      <c r="T1010" s="2"/>
      <c r="U1010" s="1"/>
      <c r="V1010" s="1"/>
      <c r="W1010" s="1"/>
      <c r="X1010" s="1"/>
      <c r="Y1010" s="1"/>
      <c r="Z1010" s="1"/>
      <c r="AA1010" s="1"/>
      <c r="AB1010" s="1"/>
      <c r="AC1010" s="2"/>
      <c r="AD1010" s="1"/>
      <c r="AE1010" s="1"/>
      <c r="AF1010" s="1"/>
      <c r="AG1010" s="1"/>
      <c r="AH1010" s="1"/>
      <c r="AI1010" s="1"/>
      <c r="AJ1010" s="1"/>
      <c r="AK1010" s="1"/>
      <c r="AL1010" s="2"/>
      <c r="AM1010" s="1"/>
      <c r="AN1010" s="1"/>
      <c r="AO1010" s="1"/>
      <c r="AP1010" s="1"/>
      <c r="AQ1010" s="1"/>
      <c r="AR1010" s="1"/>
      <c r="AS1010" s="1"/>
      <c r="AT1010" s="1"/>
      <c r="AU1010" s="2"/>
      <c r="AV1010" s="1"/>
      <c r="AW1010" s="1"/>
      <c r="AX1010" s="1"/>
      <c r="AY1010" s="1"/>
      <c r="AZ1010" s="1"/>
      <c r="BA1010" s="1"/>
      <c r="BB1010" s="1"/>
      <c r="BC1010" s="1"/>
      <c r="BD1010" s="2"/>
      <c r="BE1010" s="1"/>
      <c r="BF1010" s="1"/>
      <c r="BG1010" s="1"/>
      <c r="BH1010" s="1"/>
      <c r="BI1010" s="1"/>
      <c r="BJ1010" s="1"/>
      <c r="BK1010" s="1"/>
      <c r="BL1010" s="1"/>
      <c r="BM1010" s="2"/>
      <c r="BN1010" s="1"/>
      <c r="BO1010" s="1"/>
      <c r="BP1010" s="1"/>
      <c r="BQ1010" s="1"/>
      <c r="BR1010" s="1"/>
      <c r="BS1010" s="1"/>
      <c r="BT1010" s="1"/>
      <c r="BU1010" s="1"/>
      <c r="BV1010" s="2"/>
      <c r="BW1010" s="1"/>
      <c r="BX1010" s="1"/>
      <c r="BY1010" s="1"/>
      <c r="BZ1010" s="1"/>
      <c r="CA1010" s="1"/>
      <c r="CB1010" s="1"/>
      <c r="CC1010" s="1"/>
      <c r="CD1010" s="1"/>
      <c r="CE1010" s="2"/>
      <c r="CF1010" s="1"/>
      <c r="CG1010" s="1"/>
      <c r="CH1010" s="1"/>
      <c r="CI1010" s="1"/>
      <c r="CJ1010" s="1"/>
      <c r="CK1010" s="1"/>
      <c r="CL1010" s="1"/>
    </row>
    <row r="1011" spans="1:90" ht="14.65" x14ac:dyDescent="0.4">
      <c r="A1011" s="1"/>
      <c r="B1011" s="2"/>
      <c r="C1011" s="1"/>
      <c r="D1011" s="1"/>
      <c r="E1011" s="1"/>
      <c r="F1011" s="1"/>
      <c r="G1011" s="1"/>
      <c r="H1011" s="1"/>
      <c r="I1011" s="1"/>
      <c r="J1011" s="1"/>
      <c r="K1011" s="2"/>
      <c r="L1011" s="1"/>
      <c r="M1011" s="1"/>
      <c r="N1011" s="1"/>
      <c r="O1011" s="1"/>
      <c r="P1011" s="1"/>
      <c r="Q1011" s="1"/>
      <c r="R1011" s="1"/>
      <c r="S1011" s="1"/>
      <c r="T1011" s="2"/>
      <c r="U1011" s="1"/>
      <c r="V1011" s="1"/>
      <c r="W1011" s="1"/>
      <c r="X1011" s="1"/>
      <c r="Y1011" s="1"/>
      <c r="Z1011" s="1"/>
      <c r="AA1011" s="1"/>
      <c r="AB1011" s="1"/>
      <c r="AC1011" s="2"/>
      <c r="AD1011" s="1"/>
      <c r="AE1011" s="1"/>
      <c r="AF1011" s="1"/>
      <c r="AG1011" s="1"/>
      <c r="AH1011" s="1"/>
      <c r="AI1011" s="1"/>
      <c r="AJ1011" s="1"/>
      <c r="AK1011" s="1"/>
      <c r="AL1011" s="2"/>
      <c r="AM1011" s="1"/>
      <c r="AN1011" s="1"/>
      <c r="AO1011" s="1"/>
      <c r="AP1011" s="1"/>
      <c r="AQ1011" s="1"/>
      <c r="AR1011" s="1"/>
      <c r="AS1011" s="1"/>
      <c r="AT1011" s="1"/>
      <c r="AU1011" s="2"/>
      <c r="AV1011" s="1"/>
      <c r="AW1011" s="1"/>
      <c r="AX1011" s="1"/>
      <c r="AY1011" s="1"/>
      <c r="AZ1011" s="1"/>
      <c r="BA1011" s="1"/>
      <c r="BB1011" s="1"/>
      <c r="BC1011" s="1"/>
      <c r="BD1011" s="2"/>
      <c r="BE1011" s="1"/>
      <c r="BF1011" s="1"/>
      <c r="BG1011" s="1"/>
      <c r="BH1011" s="1"/>
      <c r="BI1011" s="1"/>
      <c r="BJ1011" s="1"/>
      <c r="BK1011" s="1"/>
      <c r="BL1011" s="1"/>
      <c r="BM1011" s="2"/>
      <c r="BN1011" s="1"/>
      <c r="BO1011" s="1"/>
      <c r="BP1011" s="1"/>
      <c r="BQ1011" s="1"/>
      <c r="BR1011" s="1"/>
      <c r="BS1011" s="1"/>
      <c r="BT1011" s="1"/>
      <c r="BU1011" s="1"/>
      <c r="BV1011" s="2"/>
      <c r="BW1011" s="1"/>
      <c r="BX1011" s="1"/>
      <c r="BY1011" s="1"/>
      <c r="BZ1011" s="1"/>
      <c r="CA1011" s="1"/>
      <c r="CB1011" s="1"/>
      <c r="CC1011" s="1"/>
      <c r="CD1011" s="1"/>
      <c r="CE1011" s="2"/>
      <c r="CF1011" s="1"/>
      <c r="CG1011" s="1"/>
      <c r="CH1011" s="1"/>
      <c r="CI1011" s="1"/>
      <c r="CJ1011" s="1"/>
      <c r="CK1011" s="1"/>
      <c r="CL1011" s="1"/>
    </row>
    <row r="1012" spans="1:90" ht="14.65" x14ac:dyDescent="0.4">
      <c r="A1012" s="1"/>
      <c r="B1012" s="2"/>
      <c r="C1012" s="1"/>
      <c r="D1012" s="1"/>
      <c r="E1012" s="1"/>
      <c r="F1012" s="1"/>
      <c r="G1012" s="1"/>
      <c r="H1012" s="1"/>
      <c r="I1012" s="1"/>
      <c r="J1012" s="1"/>
      <c r="K1012" s="2"/>
      <c r="L1012" s="1"/>
      <c r="M1012" s="1"/>
      <c r="N1012" s="1"/>
      <c r="O1012" s="1"/>
      <c r="P1012" s="1"/>
      <c r="Q1012" s="1"/>
      <c r="R1012" s="1"/>
      <c r="S1012" s="1"/>
      <c r="T1012" s="2"/>
      <c r="U1012" s="1"/>
      <c r="V1012" s="1"/>
      <c r="W1012" s="1"/>
      <c r="X1012" s="1"/>
      <c r="Y1012" s="1"/>
      <c r="Z1012" s="1"/>
      <c r="AA1012" s="1"/>
      <c r="AB1012" s="1"/>
      <c r="AC1012" s="2"/>
      <c r="AD1012" s="1"/>
      <c r="AE1012" s="1"/>
      <c r="AF1012" s="1"/>
      <c r="AG1012" s="1"/>
      <c r="AH1012" s="1"/>
      <c r="AI1012" s="1"/>
      <c r="AJ1012" s="1"/>
      <c r="AK1012" s="1"/>
      <c r="AL1012" s="2"/>
      <c r="AM1012" s="1"/>
      <c r="AN1012" s="1"/>
      <c r="AO1012" s="1"/>
      <c r="AP1012" s="1"/>
      <c r="AQ1012" s="1"/>
      <c r="AR1012" s="1"/>
      <c r="AS1012" s="1"/>
      <c r="AT1012" s="1"/>
      <c r="AU1012" s="2"/>
      <c r="AV1012" s="1"/>
      <c r="AW1012" s="1"/>
      <c r="AX1012" s="1"/>
      <c r="AY1012" s="1"/>
      <c r="AZ1012" s="1"/>
      <c r="BA1012" s="1"/>
      <c r="BB1012" s="1"/>
      <c r="BC1012" s="1"/>
      <c r="BD1012" s="2"/>
      <c r="BE1012" s="1"/>
      <c r="BF1012" s="1"/>
      <c r="BG1012" s="1"/>
      <c r="BH1012" s="1"/>
      <c r="BI1012" s="1"/>
      <c r="BJ1012" s="1"/>
      <c r="BK1012" s="1"/>
      <c r="BL1012" s="1"/>
      <c r="BM1012" s="2"/>
      <c r="BN1012" s="1"/>
      <c r="BO1012" s="1"/>
      <c r="BP1012" s="1"/>
      <c r="BQ1012" s="1"/>
      <c r="BR1012" s="1"/>
      <c r="BS1012" s="1"/>
      <c r="BT1012" s="1"/>
      <c r="BU1012" s="1"/>
      <c r="BV1012" s="2"/>
      <c r="BW1012" s="1"/>
      <c r="BX1012" s="1"/>
      <c r="BY1012" s="1"/>
      <c r="BZ1012" s="1"/>
      <c r="CA1012" s="1"/>
      <c r="CB1012" s="1"/>
      <c r="CC1012" s="1"/>
      <c r="CD1012" s="1"/>
      <c r="CE1012" s="2"/>
      <c r="CF1012" s="1"/>
      <c r="CG1012" s="1"/>
      <c r="CH1012" s="1"/>
      <c r="CI1012" s="1"/>
      <c r="CJ1012" s="1"/>
      <c r="CK1012" s="1"/>
      <c r="CL1012" s="1"/>
    </row>
    <row r="1013" spans="1:90" ht="14.65" x14ac:dyDescent="0.4">
      <c r="A1013" s="1"/>
      <c r="B1013" s="2"/>
      <c r="C1013" s="1"/>
      <c r="D1013" s="1"/>
      <c r="E1013" s="1"/>
      <c r="F1013" s="1"/>
      <c r="G1013" s="1"/>
      <c r="H1013" s="1"/>
      <c r="I1013" s="1"/>
      <c r="J1013" s="1"/>
      <c r="K1013" s="2"/>
      <c r="L1013" s="1"/>
      <c r="M1013" s="1"/>
      <c r="N1013" s="1"/>
      <c r="O1013" s="1"/>
      <c r="P1013" s="1"/>
      <c r="Q1013" s="1"/>
      <c r="R1013" s="1"/>
      <c r="S1013" s="1"/>
      <c r="T1013" s="2"/>
      <c r="U1013" s="1"/>
      <c r="V1013" s="1"/>
      <c r="W1013" s="1"/>
      <c r="X1013" s="1"/>
      <c r="Y1013" s="1"/>
      <c r="Z1013" s="1"/>
      <c r="AA1013" s="1"/>
      <c r="AB1013" s="1"/>
      <c r="AC1013" s="2"/>
      <c r="AD1013" s="1"/>
      <c r="AE1013" s="1"/>
      <c r="AF1013" s="1"/>
      <c r="AG1013" s="1"/>
      <c r="AH1013" s="1"/>
      <c r="AI1013" s="1"/>
      <c r="AJ1013" s="1"/>
      <c r="AK1013" s="1"/>
      <c r="AL1013" s="2"/>
      <c r="AM1013" s="1"/>
      <c r="AN1013" s="1"/>
      <c r="AO1013" s="1"/>
      <c r="AP1013" s="1"/>
      <c r="AQ1013" s="1"/>
      <c r="AR1013" s="1"/>
      <c r="AS1013" s="1"/>
      <c r="AT1013" s="1"/>
      <c r="AU1013" s="2"/>
      <c r="AV1013" s="1"/>
      <c r="AW1013" s="1"/>
      <c r="AX1013" s="1"/>
      <c r="AY1013" s="1"/>
      <c r="AZ1013" s="1"/>
      <c r="BA1013" s="1"/>
      <c r="BB1013" s="1"/>
      <c r="BC1013" s="1"/>
      <c r="BD1013" s="2"/>
      <c r="BE1013" s="1"/>
      <c r="BF1013" s="1"/>
      <c r="BG1013" s="1"/>
      <c r="BH1013" s="1"/>
      <c r="BI1013" s="1"/>
      <c r="BJ1013" s="1"/>
      <c r="BK1013" s="1"/>
      <c r="BL1013" s="1"/>
      <c r="BM1013" s="2"/>
      <c r="BN1013" s="1"/>
      <c r="BO1013" s="1"/>
      <c r="BP1013" s="1"/>
      <c r="BQ1013" s="1"/>
      <c r="BR1013" s="1"/>
      <c r="BS1013" s="1"/>
      <c r="BT1013" s="1"/>
      <c r="BU1013" s="1"/>
      <c r="BV1013" s="2"/>
      <c r="BW1013" s="1"/>
      <c r="BX1013" s="1"/>
      <c r="BY1013" s="1"/>
      <c r="BZ1013" s="1"/>
      <c r="CA1013" s="1"/>
      <c r="CB1013" s="1"/>
      <c r="CC1013" s="1"/>
      <c r="CD1013" s="1"/>
      <c r="CE1013" s="2"/>
      <c r="CF1013" s="1"/>
      <c r="CG1013" s="1"/>
      <c r="CH1013" s="1"/>
      <c r="CI1013" s="1"/>
      <c r="CJ1013" s="1"/>
      <c r="CK1013" s="1"/>
      <c r="CL1013" s="1"/>
    </row>
    <row r="1014" spans="1:90" ht="14.65" x14ac:dyDescent="0.4">
      <c r="A1014" s="1"/>
      <c r="B1014" s="2"/>
      <c r="C1014" s="1"/>
      <c r="D1014" s="1"/>
      <c r="E1014" s="1"/>
      <c r="F1014" s="1"/>
      <c r="G1014" s="1"/>
      <c r="H1014" s="1"/>
      <c r="I1014" s="1"/>
      <c r="J1014" s="1"/>
      <c r="K1014" s="2"/>
      <c r="L1014" s="1"/>
      <c r="M1014" s="1"/>
      <c r="N1014" s="1"/>
      <c r="O1014" s="1"/>
      <c r="P1014" s="1"/>
      <c r="Q1014" s="1"/>
      <c r="R1014" s="1"/>
      <c r="S1014" s="1"/>
      <c r="T1014" s="2"/>
      <c r="U1014" s="1"/>
      <c r="V1014" s="1"/>
      <c r="W1014" s="1"/>
      <c r="X1014" s="1"/>
      <c r="Y1014" s="1"/>
      <c r="Z1014" s="1"/>
      <c r="AA1014" s="1"/>
      <c r="AB1014" s="1"/>
      <c r="AC1014" s="2"/>
      <c r="AD1014" s="1"/>
      <c r="AE1014" s="1"/>
      <c r="AF1014" s="1"/>
      <c r="AG1014" s="1"/>
      <c r="AH1014" s="1"/>
      <c r="AI1014" s="1"/>
      <c r="AJ1014" s="1"/>
      <c r="AK1014" s="1"/>
      <c r="AL1014" s="2"/>
      <c r="AM1014" s="1"/>
      <c r="AN1014" s="1"/>
      <c r="AO1014" s="1"/>
      <c r="AP1014" s="1"/>
      <c r="AQ1014" s="1"/>
      <c r="AR1014" s="1"/>
      <c r="AS1014" s="1"/>
      <c r="AT1014" s="1"/>
      <c r="AU1014" s="2"/>
      <c r="AV1014" s="1"/>
      <c r="AW1014" s="1"/>
      <c r="AX1014" s="1"/>
      <c r="AY1014" s="1"/>
      <c r="AZ1014" s="1"/>
      <c r="BA1014" s="1"/>
      <c r="BB1014" s="1"/>
      <c r="BC1014" s="1"/>
      <c r="BD1014" s="2"/>
      <c r="BE1014" s="1"/>
      <c r="BF1014" s="1"/>
      <c r="BG1014" s="1"/>
      <c r="BH1014" s="1"/>
      <c r="BI1014" s="1"/>
      <c r="BJ1014" s="1"/>
      <c r="BK1014" s="1"/>
      <c r="BL1014" s="1"/>
      <c r="BM1014" s="2"/>
      <c r="BN1014" s="1"/>
      <c r="BO1014" s="1"/>
      <c r="BP1014" s="1"/>
      <c r="BQ1014" s="1"/>
      <c r="BR1014" s="1"/>
      <c r="BS1014" s="1"/>
      <c r="BT1014" s="1"/>
      <c r="BU1014" s="1"/>
      <c r="BV1014" s="2"/>
      <c r="BW1014" s="1"/>
      <c r="BX1014" s="1"/>
      <c r="BY1014" s="1"/>
      <c r="BZ1014" s="1"/>
      <c r="CA1014" s="1"/>
      <c r="CB1014" s="1"/>
      <c r="CC1014" s="1"/>
      <c r="CD1014" s="1"/>
      <c r="CE1014" s="2"/>
      <c r="CF1014" s="1"/>
      <c r="CG1014" s="1"/>
      <c r="CH1014" s="1"/>
      <c r="CI1014" s="1"/>
      <c r="CJ1014" s="1"/>
      <c r="CK1014" s="1"/>
      <c r="CL1014" s="1"/>
    </row>
    <row r="1015" spans="1:90" ht="14.65" x14ac:dyDescent="0.4">
      <c r="A1015" s="1"/>
      <c r="B1015" s="2"/>
      <c r="C1015" s="1"/>
      <c r="D1015" s="1"/>
      <c r="E1015" s="1"/>
      <c r="F1015" s="1"/>
      <c r="G1015" s="1"/>
      <c r="H1015" s="1"/>
      <c r="I1015" s="1"/>
      <c r="J1015" s="1"/>
      <c r="K1015" s="2"/>
      <c r="L1015" s="1"/>
      <c r="M1015" s="1"/>
      <c r="N1015" s="1"/>
      <c r="O1015" s="1"/>
      <c r="P1015" s="1"/>
      <c r="Q1015" s="1"/>
      <c r="R1015" s="1"/>
      <c r="S1015" s="1"/>
      <c r="T1015" s="2"/>
      <c r="U1015" s="1"/>
      <c r="V1015" s="1"/>
      <c r="W1015" s="1"/>
      <c r="X1015" s="1"/>
      <c r="Y1015" s="1"/>
      <c r="Z1015" s="1"/>
      <c r="AA1015" s="1"/>
      <c r="AB1015" s="1"/>
      <c r="AC1015" s="2"/>
      <c r="AD1015" s="1"/>
      <c r="AE1015" s="1"/>
      <c r="AF1015" s="1"/>
      <c r="AG1015" s="1"/>
      <c r="AH1015" s="1"/>
      <c r="AI1015" s="1"/>
      <c r="AJ1015" s="1"/>
      <c r="AK1015" s="1"/>
      <c r="AL1015" s="2"/>
      <c r="AM1015" s="1"/>
      <c r="AN1015" s="1"/>
      <c r="AO1015" s="1"/>
      <c r="AP1015" s="1"/>
      <c r="AQ1015" s="1"/>
      <c r="AR1015" s="1"/>
      <c r="AS1015" s="1"/>
      <c r="AT1015" s="1"/>
      <c r="AU1015" s="2"/>
      <c r="AV1015" s="1"/>
      <c r="AW1015" s="1"/>
      <c r="AX1015" s="1"/>
      <c r="AY1015" s="1"/>
      <c r="AZ1015" s="1"/>
      <c r="BA1015" s="1"/>
      <c r="BB1015" s="1"/>
      <c r="BC1015" s="1"/>
      <c r="BD1015" s="2"/>
      <c r="BE1015" s="1"/>
      <c r="BF1015" s="1"/>
      <c r="BG1015" s="1"/>
      <c r="BH1015" s="1"/>
      <c r="BI1015" s="1"/>
      <c r="BJ1015" s="1"/>
      <c r="BK1015" s="1"/>
      <c r="BL1015" s="1"/>
      <c r="BM1015" s="2"/>
      <c r="BN1015" s="1"/>
      <c r="BO1015" s="1"/>
      <c r="BP1015" s="1"/>
      <c r="BQ1015" s="1"/>
      <c r="BR1015" s="1"/>
      <c r="BS1015" s="1"/>
      <c r="BT1015" s="1"/>
      <c r="BU1015" s="1"/>
      <c r="BV1015" s="2"/>
      <c r="BW1015" s="1"/>
      <c r="BX1015" s="1"/>
      <c r="BY1015" s="1"/>
      <c r="BZ1015" s="1"/>
      <c r="CA1015" s="1"/>
      <c r="CB1015" s="1"/>
      <c r="CC1015" s="1"/>
      <c r="CD1015" s="1"/>
      <c r="CE1015" s="2"/>
      <c r="CF1015" s="1"/>
      <c r="CG1015" s="1"/>
      <c r="CH1015" s="1"/>
      <c r="CI1015" s="1"/>
      <c r="CJ1015" s="1"/>
      <c r="CK1015" s="1"/>
      <c r="CL1015" s="1"/>
    </row>
    <row r="1016" spans="1:90" ht="14.65" x14ac:dyDescent="0.4">
      <c r="A1016" s="1"/>
      <c r="B1016" s="2"/>
      <c r="C1016" s="1"/>
      <c r="D1016" s="1"/>
      <c r="E1016" s="1"/>
      <c r="F1016" s="1"/>
      <c r="G1016" s="1"/>
      <c r="H1016" s="1"/>
      <c r="I1016" s="1"/>
      <c r="J1016" s="1"/>
      <c r="K1016" s="2"/>
      <c r="L1016" s="1"/>
      <c r="M1016" s="1"/>
      <c r="N1016" s="1"/>
      <c r="O1016" s="1"/>
      <c r="P1016" s="1"/>
      <c r="Q1016" s="1"/>
      <c r="R1016" s="1"/>
      <c r="S1016" s="1"/>
      <c r="T1016" s="2"/>
      <c r="U1016" s="1"/>
      <c r="V1016" s="1"/>
      <c r="W1016" s="1"/>
      <c r="X1016" s="1"/>
      <c r="Y1016" s="1"/>
      <c r="Z1016" s="1"/>
      <c r="AA1016" s="1"/>
      <c r="AB1016" s="1"/>
      <c r="AC1016" s="2"/>
      <c r="AD1016" s="1"/>
      <c r="AE1016" s="1"/>
      <c r="AF1016" s="1"/>
      <c r="AG1016" s="1"/>
      <c r="AH1016" s="1"/>
      <c r="AI1016" s="1"/>
      <c r="AJ1016" s="1"/>
      <c r="AK1016" s="1"/>
      <c r="AL1016" s="2"/>
      <c r="AM1016" s="1"/>
      <c r="AN1016" s="1"/>
      <c r="AO1016" s="1"/>
      <c r="AP1016" s="1"/>
      <c r="AQ1016" s="1"/>
      <c r="AR1016" s="1"/>
      <c r="AS1016" s="1"/>
      <c r="AT1016" s="1"/>
      <c r="AU1016" s="2"/>
      <c r="AV1016" s="1"/>
      <c r="AW1016" s="1"/>
      <c r="AX1016" s="1"/>
      <c r="AY1016" s="1"/>
      <c r="AZ1016" s="1"/>
      <c r="BA1016" s="1"/>
      <c r="BB1016" s="1"/>
      <c r="BC1016" s="1"/>
      <c r="BD1016" s="2"/>
      <c r="BE1016" s="1"/>
      <c r="BF1016" s="1"/>
      <c r="BG1016" s="1"/>
      <c r="BH1016" s="1"/>
      <c r="BI1016" s="1"/>
      <c r="BJ1016" s="1"/>
      <c r="BK1016" s="1"/>
      <c r="BL1016" s="1"/>
      <c r="BM1016" s="2"/>
      <c r="BN1016" s="1"/>
      <c r="BO1016" s="1"/>
      <c r="BP1016" s="1"/>
      <c r="BQ1016" s="1"/>
      <c r="BR1016" s="1"/>
      <c r="BS1016" s="1"/>
      <c r="BT1016" s="1"/>
      <c r="BU1016" s="1"/>
      <c r="BV1016" s="2"/>
      <c r="BW1016" s="1"/>
      <c r="BX1016" s="1"/>
      <c r="BY1016" s="1"/>
      <c r="BZ1016" s="1"/>
      <c r="CA1016" s="1"/>
      <c r="CB1016" s="1"/>
      <c r="CC1016" s="1"/>
      <c r="CD1016" s="1"/>
      <c r="CE1016" s="2"/>
      <c r="CF1016" s="1"/>
      <c r="CG1016" s="1"/>
      <c r="CH1016" s="1"/>
      <c r="CI1016" s="1"/>
      <c r="CJ1016" s="1"/>
      <c r="CK1016" s="1"/>
      <c r="CL1016" s="1"/>
    </row>
    <row r="1017" spans="1:90" ht="14.65" x14ac:dyDescent="0.4">
      <c r="A1017" s="1"/>
      <c r="B1017" s="2"/>
      <c r="C1017" s="1"/>
      <c r="D1017" s="1"/>
      <c r="E1017" s="1"/>
      <c r="F1017" s="1"/>
      <c r="G1017" s="1"/>
      <c r="H1017" s="1"/>
      <c r="I1017" s="1"/>
      <c r="J1017" s="1"/>
      <c r="K1017" s="2"/>
      <c r="L1017" s="1"/>
      <c r="M1017" s="1"/>
      <c r="N1017" s="1"/>
      <c r="O1017" s="1"/>
      <c r="P1017" s="1"/>
      <c r="Q1017" s="1"/>
      <c r="R1017" s="1"/>
      <c r="S1017" s="1"/>
      <c r="T1017" s="2"/>
      <c r="U1017" s="1"/>
      <c r="V1017" s="1"/>
      <c r="W1017" s="1"/>
      <c r="X1017" s="1"/>
      <c r="Y1017" s="1"/>
      <c r="Z1017" s="1"/>
      <c r="AA1017" s="1"/>
      <c r="AB1017" s="1"/>
      <c r="AC1017" s="2"/>
      <c r="AD1017" s="1"/>
      <c r="AE1017" s="1"/>
      <c r="AF1017" s="1"/>
      <c r="AG1017" s="1"/>
      <c r="AH1017" s="1"/>
      <c r="AI1017" s="1"/>
      <c r="AJ1017" s="1"/>
      <c r="AK1017" s="1"/>
      <c r="AL1017" s="2"/>
      <c r="AM1017" s="1"/>
      <c r="AN1017" s="1"/>
      <c r="AO1017" s="1"/>
      <c r="AP1017" s="1"/>
      <c r="AQ1017" s="1"/>
      <c r="AR1017" s="1"/>
      <c r="AS1017" s="1"/>
      <c r="AT1017" s="1"/>
      <c r="AU1017" s="2"/>
      <c r="AV1017" s="1"/>
      <c r="AW1017" s="1"/>
      <c r="AX1017" s="1"/>
      <c r="AY1017" s="1"/>
      <c r="AZ1017" s="1"/>
      <c r="BA1017" s="1"/>
      <c r="BB1017" s="1"/>
      <c r="BC1017" s="1"/>
      <c r="BD1017" s="2"/>
      <c r="BE1017" s="1"/>
      <c r="BF1017" s="1"/>
      <c r="BG1017" s="1"/>
      <c r="BH1017" s="1"/>
      <c r="BI1017" s="1"/>
      <c r="BJ1017" s="1"/>
      <c r="BK1017" s="1"/>
      <c r="BL1017" s="1"/>
      <c r="BM1017" s="2"/>
      <c r="BN1017" s="1"/>
      <c r="BO1017" s="1"/>
      <c r="BP1017" s="1"/>
      <c r="BQ1017" s="1"/>
      <c r="BR1017" s="1"/>
      <c r="BS1017" s="1"/>
      <c r="BT1017" s="1"/>
      <c r="BU1017" s="1"/>
      <c r="BV1017" s="2"/>
      <c r="BW1017" s="1"/>
      <c r="BX1017" s="1"/>
      <c r="BY1017" s="1"/>
      <c r="BZ1017" s="1"/>
      <c r="CA1017" s="1"/>
      <c r="CB1017" s="1"/>
      <c r="CC1017" s="1"/>
      <c r="CD1017" s="1"/>
      <c r="CE1017" s="2"/>
      <c r="CF1017" s="1"/>
      <c r="CG1017" s="1"/>
      <c r="CH1017" s="1"/>
      <c r="CI1017" s="1"/>
      <c r="CJ1017" s="1"/>
      <c r="CK1017" s="1"/>
      <c r="CL1017" s="1"/>
    </row>
    <row r="1018" spans="1:90" ht="14.65" x14ac:dyDescent="0.4">
      <c r="A1018" s="1"/>
      <c r="B1018" s="2"/>
      <c r="C1018" s="1"/>
      <c r="D1018" s="1"/>
      <c r="E1018" s="1"/>
      <c r="F1018" s="1"/>
      <c r="G1018" s="1"/>
      <c r="H1018" s="1"/>
      <c r="I1018" s="1"/>
      <c r="J1018" s="1"/>
      <c r="K1018" s="2"/>
      <c r="L1018" s="1"/>
      <c r="M1018" s="1"/>
      <c r="N1018" s="1"/>
      <c r="O1018" s="1"/>
      <c r="P1018" s="1"/>
      <c r="Q1018" s="1"/>
      <c r="R1018" s="1"/>
      <c r="S1018" s="1"/>
      <c r="T1018" s="2"/>
      <c r="U1018" s="1"/>
      <c r="V1018" s="1"/>
      <c r="W1018" s="1"/>
      <c r="X1018" s="1"/>
      <c r="Y1018" s="1"/>
      <c r="Z1018" s="1"/>
      <c r="AA1018" s="1"/>
      <c r="AB1018" s="1"/>
      <c r="AC1018" s="2"/>
      <c r="AD1018" s="1"/>
      <c r="AE1018" s="1"/>
      <c r="AF1018" s="1"/>
      <c r="AG1018" s="1"/>
      <c r="AH1018" s="1"/>
      <c r="AI1018" s="1"/>
      <c r="AJ1018" s="1"/>
      <c r="AK1018" s="1"/>
      <c r="AL1018" s="2"/>
      <c r="AM1018" s="1"/>
      <c r="AN1018" s="1"/>
      <c r="AO1018" s="1"/>
      <c r="AP1018" s="1"/>
      <c r="AQ1018" s="1"/>
      <c r="AR1018" s="1"/>
      <c r="AS1018" s="1"/>
      <c r="AT1018" s="1"/>
      <c r="AU1018" s="2"/>
      <c r="AV1018" s="1"/>
      <c r="AW1018" s="1"/>
      <c r="AX1018" s="1"/>
      <c r="AY1018" s="1"/>
      <c r="AZ1018" s="1"/>
      <c r="BA1018" s="1"/>
      <c r="BB1018" s="1"/>
      <c r="BC1018" s="1"/>
      <c r="BD1018" s="2"/>
      <c r="BE1018" s="1"/>
      <c r="BF1018" s="1"/>
      <c r="BG1018" s="1"/>
      <c r="BH1018" s="1"/>
      <c r="BI1018" s="1"/>
      <c r="BJ1018" s="1"/>
      <c r="BK1018" s="1"/>
      <c r="BL1018" s="1"/>
      <c r="BM1018" s="2"/>
      <c r="BN1018" s="1"/>
      <c r="BO1018" s="1"/>
      <c r="BP1018" s="1"/>
      <c r="BQ1018" s="1"/>
      <c r="BR1018" s="1"/>
      <c r="BS1018" s="1"/>
      <c r="BT1018" s="1"/>
      <c r="BU1018" s="1"/>
      <c r="BV1018" s="2"/>
      <c r="BW1018" s="1"/>
      <c r="BX1018" s="1"/>
      <c r="BY1018" s="1"/>
      <c r="BZ1018" s="1"/>
      <c r="CA1018" s="1"/>
      <c r="CB1018" s="1"/>
      <c r="CC1018" s="1"/>
      <c r="CD1018" s="1"/>
      <c r="CE1018" s="2"/>
      <c r="CF1018" s="1"/>
      <c r="CG1018" s="1"/>
      <c r="CH1018" s="1"/>
      <c r="CI1018" s="1"/>
      <c r="CJ1018" s="1"/>
      <c r="CK1018" s="1"/>
      <c r="CL1018" s="1"/>
    </row>
    <row r="1019" spans="1:90" ht="14.65" x14ac:dyDescent="0.4">
      <c r="A1019" s="1"/>
      <c r="B1019" s="2"/>
      <c r="C1019" s="1"/>
      <c r="D1019" s="1"/>
      <c r="E1019" s="1"/>
      <c r="F1019" s="1"/>
      <c r="G1019" s="1"/>
      <c r="H1019" s="1"/>
      <c r="I1019" s="1"/>
      <c r="J1019" s="1"/>
      <c r="K1019" s="2"/>
      <c r="L1019" s="1"/>
      <c r="M1019" s="1"/>
      <c r="N1019" s="1"/>
      <c r="O1019" s="1"/>
      <c r="P1019" s="1"/>
      <c r="Q1019" s="1"/>
      <c r="R1019" s="1"/>
      <c r="S1019" s="1"/>
      <c r="T1019" s="2"/>
      <c r="U1019" s="1"/>
      <c r="V1019" s="1"/>
      <c r="W1019" s="1"/>
      <c r="X1019" s="1"/>
      <c r="Y1019" s="1"/>
      <c r="Z1019" s="1"/>
      <c r="AA1019" s="1"/>
      <c r="AB1019" s="1"/>
      <c r="AC1019" s="2"/>
      <c r="AD1019" s="1"/>
      <c r="AE1019" s="1"/>
      <c r="AF1019" s="1"/>
      <c r="AG1019" s="1"/>
      <c r="AH1019" s="1"/>
      <c r="AI1019" s="1"/>
      <c r="AJ1019" s="1"/>
      <c r="AK1019" s="1"/>
      <c r="AL1019" s="2"/>
      <c r="AM1019" s="1"/>
      <c r="AN1019" s="1"/>
      <c r="AO1019" s="1"/>
      <c r="AP1019" s="1"/>
      <c r="AQ1019" s="1"/>
      <c r="AR1019" s="1"/>
      <c r="AS1019" s="1"/>
      <c r="AT1019" s="1"/>
      <c r="AU1019" s="2"/>
      <c r="AV1019" s="1"/>
      <c r="AW1019" s="1"/>
      <c r="AX1019" s="1"/>
      <c r="AY1019" s="1"/>
      <c r="AZ1019" s="1"/>
      <c r="BA1019" s="1"/>
      <c r="BB1019" s="1"/>
      <c r="BC1019" s="1"/>
      <c r="BD1019" s="2"/>
      <c r="BE1019" s="1"/>
      <c r="BF1019" s="1"/>
      <c r="BG1019" s="1"/>
      <c r="BH1019" s="1"/>
      <c r="BI1019" s="1"/>
      <c r="BJ1019" s="1"/>
      <c r="BK1019" s="1"/>
      <c r="BL1019" s="1"/>
      <c r="BM1019" s="2"/>
      <c r="BN1019" s="1"/>
      <c r="BO1019" s="1"/>
      <c r="BP1019" s="1"/>
      <c r="BQ1019" s="1"/>
      <c r="BR1019" s="1"/>
      <c r="BS1019" s="1"/>
      <c r="BT1019" s="1"/>
      <c r="BU1019" s="1"/>
      <c r="BV1019" s="2"/>
      <c r="BW1019" s="1"/>
      <c r="BX1019" s="1"/>
      <c r="BY1019" s="1"/>
      <c r="BZ1019" s="1"/>
      <c r="CA1019" s="1"/>
      <c r="CB1019" s="1"/>
      <c r="CC1019" s="1"/>
      <c r="CD1019" s="1"/>
      <c r="CE1019" s="2"/>
      <c r="CF1019" s="1"/>
      <c r="CG1019" s="1"/>
      <c r="CH1019" s="1"/>
      <c r="CI1019" s="1"/>
      <c r="CJ1019" s="1"/>
      <c r="CK1019" s="1"/>
      <c r="CL1019" s="1"/>
    </row>
    <row r="1020" spans="1:90" ht="14.65" x14ac:dyDescent="0.4">
      <c r="A1020" s="1"/>
      <c r="B1020" s="2"/>
      <c r="C1020" s="1"/>
      <c r="D1020" s="1"/>
      <c r="E1020" s="1"/>
      <c r="F1020" s="1"/>
      <c r="G1020" s="1"/>
      <c r="H1020" s="1"/>
      <c r="I1020" s="1"/>
      <c r="J1020" s="1"/>
      <c r="K1020" s="2"/>
      <c r="L1020" s="1"/>
      <c r="M1020" s="1"/>
      <c r="N1020" s="1"/>
      <c r="O1020" s="1"/>
      <c r="P1020" s="1"/>
      <c r="Q1020" s="1"/>
      <c r="R1020" s="1"/>
      <c r="S1020" s="1"/>
      <c r="T1020" s="2"/>
      <c r="U1020" s="1"/>
      <c r="V1020" s="1"/>
      <c r="W1020" s="1"/>
      <c r="X1020" s="1"/>
      <c r="Y1020" s="1"/>
      <c r="Z1020" s="1"/>
      <c r="AA1020" s="1"/>
      <c r="AB1020" s="1"/>
      <c r="AC1020" s="2"/>
      <c r="AD1020" s="1"/>
      <c r="AE1020" s="1"/>
      <c r="AF1020" s="1"/>
      <c r="AG1020" s="1"/>
      <c r="AH1020" s="1"/>
      <c r="AI1020" s="1"/>
      <c r="AJ1020" s="1"/>
      <c r="AK1020" s="1"/>
      <c r="AL1020" s="2"/>
      <c r="AM1020" s="1"/>
      <c r="AN1020" s="1"/>
      <c r="AO1020" s="1"/>
      <c r="AP1020" s="1"/>
      <c r="AQ1020" s="1"/>
      <c r="AR1020" s="1"/>
      <c r="AS1020" s="1"/>
      <c r="AT1020" s="1"/>
      <c r="AU1020" s="2"/>
      <c r="AV1020" s="1"/>
      <c r="AW1020" s="1"/>
      <c r="AX1020" s="1"/>
      <c r="AY1020" s="1"/>
      <c r="AZ1020" s="1"/>
      <c r="BA1020" s="1"/>
      <c r="BB1020" s="1"/>
      <c r="BC1020" s="1"/>
      <c r="BD1020" s="2"/>
      <c r="BE1020" s="1"/>
      <c r="BF1020" s="1"/>
      <c r="BG1020" s="1"/>
      <c r="BH1020" s="1"/>
      <c r="BI1020" s="1"/>
      <c r="BJ1020" s="1"/>
      <c r="BK1020" s="1"/>
      <c r="BL1020" s="1"/>
      <c r="BM1020" s="2"/>
      <c r="BN1020" s="1"/>
      <c r="BO1020" s="1"/>
      <c r="BP1020" s="1"/>
      <c r="BQ1020" s="1"/>
      <c r="BR1020" s="1"/>
      <c r="BS1020" s="1"/>
      <c r="BT1020" s="1"/>
      <c r="BU1020" s="1"/>
      <c r="BV1020" s="2"/>
      <c r="BW1020" s="1"/>
      <c r="BX1020" s="1"/>
      <c r="BY1020" s="1"/>
      <c r="BZ1020" s="1"/>
      <c r="CA1020" s="1"/>
      <c r="CB1020" s="1"/>
      <c r="CC1020" s="1"/>
      <c r="CD1020" s="1"/>
      <c r="CE1020" s="2"/>
      <c r="CF1020" s="1"/>
      <c r="CG1020" s="1"/>
      <c r="CH1020" s="1"/>
      <c r="CI1020" s="1"/>
      <c r="CJ1020" s="1"/>
      <c r="CK1020" s="1"/>
      <c r="CL1020" s="1"/>
    </row>
    <row r="1021" spans="1:90" ht="14.65" x14ac:dyDescent="0.4">
      <c r="A1021" s="1"/>
      <c r="B1021" s="2"/>
      <c r="C1021" s="1"/>
      <c r="D1021" s="1"/>
      <c r="E1021" s="1"/>
      <c r="F1021" s="1"/>
      <c r="G1021" s="1"/>
      <c r="H1021" s="1"/>
      <c r="I1021" s="1"/>
      <c r="J1021" s="1"/>
      <c r="K1021" s="2"/>
      <c r="L1021" s="1"/>
      <c r="M1021" s="1"/>
      <c r="N1021" s="1"/>
      <c r="O1021" s="1"/>
      <c r="P1021" s="1"/>
      <c r="Q1021" s="1"/>
      <c r="R1021" s="1"/>
      <c r="S1021" s="1"/>
      <c r="T1021" s="2"/>
      <c r="U1021" s="1"/>
      <c r="V1021" s="1"/>
      <c r="W1021" s="1"/>
      <c r="X1021" s="1"/>
      <c r="Y1021" s="1"/>
      <c r="Z1021" s="1"/>
      <c r="AA1021" s="1"/>
      <c r="AB1021" s="1"/>
      <c r="AC1021" s="2"/>
      <c r="AD1021" s="1"/>
      <c r="AE1021" s="1"/>
      <c r="AF1021" s="1"/>
      <c r="AG1021" s="1"/>
      <c r="AH1021" s="1"/>
      <c r="AI1021" s="1"/>
      <c r="AJ1021" s="1"/>
      <c r="AK1021" s="1"/>
      <c r="AL1021" s="2"/>
      <c r="AM1021" s="1"/>
      <c r="AN1021" s="1"/>
      <c r="AO1021" s="1"/>
      <c r="AP1021" s="1"/>
      <c r="AQ1021" s="1"/>
      <c r="AR1021" s="1"/>
      <c r="AS1021" s="1"/>
      <c r="AT1021" s="1"/>
      <c r="AU1021" s="2"/>
      <c r="AV1021" s="1"/>
      <c r="AW1021" s="1"/>
      <c r="AX1021" s="1"/>
      <c r="AY1021" s="1"/>
      <c r="AZ1021" s="1"/>
      <c r="BA1021" s="1"/>
      <c r="BB1021" s="1"/>
      <c r="BC1021" s="1"/>
      <c r="BD1021" s="2"/>
      <c r="BE1021" s="1"/>
      <c r="BF1021" s="1"/>
      <c r="BG1021" s="1"/>
      <c r="BH1021" s="1"/>
      <c r="BI1021" s="1"/>
      <c r="BJ1021" s="1"/>
      <c r="BK1021" s="1"/>
      <c r="BL1021" s="1"/>
      <c r="BM1021" s="2"/>
      <c r="BN1021" s="1"/>
      <c r="BO1021" s="1"/>
      <c r="BP1021" s="1"/>
      <c r="BQ1021" s="1"/>
      <c r="BR1021" s="1"/>
      <c r="BS1021" s="1"/>
      <c r="BT1021" s="1"/>
      <c r="BU1021" s="1"/>
      <c r="BV1021" s="2"/>
      <c r="BW1021" s="1"/>
      <c r="BX1021" s="1"/>
      <c r="BY1021" s="1"/>
      <c r="BZ1021" s="1"/>
      <c r="CA1021" s="1"/>
      <c r="CB1021" s="1"/>
      <c r="CC1021" s="1"/>
      <c r="CD1021" s="1"/>
      <c r="CE1021" s="2"/>
      <c r="CF1021" s="1"/>
      <c r="CG1021" s="1"/>
      <c r="CH1021" s="1"/>
      <c r="CI1021" s="1"/>
      <c r="CJ1021" s="1"/>
      <c r="CK1021" s="1"/>
      <c r="CL1021" s="1"/>
    </row>
    <row r="1022" spans="1:90" ht="14.65" x14ac:dyDescent="0.4">
      <c r="A1022" s="1"/>
      <c r="B1022" s="2"/>
      <c r="C1022" s="1"/>
      <c r="D1022" s="1"/>
      <c r="E1022" s="1"/>
      <c r="F1022" s="1"/>
      <c r="G1022" s="1"/>
      <c r="H1022" s="1"/>
      <c r="I1022" s="1"/>
      <c r="J1022" s="1"/>
      <c r="K1022" s="2"/>
      <c r="L1022" s="1"/>
      <c r="M1022" s="1"/>
      <c r="N1022" s="1"/>
      <c r="O1022" s="1"/>
      <c r="P1022" s="1"/>
      <c r="Q1022" s="1"/>
      <c r="R1022" s="1"/>
      <c r="S1022" s="1"/>
      <c r="T1022" s="2"/>
      <c r="U1022" s="1"/>
      <c r="V1022" s="1"/>
      <c r="W1022" s="1"/>
      <c r="X1022" s="1"/>
      <c r="Y1022" s="1"/>
      <c r="Z1022" s="1"/>
      <c r="AA1022" s="1"/>
      <c r="AB1022" s="1"/>
      <c r="AC1022" s="2"/>
      <c r="AD1022" s="1"/>
      <c r="AE1022" s="1"/>
      <c r="AF1022" s="1"/>
      <c r="AG1022" s="1"/>
      <c r="AH1022" s="1"/>
      <c r="AI1022" s="1"/>
      <c r="AJ1022" s="1"/>
      <c r="AK1022" s="1"/>
      <c r="AL1022" s="2"/>
      <c r="AM1022" s="1"/>
      <c r="AN1022" s="1"/>
      <c r="AO1022" s="1"/>
      <c r="AP1022" s="1"/>
      <c r="AQ1022" s="1"/>
      <c r="AR1022" s="1"/>
      <c r="AS1022" s="1"/>
      <c r="AT1022" s="1"/>
      <c r="AU1022" s="2"/>
      <c r="AV1022" s="1"/>
      <c r="AW1022" s="1"/>
      <c r="AX1022" s="1"/>
      <c r="AY1022" s="1"/>
      <c r="AZ1022" s="1"/>
      <c r="BA1022" s="1"/>
      <c r="BB1022" s="1"/>
      <c r="BC1022" s="1"/>
      <c r="BD1022" s="2"/>
      <c r="BE1022" s="1"/>
      <c r="BF1022" s="1"/>
      <c r="BG1022" s="1"/>
      <c r="BH1022" s="1"/>
      <c r="BI1022" s="1"/>
      <c r="BJ1022" s="1"/>
      <c r="BK1022" s="1"/>
      <c r="BL1022" s="1"/>
      <c r="BM1022" s="2"/>
      <c r="BN1022" s="1"/>
      <c r="BO1022" s="1"/>
      <c r="BP1022" s="1"/>
      <c r="BQ1022" s="1"/>
      <c r="BR1022" s="1"/>
      <c r="BS1022" s="1"/>
      <c r="BT1022" s="1"/>
      <c r="BU1022" s="1"/>
      <c r="BV1022" s="2"/>
      <c r="BW1022" s="1"/>
      <c r="BX1022" s="1"/>
      <c r="BY1022" s="1"/>
      <c r="BZ1022" s="1"/>
      <c r="CA1022" s="1"/>
      <c r="CB1022" s="1"/>
      <c r="CC1022" s="1"/>
      <c r="CD1022" s="1"/>
      <c r="CE1022" s="2"/>
      <c r="CF1022" s="1"/>
      <c r="CG1022" s="1"/>
      <c r="CH1022" s="1"/>
      <c r="CI1022" s="1"/>
      <c r="CJ1022" s="1"/>
      <c r="CK1022" s="1"/>
      <c r="CL1022" s="1"/>
    </row>
    <row r="1023" spans="1:90" ht="14.65" x14ac:dyDescent="0.4">
      <c r="A1023" s="1"/>
      <c r="B1023" s="2"/>
      <c r="C1023" s="1"/>
      <c r="D1023" s="1"/>
      <c r="E1023" s="1"/>
      <c r="F1023" s="1"/>
      <c r="G1023" s="1"/>
      <c r="H1023" s="1"/>
      <c r="I1023" s="1"/>
      <c r="J1023" s="1"/>
      <c r="K1023" s="2"/>
      <c r="L1023" s="1"/>
      <c r="M1023" s="1"/>
      <c r="N1023" s="1"/>
      <c r="O1023" s="1"/>
      <c r="P1023" s="1"/>
      <c r="Q1023" s="1"/>
      <c r="R1023" s="1"/>
      <c r="S1023" s="1"/>
      <c r="T1023" s="2"/>
      <c r="U1023" s="1"/>
      <c r="V1023" s="1"/>
      <c r="W1023" s="1"/>
      <c r="X1023" s="1"/>
      <c r="Y1023" s="1"/>
      <c r="Z1023" s="1"/>
      <c r="AA1023" s="1"/>
      <c r="AB1023" s="1"/>
      <c r="AC1023" s="2"/>
      <c r="AD1023" s="1"/>
      <c r="AE1023" s="1"/>
      <c r="AF1023" s="1"/>
      <c r="AG1023" s="1"/>
      <c r="AH1023" s="1"/>
      <c r="AI1023" s="1"/>
      <c r="AJ1023" s="1"/>
      <c r="AK1023" s="1"/>
      <c r="AL1023" s="2"/>
      <c r="AM1023" s="1"/>
      <c r="AN1023" s="1"/>
      <c r="AO1023" s="1"/>
      <c r="AP1023" s="1"/>
      <c r="AQ1023" s="1"/>
      <c r="AR1023" s="1"/>
      <c r="AS1023" s="1"/>
      <c r="AT1023" s="1"/>
      <c r="AU1023" s="2"/>
      <c r="AV1023" s="1"/>
      <c r="AW1023" s="1"/>
      <c r="AX1023" s="1"/>
      <c r="AY1023" s="1"/>
      <c r="AZ1023" s="1"/>
      <c r="BA1023" s="1"/>
      <c r="BB1023" s="1"/>
      <c r="BC1023" s="1"/>
      <c r="BD1023" s="2"/>
      <c r="BE1023" s="1"/>
      <c r="BF1023" s="1"/>
      <c r="BG1023" s="1"/>
      <c r="BH1023" s="1"/>
      <c r="BI1023" s="1"/>
      <c r="BJ1023" s="1"/>
      <c r="BK1023" s="1"/>
      <c r="BL1023" s="1"/>
      <c r="BM1023" s="2"/>
      <c r="BN1023" s="1"/>
      <c r="BO1023" s="1"/>
      <c r="BP1023" s="1"/>
      <c r="BQ1023" s="1"/>
      <c r="BR1023" s="1"/>
      <c r="BS1023" s="1"/>
      <c r="BT1023" s="1"/>
      <c r="BU1023" s="1"/>
      <c r="BV1023" s="2"/>
      <c r="BW1023" s="1"/>
      <c r="BX1023" s="1"/>
      <c r="BY1023" s="1"/>
      <c r="BZ1023" s="1"/>
      <c r="CA1023" s="1"/>
      <c r="CB1023" s="1"/>
      <c r="CC1023" s="1"/>
      <c r="CD1023" s="1"/>
      <c r="CE1023" s="2"/>
      <c r="CF1023" s="1"/>
      <c r="CG1023" s="1"/>
      <c r="CH1023" s="1"/>
      <c r="CI1023" s="1"/>
      <c r="CJ1023" s="1"/>
      <c r="CK1023" s="1"/>
      <c r="CL1023" s="1"/>
    </row>
    <row r="1024" spans="1:90" ht="14.65" x14ac:dyDescent="0.4">
      <c r="A1024" s="1"/>
      <c r="B1024" s="2"/>
      <c r="C1024" s="1"/>
      <c r="D1024" s="1"/>
      <c r="E1024" s="1"/>
      <c r="F1024" s="1"/>
      <c r="G1024" s="1"/>
      <c r="H1024" s="1"/>
      <c r="I1024" s="1"/>
      <c r="J1024" s="1"/>
      <c r="K1024" s="2"/>
      <c r="L1024" s="1"/>
      <c r="M1024" s="1"/>
      <c r="N1024" s="1"/>
      <c r="O1024" s="1"/>
      <c r="P1024" s="1"/>
      <c r="Q1024" s="1"/>
      <c r="R1024" s="1"/>
      <c r="S1024" s="1"/>
      <c r="T1024" s="2"/>
      <c r="U1024" s="1"/>
      <c r="V1024" s="1"/>
      <c r="W1024" s="1"/>
      <c r="X1024" s="1"/>
      <c r="Y1024" s="1"/>
      <c r="Z1024" s="1"/>
      <c r="AA1024" s="1"/>
      <c r="AB1024" s="1"/>
      <c r="AC1024" s="2"/>
      <c r="AD1024" s="1"/>
      <c r="AE1024" s="1"/>
      <c r="AF1024" s="1"/>
      <c r="AG1024" s="1"/>
      <c r="AH1024" s="1"/>
      <c r="AI1024" s="1"/>
      <c r="AJ1024" s="1"/>
      <c r="AK1024" s="1"/>
      <c r="AL1024" s="2"/>
      <c r="AM1024" s="1"/>
      <c r="AN1024" s="1"/>
      <c r="AO1024" s="1"/>
      <c r="AP1024" s="1"/>
      <c r="AQ1024" s="1"/>
      <c r="AR1024" s="1"/>
      <c r="AS1024" s="1"/>
      <c r="AT1024" s="1"/>
      <c r="AU1024" s="2"/>
      <c r="AV1024" s="1"/>
      <c r="AW1024" s="1"/>
      <c r="AX1024" s="1"/>
      <c r="AY1024" s="1"/>
      <c r="AZ1024" s="1"/>
      <c r="BA1024" s="1"/>
      <c r="BB1024" s="1"/>
      <c r="BC1024" s="1"/>
      <c r="BD1024" s="2"/>
      <c r="BE1024" s="1"/>
      <c r="BF1024" s="1"/>
      <c r="BG1024" s="1"/>
      <c r="BH1024" s="1"/>
      <c r="BI1024" s="1"/>
      <c r="BJ1024" s="1"/>
      <c r="BK1024" s="1"/>
      <c r="BL1024" s="1"/>
      <c r="BM1024" s="2"/>
      <c r="BN1024" s="1"/>
      <c r="BO1024" s="1"/>
      <c r="BP1024" s="1"/>
      <c r="BQ1024" s="1"/>
      <c r="BR1024" s="1"/>
      <c r="BS1024" s="1"/>
      <c r="BT1024" s="1"/>
      <c r="BU1024" s="1"/>
      <c r="BV1024" s="2"/>
      <c r="BW1024" s="1"/>
      <c r="BX1024" s="1"/>
      <c r="BY1024" s="1"/>
      <c r="BZ1024" s="1"/>
      <c r="CA1024" s="1"/>
      <c r="CB1024" s="1"/>
      <c r="CC1024" s="1"/>
      <c r="CD1024" s="1"/>
      <c r="CE1024" s="2"/>
      <c r="CF1024" s="1"/>
      <c r="CG1024" s="1"/>
      <c r="CH1024" s="1"/>
      <c r="CI1024" s="1"/>
      <c r="CJ1024" s="1"/>
      <c r="CK1024" s="1"/>
      <c r="CL1024" s="1"/>
    </row>
    <row r="1025" spans="1:90" ht="14.65" x14ac:dyDescent="0.4">
      <c r="A1025" s="1"/>
      <c r="B1025" s="2"/>
      <c r="C1025" s="1"/>
      <c r="D1025" s="1"/>
      <c r="E1025" s="1"/>
      <c r="F1025" s="1"/>
      <c r="G1025" s="1"/>
      <c r="H1025" s="1"/>
      <c r="I1025" s="1"/>
      <c r="J1025" s="1"/>
      <c r="K1025" s="2"/>
      <c r="L1025" s="1"/>
      <c r="M1025" s="1"/>
      <c r="N1025" s="1"/>
      <c r="O1025" s="1"/>
      <c r="P1025" s="1"/>
      <c r="Q1025" s="1"/>
      <c r="R1025" s="1"/>
      <c r="S1025" s="1"/>
      <c r="T1025" s="2"/>
      <c r="U1025" s="1"/>
      <c r="V1025" s="1"/>
      <c r="W1025" s="1"/>
      <c r="X1025" s="1"/>
      <c r="Y1025" s="1"/>
      <c r="Z1025" s="1"/>
      <c r="AA1025" s="1"/>
      <c r="AB1025" s="1"/>
      <c r="AC1025" s="2"/>
      <c r="AD1025" s="1"/>
      <c r="AE1025" s="1"/>
      <c r="AF1025" s="1"/>
      <c r="AG1025" s="1"/>
      <c r="AH1025" s="1"/>
      <c r="AI1025" s="1"/>
      <c r="AJ1025" s="1"/>
      <c r="AK1025" s="1"/>
      <c r="AL1025" s="2"/>
      <c r="AM1025" s="1"/>
      <c r="AN1025" s="1"/>
      <c r="AO1025" s="1"/>
      <c r="AP1025" s="1"/>
      <c r="AQ1025" s="1"/>
      <c r="AR1025" s="1"/>
      <c r="AS1025" s="1"/>
      <c r="AT1025" s="1"/>
      <c r="AU1025" s="2"/>
      <c r="AV1025" s="1"/>
      <c r="AW1025" s="1"/>
      <c r="AX1025" s="1"/>
      <c r="AY1025" s="1"/>
      <c r="AZ1025" s="1"/>
      <c r="BA1025" s="1"/>
      <c r="BB1025" s="1"/>
      <c r="BC1025" s="1"/>
      <c r="BD1025" s="2"/>
      <c r="BE1025" s="1"/>
      <c r="BF1025" s="1"/>
      <c r="BG1025" s="1"/>
      <c r="BH1025" s="1"/>
      <c r="BI1025" s="1"/>
      <c r="BJ1025" s="1"/>
      <c r="BK1025" s="1"/>
      <c r="BL1025" s="1"/>
      <c r="BM1025" s="2"/>
      <c r="BN1025" s="1"/>
      <c r="BO1025" s="1"/>
      <c r="BP1025" s="1"/>
      <c r="BQ1025" s="1"/>
      <c r="BR1025" s="1"/>
      <c r="BS1025" s="1"/>
      <c r="BT1025" s="1"/>
      <c r="BU1025" s="1"/>
      <c r="BV1025" s="2"/>
      <c r="BW1025" s="1"/>
      <c r="BX1025" s="1"/>
      <c r="BY1025" s="1"/>
      <c r="BZ1025" s="1"/>
      <c r="CA1025" s="1"/>
      <c r="CB1025" s="1"/>
      <c r="CC1025" s="1"/>
      <c r="CD1025" s="1"/>
      <c r="CE1025" s="2"/>
      <c r="CF1025" s="1"/>
      <c r="CG1025" s="1"/>
      <c r="CH1025" s="1"/>
      <c r="CI1025" s="1"/>
      <c r="CJ1025" s="1"/>
      <c r="CK1025" s="1"/>
      <c r="CL1025" s="1"/>
    </row>
    <row r="1026" spans="1:90" ht="14.65" x14ac:dyDescent="0.4">
      <c r="A1026" s="1"/>
      <c r="B1026" s="2"/>
      <c r="C1026" s="1"/>
      <c r="D1026" s="1"/>
      <c r="E1026" s="1"/>
      <c r="F1026" s="1"/>
      <c r="G1026" s="1"/>
      <c r="H1026" s="1"/>
      <c r="I1026" s="1"/>
      <c r="J1026" s="1"/>
      <c r="K1026" s="2"/>
      <c r="L1026" s="1"/>
      <c r="M1026" s="1"/>
      <c r="N1026" s="1"/>
      <c r="O1026" s="1"/>
      <c r="P1026" s="1"/>
      <c r="Q1026" s="1"/>
      <c r="R1026" s="1"/>
      <c r="S1026" s="1"/>
      <c r="T1026" s="2"/>
      <c r="U1026" s="1"/>
      <c r="V1026" s="1"/>
      <c r="W1026" s="1"/>
      <c r="X1026" s="1"/>
      <c r="Y1026" s="1"/>
      <c r="Z1026" s="1"/>
      <c r="AA1026" s="1"/>
      <c r="AB1026" s="1"/>
      <c r="AC1026" s="2"/>
      <c r="AD1026" s="1"/>
      <c r="AE1026" s="1"/>
      <c r="AF1026" s="1"/>
      <c r="AG1026" s="1"/>
      <c r="AH1026" s="1"/>
      <c r="AI1026" s="1"/>
      <c r="AJ1026" s="1"/>
      <c r="AK1026" s="1"/>
      <c r="AL1026" s="2"/>
      <c r="AM1026" s="1"/>
      <c r="AN1026" s="1"/>
      <c r="AO1026" s="1"/>
      <c r="AP1026" s="1"/>
      <c r="AQ1026" s="1"/>
      <c r="AR1026" s="1"/>
      <c r="AS1026" s="1"/>
      <c r="AT1026" s="1"/>
      <c r="AU1026" s="2"/>
      <c r="AV1026" s="1"/>
      <c r="AW1026" s="1"/>
      <c r="AX1026" s="1"/>
      <c r="AY1026" s="1"/>
      <c r="AZ1026" s="1"/>
      <c r="BA1026" s="1"/>
      <c r="BB1026" s="1"/>
      <c r="BC1026" s="1"/>
      <c r="BD1026" s="2"/>
      <c r="BE1026" s="1"/>
      <c r="BF1026" s="1"/>
      <c r="BG1026" s="1"/>
      <c r="BH1026" s="1"/>
      <c r="BI1026" s="1"/>
      <c r="BJ1026" s="1"/>
      <c r="BK1026" s="1"/>
      <c r="BL1026" s="1"/>
      <c r="BM1026" s="2"/>
      <c r="BN1026" s="1"/>
      <c r="BO1026" s="1"/>
      <c r="BP1026" s="1"/>
      <c r="BQ1026" s="1"/>
      <c r="BR1026" s="1"/>
      <c r="BS1026" s="1"/>
      <c r="BT1026" s="1"/>
      <c r="BU1026" s="1"/>
      <c r="BV1026" s="2"/>
      <c r="BW1026" s="1"/>
      <c r="BX1026" s="1"/>
      <c r="BY1026" s="1"/>
      <c r="BZ1026" s="1"/>
      <c r="CA1026" s="1"/>
      <c r="CB1026" s="1"/>
      <c r="CC1026" s="1"/>
      <c r="CD1026" s="1"/>
      <c r="CE1026" s="2"/>
      <c r="CF1026" s="1"/>
      <c r="CG1026" s="1"/>
      <c r="CH1026" s="1"/>
      <c r="CI1026" s="1"/>
      <c r="CJ1026" s="1"/>
      <c r="CK1026" s="1"/>
      <c r="CL1026" s="1"/>
    </row>
    <row r="1027" spans="1:90" ht="14.65" x14ac:dyDescent="0.4">
      <c r="A1027" s="1"/>
      <c r="B1027" s="2"/>
      <c r="C1027" s="1"/>
      <c r="D1027" s="1"/>
      <c r="E1027" s="1"/>
      <c r="F1027" s="1"/>
      <c r="G1027" s="1"/>
      <c r="H1027" s="1"/>
      <c r="I1027" s="1"/>
      <c r="J1027" s="1"/>
      <c r="K1027" s="2"/>
      <c r="L1027" s="1"/>
      <c r="M1027" s="1"/>
      <c r="N1027" s="1"/>
      <c r="O1027" s="1"/>
      <c r="P1027" s="1"/>
      <c r="Q1027" s="1"/>
      <c r="R1027" s="1"/>
      <c r="S1027" s="1"/>
      <c r="T1027" s="2"/>
      <c r="U1027" s="1"/>
      <c r="V1027" s="1"/>
      <c r="W1027" s="1"/>
      <c r="X1027" s="1"/>
      <c r="Y1027" s="1"/>
      <c r="Z1027" s="1"/>
      <c r="AA1027" s="1"/>
      <c r="AB1027" s="1"/>
      <c r="AC1027" s="2"/>
      <c r="AD1027" s="1"/>
      <c r="AE1027" s="1"/>
      <c r="AF1027" s="1"/>
      <c r="AG1027" s="1"/>
      <c r="AH1027" s="1"/>
      <c r="AI1027" s="1"/>
      <c r="AJ1027" s="1"/>
      <c r="AK1027" s="1"/>
      <c r="AL1027" s="2"/>
      <c r="AM1027" s="1"/>
      <c r="AN1027" s="1"/>
      <c r="AO1027" s="1"/>
      <c r="AP1027" s="1"/>
      <c r="AQ1027" s="1"/>
      <c r="AR1027" s="1"/>
      <c r="AS1027" s="1"/>
      <c r="AT1027" s="1"/>
      <c r="AU1027" s="2"/>
      <c r="AV1027" s="1"/>
      <c r="AW1027" s="1"/>
      <c r="AX1027" s="1"/>
      <c r="AY1027" s="1"/>
      <c r="AZ1027" s="1"/>
      <c r="BA1027" s="1"/>
      <c r="BB1027" s="1"/>
      <c r="BC1027" s="1"/>
      <c r="BD1027" s="2"/>
      <c r="BE1027" s="1"/>
      <c r="BF1027" s="1"/>
      <c r="BG1027" s="1"/>
      <c r="BH1027" s="1"/>
      <c r="BI1027" s="1"/>
      <c r="BJ1027" s="1"/>
      <c r="BK1027" s="1"/>
      <c r="BL1027" s="1"/>
      <c r="BM1027" s="2"/>
      <c r="BN1027" s="1"/>
      <c r="BO1027" s="1"/>
      <c r="BP1027" s="1"/>
      <c r="BQ1027" s="1"/>
      <c r="BR1027" s="1"/>
      <c r="BS1027" s="1"/>
      <c r="BT1027" s="1"/>
      <c r="BU1027" s="1"/>
      <c r="BV1027" s="2"/>
      <c r="BW1027" s="1"/>
      <c r="BX1027" s="1"/>
      <c r="BY1027" s="1"/>
      <c r="BZ1027" s="1"/>
      <c r="CA1027" s="1"/>
      <c r="CB1027" s="1"/>
      <c r="CC1027" s="1"/>
      <c r="CD1027" s="1"/>
      <c r="CE1027" s="2"/>
      <c r="CF1027" s="1"/>
      <c r="CG1027" s="1"/>
      <c r="CH1027" s="1"/>
      <c r="CI1027" s="1"/>
      <c r="CJ1027" s="1"/>
      <c r="CK1027" s="1"/>
      <c r="CL1027" s="1"/>
    </row>
    <row r="1028" spans="1:90" ht="14.65" x14ac:dyDescent="0.4">
      <c r="A1028" s="1"/>
      <c r="B1028" s="2"/>
      <c r="C1028" s="1"/>
      <c r="D1028" s="1"/>
      <c r="E1028" s="1"/>
      <c r="F1028" s="1"/>
      <c r="G1028" s="1"/>
      <c r="H1028" s="1"/>
      <c r="I1028" s="1"/>
      <c r="J1028" s="1"/>
      <c r="K1028" s="2"/>
      <c r="L1028" s="1"/>
      <c r="M1028" s="1"/>
      <c r="N1028" s="1"/>
      <c r="O1028" s="1"/>
      <c r="P1028" s="1"/>
      <c r="Q1028" s="1"/>
      <c r="R1028" s="1"/>
      <c r="S1028" s="1"/>
      <c r="T1028" s="2"/>
      <c r="U1028" s="1"/>
      <c r="V1028" s="1"/>
      <c r="W1028" s="1"/>
      <c r="X1028" s="1"/>
      <c r="Y1028" s="1"/>
      <c r="Z1028" s="1"/>
      <c r="AA1028" s="1"/>
      <c r="AB1028" s="1"/>
      <c r="AC1028" s="2"/>
      <c r="AD1028" s="1"/>
      <c r="AE1028" s="1"/>
      <c r="AF1028" s="1"/>
      <c r="AG1028" s="1"/>
      <c r="AH1028" s="1"/>
      <c r="AI1028" s="1"/>
      <c r="AJ1028" s="1"/>
      <c r="AK1028" s="1"/>
      <c r="AL1028" s="2"/>
      <c r="AM1028" s="1"/>
      <c r="AN1028" s="1"/>
      <c r="AO1028" s="1"/>
      <c r="AP1028" s="1"/>
      <c r="AQ1028" s="1"/>
      <c r="AR1028" s="1"/>
      <c r="AS1028" s="1"/>
      <c r="AT1028" s="1"/>
      <c r="AU1028" s="2"/>
      <c r="AV1028" s="1"/>
      <c r="AW1028" s="1"/>
      <c r="AX1028" s="1"/>
      <c r="AY1028" s="1"/>
      <c r="AZ1028" s="1"/>
      <c r="BA1028" s="1"/>
      <c r="BB1028" s="1"/>
      <c r="BC1028" s="1"/>
      <c r="BD1028" s="2"/>
      <c r="BE1028" s="1"/>
      <c r="BF1028" s="1"/>
      <c r="BG1028" s="1"/>
      <c r="BH1028" s="1"/>
      <c r="BI1028" s="1"/>
      <c r="BJ1028" s="1"/>
      <c r="BK1028" s="1"/>
      <c r="BL1028" s="1"/>
      <c r="BM1028" s="2"/>
      <c r="BN1028" s="1"/>
      <c r="BO1028" s="1"/>
      <c r="BP1028" s="1"/>
      <c r="BQ1028" s="1"/>
      <c r="BR1028" s="1"/>
      <c r="BS1028" s="1"/>
      <c r="BT1028" s="1"/>
      <c r="BU1028" s="1"/>
      <c r="BV1028" s="2"/>
      <c r="BW1028" s="1"/>
      <c r="BX1028" s="1"/>
      <c r="BY1028" s="1"/>
      <c r="BZ1028" s="1"/>
      <c r="CA1028" s="1"/>
      <c r="CB1028" s="1"/>
      <c r="CC1028" s="1"/>
      <c r="CD1028" s="1"/>
      <c r="CE1028" s="2"/>
      <c r="CF1028" s="1"/>
      <c r="CG1028" s="1"/>
      <c r="CH1028" s="1"/>
      <c r="CI1028" s="1"/>
      <c r="CJ1028" s="1"/>
      <c r="CK1028" s="1"/>
      <c r="CL1028" s="1"/>
    </row>
    <row r="1029" spans="1:90" ht="14.65" x14ac:dyDescent="0.4">
      <c r="A1029" s="1"/>
      <c r="B1029" s="2"/>
      <c r="C1029" s="1"/>
      <c r="D1029" s="1"/>
      <c r="E1029" s="1"/>
      <c r="F1029" s="1"/>
      <c r="G1029" s="1"/>
      <c r="H1029" s="1"/>
      <c r="I1029" s="1"/>
      <c r="J1029" s="1"/>
      <c r="K1029" s="2"/>
      <c r="L1029" s="1"/>
      <c r="M1029" s="1"/>
      <c r="N1029" s="1"/>
      <c r="O1029" s="1"/>
      <c r="P1029" s="1"/>
      <c r="Q1029" s="1"/>
      <c r="R1029" s="1"/>
      <c r="S1029" s="1"/>
      <c r="T1029" s="2"/>
      <c r="U1029" s="1"/>
      <c r="V1029" s="1"/>
      <c r="W1029" s="1"/>
      <c r="X1029" s="1"/>
      <c r="Y1029" s="1"/>
      <c r="Z1029" s="1"/>
      <c r="AA1029" s="1"/>
      <c r="AB1029" s="1"/>
      <c r="AC1029" s="2"/>
      <c r="AD1029" s="1"/>
      <c r="AE1029" s="1"/>
      <c r="AF1029" s="1"/>
      <c r="AG1029" s="1"/>
      <c r="AH1029" s="1"/>
      <c r="AI1029" s="1"/>
      <c r="AJ1029" s="1"/>
      <c r="AK1029" s="1"/>
      <c r="AL1029" s="2"/>
      <c r="AM1029" s="1"/>
      <c r="AN1029" s="1"/>
      <c r="AO1029" s="1"/>
      <c r="AP1029" s="1"/>
      <c r="AQ1029" s="1"/>
      <c r="AR1029" s="1"/>
      <c r="AS1029" s="1"/>
      <c r="AT1029" s="1"/>
      <c r="AU1029" s="2"/>
      <c r="AV1029" s="1"/>
      <c r="AW1029" s="1"/>
      <c r="AX1029" s="1"/>
      <c r="AY1029" s="1"/>
      <c r="AZ1029" s="1"/>
      <c r="BA1029" s="1"/>
      <c r="BB1029" s="1"/>
      <c r="BC1029" s="1"/>
      <c r="BD1029" s="2"/>
      <c r="BE1029" s="1"/>
      <c r="BF1029" s="1"/>
      <c r="BG1029" s="1"/>
      <c r="BH1029" s="1"/>
      <c r="BI1029" s="1"/>
      <c r="BJ1029" s="1"/>
      <c r="BK1029" s="1"/>
      <c r="BL1029" s="1"/>
      <c r="BM1029" s="2"/>
      <c r="BN1029" s="1"/>
      <c r="BO1029" s="1"/>
      <c r="BP1029" s="1"/>
      <c r="BQ1029" s="1"/>
      <c r="BR1029" s="1"/>
      <c r="BS1029" s="1"/>
      <c r="BT1029" s="1"/>
      <c r="BU1029" s="1"/>
      <c r="BV1029" s="2"/>
      <c r="BW1029" s="1"/>
      <c r="BX1029" s="1"/>
      <c r="BY1029" s="1"/>
      <c r="BZ1029" s="1"/>
      <c r="CA1029" s="1"/>
      <c r="CB1029" s="1"/>
      <c r="CC1029" s="1"/>
      <c r="CD1029" s="1"/>
      <c r="CE1029" s="2"/>
      <c r="CF1029" s="1"/>
      <c r="CG1029" s="1"/>
      <c r="CH1029" s="1"/>
      <c r="CI1029" s="1"/>
      <c r="CJ1029" s="1"/>
      <c r="CK1029" s="1"/>
      <c r="CL1029" s="1"/>
    </row>
    <row r="1030" spans="1:90" ht="14.65" x14ac:dyDescent="0.4">
      <c r="A1030" s="1"/>
      <c r="B1030" s="2"/>
      <c r="C1030" s="1"/>
      <c r="D1030" s="1"/>
      <c r="E1030" s="1"/>
      <c r="F1030" s="1"/>
      <c r="G1030" s="1"/>
      <c r="H1030" s="1"/>
      <c r="I1030" s="1"/>
      <c r="J1030" s="1"/>
      <c r="K1030" s="2"/>
      <c r="L1030" s="1"/>
      <c r="M1030" s="1"/>
      <c r="N1030" s="1"/>
      <c r="O1030" s="1"/>
      <c r="P1030" s="1"/>
      <c r="Q1030" s="1"/>
      <c r="R1030" s="1"/>
      <c r="S1030" s="1"/>
      <c r="T1030" s="2"/>
      <c r="U1030" s="1"/>
      <c r="V1030" s="1"/>
      <c r="W1030" s="1"/>
      <c r="X1030" s="1"/>
      <c r="Y1030" s="1"/>
      <c r="Z1030" s="1"/>
      <c r="AA1030" s="1"/>
      <c r="AB1030" s="1"/>
      <c r="AC1030" s="2"/>
      <c r="AD1030" s="1"/>
      <c r="AE1030" s="1"/>
      <c r="AF1030" s="1"/>
      <c r="AG1030" s="1"/>
      <c r="AH1030" s="1"/>
      <c r="AI1030" s="1"/>
      <c r="AJ1030" s="1"/>
      <c r="AK1030" s="1"/>
      <c r="AL1030" s="2"/>
      <c r="AM1030" s="1"/>
      <c r="AN1030" s="1"/>
      <c r="AO1030" s="1"/>
      <c r="AP1030" s="1"/>
      <c r="AQ1030" s="1"/>
      <c r="AR1030" s="1"/>
      <c r="AS1030" s="1"/>
      <c r="AT1030" s="1"/>
      <c r="AU1030" s="2"/>
      <c r="AV1030" s="1"/>
      <c r="AW1030" s="1"/>
      <c r="AX1030" s="1"/>
      <c r="AY1030" s="1"/>
      <c r="AZ1030" s="1"/>
      <c r="BA1030" s="1"/>
      <c r="BB1030" s="1"/>
      <c r="BC1030" s="1"/>
      <c r="BD1030" s="2"/>
      <c r="BE1030" s="1"/>
      <c r="BF1030" s="1"/>
      <c r="BG1030" s="1"/>
      <c r="BH1030" s="1"/>
      <c r="BI1030" s="1"/>
      <c r="BJ1030" s="1"/>
      <c r="BK1030" s="1"/>
      <c r="BL1030" s="1"/>
      <c r="BM1030" s="2"/>
      <c r="BN1030" s="1"/>
      <c r="BO1030" s="1"/>
      <c r="BP1030" s="1"/>
      <c r="BQ1030" s="1"/>
      <c r="BR1030" s="1"/>
      <c r="BS1030" s="1"/>
      <c r="BT1030" s="1"/>
      <c r="BU1030" s="1"/>
      <c r="BV1030" s="2"/>
      <c r="BW1030" s="1"/>
      <c r="BX1030" s="1"/>
      <c r="BY1030" s="1"/>
      <c r="BZ1030" s="1"/>
      <c r="CA1030" s="1"/>
      <c r="CB1030" s="1"/>
      <c r="CC1030" s="1"/>
      <c r="CD1030" s="1"/>
      <c r="CE1030" s="2"/>
      <c r="CF1030" s="1"/>
      <c r="CG1030" s="1"/>
      <c r="CH1030" s="1"/>
      <c r="CI1030" s="1"/>
      <c r="CJ1030" s="1"/>
      <c r="CK1030" s="1"/>
      <c r="CL1030" s="1"/>
    </row>
    <row r="1031" spans="1:90" ht="14.65" x14ac:dyDescent="0.4">
      <c r="A1031" s="1"/>
      <c r="B1031" s="2"/>
      <c r="C1031" s="1"/>
      <c r="D1031" s="1"/>
      <c r="E1031" s="1"/>
      <c r="F1031" s="1"/>
      <c r="G1031" s="1"/>
      <c r="H1031" s="1"/>
      <c r="I1031" s="1"/>
      <c r="J1031" s="1"/>
      <c r="K1031" s="2"/>
      <c r="L1031" s="1"/>
      <c r="M1031" s="1"/>
      <c r="N1031" s="1"/>
      <c r="O1031" s="1"/>
      <c r="P1031" s="1"/>
      <c r="Q1031" s="1"/>
      <c r="R1031" s="1"/>
      <c r="S1031" s="1"/>
      <c r="T1031" s="2"/>
      <c r="U1031" s="1"/>
      <c r="V1031" s="1"/>
      <c r="W1031" s="1"/>
      <c r="X1031" s="1"/>
      <c r="Y1031" s="1"/>
      <c r="Z1031" s="1"/>
      <c r="AA1031" s="1"/>
      <c r="AB1031" s="1"/>
      <c r="AC1031" s="2"/>
      <c r="AD1031" s="1"/>
      <c r="AE1031" s="1"/>
      <c r="AF1031" s="1"/>
      <c r="AG1031" s="1"/>
      <c r="AH1031" s="1"/>
      <c r="AI1031" s="1"/>
      <c r="AJ1031" s="1"/>
      <c r="AK1031" s="1"/>
      <c r="AL1031" s="2"/>
      <c r="AM1031" s="1"/>
      <c r="AN1031" s="1"/>
      <c r="AO1031" s="1"/>
      <c r="AP1031" s="1"/>
      <c r="AQ1031" s="1"/>
      <c r="AR1031" s="1"/>
      <c r="AS1031" s="1"/>
      <c r="AT1031" s="1"/>
      <c r="AU1031" s="2"/>
      <c r="AV1031" s="1"/>
      <c r="AW1031" s="1"/>
      <c r="AX1031" s="1"/>
      <c r="AY1031" s="1"/>
      <c r="AZ1031" s="1"/>
      <c r="BA1031" s="1"/>
      <c r="BB1031" s="1"/>
      <c r="BC1031" s="1"/>
      <c r="BD1031" s="2"/>
      <c r="BE1031" s="1"/>
      <c r="BF1031" s="1"/>
      <c r="BG1031" s="1"/>
      <c r="BH1031" s="1"/>
      <c r="BI1031" s="1"/>
      <c r="BJ1031" s="1"/>
      <c r="BK1031" s="1"/>
      <c r="BL1031" s="1"/>
      <c r="BM1031" s="2"/>
      <c r="BN1031" s="1"/>
      <c r="BO1031" s="1"/>
      <c r="BP1031" s="1"/>
      <c r="BQ1031" s="1"/>
      <c r="BR1031" s="1"/>
      <c r="BS1031" s="1"/>
      <c r="BT1031" s="1"/>
      <c r="BU1031" s="1"/>
      <c r="BV1031" s="2"/>
      <c r="BW1031" s="1"/>
      <c r="BX1031" s="1"/>
      <c r="BY1031" s="1"/>
      <c r="BZ1031" s="1"/>
      <c r="CA1031" s="1"/>
      <c r="CB1031" s="1"/>
      <c r="CC1031" s="1"/>
      <c r="CD1031" s="1"/>
      <c r="CE1031" s="2"/>
      <c r="CF1031" s="1"/>
      <c r="CG1031" s="1"/>
      <c r="CH1031" s="1"/>
      <c r="CI1031" s="1"/>
      <c r="CJ1031" s="1"/>
      <c r="CK1031" s="1"/>
      <c r="CL1031" s="1"/>
    </row>
    <row r="1032" spans="1:90" ht="14.65" x14ac:dyDescent="0.4">
      <c r="A1032" s="1"/>
      <c r="B1032" s="2"/>
      <c r="C1032" s="1"/>
      <c r="D1032" s="1"/>
      <c r="E1032" s="1"/>
      <c r="F1032" s="1"/>
      <c r="G1032" s="1"/>
      <c r="H1032" s="1"/>
      <c r="I1032" s="1"/>
      <c r="J1032" s="1"/>
      <c r="K1032" s="2"/>
      <c r="L1032" s="1"/>
      <c r="M1032" s="1"/>
      <c r="N1032" s="1"/>
      <c r="O1032" s="1"/>
      <c r="P1032" s="1"/>
      <c r="Q1032" s="1"/>
      <c r="R1032" s="1"/>
      <c r="S1032" s="1"/>
      <c r="T1032" s="2"/>
      <c r="U1032" s="1"/>
      <c r="V1032" s="1"/>
      <c r="W1032" s="1"/>
      <c r="X1032" s="1"/>
      <c r="Y1032" s="1"/>
      <c r="Z1032" s="1"/>
      <c r="AA1032" s="1"/>
      <c r="AB1032" s="1"/>
      <c r="AC1032" s="2"/>
      <c r="AD1032" s="1"/>
      <c r="AE1032" s="1"/>
      <c r="AF1032" s="1"/>
      <c r="AG1032" s="1"/>
      <c r="AH1032" s="1"/>
      <c r="AI1032" s="1"/>
      <c r="AJ1032" s="1"/>
      <c r="AK1032" s="1"/>
      <c r="AL1032" s="2"/>
      <c r="AM1032" s="1"/>
      <c r="AN1032" s="1"/>
      <c r="AO1032" s="1"/>
      <c r="AP1032" s="1"/>
      <c r="AQ1032" s="1"/>
      <c r="AR1032" s="1"/>
      <c r="AS1032" s="1"/>
      <c r="AT1032" s="1"/>
      <c r="AU1032" s="2"/>
      <c r="AV1032" s="1"/>
      <c r="AW1032" s="1"/>
      <c r="AX1032" s="1"/>
      <c r="AY1032" s="1"/>
      <c r="AZ1032" s="1"/>
      <c r="BA1032" s="1"/>
      <c r="BB1032" s="1"/>
      <c r="BC1032" s="1"/>
      <c r="BD1032" s="2"/>
      <c r="BE1032" s="1"/>
      <c r="BF1032" s="1"/>
      <c r="BG1032" s="1"/>
      <c r="BH1032" s="1"/>
      <c r="BI1032" s="1"/>
      <c r="BJ1032" s="1"/>
      <c r="BK1032" s="1"/>
      <c r="BL1032" s="1"/>
      <c r="BM1032" s="2"/>
      <c r="BN1032" s="1"/>
      <c r="BO1032" s="1"/>
      <c r="BP1032" s="1"/>
      <c r="BQ1032" s="1"/>
      <c r="BR1032" s="1"/>
      <c r="BS1032" s="1"/>
      <c r="BT1032" s="1"/>
      <c r="BU1032" s="1"/>
      <c r="BV1032" s="2"/>
      <c r="BW1032" s="1"/>
      <c r="BX1032" s="1"/>
      <c r="BY1032" s="1"/>
      <c r="BZ1032" s="1"/>
      <c r="CA1032" s="1"/>
      <c r="CB1032" s="1"/>
      <c r="CC1032" s="1"/>
      <c r="CD1032" s="1"/>
      <c r="CE1032" s="2"/>
      <c r="CF1032" s="1"/>
      <c r="CG1032" s="1"/>
      <c r="CH1032" s="1"/>
      <c r="CI1032" s="1"/>
      <c r="CJ1032" s="1"/>
      <c r="CK1032" s="1"/>
      <c r="CL1032" s="1"/>
    </row>
    <row r="1033" spans="1:90" ht="14.65" x14ac:dyDescent="0.4">
      <c r="A1033" s="1"/>
      <c r="B1033" s="2"/>
      <c r="C1033" s="1"/>
      <c r="D1033" s="1"/>
      <c r="E1033" s="1"/>
      <c r="F1033" s="1"/>
      <c r="G1033" s="1"/>
      <c r="H1033" s="1"/>
      <c r="I1033" s="1"/>
      <c r="J1033" s="1"/>
      <c r="K1033" s="2"/>
      <c r="L1033" s="1"/>
      <c r="M1033" s="1"/>
      <c r="N1033" s="1"/>
      <c r="O1033" s="1"/>
      <c r="P1033" s="1"/>
      <c r="Q1033" s="1"/>
      <c r="R1033" s="1"/>
      <c r="S1033" s="1"/>
      <c r="T1033" s="2"/>
      <c r="U1033" s="1"/>
      <c r="V1033" s="1"/>
      <c r="W1033" s="1"/>
      <c r="X1033" s="1"/>
      <c r="Y1033" s="1"/>
      <c r="Z1033" s="1"/>
      <c r="AA1033" s="1"/>
      <c r="AB1033" s="1"/>
      <c r="AC1033" s="2"/>
      <c r="AD1033" s="1"/>
      <c r="AE1033" s="1"/>
      <c r="AF1033" s="1"/>
      <c r="AG1033" s="1"/>
      <c r="AH1033" s="1"/>
      <c r="AI1033" s="1"/>
      <c r="AJ1033" s="1"/>
      <c r="AK1033" s="1"/>
      <c r="AL1033" s="2"/>
      <c r="AM1033" s="1"/>
      <c r="AN1033" s="1"/>
      <c r="AO1033" s="1"/>
      <c r="AP1033" s="1"/>
      <c r="AQ1033" s="1"/>
      <c r="AR1033" s="1"/>
      <c r="AS1033" s="1"/>
      <c r="AT1033" s="1"/>
      <c r="AU1033" s="2"/>
      <c r="AV1033" s="1"/>
      <c r="AW1033" s="1"/>
      <c r="AX1033" s="1"/>
      <c r="AY1033" s="1"/>
      <c r="AZ1033" s="1"/>
      <c r="BA1033" s="1"/>
      <c r="BB1033" s="1"/>
      <c r="BC1033" s="1"/>
      <c r="BD1033" s="2"/>
      <c r="BE1033" s="1"/>
      <c r="BF1033" s="1"/>
      <c r="BG1033" s="1"/>
      <c r="BH1033" s="1"/>
      <c r="BI1033" s="1"/>
      <c r="BJ1033" s="1"/>
      <c r="BK1033" s="1"/>
      <c r="BL1033" s="1"/>
      <c r="BM1033" s="2"/>
      <c r="BN1033" s="1"/>
      <c r="BO1033" s="1"/>
      <c r="BP1033" s="1"/>
      <c r="BQ1033" s="1"/>
      <c r="BR1033" s="1"/>
      <c r="BS1033" s="1"/>
      <c r="BT1033" s="1"/>
      <c r="BU1033" s="1"/>
      <c r="BV1033" s="2"/>
      <c r="BW1033" s="1"/>
      <c r="BX1033" s="1"/>
      <c r="BY1033" s="1"/>
      <c r="BZ1033" s="1"/>
      <c r="CA1033" s="1"/>
      <c r="CB1033" s="1"/>
      <c r="CC1033" s="1"/>
      <c r="CD1033" s="1"/>
      <c r="CE1033" s="2"/>
      <c r="CF1033" s="1"/>
      <c r="CG1033" s="1"/>
      <c r="CH1033" s="1"/>
      <c r="CI1033" s="1"/>
      <c r="CJ1033" s="1"/>
      <c r="CK1033" s="1"/>
      <c r="CL1033" s="1"/>
    </row>
    <row r="1034" spans="1:90" ht="14.65" x14ac:dyDescent="0.4">
      <c r="A1034" s="1"/>
      <c r="B1034" s="2"/>
      <c r="C1034" s="1"/>
      <c r="D1034" s="1"/>
      <c r="E1034" s="1"/>
      <c r="F1034" s="1"/>
      <c r="G1034" s="1"/>
      <c r="H1034" s="1"/>
      <c r="I1034" s="1"/>
      <c r="J1034" s="1"/>
      <c r="K1034" s="2"/>
      <c r="L1034" s="1"/>
      <c r="M1034" s="1"/>
      <c r="N1034" s="1"/>
      <c r="O1034" s="1"/>
      <c r="P1034" s="1"/>
      <c r="Q1034" s="1"/>
      <c r="R1034" s="1"/>
      <c r="S1034" s="1"/>
      <c r="T1034" s="2"/>
      <c r="U1034" s="1"/>
      <c r="V1034" s="1"/>
      <c r="W1034" s="1"/>
      <c r="X1034" s="1"/>
      <c r="Y1034" s="1"/>
      <c r="Z1034" s="1"/>
      <c r="AA1034" s="1"/>
      <c r="AB1034" s="1"/>
      <c r="AC1034" s="2"/>
      <c r="AD1034" s="1"/>
      <c r="AE1034" s="1"/>
      <c r="AF1034" s="1"/>
      <c r="AG1034" s="1"/>
      <c r="AH1034" s="1"/>
      <c r="AI1034" s="1"/>
      <c r="AJ1034" s="1"/>
      <c r="AK1034" s="1"/>
      <c r="AL1034" s="2"/>
      <c r="AM1034" s="1"/>
      <c r="AN1034" s="1"/>
      <c r="AO1034" s="1"/>
      <c r="AP1034" s="1"/>
      <c r="AQ1034" s="1"/>
      <c r="AR1034" s="1"/>
      <c r="AS1034" s="1"/>
      <c r="AT1034" s="1"/>
      <c r="AU1034" s="2"/>
      <c r="AV1034" s="1"/>
      <c r="AW1034" s="1"/>
      <c r="AX1034" s="1"/>
      <c r="AY1034" s="1"/>
      <c r="AZ1034" s="1"/>
      <c r="BA1034" s="1"/>
      <c r="BB1034" s="1"/>
      <c r="BC1034" s="1"/>
      <c r="BD1034" s="2"/>
      <c r="BE1034" s="1"/>
      <c r="BF1034" s="1"/>
      <c r="BG1034" s="1"/>
      <c r="BH1034" s="1"/>
      <c r="BI1034" s="1"/>
      <c r="BJ1034" s="1"/>
      <c r="BK1034" s="1"/>
      <c r="BL1034" s="1"/>
      <c r="BM1034" s="2"/>
      <c r="BN1034" s="1"/>
      <c r="BO1034" s="1"/>
      <c r="BP1034" s="1"/>
      <c r="BQ1034" s="1"/>
      <c r="BR1034" s="1"/>
      <c r="BS1034" s="1"/>
      <c r="BT1034" s="1"/>
      <c r="BU1034" s="1"/>
      <c r="BV1034" s="2"/>
      <c r="BW1034" s="1"/>
      <c r="BX1034" s="1"/>
      <c r="BY1034" s="1"/>
      <c r="BZ1034" s="1"/>
      <c r="CA1034" s="1"/>
      <c r="CB1034" s="1"/>
      <c r="CC1034" s="1"/>
      <c r="CD1034" s="1"/>
      <c r="CE1034" s="2"/>
      <c r="CF1034" s="1"/>
      <c r="CG1034" s="1"/>
      <c r="CH1034" s="1"/>
      <c r="CI1034" s="1"/>
      <c r="CJ1034" s="1"/>
      <c r="CK1034" s="1"/>
      <c r="CL1034" s="1"/>
    </row>
    <row r="1035" spans="1:90" ht="14.65" x14ac:dyDescent="0.4">
      <c r="A1035" s="1"/>
      <c r="B1035" s="2"/>
      <c r="C1035" s="1"/>
      <c r="D1035" s="1"/>
      <c r="E1035" s="1"/>
      <c r="F1035" s="1"/>
      <c r="G1035" s="1"/>
      <c r="H1035" s="1"/>
      <c r="I1035" s="1"/>
      <c r="J1035" s="1"/>
      <c r="K1035" s="2"/>
      <c r="L1035" s="1"/>
      <c r="M1035" s="1"/>
      <c r="N1035" s="1"/>
      <c r="O1035" s="1"/>
      <c r="P1035" s="1"/>
      <c r="Q1035" s="1"/>
      <c r="R1035" s="1"/>
      <c r="S1035" s="1"/>
      <c r="T1035" s="2"/>
      <c r="U1035" s="1"/>
      <c r="V1035" s="1"/>
      <c r="W1035" s="1"/>
      <c r="X1035" s="1"/>
      <c r="Y1035" s="1"/>
      <c r="Z1035" s="1"/>
      <c r="AA1035" s="1"/>
      <c r="AB1035" s="1"/>
      <c r="AC1035" s="2"/>
      <c r="AD1035" s="1"/>
      <c r="AE1035" s="1"/>
      <c r="AF1035" s="1"/>
      <c r="AG1035" s="1"/>
      <c r="AH1035" s="1"/>
      <c r="AI1035" s="1"/>
      <c r="AJ1035" s="1"/>
      <c r="AK1035" s="1"/>
      <c r="AL1035" s="2"/>
      <c r="AM1035" s="1"/>
      <c r="AN1035" s="1"/>
      <c r="AO1035" s="1"/>
      <c r="AP1035" s="1"/>
      <c r="AQ1035" s="1"/>
      <c r="AR1035" s="1"/>
      <c r="AS1035" s="1"/>
      <c r="AT1035" s="1"/>
      <c r="AU1035" s="2"/>
      <c r="AV1035" s="1"/>
      <c r="AW1035" s="1"/>
      <c r="AX1035" s="1"/>
      <c r="AY1035" s="1"/>
      <c r="AZ1035" s="1"/>
      <c r="BA1035" s="1"/>
      <c r="BB1035" s="1"/>
      <c r="BC1035" s="1"/>
      <c r="BD1035" s="2"/>
      <c r="BE1035" s="1"/>
      <c r="BF1035" s="1"/>
      <c r="BG1035" s="1"/>
      <c r="BH1035" s="1"/>
      <c r="BI1035" s="1"/>
      <c r="BJ1035" s="1"/>
      <c r="BK1035" s="1"/>
      <c r="BL1035" s="1"/>
      <c r="BM1035" s="2"/>
      <c r="BN1035" s="1"/>
      <c r="BO1035" s="1"/>
      <c r="BP1035" s="1"/>
      <c r="BQ1035" s="1"/>
      <c r="BR1035" s="1"/>
      <c r="BS1035" s="1"/>
      <c r="BT1035" s="1"/>
      <c r="BU1035" s="1"/>
      <c r="BV1035" s="2"/>
      <c r="BW1035" s="1"/>
      <c r="BX1035" s="1"/>
      <c r="BY1035" s="1"/>
      <c r="BZ1035" s="1"/>
      <c r="CA1035" s="1"/>
      <c r="CB1035" s="1"/>
      <c r="CC1035" s="1"/>
      <c r="CD1035" s="1"/>
      <c r="CE1035" s="2"/>
      <c r="CF1035" s="1"/>
      <c r="CG1035" s="1"/>
      <c r="CH1035" s="1"/>
      <c r="CI1035" s="1"/>
      <c r="CJ1035" s="1"/>
      <c r="CK1035" s="1"/>
      <c r="CL1035" s="1"/>
    </row>
    <row r="1036" spans="1:90" ht="14.65" x14ac:dyDescent="0.4">
      <c r="A1036" s="1"/>
      <c r="B1036" s="2"/>
      <c r="C1036" s="1"/>
      <c r="D1036" s="1"/>
      <c r="E1036" s="1"/>
      <c r="F1036" s="1"/>
      <c r="G1036" s="1"/>
      <c r="H1036" s="1"/>
      <c r="I1036" s="1"/>
      <c r="J1036" s="1"/>
      <c r="K1036" s="2"/>
      <c r="L1036" s="1"/>
      <c r="M1036" s="1"/>
      <c r="N1036" s="1"/>
      <c r="O1036" s="1"/>
      <c r="P1036" s="1"/>
      <c r="Q1036" s="1"/>
      <c r="R1036" s="1"/>
      <c r="S1036" s="1"/>
      <c r="T1036" s="2"/>
      <c r="U1036" s="1"/>
      <c r="V1036" s="4"/>
      <c r="W1036" s="1"/>
      <c r="X1036" s="1"/>
      <c r="Y1036" s="1"/>
      <c r="Z1036" s="1"/>
      <c r="AA1036" s="1"/>
      <c r="AB1036" s="1"/>
      <c r="AC1036" s="2"/>
      <c r="AD1036" s="1"/>
      <c r="AE1036" s="1"/>
      <c r="AF1036" s="1"/>
      <c r="AG1036" s="1"/>
      <c r="AH1036" s="1"/>
      <c r="AI1036" s="1"/>
      <c r="AJ1036" s="1"/>
      <c r="AK1036" s="1"/>
      <c r="AL1036" s="2"/>
      <c r="AM1036" s="1"/>
      <c r="AN1036" s="1"/>
      <c r="AO1036" s="1"/>
      <c r="AP1036" s="1"/>
      <c r="AQ1036" s="1"/>
      <c r="AR1036" s="1"/>
      <c r="AS1036" s="1"/>
      <c r="AT1036" s="1"/>
      <c r="AU1036" s="2"/>
      <c r="AV1036" s="1"/>
      <c r="AW1036" s="1"/>
      <c r="AX1036" s="1"/>
      <c r="AY1036" s="1"/>
      <c r="AZ1036" s="1"/>
      <c r="BA1036" s="1"/>
      <c r="BB1036" s="1"/>
      <c r="BC1036" s="1"/>
      <c r="BD1036" s="2"/>
      <c r="BE1036" s="1"/>
      <c r="BF1036" s="1"/>
      <c r="BG1036" s="1"/>
      <c r="BH1036" s="1"/>
      <c r="BI1036" s="1"/>
      <c r="BJ1036" s="1"/>
      <c r="BK1036" s="1"/>
      <c r="BL1036" s="1"/>
      <c r="BM1036" s="2"/>
      <c r="BN1036" s="1"/>
      <c r="BO1036" s="1"/>
      <c r="BP1036" s="1"/>
      <c r="BQ1036" s="1"/>
      <c r="BR1036" s="1"/>
      <c r="BS1036" s="1"/>
      <c r="BT1036" s="1"/>
      <c r="BU1036" s="1"/>
      <c r="BV1036" s="2"/>
      <c r="BW1036" s="1"/>
      <c r="BX1036" s="1"/>
      <c r="BY1036" s="1"/>
      <c r="BZ1036" s="1"/>
      <c r="CA1036" s="1"/>
      <c r="CB1036" s="1"/>
      <c r="CC1036" s="1"/>
      <c r="CD1036" s="1"/>
      <c r="CE1036" s="2"/>
      <c r="CF1036" s="1"/>
      <c r="CG1036" s="1"/>
      <c r="CH1036" s="1"/>
      <c r="CI1036" s="1"/>
      <c r="CJ1036" s="1"/>
      <c r="CK1036" s="1"/>
      <c r="CL1036" s="1"/>
    </row>
    <row r="1037" spans="1:90" ht="14.65" x14ac:dyDescent="0.4">
      <c r="A1037" s="1"/>
      <c r="B1037" s="2"/>
      <c r="C1037" s="1"/>
      <c r="D1037" s="1"/>
      <c r="E1037" s="1"/>
      <c r="F1037" s="1"/>
      <c r="G1037" s="1"/>
      <c r="H1037" s="1"/>
      <c r="I1037" s="1"/>
      <c r="J1037" s="1"/>
      <c r="K1037" s="2"/>
      <c r="L1037" s="1"/>
      <c r="M1037" s="1"/>
      <c r="N1037" s="1"/>
      <c r="O1037" s="1"/>
      <c r="P1037" s="1"/>
      <c r="Q1037" s="1"/>
      <c r="R1037" s="1"/>
      <c r="S1037" s="1"/>
      <c r="T1037" s="2"/>
      <c r="U1037" s="1"/>
      <c r="V1037" s="1"/>
      <c r="W1037" s="1"/>
      <c r="X1037" s="1"/>
      <c r="Y1037" s="1"/>
      <c r="Z1037" s="1"/>
      <c r="AA1037" s="1"/>
      <c r="AB1037" s="1"/>
      <c r="AC1037" s="2"/>
      <c r="AD1037" s="1"/>
      <c r="AE1037" s="1"/>
      <c r="AF1037" s="1"/>
      <c r="AG1037" s="1"/>
      <c r="AH1037" s="1"/>
      <c r="AI1037" s="1"/>
      <c r="AJ1037" s="1"/>
      <c r="AK1037" s="1"/>
      <c r="AL1037" s="2"/>
      <c r="AM1037" s="1"/>
      <c r="AN1037" s="1"/>
      <c r="AO1037" s="1"/>
      <c r="AP1037" s="1"/>
      <c r="AQ1037" s="1"/>
      <c r="AR1037" s="1"/>
      <c r="AS1037" s="1"/>
      <c r="AT1037" s="1"/>
      <c r="AU1037" s="2"/>
      <c r="AV1037" s="1"/>
      <c r="AW1037" s="1"/>
      <c r="AX1037" s="1"/>
      <c r="AY1037" s="1"/>
      <c r="AZ1037" s="1"/>
      <c r="BA1037" s="1"/>
      <c r="BB1037" s="1"/>
      <c r="BC1037" s="1"/>
      <c r="BD1037" s="2"/>
      <c r="BE1037" s="1"/>
      <c r="BF1037" s="1"/>
      <c r="BG1037" s="1"/>
      <c r="BH1037" s="1"/>
      <c r="BI1037" s="1"/>
      <c r="BJ1037" s="1"/>
      <c r="BK1037" s="1"/>
      <c r="BL1037" s="1"/>
      <c r="BM1037" s="2"/>
      <c r="BN1037" s="1"/>
      <c r="BO1037" s="1"/>
      <c r="BP1037" s="1"/>
      <c r="BQ1037" s="1"/>
      <c r="BR1037" s="1"/>
      <c r="BS1037" s="1"/>
      <c r="BT1037" s="1"/>
      <c r="BU1037" s="1"/>
      <c r="BV1037" s="2"/>
      <c r="BW1037" s="1"/>
      <c r="BX1037" s="1"/>
      <c r="BY1037" s="1"/>
      <c r="BZ1037" s="1"/>
      <c r="CA1037" s="1"/>
      <c r="CB1037" s="1"/>
      <c r="CC1037" s="1"/>
      <c r="CD1037" s="1"/>
      <c r="CE1037" s="2"/>
      <c r="CF1037" s="1"/>
      <c r="CG1037" s="1"/>
      <c r="CH1037" s="1"/>
      <c r="CI1037" s="1"/>
      <c r="CJ1037" s="1"/>
      <c r="CK1037" s="1"/>
      <c r="CL1037" s="1"/>
    </row>
    <row r="1038" spans="1:90" ht="14.65" x14ac:dyDescent="0.4">
      <c r="A1038" s="1"/>
      <c r="B1038" s="2"/>
      <c r="C1038" s="1"/>
      <c r="D1038" s="1"/>
      <c r="E1038" s="1"/>
      <c r="F1038" s="1"/>
      <c r="G1038" s="1"/>
      <c r="H1038" s="1"/>
      <c r="I1038" s="1"/>
      <c r="J1038" s="1"/>
      <c r="K1038" s="2"/>
      <c r="L1038" s="1"/>
      <c r="M1038" s="1"/>
      <c r="N1038" s="1"/>
      <c r="O1038" s="1"/>
      <c r="P1038" s="1"/>
      <c r="Q1038" s="1"/>
      <c r="R1038" s="1"/>
      <c r="S1038" s="1"/>
      <c r="T1038" s="2"/>
      <c r="U1038" s="1"/>
      <c r="V1038" s="1"/>
      <c r="W1038" s="1"/>
      <c r="X1038" s="1"/>
      <c r="Y1038" s="1"/>
      <c r="Z1038" s="1"/>
      <c r="AA1038" s="1"/>
      <c r="AB1038" s="1"/>
      <c r="AC1038" s="2"/>
      <c r="AD1038" s="1"/>
      <c r="AE1038" s="1"/>
      <c r="AF1038" s="1"/>
      <c r="AG1038" s="1"/>
      <c r="AH1038" s="1"/>
      <c r="AI1038" s="1"/>
      <c r="AJ1038" s="1"/>
      <c r="AK1038" s="1"/>
      <c r="AL1038" s="2"/>
      <c r="AM1038" s="1"/>
      <c r="AN1038" s="1"/>
      <c r="AO1038" s="1"/>
      <c r="AP1038" s="1"/>
      <c r="AQ1038" s="1"/>
      <c r="AR1038" s="1"/>
      <c r="AS1038" s="1"/>
      <c r="AT1038" s="1"/>
      <c r="AU1038" s="2"/>
      <c r="AV1038" s="1"/>
      <c r="AW1038" s="1"/>
      <c r="AX1038" s="1"/>
      <c r="AY1038" s="1"/>
      <c r="AZ1038" s="1"/>
      <c r="BA1038" s="1"/>
      <c r="BB1038" s="1"/>
      <c r="BC1038" s="1"/>
      <c r="BD1038" s="2"/>
      <c r="BE1038" s="1"/>
      <c r="BF1038" s="1"/>
      <c r="BG1038" s="1"/>
      <c r="BH1038" s="1"/>
      <c r="BI1038" s="1"/>
      <c r="BJ1038" s="1"/>
      <c r="BK1038" s="1"/>
      <c r="BL1038" s="1"/>
      <c r="BM1038" s="2"/>
      <c r="BN1038" s="1"/>
      <c r="BO1038" s="1"/>
      <c r="BP1038" s="1"/>
      <c r="BQ1038" s="1"/>
      <c r="BR1038" s="1"/>
      <c r="BS1038" s="1"/>
      <c r="BT1038" s="1"/>
      <c r="BU1038" s="1"/>
      <c r="BV1038" s="2"/>
      <c r="BW1038" s="1"/>
      <c r="BX1038" s="1"/>
      <c r="BY1038" s="1"/>
      <c r="BZ1038" s="1"/>
      <c r="CA1038" s="1"/>
      <c r="CB1038" s="1"/>
      <c r="CC1038" s="1"/>
      <c r="CD1038" s="1"/>
      <c r="CE1038" s="2"/>
      <c r="CF1038" s="1"/>
      <c r="CG1038" s="1"/>
      <c r="CH1038" s="1"/>
      <c r="CI1038" s="1"/>
      <c r="CJ1038" s="1"/>
      <c r="CK1038" s="1"/>
      <c r="CL1038" s="1"/>
    </row>
    <row r="1039" spans="1:90" ht="14.65" x14ac:dyDescent="0.4">
      <c r="A1039" s="1"/>
      <c r="B1039" s="2"/>
      <c r="C1039" s="1"/>
      <c r="D1039" s="1"/>
      <c r="E1039" s="1"/>
      <c r="F1039" s="1"/>
      <c r="G1039" s="1"/>
      <c r="H1039" s="1"/>
      <c r="I1039" s="1"/>
      <c r="J1039" s="1"/>
      <c r="K1039" s="2"/>
      <c r="L1039" s="1"/>
      <c r="M1039" s="1"/>
      <c r="N1039" s="1"/>
      <c r="O1039" s="1"/>
      <c r="P1039" s="1"/>
      <c r="Q1039" s="1"/>
      <c r="R1039" s="1"/>
      <c r="S1039" s="1"/>
      <c r="T1039" s="2"/>
      <c r="U1039" s="1"/>
      <c r="V1039" s="1"/>
      <c r="W1039" s="1"/>
      <c r="X1039" s="1"/>
      <c r="Y1039" s="1"/>
      <c r="Z1039" s="1"/>
      <c r="AA1039" s="1"/>
      <c r="AB1039" s="1"/>
      <c r="AC1039" s="2"/>
      <c r="AD1039" s="1"/>
      <c r="AE1039" s="1"/>
      <c r="AF1039" s="1"/>
      <c r="AG1039" s="1"/>
      <c r="AH1039" s="1"/>
      <c r="AI1039" s="1"/>
      <c r="AJ1039" s="1"/>
      <c r="AK1039" s="1"/>
      <c r="AL1039" s="2"/>
      <c r="AM1039" s="1"/>
      <c r="AN1039" s="1"/>
      <c r="AO1039" s="1"/>
      <c r="AP1039" s="1"/>
      <c r="AQ1039" s="1"/>
      <c r="AR1039" s="1"/>
      <c r="AS1039" s="1"/>
      <c r="AT1039" s="1"/>
      <c r="AU1039" s="2"/>
      <c r="AV1039" s="1"/>
      <c r="AW1039" s="1"/>
      <c r="AX1039" s="1"/>
      <c r="AY1039" s="1"/>
      <c r="AZ1039" s="1"/>
      <c r="BA1039" s="1"/>
      <c r="BB1039" s="1"/>
      <c r="BC1039" s="1"/>
      <c r="BD1039" s="2"/>
      <c r="BE1039" s="1"/>
      <c r="BF1039" s="1"/>
      <c r="BG1039" s="1"/>
      <c r="BH1039" s="1"/>
      <c r="BI1039" s="1"/>
      <c r="BJ1039" s="1"/>
      <c r="BK1039" s="1"/>
      <c r="BL1039" s="1"/>
      <c r="BM1039" s="2"/>
      <c r="BN1039" s="1"/>
      <c r="BO1039" s="1"/>
      <c r="BP1039" s="1"/>
      <c r="BQ1039" s="1"/>
      <c r="BR1039" s="1"/>
      <c r="BS1039" s="1"/>
      <c r="BT1039" s="1"/>
      <c r="BU1039" s="1"/>
      <c r="BV1039" s="2"/>
      <c r="BW1039" s="1"/>
      <c r="BX1039" s="1"/>
      <c r="BY1039" s="1"/>
      <c r="BZ1039" s="1"/>
      <c r="CA1039" s="1"/>
      <c r="CB1039" s="1"/>
      <c r="CC1039" s="1"/>
      <c r="CD1039" s="1"/>
      <c r="CE1039" s="2"/>
      <c r="CF1039" s="1"/>
      <c r="CG1039" s="1"/>
      <c r="CH1039" s="1"/>
      <c r="CI1039" s="1"/>
      <c r="CJ1039" s="1"/>
      <c r="CK1039" s="1"/>
      <c r="CL1039" s="1"/>
    </row>
    <row r="1040" spans="1:90" ht="14.65" x14ac:dyDescent="0.4">
      <c r="A1040" s="1"/>
      <c r="B1040" s="2"/>
      <c r="C1040" s="1"/>
      <c r="D1040" s="1"/>
      <c r="E1040" s="1"/>
      <c r="F1040" s="1"/>
      <c r="G1040" s="1"/>
      <c r="H1040" s="1"/>
      <c r="I1040" s="1"/>
      <c r="J1040" s="1"/>
      <c r="K1040" s="2"/>
      <c r="L1040" s="1"/>
      <c r="M1040" s="1"/>
      <c r="N1040" s="1"/>
      <c r="O1040" s="1"/>
      <c r="P1040" s="1"/>
      <c r="Q1040" s="1"/>
      <c r="R1040" s="1"/>
      <c r="S1040" s="1"/>
      <c r="T1040" s="2"/>
      <c r="U1040" s="1"/>
      <c r="V1040" s="1"/>
      <c r="W1040" s="1"/>
      <c r="X1040" s="1"/>
      <c r="Y1040" s="1"/>
      <c r="Z1040" s="1"/>
      <c r="AA1040" s="1"/>
      <c r="AB1040" s="1"/>
      <c r="AC1040" s="2"/>
      <c r="AD1040" s="1"/>
      <c r="AE1040" s="1"/>
      <c r="AF1040" s="1"/>
      <c r="AG1040" s="1"/>
      <c r="AH1040" s="1"/>
      <c r="AI1040" s="1"/>
      <c r="AJ1040" s="1"/>
      <c r="AK1040" s="1"/>
      <c r="AL1040" s="2"/>
      <c r="AM1040" s="1"/>
      <c r="AN1040" s="1"/>
      <c r="AO1040" s="1"/>
      <c r="AP1040" s="1"/>
      <c r="AQ1040" s="1"/>
      <c r="AR1040" s="1"/>
      <c r="AS1040" s="1"/>
      <c r="AT1040" s="1"/>
      <c r="AU1040" s="2"/>
      <c r="AV1040" s="1"/>
      <c r="AW1040" s="1"/>
      <c r="AX1040" s="1"/>
      <c r="AY1040" s="1"/>
      <c r="AZ1040" s="1"/>
      <c r="BA1040" s="1"/>
      <c r="BB1040" s="1"/>
      <c r="BC1040" s="1"/>
      <c r="BD1040" s="2"/>
      <c r="BE1040" s="1"/>
      <c r="BF1040" s="1"/>
      <c r="BG1040" s="1"/>
      <c r="BH1040" s="1"/>
      <c r="BI1040" s="1"/>
      <c r="BJ1040" s="1"/>
      <c r="BK1040" s="1"/>
      <c r="BL1040" s="1"/>
      <c r="BM1040" s="2"/>
      <c r="BN1040" s="1"/>
      <c r="BO1040" s="1"/>
      <c r="BP1040" s="1"/>
      <c r="BQ1040" s="1"/>
      <c r="BR1040" s="1"/>
      <c r="BS1040" s="1"/>
      <c r="BT1040" s="1"/>
      <c r="BU1040" s="1"/>
      <c r="BV1040" s="2"/>
      <c r="BW1040" s="1"/>
      <c r="BX1040" s="1"/>
      <c r="BY1040" s="1"/>
      <c r="BZ1040" s="1"/>
      <c r="CA1040" s="1"/>
      <c r="CB1040" s="1"/>
      <c r="CC1040" s="1"/>
      <c r="CD1040" s="1"/>
      <c r="CE1040" s="2"/>
      <c r="CF1040" s="1"/>
      <c r="CG1040" s="1"/>
      <c r="CH1040" s="1"/>
      <c r="CI1040" s="1"/>
      <c r="CJ1040" s="1"/>
      <c r="CK1040" s="1"/>
      <c r="CL1040" s="1"/>
    </row>
    <row r="1041" spans="1:90" ht="14.65" x14ac:dyDescent="0.4">
      <c r="A1041" s="1"/>
      <c r="B1041" s="2"/>
      <c r="C1041" s="1"/>
      <c r="D1041" s="1"/>
      <c r="E1041" s="1"/>
      <c r="F1041" s="1"/>
      <c r="G1041" s="1"/>
      <c r="H1041" s="1"/>
      <c r="I1041" s="1"/>
      <c r="J1041" s="1"/>
      <c r="K1041" s="2"/>
      <c r="L1041" s="1"/>
      <c r="M1041" s="1"/>
      <c r="N1041" s="1"/>
      <c r="O1041" s="1"/>
      <c r="P1041" s="1"/>
      <c r="Q1041" s="1"/>
      <c r="R1041" s="1"/>
      <c r="S1041" s="1"/>
      <c r="T1041" s="2"/>
      <c r="U1041" s="1"/>
      <c r="V1041" s="1"/>
      <c r="W1041" s="1"/>
      <c r="X1041" s="1"/>
      <c r="Y1041" s="1"/>
      <c r="Z1041" s="1"/>
      <c r="AA1041" s="1"/>
      <c r="AB1041" s="1"/>
      <c r="AC1041" s="2"/>
      <c r="AD1041" s="1"/>
      <c r="AE1041" s="1"/>
      <c r="AF1041" s="1"/>
      <c r="AG1041" s="1"/>
      <c r="AH1041" s="1"/>
      <c r="AI1041" s="1"/>
      <c r="AJ1041" s="1"/>
      <c r="AK1041" s="1"/>
      <c r="AL1041" s="2"/>
      <c r="AM1041" s="1"/>
      <c r="AN1041" s="1"/>
      <c r="AO1041" s="1"/>
      <c r="AP1041" s="1"/>
      <c r="AQ1041" s="1"/>
      <c r="AR1041" s="1"/>
      <c r="AS1041" s="1"/>
      <c r="AT1041" s="1"/>
      <c r="AU1041" s="2"/>
      <c r="AV1041" s="1"/>
      <c r="AW1041" s="1"/>
      <c r="AX1041" s="1"/>
      <c r="AY1041" s="1"/>
      <c r="AZ1041" s="1"/>
      <c r="BA1041" s="1"/>
      <c r="BB1041" s="1"/>
      <c r="BC1041" s="1"/>
      <c r="BD1041" s="2"/>
      <c r="BE1041" s="1"/>
      <c r="BF1041" s="1"/>
      <c r="BG1041" s="1"/>
      <c r="BH1041" s="1"/>
      <c r="BI1041" s="1"/>
      <c r="BJ1041" s="1"/>
      <c r="BK1041" s="1"/>
      <c r="BL1041" s="1"/>
      <c r="BM1041" s="2"/>
      <c r="BN1041" s="1"/>
      <c r="BO1041" s="1"/>
      <c r="BP1041" s="1"/>
      <c r="BQ1041" s="1"/>
      <c r="BR1041" s="1"/>
      <c r="BS1041" s="1"/>
      <c r="BT1041" s="1"/>
      <c r="BU1041" s="1"/>
      <c r="BV1041" s="2"/>
      <c r="BW1041" s="1"/>
      <c r="BX1041" s="1"/>
      <c r="BY1041" s="1"/>
      <c r="BZ1041" s="1"/>
      <c r="CA1041" s="1"/>
      <c r="CB1041" s="1"/>
      <c r="CC1041" s="1"/>
      <c r="CD1041" s="1"/>
      <c r="CE1041" s="2"/>
      <c r="CF1041" s="1"/>
      <c r="CG1041" s="1"/>
      <c r="CH1041" s="1"/>
      <c r="CI1041" s="1"/>
      <c r="CJ1041" s="1"/>
      <c r="CK1041" s="1"/>
      <c r="CL1041" s="1"/>
    </row>
    <row r="1042" spans="1:90" ht="14.65" x14ac:dyDescent="0.4">
      <c r="A1042" s="1"/>
      <c r="B1042" s="2"/>
      <c r="C1042" s="1"/>
      <c r="D1042" s="1"/>
      <c r="E1042" s="1"/>
      <c r="F1042" s="1"/>
      <c r="G1042" s="1"/>
      <c r="H1042" s="1"/>
      <c r="I1042" s="1"/>
      <c r="J1042" s="1"/>
      <c r="K1042" s="2"/>
      <c r="L1042" s="1"/>
      <c r="M1042" s="1"/>
      <c r="N1042" s="1"/>
      <c r="O1042" s="1"/>
      <c r="P1042" s="1"/>
      <c r="Q1042" s="1"/>
      <c r="R1042" s="1"/>
      <c r="S1042" s="1"/>
      <c r="T1042" s="2"/>
      <c r="U1042" s="1"/>
      <c r="V1042" s="1"/>
      <c r="W1042" s="1"/>
      <c r="X1042" s="1"/>
      <c r="Y1042" s="1"/>
      <c r="Z1042" s="1"/>
      <c r="AA1042" s="1"/>
      <c r="AB1042" s="1"/>
      <c r="AC1042" s="2"/>
      <c r="AD1042" s="1"/>
      <c r="AE1042" s="1"/>
      <c r="AF1042" s="1"/>
      <c r="AG1042" s="1"/>
      <c r="AH1042" s="1"/>
      <c r="AI1042" s="1"/>
      <c r="AJ1042" s="1"/>
      <c r="AK1042" s="1"/>
      <c r="AL1042" s="2"/>
      <c r="AM1042" s="1"/>
      <c r="AN1042" s="1"/>
      <c r="AO1042" s="1"/>
      <c r="AP1042" s="1"/>
      <c r="AQ1042" s="1"/>
      <c r="AR1042" s="1"/>
      <c r="AS1042" s="1"/>
      <c r="AT1042" s="1"/>
      <c r="AU1042" s="2"/>
      <c r="AV1042" s="1"/>
      <c r="AW1042" s="1"/>
      <c r="AX1042" s="1"/>
      <c r="AY1042" s="1"/>
      <c r="AZ1042" s="1"/>
      <c r="BA1042" s="1"/>
      <c r="BB1042" s="1"/>
      <c r="BC1042" s="1"/>
      <c r="BD1042" s="2"/>
      <c r="BE1042" s="1"/>
      <c r="BF1042" s="1"/>
      <c r="BG1042" s="1"/>
      <c r="BH1042" s="1"/>
      <c r="BI1042" s="1"/>
      <c r="BJ1042" s="1"/>
      <c r="BK1042" s="1"/>
      <c r="BL1042" s="1"/>
      <c r="BM1042" s="2"/>
      <c r="BN1042" s="1"/>
      <c r="BO1042" s="1"/>
      <c r="BP1042" s="1"/>
      <c r="BQ1042" s="1"/>
      <c r="BR1042" s="1"/>
      <c r="BS1042" s="1"/>
      <c r="BT1042" s="1"/>
      <c r="BU1042" s="1"/>
      <c r="BV1042" s="2"/>
      <c r="BW1042" s="1"/>
      <c r="BX1042" s="1"/>
      <c r="BY1042" s="1"/>
      <c r="BZ1042" s="1"/>
      <c r="CA1042" s="1"/>
      <c r="CB1042" s="1"/>
      <c r="CC1042" s="1"/>
      <c r="CD1042" s="1"/>
      <c r="CE1042" s="2"/>
      <c r="CF1042" s="1"/>
      <c r="CG1042" s="1"/>
      <c r="CH1042" s="1"/>
      <c r="CI1042" s="1"/>
      <c r="CJ1042" s="1"/>
      <c r="CK1042" s="1"/>
      <c r="CL1042" s="1"/>
    </row>
    <row r="1043" spans="1:90" ht="14.65" x14ac:dyDescent="0.4">
      <c r="A1043" s="1"/>
      <c r="B1043" s="2"/>
      <c r="C1043" s="1"/>
      <c r="D1043" s="1"/>
      <c r="E1043" s="1"/>
      <c r="F1043" s="1"/>
      <c r="G1043" s="1"/>
      <c r="H1043" s="1"/>
      <c r="I1043" s="1"/>
      <c r="J1043" s="1"/>
      <c r="K1043" s="2"/>
      <c r="L1043" s="1"/>
      <c r="M1043" s="1"/>
      <c r="N1043" s="1"/>
      <c r="O1043" s="1"/>
      <c r="P1043" s="1"/>
      <c r="Q1043" s="1"/>
      <c r="R1043" s="1"/>
      <c r="S1043" s="1"/>
      <c r="T1043" s="2"/>
      <c r="U1043" s="1"/>
      <c r="V1043" s="1"/>
      <c r="W1043" s="1"/>
      <c r="X1043" s="1"/>
      <c r="Y1043" s="1"/>
      <c r="Z1043" s="1"/>
      <c r="AA1043" s="1"/>
      <c r="AB1043" s="1"/>
      <c r="AC1043" s="2"/>
      <c r="AD1043" s="1"/>
      <c r="AE1043" s="1"/>
      <c r="AF1043" s="1"/>
      <c r="AG1043" s="1"/>
      <c r="AH1043" s="1"/>
      <c r="AI1043" s="1"/>
      <c r="AJ1043" s="1"/>
      <c r="AK1043" s="1"/>
      <c r="AL1043" s="2"/>
      <c r="AM1043" s="1"/>
      <c r="AN1043" s="1"/>
      <c r="AO1043" s="1"/>
      <c r="AP1043" s="1"/>
      <c r="AQ1043" s="1"/>
      <c r="AR1043" s="1"/>
      <c r="AS1043" s="1"/>
      <c r="AT1043" s="1"/>
      <c r="AU1043" s="2"/>
      <c r="AV1043" s="1"/>
      <c r="AW1043" s="1"/>
      <c r="AX1043" s="1"/>
      <c r="AY1043" s="1"/>
      <c r="AZ1043" s="1"/>
      <c r="BA1043" s="1"/>
      <c r="BB1043" s="1"/>
      <c r="BC1043" s="1"/>
      <c r="BD1043" s="2"/>
      <c r="BE1043" s="1"/>
      <c r="BF1043" s="1"/>
      <c r="BG1043" s="1"/>
      <c r="BH1043" s="1"/>
      <c r="BI1043" s="1"/>
      <c r="BJ1043" s="1"/>
      <c r="BK1043" s="1"/>
      <c r="BL1043" s="1"/>
      <c r="BM1043" s="2"/>
      <c r="BN1043" s="1"/>
      <c r="BO1043" s="1"/>
      <c r="BP1043" s="1"/>
      <c r="BQ1043" s="1"/>
      <c r="BR1043" s="1"/>
      <c r="BS1043" s="1"/>
      <c r="BT1043" s="1"/>
      <c r="BU1043" s="1"/>
      <c r="BV1043" s="2"/>
      <c r="BW1043" s="1"/>
      <c r="BX1043" s="1"/>
      <c r="BY1043" s="1"/>
      <c r="BZ1043" s="1"/>
      <c r="CA1043" s="1"/>
      <c r="CB1043" s="1"/>
      <c r="CC1043" s="1"/>
      <c r="CD1043" s="1"/>
      <c r="CE1043" s="2"/>
      <c r="CF1043" s="1"/>
      <c r="CG1043" s="1"/>
      <c r="CH1043" s="1"/>
      <c r="CI1043" s="1"/>
      <c r="CJ1043" s="1"/>
      <c r="CK1043" s="1"/>
      <c r="CL1043" s="1"/>
    </row>
    <row r="1044" spans="1:90" ht="14.65" x14ac:dyDescent="0.4">
      <c r="A1044" s="1"/>
      <c r="B1044" s="2"/>
      <c r="C1044" s="1"/>
      <c r="D1044" s="1"/>
      <c r="E1044" s="1"/>
      <c r="F1044" s="1"/>
      <c r="G1044" s="1"/>
      <c r="H1044" s="1"/>
      <c r="I1044" s="1"/>
      <c r="J1044" s="1"/>
      <c r="K1044" s="2"/>
      <c r="L1044" s="1"/>
      <c r="M1044" s="1"/>
      <c r="N1044" s="1"/>
      <c r="O1044" s="1"/>
      <c r="P1044" s="1"/>
      <c r="Q1044" s="1"/>
      <c r="R1044" s="1"/>
      <c r="S1044" s="1"/>
      <c r="T1044" s="2"/>
      <c r="U1044" s="1"/>
      <c r="V1044" s="7"/>
      <c r="W1044" s="1"/>
      <c r="X1044" s="1"/>
      <c r="Y1044" s="1"/>
      <c r="Z1044" s="1"/>
      <c r="AA1044" s="1"/>
      <c r="AB1044" s="1"/>
      <c r="AC1044" s="2"/>
      <c r="AD1044" s="1"/>
      <c r="AE1044" s="1"/>
      <c r="AF1044" s="1"/>
      <c r="AG1044" s="1"/>
      <c r="AH1044" s="1"/>
      <c r="AI1044" s="1"/>
      <c r="AJ1044" s="1"/>
      <c r="AK1044" s="1"/>
      <c r="AL1044" s="2"/>
      <c r="AM1044" s="1"/>
      <c r="AN1044" s="1"/>
      <c r="AO1044" s="1"/>
      <c r="AP1044" s="1"/>
      <c r="AQ1044" s="1"/>
      <c r="AR1044" s="1"/>
      <c r="AS1044" s="1"/>
      <c r="AT1044" s="1"/>
      <c r="AU1044" s="2"/>
      <c r="AV1044" s="1"/>
      <c r="AW1044" s="1"/>
      <c r="AX1044" s="1"/>
      <c r="AY1044" s="1"/>
      <c r="AZ1044" s="1"/>
      <c r="BA1044" s="1"/>
      <c r="BB1044" s="1"/>
      <c r="BC1044" s="1"/>
      <c r="BD1044" s="2"/>
      <c r="BE1044" s="1"/>
      <c r="BF1044" s="1"/>
      <c r="BG1044" s="1"/>
      <c r="BH1044" s="1"/>
      <c r="BI1044" s="1"/>
      <c r="BJ1044" s="1"/>
      <c r="BK1044" s="1"/>
      <c r="BL1044" s="1"/>
      <c r="BM1044" s="2"/>
      <c r="BN1044" s="1"/>
      <c r="BO1044" s="1"/>
      <c r="BP1044" s="1"/>
      <c r="BQ1044" s="1"/>
      <c r="BR1044" s="1"/>
      <c r="BS1044" s="1"/>
      <c r="BT1044" s="1"/>
      <c r="BU1044" s="1"/>
      <c r="BV1044" s="2"/>
      <c r="BW1044" s="1"/>
      <c r="BX1044" s="1"/>
      <c r="BY1044" s="1"/>
      <c r="BZ1044" s="1"/>
      <c r="CA1044" s="1"/>
      <c r="CB1044" s="1"/>
      <c r="CC1044" s="1"/>
      <c r="CD1044" s="1"/>
      <c r="CE1044" s="2"/>
      <c r="CF1044" s="1"/>
      <c r="CG1044" s="1"/>
      <c r="CH1044" s="1"/>
      <c r="CI1044" s="1"/>
      <c r="CJ1044" s="1"/>
      <c r="CK1044" s="1"/>
      <c r="CL1044" s="1"/>
    </row>
    <row r="1045" spans="1:90" ht="14.65" x14ac:dyDescent="0.4">
      <c r="A1045" s="1"/>
      <c r="B1045" s="2"/>
      <c r="C1045" s="1"/>
      <c r="D1045" s="1"/>
      <c r="E1045" s="1"/>
      <c r="F1045" s="1"/>
      <c r="G1045" s="1"/>
      <c r="H1045" s="1"/>
      <c r="I1045" s="1"/>
      <c r="J1045" s="1"/>
      <c r="K1045" s="2"/>
      <c r="L1045" s="1"/>
      <c r="M1045" s="1"/>
      <c r="N1045" s="1"/>
      <c r="O1045" s="1"/>
      <c r="P1045" s="1"/>
      <c r="Q1045" s="1"/>
      <c r="R1045" s="1"/>
      <c r="S1045" s="1"/>
      <c r="T1045" s="2"/>
      <c r="U1045" s="1"/>
      <c r="V1045" s="1"/>
      <c r="W1045" s="1"/>
      <c r="X1045" s="1"/>
      <c r="Y1045" s="1"/>
      <c r="Z1045" s="1"/>
      <c r="AA1045" s="1"/>
      <c r="AB1045" s="1"/>
      <c r="AC1045" s="2"/>
      <c r="AD1045" s="1"/>
      <c r="AE1045" s="1"/>
      <c r="AF1045" s="1"/>
      <c r="AG1045" s="1"/>
      <c r="AH1045" s="1"/>
      <c r="AI1045" s="1"/>
      <c r="AJ1045" s="1"/>
      <c r="AK1045" s="1"/>
      <c r="AL1045" s="2"/>
      <c r="AM1045" s="1"/>
      <c r="AN1045" s="1"/>
      <c r="AO1045" s="1"/>
      <c r="AP1045" s="1"/>
      <c r="AQ1045" s="1"/>
      <c r="AR1045" s="1"/>
      <c r="AS1045" s="1"/>
      <c r="AT1045" s="1"/>
      <c r="AU1045" s="2"/>
      <c r="AV1045" s="1"/>
      <c r="AW1045" s="1"/>
      <c r="AX1045" s="1"/>
      <c r="AY1045" s="1"/>
      <c r="AZ1045" s="1"/>
      <c r="BA1045" s="1"/>
      <c r="BB1045" s="1"/>
      <c r="BC1045" s="1"/>
      <c r="BD1045" s="2"/>
      <c r="BE1045" s="1"/>
      <c r="BF1045" s="1"/>
      <c r="BG1045" s="1"/>
      <c r="BH1045" s="1"/>
      <c r="BI1045" s="1"/>
      <c r="BJ1045" s="1"/>
      <c r="BK1045" s="1"/>
      <c r="BL1045" s="1"/>
      <c r="BM1045" s="2"/>
      <c r="BN1045" s="1"/>
      <c r="BO1045" s="1"/>
      <c r="BP1045" s="1"/>
      <c r="BQ1045" s="1"/>
      <c r="BR1045" s="1"/>
      <c r="BS1045" s="1"/>
      <c r="BT1045" s="1"/>
      <c r="BU1045" s="1"/>
      <c r="BV1045" s="2"/>
      <c r="BW1045" s="1"/>
      <c r="BX1045" s="1"/>
      <c r="BY1045" s="1"/>
      <c r="BZ1045" s="1"/>
      <c r="CA1045" s="1"/>
      <c r="CB1045" s="1"/>
      <c r="CC1045" s="1"/>
      <c r="CD1045" s="1"/>
      <c r="CE1045" s="2"/>
      <c r="CF1045" s="1"/>
      <c r="CG1045" s="1"/>
      <c r="CH1045" s="1"/>
      <c r="CI1045" s="1"/>
      <c r="CJ1045" s="1"/>
      <c r="CK1045" s="1"/>
      <c r="CL1045" s="1"/>
    </row>
    <row r="1046" spans="1:90" ht="14.65" x14ac:dyDescent="0.4">
      <c r="A1046" s="1"/>
      <c r="B1046" s="2"/>
      <c r="C1046" s="1"/>
      <c r="D1046" s="1"/>
      <c r="E1046" s="1"/>
      <c r="F1046" s="1"/>
      <c r="G1046" s="1"/>
      <c r="H1046" s="1"/>
      <c r="I1046" s="1"/>
      <c r="J1046" s="1"/>
      <c r="K1046" s="2"/>
      <c r="L1046" s="1"/>
      <c r="M1046" s="1"/>
      <c r="N1046" s="1"/>
      <c r="O1046" s="1"/>
      <c r="P1046" s="1"/>
      <c r="Q1046" s="1"/>
      <c r="R1046" s="1"/>
      <c r="S1046" s="1"/>
      <c r="T1046" s="2"/>
      <c r="U1046" s="1"/>
      <c r="V1046" s="1"/>
      <c r="W1046" s="1"/>
      <c r="X1046" s="1"/>
      <c r="Y1046" s="1"/>
      <c r="Z1046" s="1"/>
      <c r="AA1046" s="1"/>
      <c r="AB1046" s="1"/>
      <c r="AC1046" s="2"/>
      <c r="AD1046" s="1"/>
      <c r="AE1046" s="1"/>
      <c r="AF1046" s="1"/>
      <c r="AG1046" s="1"/>
      <c r="AH1046" s="1"/>
      <c r="AI1046" s="1"/>
      <c r="AJ1046" s="1"/>
      <c r="AK1046" s="1"/>
      <c r="AL1046" s="2"/>
      <c r="AM1046" s="1"/>
      <c r="AN1046" s="1"/>
      <c r="AO1046" s="1"/>
      <c r="AP1046" s="1"/>
      <c r="AQ1046" s="1"/>
      <c r="AR1046" s="1"/>
      <c r="AS1046" s="1"/>
      <c r="AT1046" s="1"/>
      <c r="AU1046" s="2"/>
      <c r="AV1046" s="1"/>
      <c r="AW1046" s="1"/>
      <c r="AX1046" s="1"/>
      <c r="AY1046" s="1"/>
      <c r="AZ1046" s="1"/>
      <c r="BA1046" s="1"/>
      <c r="BB1046" s="1"/>
      <c r="BC1046" s="1"/>
      <c r="BD1046" s="2"/>
      <c r="BE1046" s="1"/>
      <c r="BF1046" s="1"/>
      <c r="BG1046" s="1"/>
      <c r="BH1046" s="1"/>
      <c r="BI1046" s="1"/>
      <c r="BJ1046" s="1"/>
      <c r="BK1046" s="1"/>
      <c r="BL1046" s="1"/>
      <c r="BM1046" s="2"/>
      <c r="BN1046" s="1"/>
      <c r="BO1046" s="1"/>
      <c r="BP1046" s="1"/>
      <c r="BQ1046" s="1"/>
      <c r="BR1046" s="1"/>
      <c r="BS1046" s="1"/>
      <c r="BT1046" s="1"/>
      <c r="BU1046" s="1"/>
      <c r="BV1046" s="2"/>
      <c r="BW1046" s="1"/>
      <c r="BX1046" s="1"/>
      <c r="BY1046" s="1"/>
      <c r="BZ1046" s="1"/>
      <c r="CA1046" s="1"/>
      <c r="CB1046" s="1"/>
      <c r="CC1046" s="1"/>
      <c r="CD1046" s="1"/>
      <c r="CE1046" s="2"/>
      <c r="CF1046" s="1"/>
      <c r="CG1046" s="1"/>
      <c r="CH1046" s="1"/>
      <c r="CI1046" s="1"/>
      <c r="CJ1046" s="1"/>
      <c r="CK1046" s="1"/>
      <c r="CL1046" s="1"/>
    </row>
    <row r="1047" spans="1:90" ht="14.65" x14ac:dyDescent="0.4">
      <c r="A1047" s="1"/>
      <c r="B1047" s="2"/>
      <c r="C1047" s="1"/>
      <c r="D1047" s="1"/>
      <c r="E1047" s="1"/>
      <c r="F1047" s="1"/>
      <c r="G1047" s="1"/>
      <c r="H1047" s="1"/>
      <c r="I1047" s="1"/>
      <c r="J1047" s="1"/>
      <c r="K1047" s="2"/>
      <c r="L1047" s="1"/>
      <c r="M1047" s="1"/>
      <c r="N1047" s="1"/>
      <c r="O1047" s="1"/>
      <c r="P1047" s="1"/>
      <c r="Q1047" s="1"/>
      <c r="R1047" s="1"/>
      <c r="S1047" s="1"/>
      <c r="T1047" s="2"/>
      <c r="U1047" s="1"/>
      <c r="V1047" s="1"/>
      <c r="W1047" s="1"/>
      <c r="X1047" s="1"/>
      <c r="Y1047" s="1"/>
      <c r="Z1047" s="1"/>
      <c r="AA1047" s="1"/>
      <c r="AB1047" s="1"/>
      <c r="AC1047" s="2"/>
      <c r="AD1047" s="1"/>
      <c r="AE1047" s="1"/>
      <c r="AF1047" s="1"/>
      <c r="AG1047" s="1"/>
      <c r="AH1047" s="1"/>
      <c r="AI1047" s="1"/>
      <c r="AJ1047" s="1"/>
      <c r="AK1047" s="1"/>
      <c r="AL1047" s="2"/>
      <c r="AM1047" s="1"/>
      <c r="AN1047" s="1"/>
      <c r="AO1047" s="1"/>
      <c r="AP1047" s="1"/>
      <c r="AQ1047" s="1"/>
      <c r="AR1047" s="1"/>
      <c r="AS1047" s="1"/>
      <c r="AT1047" s="1"/>
      <c r="AU1047" s="2"/>
      <c r="AV1047" s="1"/>
      <c r="AW1047" s="1"/>
      <c r="AX1047" s="1"/>
      <c r="AY1047" s="1"/>
      <c r="AZ1047" s="1"/>
      <c r="BA1047" s="1"/>
      <c r="BB1047" s="1"/>
      <c r="BC1047" s="1"/>
      <c r="BD1047" s="2"/>
      <c r="BE1047" s="1"/>
      <c r="BF1047" s="1"/>
      <c r="BG1047" s="1"/>
      <c r="BH1047" s="1"/>
      <c r="BI1047" s="1"/>
      <c r="BJ1047" s="1"/>
      <c r="BK1047" s="1"/>
      <c r="BL1047" s="1"/>
      <c r="BM1047" s="2"/>
      <c r="BN1047" s="1"/>
      <c r="BO1047" s="1"/>
      <c r="BP1047" s="1"/>
      <c r="BQ1047" s="1"/>
      <c r="BR1047" s="1"/>
      <c r="BS1047" s="1"/>
      <c r="BT1047" s="1"/>
      <c r="BU1047" s="1"/>
      <c r="BV1047" s="2"/>
      <c r="BW1047" s="1"/>
      <c r="BX1047" s="1"/>
      <c r="BY1047" s="1"/>
      <c r="BZ1047" s="1"/>
      <c r="CA1047" s="1"/>
      <c r="CB1047" s="1"/>
      <c r="CC1047" s="1"/>
      <c r="CD1047" s="1"/>
      <c r="CE1047" s="2"/>
      <c r="CF1047" s="1"/>
      <c r="CG1047" s="1"/>
      <c r="CH1047" s="1"/>
      <c r="CI1047" s="1"/>
      <c r="CJ1047" s="1"/>
      <c r="CK1047" s="1"/>
      <c r="CL1047" s="1"/>
    </row>
    <row r="1048" spans="1:90" ht="14.65" x14ac:dyDescent="0.4">
      <c r="A1048" s="1"/>
      <c r="B1048" s="2"/>
      <c r="C1048" s="1"/>
      <c r="D1048" s="1"/>
      <c r="E1048" s="1"/>
      <c r="F1048" s="1"/>
      <c r="G1048" s="1"/>
      <c r="H1048" s="1"/>
      <c r="I1048" s="1"/>
      <c r="J1048" s="1"/>
      <c r="K1048" s="2"/>
      <c r="L1048" s="2"/>
      <c r="M1048" s="1"/>
      <c r="N1048" s="1"/>
      <c r="O1048" s="1"/>
      <c r="P1048" s="1"/>
      <c r="Q1048" s="1"/>
      <c r="R1048" s="1"/>
      <c r="S1048" s="1"/>
      <c r="T1048" s="2"/>
      <c r="U1048" s="1"/>
      <c r="V1048" s="1"/>
      <c r="W1048" s="1"/>
      <c r="X1048" s="1"/>
      <c r="Y1048" s="1"/>
      <c r="Z1048" s="1"/>
      <c r="AA1048" s="1"/>
      <c r="AB1048" s="1"/>
      <c r="AC1048" s="2"/>
      <c r="AD1048" s="1"/>
      <c r="AE1048" s="1"/>
      <c r="AF1048" s="1"/>
      <c r="AG1048" s="1"/>
      <c r="AH1048" s="1"/>
      <c r="AI1048" s="1"/>
      <c r="AJ1048" s="1"/>
      <c r="AK1048" s="1"/>
      <c r="AL1048" s="2"/>
      <c r="AM1048" s="1"/>
      <c r="AN1048" s="1"/>
      <c r="AO1048" s="1"/>
      <c r="AP1048" s="1"/>
      <c r="AQ1048" s="1"/>
      <c r="AR1048" s="1"/>
      <c r="AS1048" s="1"/>
      <c r="AT1048" s="1"/>
      <c r="AU1048" s="2"/>
      <c r="AV1048" s="1"/>
      <c r="AW1048" s="1"/>
      <c r="AX1048" s="1"/>
      <c r="AY1048" s="1"/>
      <c r="AZ1048" s="1"/>
      <c r="BA1048" s="1"/>
      <c r="BB1048" s="1"/>
      <c r="BC1048" s="1"/>
      <c r="BD1048" s="2"/>
      <c r="BE1048" s="1"/>
      <c r="BF1048" s="1"/>
      <c r="BG1048" s="1"/>
      <c r="BH1048" s="1"/>
      <c r="BI1048" s="1"/>
      <c r="BJ1048" s="1"/>
      <c r="BK1048" s="1"/>
      <c r="BL1048" s="1"/>
      <c r="BM1048" s="2"/>
      <c r="BN1048" s="1"/>
      <c r="BO1048" s="1"/>
      <c r="BP1048" s="1"/>
      <c r="BQ1048" s="1"/>
      <c r="BR1048" s="1"/>
      <c r="BS1048" s="1"/>
      <c r="BT1048" s="1"/>
      <c r="BU1048" s="1"/>
      <c r="BV1048" s="2"/>
      <c r="BW1048" s="1"/>
      <c r="BX1048" s="1"/>
      <c r="BY1048" s="1"/>
      <c r="BZ1048" s="1"/>
      <c r="CA1048" s="1"/>
      <c r="CB1048" s="1"/>
      <c r="CC1048" s="1"/>
      <c r="CD1048" s="1"/>
      <c r="CE1048" s="2"/>
      <c r="CF1048" s="1"/>
      <c r="CG1048" s="1"/>
      <c r="CH1048" s="1"/>
      <c r="CI1048" s="1"/>
      <c r="CJ1048" s="1"/>
      <c r="CK1048" s="1"/>
      <c r="CL1048" s="1"/>
    </row>
    <row r="1049" spans="1:90" ht="14.65" x14ac:dyDescent="0.4">
      <c r="A1049" s="1"/>
      <c r="B1049" s="2"/>
      <c r="C1049" s="1"/>
      <c r="D1049" s="1"/>
      <c r="E1049" s="1"/>
      <c r="F1049" s="1"/>
      <c r="G1049" s="1"/>
      <c r="H1049" s="1"/>
      <c r="I1049" s="1"/>
      <c r="J1049" s="1"/>
      <c r="K1049" s="2"/>
      <c r="L1049" s="2"/>
      <c r="M1049" s="1"/>
      <c r="N1049" s="1"/>
      <c r="O1049" s="1"/>
      <c r="P1049" s="1"/>
      <c r="Q1049" s="1"/>
      <c r="R1049" s="1"/>
      <c r="S1049" s="1"/>
      <c r="T1049" s="2"/>
      <c r="U1049" s="1"/>
      <c r="V1049" s="1"/>
      <c r="W1049" s="1"/>
      <c r="X1049" s="1"/>
      <c r="Y1049" s="1"/>
      <c r="Z1049" s="1"/>
      <c r="AA1049" s="1"/>
      <c r="AB1049" s="1"/>
      <c r="AC1049" s="2"/>
      <c r="AD1049" s="1"/>
      <c r="AE1049" s="1"/>
      <c r="AF1049" s="1"/>
      <c r="AG1049" s="1"/>
      <c r="AH1049" s="1"/>
      <c r="AI1049" s="1"/>
      <c r="AJ1049" s="1"/>
      <c r="AK1049" s="1"/>
      <c r="AL1049" s="2"/>
      <c r="AM1049" s="1"/>
      <c r="AN1049" s="1"/>
      <c r="AO1049" s="1"/>
      <c r="AP1049" s="1"/>
      <c r="AQ1049" s="1"/>
      <c r="AR1049" s="1"/>
      <c r="AS1049" s="1"/>
      <c r="AT1049" s="1"/>
      <c r="AU1049" s="2"/>
      <c r="AV1049" s="1"/>
      <c r="AW1049" s="1"/>
      <c r="AX1049" s="1"/>
      <c r="AY1049" s="1"/>
      <c r="AZ1049" s="1"/>
      <c r="BA1049" s="1"/>
      <c r="BB1049" s="1"/>
      <c r="BC1049" s="1"/>
      <c r="BD1049" s="2"/>
      <c r="BE1049" s="1"/>
      <c r="BF1049" s="1"/>
      <c r="BG1049" s="1"/>
      <c r="BH1049" s="1"/>
      <c r="BI1049" s="1"/>
      <c r="BJ1049" s="1"/>
      <c r="BK1049" s="1"/>
      <c r="BL1049" s="1"/>
      <c r="BM1049" s="2"/>
      <c r="BN1049" s="1"/>
      <c r="BO1049" s="1"/>
      <c r="BP1049" s="1"/>
      <c r="BQ1049" s="1"/>
      <c r="BR1049" s="1"/>
      <c r="BS1049" s="1"/>
      <c r="BT1049" s="1"/>
      <c r="BU1049" s="1"/>
      <c r="BV1049" s="2"/>
      <c r="BW1049" s="1"/>
      <c r="BX1049" s="1"/>
      <c r="BY1049" s="1"/>
      <c r="BZ1049" s="1"/>
      <c r="CA1049" s="1"/>
      <c r="CB1049" s="1"/>
      <c r="CC1049" s="1"/>
      <c r="CD1049" s="1"/>
      <c r="CE1049" s="2"/>
      <c r="CF1049" s="1"/>
      <c r="CG1049" s="1"/>
      <c r="CH1049" s="1"/>
      <c r="CI1049" s="1"/>
      <c r="CJ1049" s="1"/>
      <c r="CK1049" s="1"/>
      <c r="CL1049" s="1"/>
    </row>
    <row r="1050" spans="1:90" ht="14.65" x14ac:dyDescent="0.4">
      <c r="A1050" s="1"/>
      <c r="B1050" s="2"/>
      <c r="C1050" s="1"/>
      <c r="D1050" s="1"/>
      <c r="E1050" s="1"/>
      <c r="F1050" s="1"/>
      <c r="G1050" s="1"/>
      <c r="H1050" s="1"/>
      <c r="I1050" s="1"/>
      <c r="J1050" s="1"/>
      <c r="K1050" s="2"/>
      <c r="L1050" s="1"/>
      <c r="M1050" s="1"/>
      <c r="N1050" s="1"/>
      <c r="O1050" s="1"/>
      <c r="P1050" s="1"/>
      <c r="Q1050" s="1"/>
      <c r="R1050" s="1"/>
      <c r="S1050" s="1"/>
      <c r="T1050" s="2"/>
      <c r="U1050" s="1"/>
      <c r="V1050" s="1"/>
      <c r="W1050" s="1"/>
      <c r="X1050" s="1"/>
      <c r="Y1050" s="1"/>
      <c r="Z1050" s="1"/>
      <c r="AA1050" s="1"/>
      <c r="AB1050" s="1"/>
      <c r="AC1050" s="2"/>
      <c r="AD1050" s="1"/>
      <c r="AE1050" s="1"/>
      <c r="AF1050" s="1"/>
      <c r="AG1050" s="1"/>
      <c r="AH1050" s="1"/>
      <c r="AI1050" s="1"/>
      <c r="AJ1050" s="1"/>
      <c r="AK1050" s="1"/>
      <c r="AL1050" s="2"/>
      <c r="AM1050" s="1"/>
      <c r="AN1050" s="1"/>
      <c r="AO1050" s="1"/>
      <c r="AP1050" s="1"/>
      <c r="AQ1050" s="1"/>
      <c r="AR1050" s="1"/>
      <c r="AS1050" s="1"/>
      <c r="AT1050" s="1"/>
      <c r="AU1050" s="2"/>
      <c r="AV1050" s="1"/>
      <c r="AW1050" s="1"/>
      <c r="AX1050" s="1"/>
      <c r="AY1050" s="1"/>
      <c r="AZ1050" s="1"/>
      <c r="BA1050" s="1"/>
      <c r="BB1050" s="1"/>
      <c r="BC1050" s="1"/>
      <c r="BD1050" s="2"/>
      <c r="BE1050" s="1"/>
      <c r="BF1050" s="1"/>
      <c r="BG1050" s="1"/>
      <c r="BH1050" s="1"/>
      <c r="BI1050" s="1"/>
      <c r="BJ1050" s="1"/>
      <c r="BK1050" s="1"/>
      <c r="BL1050" s="1"/>
      <c r="BM1050" s="2"/>
      <c r="BN1050" s="1"/>
      <c r="BO1050" s="1"/>
      <c r="BP1050" s="1"/>
      <c r="BQ1050" s="1"/>
      <c r="BR1050" s="1"/>
      <c r="BS1050" s="1"/>
      <c r="BT1050" s="1"/>
      <c r="BU1050" s="1"/>
      <c r="BV1050" s="2"/>
      <c r="BW1050" s="1"/>
      <c r="BX1050" s="1"/>
      <c r="BY1050" s="1"/>
      <c r="BZ1050" s="1"/>
      <c r="CA1050" s="1"/>
      <c r="CB1050" s="1"/>
      <c r="CC1050" s="1"/>
      <c r="CD1050" s="1"/>
      <c r="CE1050" s="2"/>
      <c r="CF1050" s="1"/>
      <c r="CG1050" s="1"/>
      <c r="CH1050" s="1"/>
      <c r="CI1050" s="1"/>
      <c r="CJ1050" s="1"/>
      <c r="CK1050" s="1"/>
      <c r="CL1050" s="1"/>
    </row>
    <row r="1051" spans="1:90" ht="14.65" x14ac:dyDescent="0.4">
      <c r="CD1051" s="1"/>
      <c r="CE1051" s="2"/>
      <c r="CF1051" s="1"/>
      <c r="CG1051" s="1"/>
      <c r="CH1051" s="1"/>
      <c r="CI1051" s="1"/>
      <c r="CJ1051" s="1"/>
      <c r="CK1051" s="1"/>
      <c r="CL105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D2CB-86E7-4AB8-8EA4-77F403A47E6E}">
  <dimension ref="A1:A3"/>
  <sheetViews>
    <sheetView workbookViewId="0">
      <selection activeCell="A3" sqref="A3"/>
    </sheetView>
  </sheetViews>
  <sheetFormatPr defaultRowHeight="13.9" x14ac:dyDescent="0.4"/>
  <sheetData>
    <row r="1" spans="1:1" x14ac:dyDescent="0.4">
      <c r="A1" t="s">
        <v>3260</v>
      </c>
    </row>
    <row r="3" spans="1:1" x14ac:dyDescent="0.4">
      <c r="A3" t="s">
        <v>8923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ddae2e3-d858-4d32-ba9d-11aab6400a9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84C500347AE46AF35D138EC3778D4" ma:contentTypeVersion="12" ma:contentTypeDescription="Create a new document." ma:contentTypeScope="" ma:versionID="6c644e42ec4e1224126ec54280e2307c">
  <xsd:schema xmlns:xsd="http://www.w3.org/2001/XMLSchema" xmlns:xs="http://www.w3.org/2001/XMLSchema" xmlns:p="http://schemas.microsoft.com/office/2006/metadata/properties" xmlns:ns3="8ddae2e3-d858-4d32-ba9d-11aab6400a93" targetNamespace="http://schemas.microsoft.com/office/2006/metadata/properties" ma:root="true" ma:fieldsID="538bae20020c8545cb720bd11aeea3d8" ns3:_="">
    <xsd:import namespace="8ddae2e3-d858-4d32-ba9d-11aab6400a9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dae2e3-d858-4d32-ba9d-11aab6400a9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884461-AA0F-4F54-B458-AEEBF1B6478A}">
  <ds:schemaRefs>
    <ds:schemaRef ds:uri="http://schemas.microsoft.com/office/2006/metadata/properties"/>
    <ds:schemaRef ds:uri="http://schemas.microsoft.com/office/infopath/2007/PartnerControls"/>
    <ds:schemaRef ds:uri="8ddae2e3-d858-4d32-ba9d-11aab6400a93"/>
  </ds:schemaRefs>
</ds:datastoreItem>
</file>

<file path=customXml/itemProps2.xml><?xml version="1.0" encoding="utf-8"?>
<ds:datastoreItem xmlns:ds="http://schemas.openxmlformats.org/officeDocument/2006/customXml" ds:itemID="{C30C6B66-09CB-4CB7-9673-C82587FC67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CB6C86-3195-4D52-9FCE-F9A138C20F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dae2e3-d858-4d32-ba9d-11aab6400a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Dusheng WANG</dc:creator>
  <cp:lastModifiedBy>Dusheng WANG</cp:lastModifiedBy>
  <cp:lastPrinted>2026-01-15T12:09:23Z</cp:lastPrinted>
  <dcterms:created xsi:type="dcterms:W3CDTF">2025-12-01T18:08:49Z</dcterms:created>
  <dcterms:modified xsi:type="dcterms:W3CDTF">2026-02-01T00:47:43Z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0x010100C1084C500347AE46AF35D138EC3778D4</vt:lpwstr>
  </property>
</Properties>
</file>